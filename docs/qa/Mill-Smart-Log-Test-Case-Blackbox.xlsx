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Lembar Hasil" sheetId="3" state="visible" r:id="rId3"/>
    <sheet name="Rekap" sheetId="4" state="visible" r:id="rId4"/>
    <sheet name="Lingkungan &amp; Akun" sheetId="5" state="visible" r:id="rId5"/>
    <sheet name="Matriks Stasiun" sheetId="6" state="visible" r:id="rId6"/>
    <sheet name="Sudah Diketahui" sheetId="7" state="visible" r:id="rId7"/>
  </sheets>
  <definedNames>
    <definedName name="_xlnm._FilterDatabase" localSheetId="1" hidden="1">'Kasus Uji'!$A$4:$L$174</definedName>
    <definedName name="_xlnm._FilterDatabase" localSheetId="2" hidden="1">'Lembar Hasil'!$A$4:$L$1513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7">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F2F6F7"/>
      </patternFill>
    </fill>
    <fill>
      <patternFill patternType="solid">
        <fgColor rgb="00FFFDF0"/>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6" fillId="3" borderId="1" applyAlignment="1" pivotButton="0" quotePrefix="0" xfId="0">
      <alignment horizontal="center" vertical="top" wrapText="1"/>
    </xf>
    <xf numFmtId="0" fontId="5" fillId="5" borderId="1" applyAlignment="1" pivotButton="0" quotePrefix="0" xfId="0">
      <alignment horizontal="center" vertical="top" wrapText="1"/>
    </xf>
    <xf numFmtId="0" fontId="5" fillId="5" borderId="1" applyAlignment="1" pivotButton="0" quotePrefix="0" xfId="0">
      <alignment horizontal="left" vertical="top" wrapText="1"/>
    </xf>
    <xf numFmtId="0" fontId="8" fillId="5" borderId="1" applyAlignment="1" pivotButton="0" quotePrefix="0" xfId="0">
      <alignment horizontal="left" vertical="top" wrapText="1"/>
    </xf>
    <xf numFmtId="0" fontId="4" fillId="5" borderId="1" applyAlignment="1" pivotButton="0" quotePrefix="0" xfId="0">
      <alignment horizontal="left" vertical="top" wrapText="1"/>
    </xf>
    <xf numFmtId="0" fontId="5" fillId="6"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5" borderId="1" applyAlignment="1" pivotButton="0" quotePrefix="0" xfId="0">
      <alignment horizontal="left" vertical="top" wrapText="1"/>
    </xf>
    <xf numFmtId="0" fontId="6" fillId="5"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5"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t>
        </is>
      </c>
    </row>
    <row r="2" ht="30" customHeight="1">
      <c r="A2" s="2" t="inlineStr">
        <is>
          <t>Pengujian fungsional Web dan Mobile. 174 kasus unik, ±1.513 jalan, 154 layar tercakup. Seluruh kasus dapat dijalankan tanpa melihat kode.</t>
        </is>
      </c>
    </row>
    <row r="4" ht="24" customHeight="1">
      <c r="A4" s="3" t="inlineStr">
        <is>
          <t>Isi berkas ini</t>
        </is>
      </c>
    </row>
    <row r="5" ht="30" customHeight="1">
      <c r="A5" s="4" t="inlineStr">
        <is>
          <t>Kasus Uji</t>
        </is>
      </c>
      <c r="B5" s="5" t="inlineStr">
        <is>
          <t>Ke-174 kasus lengkap: peran, prasyarat, langkah, dan Hasil Diharapkan. Dibaca, tidak diisi.</t>
        </is>
      </c>
      <c r="C5" s="6" t="n"/>
      <c r="D5" s="7" t="n"/>
    </row>
    <row r="6" ht="30" customHeight="1">
      <c r="A6" s="4" t="inlineStr">
        <is>
          <t>Lembar Hasil</t>
        </is>
      </c>
      <c r="B6" s="5" t="inlineStr">
        <is>
          <t>Tempat mengisi. Satu baris per JALAN — kasus yang dijalankan 18× punya 18 baris, satu per stasiun.</t>
        </is>
      </c>
      <c r="C6" s="6" t="n"/>
      <c r="D6" s="7" t="n"/>
    </row>
    <row r="7" ht="30" customHeight="1">
      <c r="A7" s="4" t="inlineStr">
        <is>
          <t>Rekap</t>
        </is>
      </c>
      <c r="B7" s="5" t="inlineStr">
        <is>
          <t>Hitungan otomatis Lulus/Gagal/Tidak diuji per bagian. Terisi sendiri dari Lembar Hasil.</t>
        </is>
      </c>
      <c r="C7" s="6" t="n"/>
      <c r="D7" s="7" t="n"/>
    </row>
    <row r="8" ht="16" customHeight="1">
      <c r="A8" s="4" t="inlineStr">
        <is>
          <t>Lingkungan &amp; Akun</t>
        </is>
      </c>
      <c r="B8" s="5" t="inlineStr">
        <is>
          <t>Yang harus disiapkan sebelum menguji, 6 akun uji, dan matriks peran.</t>
        </is>
      </c>
      <c r="C8" s="6" t="n"/>
      <c r="D8" s="7" t="n"/>
    </row>
    <row r="9" ht="16" customHeight="1">
      <c r="A9" s="4" t="inlineStr">
        <is>
          <t>Matriks Stasiun</t>
        </is>
      </c>
      <c r="B9" s="5" t="inlineStr">
        <is>
          <t>18 stasiun beserta keanehan masing-masing yang perlu diperhatikan.</t>
        </is>
      </c>
      <c r="C9" s="6" t="n"/>
      <c r="D9" s="7" t="n"/>
    </row>
    <row r="10" ht="30" customHeight="1">
      <c r="A10" s="4" t="inlineStr">
        <is>
          <t>Sudah Diketahui</t>
        </is>
      </c>
      <c r="B10" s="5" t="inlineStr">
        <is>
          <t>Dua daftar yang WAJIB dibaca sebelum melapor: catatan yang sudah diketahui tim, dan hal yang terlihat seperti bug tetapi bukan.</t>
        </is>
      </c>
      <c r="C10" s="6" t="n"/>
      <c r="D10" s="7" t="n"/>
    </row>
    <row r="12" ht="24" customHeight="1">
      <c r="A12" s="3" t="inlineStr">
        <is>
          <t>Mengapa ada "pola" dan bukan 108 set kasus</t>
        </is>
      </c>
    </row>
    <row r="13" ht="45" customHeight="1">
      <c r="A13" s="4" t="inlineStr">
        <is>
          <t>Alasannya</t>
        </is>
      </c>
      <c r="B13" s="5" t="inlineStr">
        <is>
          <t>Monitor, Form, dan Data Preview (mobile) serta Data Browser, Detail, dan Form (web) berbentuk sama di ke-18 stasiun. Polanya ditulis sekali lalu dijalankan 18×; yang berbeda per stasiun ada di sheet Matriks Stasiun.</t>
        </is>
      </c>
      <c r="C13" s="6" t="n"/>
      <c r="D13" s="7" t="n"/>
    </row>
    <row r="14" ht="45" customHeight="1">
      <c r="A14" s="4" t="inlineStr">
        <is>
          <t>Akibatnya</t>
        </is>
      </c>
      <c r="B14" s="5" t="inlineStr">
        <is>
          <t>Kolom "Jml Jalan" di sheet Kasus Uji menyebut berapa kali satu kasus dijalankan. 18× berarti sekali per stasiun, 11× sekali per stasiun yang sudah punya laporan.</t>
        </is>
      </c>
      <c r="C14" s="6" t="n"/>
      <c r="D14" s="7" t="n"/>
    </row>
    <row r="16" ht="24" customHeight="1">
      <c r="A16" s="3" t="inlineStr">
        <is>
          <t>Aturan pengisian kolom Hasil</t>
        </is>
      </c>
    </row>
    <row r="17" ht="16" customHeight="1">
      <c r="A17" s="4" t="inlineStr">
        <is>
          <t>Lulus</t>
        </is>
      </c>
      <c r="B17" s="5" t="inlineStr">
        <is>
          <t>Yang terlihat SAMA dengan Hasil Diharapkan, seluruhnya.</t>
        </is>
      </c>
      <c r="C17" s="6" t="n"/>
      <c r="D17" s="7" t="n"/>
    </row>
    <row r="18" ht="30" customHeight="1">
      <c r="A18" s="4" t="inlineStr">
        <is>
          <t>Gagal</t>
        </is>
      </c>
      <c r="B18" s="5" t="inlineStr">
        <is>
          <t>Ada perbedaan. Tulis APA YANG TERLIHAT di kolom Catatan, bukan dugaan sebabnya.</t>
        </is>
      </c>
      <c r="C18" s="6" t="n"/>
      <c r="D18" s="7" t="n"/>
    </row>
    <row r="19" ht="16" customHeight="1">
      <c r="A19" s="4" t="inlineStr">
        <is>
          <t>Tidak diuji</t>
        </is>
      </c>
      <c r="B19" s="5" t="inlineStr">
        <is>
          <t>Prasyaratnya tidak dapat disiapkan. JANGAN ditandai Lulus.</t>
        </is>
      </c>
      <c r="C19" s="6" t="n"/>
      <c r="D19" s="7" t="n"/>
    </row>
    <row r="20" ht="30" customHeight="1">
      <c r="A20" s="4" t="inlineStr">
        <is>
          <t>Terhalang</t>
        </is>
      </c>
      <c r="B20" s="5" t="inlineStr">
        <is>
          <t>Kasus lain yang gagal membuat kasus ini tidak bisa dijalankan. Sebut ID penghalangnya.</t>
        </is>
      </c>
      <c r="C20" s="6" t="n"/>
      <c r="D20" s="7" t="n"/>
    </row>
    <row r="22" ht="24" customHeight="1">
      <c r="A22" s="3" t="inlineStr">
        <is>
          <t>Sebelum menutup satu putaran</t>
        </is>
      </c>
    </row>
    <row r="23" ht="45" customHeight="1">
      <c r="A23" s="4" t="inlineStr">
        <is>
          <t>Periksa tiga hal</t>
        </is>
      </c>
      <c r="B23" s="5" t="inlineStr">
        <is>
          <t>1) Setiap kasus Prioritas Tinggi punya Hasil, bukan sel kosong. 2) Setiap baris Gagal punya No. Bug. 3) Setiap baris Tidak diuji menyebut prasyarat mana yang tak bisa disiapkan.</t>
        </is>
      </c>
      <c r="C23" s="6" t="n"/>
      <c r="D23" s="7" t="n"/>
    </row>
    <row r="25" ht="44" customHeight="1">
      <c r="A25" s="8" t="inlineStr">
        <is>
          <t>Kasus yang prasyaratnya tidak tersedia BUKAN kasus yang lulus. Menandainya Lulus membuat laporan pengujian menyatakan sesuatu yang tidak pernah diperiksa — dan itu lebih berbahaya daripada kolom yang dibiarkan kosong.</t>
        </is>
      </c>
      <c r="B25" s="6" t="n"/>
      <c r="C25" s="6" t="n"/>
      <c r="D25" s="7" t="n"/>
    </row>
  </sheetData>
  <mergeCells count="20">
    <mergeCell ref="B14:D14"/>
    <mergeCell ref="A22:D22"/>
    <mergeCell ref="B23:D23"/>
    <mergeCell ref="A4:D4"/>
    <mergeCell ref="B8:D8"/>
    <mergeCell ref="B17:D17"/>
    <mergeCell ref="B13:D13"/>
    <mergeCell ref="B10:D10"/>
    <mergeCell ref="B19:D19"/>
    <mergeCell ref="B9:D9"/>
    <mergeCell ref="B6:D6"/>
    <mergeCell ref="B20:D20"/>
    <mergeCell ref="A1:D1"/>
    <mergeCell ref="B5:D5"/>
    <mergeCell ref="A25:D25"/>
    <mergeCell ref="A16:D16"/>
    <mergeCell ref="B7:D7"/>
    <mergeCell ref="A12:D12"/>
    <mergeCell ref="B18:D18"/>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7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12" customWidth="1" min="3" max="3"/>
    <col width="34" customWidth="1" min="4" max="4"/>
    <col width="15" customWidth="1" min="5" max="5"/>
    <col width="26" customWidth="1" min="6" max="6"/>
    <col width="56" customWidth="1" min="7" max="7"/>
    <col width="58" customWidth="1" min="8" max="8"/>
    <col width="9" customWidth="1" min="9" max="9"/>
    <col width="18" customWidth="1" min="10" max="10"/>
    <col width="8" customWidth="1" min="11" max="11"/>
    <col width="34" customWidth="1" min="12" max="12"/>
  </cols>
  <sheetData>
    <row r="1" ht="26" customHeight="1">
      <c r="A1" s="1" t="inlineStr">
        <is>
          <t>Kasus Uji — 174 kasus</t>
        </is>
      </c>
    </row>
    <row r="2" ht="30" customHeight="1">
      <c r="A2" s="2" t="inlineStr">
        <is>
          <t>Dibaca, tidak diisi. Pengisian ada di sheet Lembar Hasil. Kolom "Jml Jalan" = berapa kali kasus ini dijalankan.</t>
        </is>
      </c>
    </row>
    <row r="4" ht="28" customHeight="1">
      <c r="A4" s="9" t="inlineStr">
        <is>
          <t>No</t>
        </is>
      </c>
      <c r="B4" s="9" t="inlineStr">
        <is>
          <t>Bagian</t>
        </is>
      </c>
      <c r="C4" s="9" t="inlineStr">
        <is>
          <t>ID</t>
        </is>
      </c>
      <c r="D4" s="9" t="inlineStr">
        <is>
          <t>Judul</t>
        </is>
      </c>
      <c r="E4" s="9" t="inlineStr">
        <is>
          <t>Peran</t>
        </is>
      </c>
      <c r="F4" s="9" t="inlineStr">
        <is>
          <t>Prasyarat</t>
        </is>
      </c>
      <c r="G4" s="9" t="inlineStr">
        <is>
          <t>Langkah</t>
        </is>
      </c>
      <c r="H4" s="9" t="inlineStr">
        <is>
          <t>Hasil Diharapkan</t>
        </is>
      </c>
      <c r="I4" s="9" t="inlineStr">
        <is>
          <t>Prioritas</t>
        </is>
      </c>
      <c r="J4" s="9" t="inlineStr">
        <is>
          <t>Jalankan di</t>
        </is>
      </c>
      <c r="K4" s="9" t="inlineStr">
        <is>
          <t>Jml Jalan</t>
        </is>
      </c>
      <c r="L4" s="9" t="inlineStr">
        <is>
          <t>Catatan QA</t>
        </is>
      </c>
    </row>
    <row r="5" ht="175.6" customHeight="1">
      <c r="A5" s="10" t="n">
        <v>1</v>
      </c>
      <c r="B5" s="5" t="inlineStr">
        <is>
          <t>Aturan lintas-sistem (LS-)</t>
        </is>
      </c>
      <c r="C5" s="11" t="inlineStr">
        <is>
          <t>LS-01</t>
        </is>
      </c>
      <c r="D5" s="12" t="inlineStr">
        <is>
          <t>Peran yang tidak berhak ditolak dengan halaman 403, bukan halaman kosong</t>
        </is>
      </c>
      <c r="E5" s="5" t="inlineStr">
        <is>
          <t>semua, bergantian</t>
        </is>
      </c>
      <c r="F5" s="5" t="inlineStr">
        <is>
          <t>matriks peran bagian 1.3 dibaca lebih dulu</t>
        </is>
      </c>
      <c r="G5" s="5"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H5" s="5"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I5" s="13" t="inlineStr">
        <is>
          <t>Tinggi</t>
        </is>
      </c>
      <c r="J5" s="5" t="inlineStr">
        <is>
          <t>seluruh layar Web</t>
        </is>
      </c>
      <c r="K5" s="10" t="inlineStr">
        <is>
          <t>1×</t>
        </is>
      </c>
      <c r="L5" s="5" t="inlineStr"/>
    </row>
    <row r="6" ht="136" customHeight="1">
      <c r="A6" s="14" t="n">
        <v>2</v>
      </c>
      <c r="B6" s="15" t="inlineStr">
        <is>
          <t>Aturan lintas-sistem (LS-)</t>
        </is>
      </c>
      <c r="C6" s="16" t="inlineStr">
        <is>
          <t>LS-02</t>
        </is>
      </c>
      <c r="D6" s="17" t="inlineStr">
        <is>
          <t>Menu yang tidak boleh diakses juga tidak muncul di sidebar</t>
        </is>
      </c>
      <c r="E6" s="15" t="inlineStr">
        <is>
          <t>semua, bergantian</t>
        </is>
      </c>
      <c r="F6" s="15" t="inlineStr">
        <is>
          <t>—</t>
        </is>
      </c>
      <c r="G6" s="15"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H6" s="15" t="inlineStr">
        <is>
          <t>- Sidebar hanya memuat menu yang bertanda ✓ untuk peran itu di matriks 1.3.
- Tidak ada menu yang bertanda "—" tetapi tetap terlihat.
- Setiap menu yang diklik terbuka — tidak ada satu pun yang menjawab 403. Menu yang terlihat tapi menolak saat diklik adalah bug.</t>
        </is>
      </c>
      <c r="I6" s="13" t="inlineStr">
        <is>
          <t>Tinggi</t>
        </is>
      </c>
      <c r="J6" s="15" t="inlineStr">
        <is>
          <t>—</t>
        </is>
      </c>
      <c r="K6" s="14" t="inlineStr">
        <is>
          <t>1×</t>
        </is>
      </c>
      <c r="L6" s="15" t="inlineStr"/>
    </row>
    <row r="7" ht="228.4" customHeight="1">
      <c r="A7" s="10" t="n">
        <v>3</v>
      </c>
      <c r="B7" s="5" t="inlineStr">
        <is>
          <t>Aturan lintas-sistem (LS-)</t>
        </is>
      </c>
      <c r="C7" s="11" t="inlineStr">
        <is>
          <t>LS-03</t>
        </is>
      </c>
      <c r="D7" s="12" t="inlineStr">
        <is>
          <t>Data mill lain tidak pernah terlihat</t>
        </is>
      </c>
      <c r="E7" s="5" t="inlineStr">
        <is>
          <t>SPV-A, lalu SPV-B</t>
        </is>
      </c>
      <c r="F7" s="5" t="inlineStr">
        <is>
          <t>Mill A dan Mill B keduanya punya record pada tanggal yang sama</t>
        </is>
      </c>
      <c r="G7" s="5" t="inlineStr">
        <is>
          <t>1. Login di web (buka /login, isi username dan password akun pada kolom Peran, tekan Login) sebagai SPV-A.
2. Login di web, lalu sidebar &gt; Data &gt; nama stasiun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H7" s="5" t="inlineStr">
        <is>
          <t>- SPV-B tidak melihat satu pun record milik Mill A.
- SPV-B tidak melihat satu pun nama Production Line Mill A — tidak di pemilih, tidak di tabel, tidak di keterangan mana pun.
- Jumlah datanya berbeda, dan yang terlihat hanya milik Mill B.</t>
        </is>
      </c>
      <c r="I7" s="13" t="inlineStr">
        <is>
          <t>Tinggi</t>
        </is>
      </c>
      <c r="J7" s="5" t="inlineStr">
        <is>
          <t>Data Browser, Detail, Form, seluruh Laporan Periode, Dashboard</t>
        </is>
      </c>
      <c r="K7" s="10" t="inlineStr">
        <is>
          <t>1×</t>
        </is>
      </c>
      <c r="L7" s="5" t="inlineStr"/>
    </row>
    <row r="8" ht="175.6" customHeight="1">
      <c r="A8" s="14" t="n">
        <v>4</v>
      </c>
      <c r="B8" s="15" t="inlineStr">
        <is>
          <t>Aturan lintas-sistem (LS-)</t>
        </is>
      </c>
      <c r="C8" s="16" t="inlineStr">
        <is>
          <t>LS-04</t>
        </is>
      </c>
      <c r="D8" s="17" t="inlineStr">
        <is>
          <t>Akun tanpa mill ditolak dengan pesan yang menyebut sebabnya</t>
        </is>
      </c>
      <c r="E8" s="15" t="inlineStr">
        <is>
          <t>NOMILL</t>
        </is>
      </c>
      <c r="F8" s="15" t="inlineStr">
        <is>
          <t>akun Supervisor yang kolom mill-nya kosong</t>
        </is>
      </c>
      <c r="G8" s="15" t="inlineStr">
        <is>
          <t>1. Login di web (buka /login, isi username dan password akun pada kolom Peran, tekan Login) sebagai NOMILL (akun Supervisor yang kolom mill-nya kosong).
2. Login di web, lalu sidebar &gt; Data &gt; nama stasiun (/data/&lt;stasiun&gt;) untuk satu stasiun. Baca isi layar.
3. Login di web, sidebar &gt; Laporan Stasiun (/reports), tekan tile stasiunnya, lalu pilih Periode dan Production Line untuk satu stasiun. Baca isi layar.
4. Login di web, lalu sidebar &gt; Dashboard (/dashboard). Baca isi layar.</t>
        </is>
      </c>
      <c r="H8" s="15"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I8" s="13" t="inlineStr">
        <is>
          <t>Tinggi</t>
        </is>
      </c>
      <c r="J8" s="15" t="inlineStr">
        <is>
          <t>—</t>
        </is>
      </c>
      <c r="K8" s="14" t="inlineStr">
        <is>
          <t>1×</t>
        </is>
      </c>
      <c r="L8" s="15" t="inlineStr">
        <is>
          <t>tabel kosong di sini adalah bug, bukan hasil yang benar. Tabel kosong terbaca "mill ini tidak punya data", padahal yang benar "akun Anda belum diatur".</t>
        </is>
      </c>
    </row>
    <row r="9" ht="96.39999999999999" customHeight="1">
      <c r="A9" s="10" t="n">
        <v>5</v>
      </c>
      <c r="B9" s="5" t="inlineStr">
        <is>
          <t>Aturan lintas-sistem (LS-)</t>
        </is>
      </c>
      <c r="C9" s="11" t="inlineStr">
        <is>
          <t>LS-05</t>
        </is>
      </c>
      <c r="D9" s="12" t="inlineStr">
        <is>
          <t>Hanya Admin melihat pemilih Mill</t>
        </is>
      </c>
      <c r="E9" s="5" t="inlineStr">
        <is>
          <t>SPV-A, MGR-A, ADM</t>
        </is>
      </c>
      <c r="F9" s="5" t="inlineStr">
        <is>
          <t>minimal 2 mill ada</t>
        </is>
      </c>
      <c r="G9" s="5" t="inlineStr">
        <is>
          <t>1. Login di web, sidebar &gt; Laporan Stasiun (/reports), tekan tile stasiunnya, lalu pilih Periode dan Production Line untuk satu stasiun sebagai SPV-A. Cari pemilih Mill di panel filter.
2. Logout. Ulangi sebagai MGR-A.
3. Logout. Ulangi sebagai ADM.</t>
        </is>
      </c>
      <c r="H9" s="5" t="inlineStr">
        <is>
          <t>- SPV-A: tidak ada pemilih Mill. Nama mill-nya hanya ditampilkan sebagai teks.
- MGR-A: sama — hanya ditampilkan, tidak dapat diubah.
- ADM: ada pemilih Mill, dan isinya memuat kedua mill.</t>
        </is>
      </c>
      <c r="I9" s="13" t="inlineStr">
        <is>
          <t>Tinggi</t>
        </is>
      </c>
      <c r="J9" s="5" t="inlineStr">
        <is>
          <t>—</t>
        </is>
      </c>
      <c r="K9" s="10" t="inlineStr">
        <is>
          <t>1×</t>
        </is>
      </c>
      <c r="L9" s="5" t="inlineStr"/>
    </row>
    <row r="10" ht="136" customHeight="1">
      <c r="A10" s="14" t="n">
        <v>6</v>
      </c>
      <c r="B10" s="15" t="inlineStr">
        <is>
          <t>Aturan lintas-sistem (LS-)</t>
        </is>
      </c>
      <c r="C10" s="16" t="inlineStr">
        <is>
          <t>LS-06</t>
        </is>
      </c>
      <c r="D10" s="17" t="inlineStr">
        <is>
          <t>Sesi berakhir mengarahkan ke Login tanpa pesan jaringan</t>
        </is>
      </c>
      <c r="E10" s="15" t="inlineStr">
        <is>
          <t>semua</t>
        </is>
      </c>
      <c r="F10" s="15" t="inlineStr">
        <is>
          <t>sudah login; sesi/token dibuat kedaluwarsa (mis. akun dinonaktifkan Admin dari layar lain)</t>
        </is>
      </c>
      <c r="G10" s="15"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H10" s="15" t="inlineStr">
        <is>
          <t>- Diarahkan ke layar Login.
- Pesannya menyebut sesi/akun — mis. sesi berakhir atau akun dinonaktifkan.
- Pesannya tidak menyuruh memeriksa koneksi atau jaringan. Kalau muncul "Periksa koneksi Anda", itu bug.</t>
        </is>
      </c>
      <c r="I10" s="13" t="inlineStr">
        <is>
          <t>Tinggi</t>
        </is>
      </c>
      <c r="J10" s="15" t="inlineStr">
        <is>
          <t>—</t>
        </is>
      </c>
      <c r="K10" s="14" t="inlineStr">
        <is>
          <t>1×</t>
        </is>
      </c>
      <c r="L10" s="15" t="inlineStr">
        <is>
          <t>"Periksa koneksi Anda" pada sesi yang berakhir mengirim pengguna memeriksa sinyal — arah yang salah. Kalau pesan itu muncul, ini bug.</t>
        </is>
      </c>
    </row>
    <row r="11" ht="188.8" customHeight="1">
      <c r="A11" s="10" t="n">
        <v>7</v>
      </c>
      <c r="B11" s="5" t="inlineStr">
        <is>
          <t>Aturan lintas-sistem (LS-)</t>
        </is>
      </c>
      <c r="C11" s="11" t="inlineStr">
        <is>
          <t>LS-07</t>
        </is>
      </c>
      <c r="D11" s="12" t="inlineStr">
        <is>
          <t>Nol dirender sebagai pernyataan, bukan sebagai angka 0</t>
        </is>
      </c>
      <c r="E11" s="5" t="inlineStr">
        <is>
          <t>SPV-A</t>
        </is>
      </c>
      <c r="F11" s="5" t="inlineStr">
        <is>
          <t>satu stasiun / satu periode yang belum ada datanya sama sekali</t>
        </is>
      </c>
      <c r="G11" s="5" t="inlineStr">
        <is>
          <t>1. Siapkan satu stasiun atau satu periode yang belum ada datanya sama sekali.
2. Login di web, lalu sidebar &gt; Dashboard (/dashboard) sebagai SPV-A. Baca setiap angka di layar.
3. Login di web, sidebar &gt; Laporan Stasiun (/reports), tekan tile stasiunnya, lalu pilih Periode dan Production Line untuk stasiun/periode kosong itu. Baca setiap angka dan setiap kartu.
4. Login di web, lalu sidebar &gt; Production Process Activity (/production-process-activity). Baca tile stasiun yang belum ada datanya.</t>
        </is>
      </c>
      <c r="H11" s="5" t="inlineStr">
        <is>
          <t>- Tempat yang belum ada datanya berbunyi "belum ada input", "tidak tersedia", atau tanda pisah "—".
- BUKAN angka 0. BUKAN 0%. BUKAN 0,0.
- Angka 0 hanya muncul bila memang sudah diukur dan hasilnya nol — bukan untuk menyatakan ketiadaan data.</t>
        </is>
      </c>
      <c r="I11" s="10" t="inlineStr">
        <is>
          <t>Sedang</t>
        </is>
      </c>
      <c r="J11" s="5" t="inlineStr">
        <is>
          <t>—</t>
        </is>
      </c>
      <c r="K11" s="10" t="inlineStr">
        <is>
          <t>1×</t>
        </is>
      </c>
      <c r="L11" s="5" t="inlineStr">
        <is>
          <t>angka 0 menyatakan "sudah diukur, hasilnya nol". Belum ada data adalah hal berbeda, dan keduanya tidak boleh terlihat sama.</t>
        </is>
      </c>
    </row>
    <row r="12" ht="175.6" customHeight="1">
      <c r="A12" s="14" t="n">
        <v>8</v>
      </c>
      <c r="B12" s="15" t="inlineStr">
        <is>
          <t>Aturan lintas-sistem (LS-)</t>
        </is>
      </c>
      <c r="C12" s="16" t="inlineStr">
        <is>
          <t>LS-08</t>
        </is>
      </c>
      <c r="D12" s="17" t="inlineStr">
        <is>
          <t>Production Line wajib dipilih di Laporan Periode, termasuk saat hanya ada satu line</t>
        </is>
      </c>
      <c r="E12" s="15" t="inlineStr">
        <is>
          <t>SPV-A</t>
        </is>
      </c>
      <c r="F12" s="15" t="inlineStr">
        <is>
          <t>satu mill dengan satu Production Line, dan satu mill dengan dua line</t>
        </is>
      </c>
      <c r="G12" s="15"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H12" s="15"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I12" s="13" t="inlineStr">
        <is>
          <t>Tinggi</t>
        </is>
      </c>
      <c r="J12" s="15" t="inlineStr">
        <is>
          <t>—</t>
        </is>
      </c>
      <c r="K12" s="14" t="inlineStr">
        <is>
          <t>1×</t>
        </is>
      </c>
      <c r="L12" s="15" t="inlineStr">
        <is>
          <t>memilih sendiri line tunggal akan membuat pembaca mengira ia melihat seluruh mill, padahal ia melihat satu line yang kebetulan satu-satunya hari itu.</t>
        </is>
      </c>
    </row>
    <row r="13" ht="188.8" customHeight="1">
      <c r="A13" s="10" t="n">
        <v>9</v>
      </c>
      <c r="B13" s="5" t="inlineStr">
        <is>
          <t>Aturan lintas-sistem (LS-)</t>
        </is>
      </c>
      <c r="C13" s="11" t="inlineStr">
        <is>
          <t>LS-09</t>
        </is>
      </c>
      <c r="D13" s="12" t="inlineStr">
        <is>
          <t>Mengirim id Production Line milik mill lain diabaikan, bukan ditolak dengan galat</t>
        </is>
      </c>
      <c r="E13" s="5" t="inlineStr">
        <is>
          <t>SPV-A</t>
        </is>
      </c>
      <c r="F13" s="5" t="inlineStr">
        <is>
          <t>id line Mill B diketahui (ambil dari sesi SPV-B)</t>
        </is>
      </c>
      <c r="G13" s="5" t="inlineStr">
        <is>
          <t>1. Login di web, sidebar &gt; Laporan Stasiun (/reports), tekan tile stasiunnya,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H13" s="5"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I13" s="13" t="inlineStr">
        <is>
          <t>Tinggi</t>
        </is>
      </c>
      <c r="J13" s="5" t="inlineStr">
        <is>
          <t>—</t>
        </is>
      </c>
      <c r="K13" s="10" t="inlineStr">
        <is>
          <t>1×</t>
        </is>
      </c>
      <c r="L13" s="5" t="inlineStr"/>
    </row>
    <row r="14" ht="241.6" customHeight="1">
      <c r="A14" s="14" t="n">
        <v>10</v>
      </c>
      <c r="B14" s="15" t="inlineStr">
        <is>
          <t>Aturan lintas-sistem (LS-)</t>
        </is>
      </c>
      <c r="C14" s="16" t="inlineStr">
        <is>
          <t>LS-10</t>
        </is>
      </c>
      <c r="D14" s="17" t="inlineStr">
        <is>
          <t>Periode tertutup mengunci input, periode draft/terbuka tidak</t>
        </is>
      </c>
      <c r="E14" s="15" t="inlineStr">
        <is>
          <t>SPV-A (input), ADM (ubah status)</t>
        </is>
      </c>
      <c r="F14" s="15" t="inlineStr">
        <is>
          <t>satu periode yang mencakup hari ini</t>
        </is>
      </c>
      <c r="G14" s="15" t="inlineStr">
        <is>
          <t>1. Login di web, lalu sidebar &gt; Kelola Periode Pelaporan (/master-data/periods) sebagai ADM. Pilih satu periode yang stasiunnya masih Terbuka.
2. Login di mobile, buka Monitor stasiunnya,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H14" s="15" t="inlineStr">
        <is>
          <t>- Langkah 2 (Terbuka): tersimpan.
- Langkah 4 (Tertutup): ditolak, dengan pesan yang menyebut periode tertutup. Record tidak tersimpan.
- Langkah 6 (Terbuka kembali): tersimpan lagi.
- Periode berstatus draft berperilaku sama seperti terbuka — tidak mengunci.</t>
        </is>
      </c>
      <c r="I14" s="13" t="inlineStr">
        <is>
          <t>Tinggi</t>
        </is>
      </c>
      <c r="J14" s="15" t="inlineStr">
        <is>
          <t>—</t>
        </is>
      </c>
      <c r="K14" s="14" t="inlineStr">
        <is>
          <t>1×</t>
        </is>
      </c>
      <c r="L14" s="15" t="inlineStr"/>
    </row>
    <row r="15" ht="149.2" customHeight="1">
      <c r="A15" s="10" t="n">
        <v>11</v>
      </c>
      <c r="B15" s="5" t="inlineStr">
        <is>
          <t>Aturan lintas-sistem (LS-)</t>
        </is>
      </c>
      <c r="C15" s="11" t="inlineStr">
        <is>
          <t>LS-11</t>
        </is>
      </c>
      <c r="D15" s="12" t="inlineStr">
        <is>
          <t>Ekspor menghasilkan berkas yang benar-benar terbuka</t>
        </is>
      </c>
      <c r="E15" s="5" t="inlineStr">
        <is>
          <t>SPV-A</t>
        </is>
      </c>
      <c r="F15" s="5" t="inlineStr">
        <is>
          <t>ada data pada filter yang dipilih</t>
        </is>
      </c>
      <c r="G15" s="5" t="inlineStr">
        <is>
          <t>1. Login di web, sidebar &gt; Laporan Stasiun (/reports), tekan tile stasiunnya,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H15" s="5"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I15" s="13" t="inlineStr">
        <is>
          <t>Tinggi</t>
        </is>
      </c>
      <c r="J15" s="5" t="inlineStr">
        <is>
          <t>18 Data Browser + seluruh Laporan Periode web</t>
        </is>
      </c>
      <c r="K15" s="10" t="inlineStr">
        <is>
          <t>1×</t>
        </is>
      </c>
      <c r="L15" s="5" t="inlineStr"/>
    </row>
    <row r="16" ht="96.39999999999999" customHeight="1">
      <c r="A16" s="14" t="n">
        <v>12</v>
      </c>
      <c r="B16" s="15" t="inlineStr">
        <is>
          <t>Aturan lintas-sistem (LS-)</t>
        </is>
      </c>
      <c r="C16" s="16" t="inlineStr">
        <is>
          <t>LS-12</t>
        </is>
      </c>
      <c r="D16" s="17" t="inlineStr">
        <is>
          <t>Ekspor di mobile hanya CSV</t>
        </is>
      </c>
      <c r="E16" s="15" t="inlineStr">
        <is>
          <t>OPR-A</t>
        </is>
      </c>
      <c r="F16" s="15" t="inlineStr">
        <is>
          <t>—</t>
        </is>
      </c>
      <c r="G16" s="15" t="inlineStr">
        <is>
          <t>1. Login di mobile, Dashboard &amp; Reporting &gt; Reporting, tekan tile stasiunnya, lalu pilih Periode dan Production Line untuk satu stasiun, pilih periode dan line yang punya data.
2. Baca seluruh tombol di bagian bawah layar.
3. Tekan tombol ekspor yang ada.</t>
        </is>
      </c>
      <c r="H16" s="15" t="inlineStr">
        <is>
          <t>- Hanya ada satu pilihan ekspor, dan itu CSV.
- Tidak ada tombol Ekspor Excel di mobile.
- Berkasnya terunduh dan dapat dibuka.</t>
        </is>
      </c>
      <c r="I16" s="14" t="inlineStr">
        <is>
          <t>Sedang</t>
        </is>
      </c>
      <c r="J16" s="15" t="inlineStr">
        <is>
          <t>—</t>
        </is>
      </c>
      <c r="K16" s="14" t="inlineStr">
        <is>
          <t>1×</t>
        </is>
      </c>
      <c r="L16" s="15" t="inlineStr"/>
    </row>
    <row r="17" ht="109.6" customHeight="1">
      <c r="A17" s="10" t="n">
        <v>13</v>
      </c>
      <c r="B17" s="5" t="inlineStr">
        <is>
          <t>Aturan lintas-sistem (LS-)</t>
        </is>
      </c>
      <c r="C17" s="11" t="inlineStr">
        <is>
          <t>LS-13</t>
        </is>
      </c>
      <c r="D17" s="12" t="inlineStr">
        <is>
          <t>Seluruh tampilan berbahasa Indonesia</t>
        </is>
      </c>
      <c r="E17" s="5" t="inlineStr">
        <is>
          <t>semua</t>
        </is>
      </c>
      <c r="F17" s="5" t="inlineStr">
        <is>
          <t>—</t>
        </is>
      </c>
      <c r="G17" s="5" t="inlineStr">
        <is>
          <t>1. Jalankan satu kasus apa pun sampai selesai pada layar yang diuji.
2. Baca seluruh teks di layar: judul, label kolom, tombol, keterangan, dan pesan galat.
3. Picu sengaja satu galat (mis. kosongkan kolom wajib lalu Simpan) dan baca pesannya.</t>
        </is>
      </c>
      <c r="H17" s="5"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I17" s="10" t="inlineStr">
        <is>
          <t>Sedang</t>
        </is>
      </c>
      <c r="J17" s="5" t="inlineStr">
        <is>
          <t>—</t>
        </is>
      </c>
      <c r="K17" s="10" t="inlineStr">
        <is>
          <t>1×</t>
        </is>
      </c>
      <c r="L17" s="5" t="inlineStr"/>
    </row>
    <row r="18" ht="122.8" customHeight="1">
      <c r="A18" s="14" t="n">
        <v>14</v>
      </c>
      <c r="B18" s="15" t="inlineStr">
        <is>
          <t>Aturan lintas-sistem (LS-)</t>
        </is>
      </c>
      <c r="C18" s="16" t="inlineStr">
        <is>
          <t>LS-14</t>
        </is>
      </c>
      <c r="D18" s="17" t="inlineStr">
        <is>
          <t>Tidak ada kolom input yang mati tanpa alasan</t>
        </is>
      </c>
      <c r="E18" s="15" t="inlineStr">
        <is>
          <t>SPV-A, MGR-A</t>
        </is>
      </c>
      <c r="F18" s="15" t="inlineStr">
        <is>
          <t>—</t>
        </is>
      </c>
      <c r="G18" s="15" t="inlineStr">
        <is>
          <t>1. Login di web, buka /data/&lt;stasiun&gt;,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H18" s="15"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I18" s="14" t="inlineStr">
        <is>
          <t>Sedang</t>
        </is>
      </c>
      <c r="J18" s="15" t="inlineStr">
        <is>
          <t>—</t>
        </is>
      </c>
      <c r="K18" s="14" t="inlineStr">
        <is>
          <t>1×</t>
        </is>
      </c>
      <c r="L18" s="15" t="inlineStr"/>
    </row>
    <row r="19" ht="149.2" customHeight="1">
      <c r="A19" s="10" t="n">
        <v>15</v>
      </c>
      <c r="B19" s="5" t="inlineStr">
        <is>
          <t>Aturan lintas-sistem (LS-)</t>
        </is>
      </c>
      <c r="C19" s="11" t="inlineStr">
        <is>
          <t>LS-15</t>
        </is>
      </c>
      <c r="D19" s="12" t="inlineStr">
        <is>
          <t>Kolom tanggal dan jam bisa diketik manual, bukan hanya lewat pemilih</t>
        </is>
      </c>
      <c r="E19" s="5" t="inlineStr">
        <is>
          <t>SPV-A</t>
        </is>
      </c>
      <c r="F19" s="5" t="inlineStr">
        <is>
          <t>—</t>
        </is>
      </c>
      <c r="G19" s="5" t="inlineStr">
        <is>
          <t>1. Login di web, buka /data/&lt;stasiun&gt;,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H19" s="5" t="inlineStr">
        <is>
          <t>- Kolom tanggal dapat diketik manual dan nilainya diterima.
- Kolom tanggal juga dapat diisi lewat pemilih kalender.
- Keduanya menghasilkan nilai yang sama — tidak ada yang hanya menerima salah satu cara.
- Hal yang sama berlaku untuk kolom jam.</t>
        </is>
      </c>
      <c r="I19" s="10" t="inlineStr">
        <is>
          <t>Sedang</t>
        </is>
      </c>
      <c r="J19" s="5" t="inlineStr">
        <is>
          <t>—</t>
        </is>
      </c>
      <c r="K19" s="10" t="inlineStr">
        <is>
          <t>1×</t>
        </is>
      </c>
      <c r="L19" s="5" t="inlineStr"/>
    </row>
    <row r="20" ht="202" customHeight="1">
      <c r="A20" s="14" t="n">
        <v>16</v>
      </c>
      <c r="B20" s="15" t="inlineStr">
        <is>
          <t>Aturan lintas-sistem (LS-)</t>
        </is>
      </c>
      <c r="C20" s="16" t="inlineStr">
        <is>
          <t>LS-16</t>
        </is>
      </c>
      <c r="D20" s="17" t="inlineStr">
        <is>
          <t>Laporan tidak menandai satu nilai pun sebagai "di luar batas"</t>
        </is>
      </c>
      <c r="E20" s="15" t="inlineStr">
        <is>
          <t>SPV-A</t>
        </is>
      </c>
      <c r="F20" s="15" t="inlineStr">
        <is>
          <t>ada record dengan nilai yang jelas-jelas jauh di luar target (mis. suhu 3× batas)</t>
        </is>
      </c>
      <c r="G20" s="15" t="inlineStr">
        <is>
          <t>1. Login di web, sidebar &gt; Laporan Stasiun (/reports), tekan tile stasiunnya,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H20" s="15"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I20" s="14" t="inlineStr">
        <is>
          <t>Sedang</t>
        </is>
      </c>
      <c r="J20" s="15" t="inlineStr">
        <is>
          <t>—</t>
        </is>
      </c>
      <c r="K20" s="14" t="inlineStr">
        <is>
          <t>1×</t>
        </is>
      </c>
      <c r="L20" s="15" t="inlineStr">
        <is>
          <t>ketiadaan penandaan di sini disengaja, bukan fitur yang belum selesai. Yang harus dilaporkan sebagai bug adalah kalau penandaan itu muncul, atau kalau kalimat penjelasnya hilang. ---</t>
        </is>
      </c>
    </row>
    <row r="21" ht="109.6" customHeight="1">
      <c r="A21" s="10" t="n">
        <v>17</v>
      </c>
      <c r="B21" s="5" t="inlineStr">
        <is>
          <t>Autentikasi &amp; Akun (AU-)</t>
        </is>
      </c>
      <c r="C21" s="11" t="inlineStr">
        <is>
          <t>AU-01</t>
        </is>
      </c>
      <c r="D21" s="12" t="inlineStr">
        <is>
          <t>Login berhasil mengarahkan ke beranda yang sesuai perannya</t>
        </is>
      </c>
      <c r="E21" s="5" t="inlineStr">
        <is>
          <t>OPR-A, SPV-A, MGR-A, ADM</t>
        </is>
      </c>
      <c r="F21" s="5" t="inlineStr">
        <is>
          <t>keempat akun aktif</t>
        </is>
      </c>
      <c r="G21" s="5" t="inlineStr">
        <is>
          <t>1. Buka /login. Isi username dan password OPR-A, tekan Login.
2. Catat alamat yang dituju dan seluruh isi sidebar.
3. Logout. Ulangi langkah 1–2 untuk SPV-A.
4. Logout. Ulangi untuk MGR-A.
5. Logout. Ulangi untuk ADM.</t>
        </is>
      </c>
      <c r="H21" s="5"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I21" s="13" t="inlineStr">
        <is>
          <t>Tinggi</t>
        </is>
      </c>
      <c r="J21" s="5" t="inlineStr">
        <is>
          <t>—</t>
        </is>
      </c>
      <c r="K21" s="10" t="inlineStr">
        <is>
          <t>1×</t>
        </is>
      </c>
      <c r="L21" s="5" t="inlineStr"/>
    </row>
    <row r="22" ht="83.19999999999999" customHeight="1">
      <c r="A22" s="14" t="n">
        <v>18</v>
      </c>
      <c r="B22" s="15" t="inlineStr">
        <is>
          <t>Autentikasi &amp; Akun (AU-)</t>
        </is>
      </c>
      <c r="C22" s="16" t="inlineStr">
        <is>
          <t>AU-02</t>
        </is>
      </c>
      <c r="D22" s="17" t="inlineStr">
        <is>
          <t>Login gagal: password salah</t>
        </is>
      </c>
      <c r="E22" s="15" t="inlineStr">
        <is>
          <t>SPV-A</t>
        </is>
      </c>
      <c r="F22" s="15" t="inlineStr">
        <is>
          <t>—</t>
        </is>
      </c>
      <c r="G22" s="15" t="inlineStr">
        <is>
          <t>1. Buka /login.
2. Isi username SPV-A yang benar, dan password yang salah.
3. Tekan Login.
4. Catat bunyi pesannya kata per kata — akan dibandingkan di AU-03.</t>
        </is>
      </c>
      <c r="H22" s="15" t="inlineStr">
        <is>
          <t>- Tetap di layar Login; tidak masuk.
- Muncul pesan galat berbahasa Indonesia.
- Pesannya tidak menyebutkan apakah username-nya terdaftar atau tidak (mis. bukan "Password salah" yang memastikan usernamenya ada).</t>
        </is>
      </c>
      <c r="I22" s="13" t="inlineStr">
        <is>
          <t>Tinggi</t>
        </is>
      </c>
      <c r="J22" s="15" t="inlineStr">
        <is>
          <t>—</t>
        </is>
      </c>
      <c r="K22" s="14" t="inlineStr">
        <is>
          <t>1×</t>
        </is>
      </c>
      <c r="L22" s="15" t="inlineStr"/>
    </row>
    <row r="23" ht="83.19999999999999" customHeight="1">
      <c r="A23" s="10" t="n">
        <v>19</v>
      </c>
      <c r="B23" s="5" t="inlineStr">
        <is>
          <t>Autentikasi &amp; Akun (AU-)</t>
        </is>
      </c>
      <c r="C23" s="11" t="inlineStr">
        <is>
          <t>AU-03</t>
        </is>
      </c>
      <c r="D23" s="12" t="inlineStr">
        <is>
          <t>Login gagal: username tidak ada</t>
        </is>
      </c>
      <c r="E23" s="5" t="inlineStr">
        <is>
          <t>—</t>
        </is>
      </c>
      <c r="F23" s="5" t="inlineStr">
        <is>
          <t>—</t>
        </is>
      </c>
      <c r="G23" s="5" t="inlineStr">
        <is>
          <t>1. Buka /login.
2. Isi username yang tidak terdaftar (mis. tidakada999), dan password apa saja.
3. Tekan Login.
4. Bandingkan bunyi pesannya dengan catatan AU-02 langkah 4.</t>
        </is>
      </c>
      <c r="H23" s="5" t="inlineStr">
        <is>
          <t>- Tetap di layar Login; tidak masuk.
- Pesannya sama bunyinya kata per kata dengan AU-02.
- Kalau bunyinya berbeda, itu bug: perbedaan bunyi memberi tahu orang luar username mana yang terdaftar.</t>
        </is>
      </c>
      <c r="I23" s="13" t="inlineStr">
        <is>
          <t>Tinggi</t>
        </is>
      </c>
      <c r="J23" s="5" t="inlineStr">
        <is>
          <t>—</t>
        </is>
      </c>
      <c r="K23" s="10" t="inlineStr">
        <is>
          <t>1×</t>
        </is>
      </c>
      <c r="L23" s="5" t="inlineStr"/>
    </row>
    <row r="24" ht="241.6" customHeight="1">
      <c r="A24" s="14" t="n">
        <v>20</v>
      </c>
      <c r="B24" s="15" t="inlineStr">
        <is>
          <t>Autentikasi &amp; Akun (AU-)</t>
        </is>
      </c>
      <c r="C24" s="16" t="inlineStr">
        <is>
          <t>AU-04</t>
        </is>
      </c>
      <c r="D24" s="17" t="inlineStr">
        <is>
          <t>Akun yang dinonaktifkan tidak bisa masuk, dan yang sedang masuk dikeluarkan</t>
        </is>
      </c>
      <c r="E24" s="15" t="inlineStr">
        <is>
          <t>ADM + SPV-A</t>
        </is>
      </c>
      <c r="F24" s="15" t="inlineStr">
        <is>
          <t>SPV-A sedang login di satu browser</t>
        </is>
      </c>
      <c r="G24" s="15"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H24" s="15" t="inlineStr">
        <is>
          <t>- Langkah 4: SPV-A dikeluarkan ke layar Login — sesi yang sedang berjalan tidak dibiarkan hidup.
- Langkah 5: login gagal, dengan pesan bahwa akunnya tidak aktif.
- Pesannya tidak menyuruh memeriksa koneksi.</t>
        </is>
      </c>
      <c r="I24" s="13" t="inlineStr">
        <is>
          <t>Tinggi</t>
        </is>
      </c>
      <c r="J24" s="15" t="inlineStr">
        <is>
          <t>—</t>
        </is>
      </c>
      <c r="K24" s="14" t="inlineStr">
        <is>
          <t>1×</t>
        </is>
      </c>
      <c r="L24" s="15" t="inlineStr"/>
    </row>
    <row r="25" ht="96.39999999999999" customHeight="1">
      <c r="A25" s="10" t="n">
        <v>21</v>
      </c>
      <c r="B25" s="5" t="inlineStr">
        <is>
          <t>Autentikasi &amp; Akun (AU-)</t>
        </is>
      </c>
      <c r="C25" s="11" t="inlineStr">
        <is>
          <t>AU-05</t>
        </is>
      </c>
      <c r="D25" s="12" t="inlineStr">
        <is>
          <t>Login Mobile berhasil untuk keempat peran</t>
        </is>
      </c>
      <c r="E25" s="5" t="inlineStr">
        <is>
          <t>OPR-A, SPV-A, MGR-A, ADM</t>
        </is>
      </c>
      <c r="F25" s="5" t="inlineStr">
        <is>
          <t>—</t>
        </is>
      </c>
      <c r="G25" s="5" t="inlineStr">
        <is>
          <t>1. Buka aplikasi mobile. Isi username dan password OPR-A, tekan Login.
2. Catat layar yang dituju dan isinya.
3. Logout. Ulangi untuk SPV-A.
4. Logout. Ulangi untuk MGR-A.
5. Logout. Ulangi untuk ADM.</t>
        </is>
      </c>
      <c r="H25" s="5"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I25" s="13" t="inlineStr">
        <is>
          <t>Tinggi</t>
        </is>
      </c>
      <c r="J25" s="5" t="inlineStr">
        <is>
          <t>—</t>
        </is>
      </c>
      <c r="K25" s="10" t="inlineStr">
        <is>
          <t>1×</t>
        </is>
      </c>
      <c r="L25" s="5" t="inlineStr"/>
    </row>
    <row r="26" ht="109.6" customHeight="1">
      <c r="A26" s="14" t="n">
        <v>22</v>
      </c>
      <c r="B26" s="15" t="inlineStr">
        <is>
          <t>Autentikasi &amp; Akun (AU-)</t>
        </is>
      </c>
      <c r="C26" s="16" t="inlineStr">
        <is>
          <t>AU-06</t>
        </is>
      </c>
      <c r="D26" s="17" t="inlineStr">
        <is>
          <t>Tamu diarahkan ke Login, tidak melihat isi apa pun</t>
        </is>
      </c>
      <c r="E26" s="15" t="inlineStr">
        <is>
          <t>belum login</t>
        </is>
      </c>
      <c r="F26" s="15" t="inlineStr">
        <is>
          <t>—</t>
        </is>
      </c>
      <c r="G26" s="15"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H26" s="15" t="inlineStr">
        <is>
          <t>- Setiap alamat diarahkan ke Login.
- Tidak ada isi halaman yang sempat terlihat, bahkan sekejap — tidak ada angka, tidak ada nama, tidak ada kerangka tabel.
- Alamat akhir di bilah alamat adalah /login.</t>
        </is>
      </c>
      <c r="I26" s="13" t="inlineStr">
        <is>
          <t>Tinggi</t>
        </is>
      </c>
      <c r="J26" s="15" t="inlineStr">
        <is>
          <t>—</t>
        </is>
      </c>
      <c r="K26" s="14" t="inlineStr">
        <is>
          <t>1×</t>
        </is>
      </c>
      <c r="L26" s="15" t="inlineStr"/>
    </row>
    <row r="27" ht="122.8" customHeight="1">
      <c r="A27" s="10" t="n">
        <v>23</v>
      </c>
      <c r="B27" s="5" t="inlineStr">
        <is>
          <t>Autentikasi &amp; Akun (AU-)</t>
        </is>
      </c>
      <c r="C27" s="11" t="inlineStr">
        <is>
          <t>AU-07</t>
        </is>
      </c>
      <c r="D27" s="12" t="inlineStr">
        <is>
          <t>Ganti Password berhasil, dan password lama berhenti berlaku</t>
        </is>
      </c>
      <c r="E27" s="5" t="inlineStr">
        <is>
          <t>SPV-A (web), OPR-A (mobile)</t>
        </is>
      </c>
      <c r="F27" s="5" t="inlineStr">
        <is>
          <t>—</t>
        </is>
      </c>
      <c r="G27" s="5"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H27" s="5" t="inlineStr">
        <is>
          <t>- Langkah 2 berhasil, dengan pesan konfirmasi.
- Langkah 4 berhasil masuk.
- Langkah 5 gagal — password lama berhenti berlaku.</t>
        </is>
      </c>
      <c r="I27" s="13" t="inlineStr">
        <is>
          <t>Tinggi</t>
        </is>
      </c>
      <c r="J27" s="5" t="inlineStr">
        <is>
          <t>—</t>
        </is>
      </c>
      <c r="K27" s="10" t="inlineStr">
        <is>
          <t>1×</t>
        </is>
      </c>
      <c r="L27" s="5" t="inlineStr"/>
    </row>
    <row r="28" ht="96.39999999999999" customHeight="1">
      <c r="A28" s="14" t="n">
        <v>24</v>
      </c>
      <c r="B28" s="15" t="inlineStr">
        <is>
          <t>Autentikasi &amp; Akun (AU-)</t>
        </is>
      </c>
      <c r="C28" s="16" t="inlineStr">
        <is>
          <t>AU-08</t>
        </is>
      </c>
      <c r="D28" s="17" t="inlineStr">
        <is>
          <t>Ganti Password ditolak bila password lama salah</t>
        </is>
      </c>
      <c r="E28" s="15" t="inlineStr">
        <is>
          <t>SPV-A</t>
        </is>
      </c>
      <c r="F28" s="15" t="inlineStr">
        <is>
          <t>—</t>
        </is>
      </c>
      <c r="G28" s="15" t="inlineStr">
        <is>
          <t>1. Login di web, lalu sidebar &gt; Ganti Password (/settings/password) sebagai SPV-A.
2. Isi password lama dengan nilai yang salah, isi password baru dua kali, tekan Simpan.
3. Baca letak pesan galatnya.
4. Logout, lalu login dengan password yang sebenarnya masih berlaku.</t>
        </is>
      </c>
      <c r="H28" s="15" t="inlineStr">
        <is>
          <t>- Ditolak, dengan pesan galat yang muncul di sebelah kolom password lama — bukan sebagai satu pesan umum di atas form.
- Langkah 4 berhasil: password tidak berubah sama sekali.</t>
        </is>
      </c>
      <c r="I28" s="13" t="inlineStr">
        <is>
          <t>Tinggi</t>
        </is>
      </c>
      <c r="J28" s="15" t="inlineStr">
        <is>
          <t>—</t>
        </is>
      </c>
      <c r="K28" s="14" t="inlineStr">
        <is>
          <t>1×</t>
        </is>
      </c>
      <c r="L28" s="15" t="inlineStr"/>
    </row>
    <row r="29" ht="109.6" customHeight="1">
      <c r="A29" s="10" t="n">
        <v>25</v>
      </c>
      <c r="B29" s="5" t="inlineStr">
        <is>
          <t>Autentikasi &amp; Akun (AU-)</t>
        </is>
      </c>
      <c r="C29" s="11" t="inlineStr">
        <is>
          <t>AU-09</t>
        </is>
      </c>
      <c r="D29" s="12" t="inlineStr">
        <is>
          <t>Logout mencabut sesi perangkat itu</t>
        </is>
      </c>
      <c r="E29" s="5" t="inlineStr">
        <is>
          <t>OPR-A</t>
        </is>
      </c>
      <c r="F29" s="5" t="inlineStr">
        <is>
          <t>—</t>
        </is>
      </c>
      <c r="G29" s="5" t="inlineStr">
        <is>
          <t>1. Login di web, lalu sidebar &gt; Data &gt; nama stasiun (/data/&lt;stasiun&gt;) sebagai SPV-A untuk satu stasiun. Catat satu angka atau nama yang terlihat.
2. Tekan Logout.
3. Tekan tombol Back browser satu kali.
4. Ketik ulang alamat Data Browser stasiun itu.</t>
        </is>
      </c>
      <c r="H29" s="5" t="inlineStr">
        <is>
          <t>- Langkah 2 mengarahkan ke Login.
- Langkah 3: isi halaman lama tidak terlihat lagi — tidak ada data yang masih terbaca dari cache browser.
- Langkah 4 juga diarahkan ke Login.</t>
        </is>
      </c>
      <c r="I29" s="10" t="inlineStr">
        <is>
          <t>Tinggi ---</t>
        </is>
      </c>
      <c r="J29" s="5" t="inlineStr">
        <is>
          <t>—</t>
        </is>
      </c>
      <c r="K29" s="10" t="inlineStr">
        <is>
          <t>1×</t>
        </is>
      </c>
      <c r="L29" s="5" t="inlineStr"/>
    </row>
    <row r="30" ht="83.19999999999999" customHeight="1">
      <c r="A30" s="14" t="n">
        <v>26</v>
      </c>
      <c r="B30" s="15" t="inlineStr">
        <is>
          <t>Mobile — Operasional Stasiun (MB-)</t>
        </is>
      </c>
      <c r="C30" s="16" t="inlineStr">
        <is>
          <t>MB-HOME-01</t>
        </is>
      </c>
      <c r="D30" s="17" t="inlineStr">
        <is>
          <t>Home menampilkan stasiun yang ditugaskan</t>
        </is>
      </c>
      <c r="E30" s="15" t="inlineStr">
        <is>
          <t>OPR-A</t>
        </is>
      </c>
      <c r="F30" s="15" t="inlineStr">
        <is>
          <t>—</t>
        </is>
      </c>
      <c r="G30" s="15" t="inlineStr">
        <is>
          <t>1. Login di mobile (buka aplikasi, isi username dan password, tekan Login), mendarat di /home sebagai OPR-A.
2. Baca seluruh isi layar Home: salam, nama mill, dan daftar/tautan stasiun.
3. Hitung berapa stasiun yang terlihat.</t>
        </is>
      </c>
      <c r="H30" s="15" t="inlineStr">
        <is>
          <t>- Nama pengguna dan nama mill-nya tercetak.
- Ada jalan menuju Station List yang terlihat jelas.
- Tidak ada stasiun milik mill lain yang terlihat.
- Tidak ada bagian yang kosong tanpa keterangan.</t>
        </is>
      </c>
      <c r="I30" s="13" t="inlineStr">
        <is>
          <t>Tinggi</t>
        </is>
      </c>
      <c r="J30" s="15" t="inlineStr">
        <is>
          <t>—</t>
        </is>
      </c>
      <c r="K30" s="14" t="inlineStr">
        <is>
          <t>1×</t>
        </is>
      </c>
      <c r="L30" s="15" t="inlineStr"/>
    </row>
    <row r="31" ht="122.8" customHeight="1">
      <c r="A31" s="10" t="n">
        <v>27</v>
      </c>
      <c r="B31" s="5" t="inlineStr">
        <is>
          <t>Mobile — Operasional Stasiun (MB-)</t>
        </is>
      </c>
      <c r="C31" s="11" t="inlineStr">
        <is>
          <t>MB-HOME-02</t>
        </is>
      </c>
      <c r="D31" s="12" t="inlineStr">
        <is>
          <t>Station List mengantar ke Monitor stasiun yang benar</t>
        </is>
      </c>
      <c r="E31" s="5" t="inlineStr">
        <is>
          <t>OPR-A</t>
        </is>
      </c>
      <c r="F31" s="5" t="inlineStr">
        <is>
          <t>—</t>
        </is>
      </c>
      <c r="G31" s="5"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H31" s="5" t="inlineStr">
        <is>
          <t>- Ke-18 tile tampil.
- Setiap tile mendarat di Monitor stasiun yang sama dengan namanya — judulnya cocok, alamatnya /stations/&lt;stasiun&gt;/monitor.
- Tidak ada tile yang mendarat di stasiun lain.</t>
        </is>
      </c>
      <c r="I31" s="13" t="inlineStr">
        <is>
          <t>Tinggi</t>
        </is>
      </c>
      <c r="J31" s="5" t="inlineStr">
        <is>
          <t>—</t>
        </is>
      </c>
      <c r="K31" s="10" t="inlineStr">
        <is>
          <t>1×</t>
        </is>
      </c>
      <c r="L31" s="5" t="inlineStr"/>
    </row>
    <row r="32" ht="202" customHeight="1">
      <c r="A32" s="14" t="n">
        <v>28</v>
      </c>
      <c r="B32" s="15" t="inlineStr">
        <is>
          <t>Mobile — Operasional Stasiun (MB-)</t>
        </is>
      </c>
      <c r="C32" s="16" t="inlineStr">
        <is>
          <t>MB-HOME-03</t>
        </is>
      </c>
      <c r="D32" s="17" t="inlineStr">
        <is>
          <t>Pilihan Production Line diingat perangkat dan dibagi antar layar</t>
        </is>
      </c>
      <c r="E32" s="15" t="inlineStr">
        <is>
          <t>OPR-A</t>
        </is>
      </c>
      <c r="F32" s="15" t="inlineStr">
        <is>
          <t>mill punya 2 line</t>
        </is>
      </c>
      <c r="G32" s="15"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H32" s="15"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I32" s="14" t="inlineStr">
        <is>
          <t>Sedang</t>
        </is>
      </c>
      <c r="J32" s="15" t="inlineStr">
        <is>
          <t>—</t>
        </is>
      </c>
      <c r="K32" s="14" t="inlineStr">
        <is>
          <t>1×</t>
        </is>
      </c>
      <c r="L32" s="15" t="inlineStr"/>
    </row>
    <row r="33" ht="96.39999999999999" customHeight="1">
      <c r="A33" s="10" t="n">
        <v>29</v>
      </c>
      <c r="B33" s="5" t="inlineStr">
        <is>
          <t>Mobile — Operasional Stasiun (MB-)</t>
        </is>
      </c>
      <c r="C33" s="11" t="inlineStr">
        <is>
          <t>MB-HOME-04</t>
        </is>
      </c>
      <c r="D33" s="12" t="inlineStr">
        <is>
          <t>Mill tanpa Production Line memberi arahan, bukan layar kosong</t>
        </is>
      </c>
      <c r="E33" s="5" t="inlineStr">
        <is>
          <t>OPR-A pada mill tanpa line</t>
        </is>
      </c>
      <c r="F33" s="5" t="inlineStr">
        <is>
          <t>—</t>
        </is>
      </c>
      <c r="G33" s="5"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H33" s="5" t="inlineStr">
        <is>
          <t>- Muncul arahan yang menyebut Production Line — mis. agar menghubungi Admin.
- BUKAN layar kosong, BUKAN daftar nol tile tanpa keterangan.
- Tidak ada pesan galat teknis.</t>
        </is>
      </c>
      <c r="I33" s="10" t="inlineStr">
        <is>
          <t>Sedang</t>
        </is>
      </c>
      <c r="J33" s="5" t="inlineStr">
        <is>
          <t>—</t>
        </is>
      </c>
      <c r="K33" s="10" t="inlineStr">
        <is>
          <t>1×</t>
        </is>
      </c>
      <c r="L33" s="5" t="inlineStr"/>
    </row>
    <row r="34" ht="175.6" customHeight="1">
      <c r="A34" s="14" t="n">
        <v>30</v>
      </c>
      <c r="B34" s="15" t="inlineStr">
        <is>
          <t>Mobile — Operasional Stasiun (MB-)</t>
        </is>
      </c>
      <c r="C34" s="16" t="inlineStr">
        <is>
          <t>MB-MON-01</t>
        </is>
      </c>
      <c r="D34" s="17" t="inlineStr">
        <is>
          <t>Monitor menampilkan daftar draft dan dua penghitung hari ini</t>
        </is>
      </c>
      <c r="E34" s="15" t="inlineStr">
        <is>
          <t>OPR-A</t>
        </is>
      </c>
      <c r="F34" s="15" t="inlineStr">
        <is>
          <t>ada minimal 1 draft dan beberapa record tersimpan hari ini</t>
        </is>
      </c>
      <c r="G34" s="15" t="inlineStr">
        <is>
          <t>1. Siapkan untuk stasiun ini: minimal 1 draft dan beberapa record Tersimpan bertanggal hari ini.
2. Login di mobile, Station List, lalu tekan tile stasiunnya (/stations/&lt;stasiun&gt;/monitor) untuk &lt;Stasiun&gt;.
3. Baca dua penghitung di bagian atas layar dan catat angkanya.
4. Hitung sendiri jumlah baris pada daftar draft.
5. Bandingkan angka penghitung dengan jumlah record hari ini yang Anda siapkan di langkah 1.</t>
        </is>
      </c>
      <c r="H34" s="15" t="inlineStr">
        <is>
          <t>- Daftar draft menampilkan seluruh draft stasiun itu.
- Dua penghitung hari ini tampil dan angkanya cocok dengan data yang disiapkan.
- Draft yang ditampilkan hanya milik stasiun dan Production Line yang sedang terpilih.</t>
        </is>
      </c>
      <c r="I34" s="13" t="inlineStr">
        <is>
          <t>Tinggi</t>
        </is>
      </c>
      <c r="J34" s="15" t="inlineStr">
        <is>
          <t>—</t>
        </is>
      </c>
      <c r="K34" s="14" t="inlineStr">
        <is>
          <t>18×</t>
        </is>
      </c>
      <c r="L34" s="15" t="inlineStr"/>
    </row>
    <row r="35" ht="136" customHeight="1">
      <c r="A35" s="10" t="n">
        <v>31</v>
      </c>
      <c r="B35" s="5" t="inlineStr">
        <is>
          <t>Mobile — Operasional Stasiun (MB-)</t>
        </is>
      </c>
      <c r="C35" s="11" t="inlineStr">
        <is>
          <t>MB-MON-02</t>
        </is>
      </c>
      <c r="D35" s="12" t="inlineStr">
        <is>
          <t>Beberapa draft bisa berjalan bersamaan dan semuanya tampil</t>
        </is>
      </c>
      <c r="E35" s="5" t="inlineStr">
        <is>
          <t>OPR-A</t>
        </is>
      </c>
      <c r="F35" s="5" t="inlineStr">
        <is>
          <t>—</t>
        </is>
      </c>
      <c r="G35" s="5" t="inlineStr">
        <is>
          <t>1. Login di mobile, Station List, lalu tekan tile stasiunnya (/stations/&lt;stasiun&gt;/monitor) untuk &lt;Stasiun&gt;.
2. Tekan New Data, lalu langsung tekan Pause.
3. Ulangi langkah 2 dua kali lagi, sehingga ada 3 draft.
4. Kembali ke Monitor. Hitung baris pada daftar draft.
5. Baca label status pada ketiga baris itu.</t>
        </is>
      </c>
      <c r="H35" s="5" t="inlineStr">
        <is>
          <t>- Ketiga draft tampil — tidak ada yang menimpa yang lain.
- Ketiganya berlabel "Pause".
- Membuat draft baru tidak menghapus atau menutup draft sebelumnya.</t>
        </is>
      </c>
      <c r="I35" s="10" t="inlineStr">
        <is>
          <t>Sedang</t>
        </is>
      </c>
      <c r="J35" s="5" t="inlineStr">
        <is>
          <t>—</t>
        </is>
      </c>
      <c r="K35" s="10" t="inlineStr">
        <is>
          <t>18×</t>
        </is>
      </c>
      <c r="L35" s="5" t="inlineStr"/>
    </row>
    <row r="36" ht="109.6" customHeight="1">
      <c r="A36" s="14" t="n">
        <v>32</v>
      </c>
      <c r="B36" s="15" t="inlineStr">
        <is>
          <t>Mobile — Operasional Stasiun (MB-)</t>
        </is>
      </c>
      <c r="C36" s="16" t="inlineStr">
        <is>
          <t>MB-MON-03</t>
        </is>
      </c>
      <c r="D36" s="17" t="inlineStr">
        <is>
          <t>New Data membuat header saja, grid masih kosong</t>
        </is>
      </c>
      <c r="E36" s="15" t="inlineStr">
        <is>
          <t>OPR-A</t>
        </is>
      </c>
      <c r="F36" s="15" t="inlineStr">
        <is>
          <t>—</t>
        </is>
      </c>
      <c r="G36" s="15" t="inlineStr">
        <is>
          <t>1. Login di mobile, Station List, lalu tekan tile stasiunnya (/stations/&lt;stasiun&gt;/monitor) untuk &lt;Stasiun&gt;.
2. Tekan New Data.
3. Baca bagian header: kolom identitas dan Tanggal.
4. Baca bagian grid di bawahnya: berapa baris yang sudah ada?</t>
        </is>
      </c>
      <c r="H36" s="15" t="inlineStr">
        <is>
          <t>- Layar Form terbuka.
- Kolom Tanggal sudah terisi otomatis dengan tanggal hari ini.
- Kolom identitas unit kosong dan dapat diketik.
- Grid slot waktu masih kosong — belum ada satu baris pun. (Untuk stasiun per-transaksi, tidak ada grid 24 slot sama sekali.)</t>
        </is>
      </c>
      <c r="I36" s="13" t="inlineStr">
        <is>
          <t>Tinggi</t>
        </is>
      </c>
      <c r="J36" s="15" t="inlineStr">
        <is>
          <t>—</t>
        </is>
      </c>
      <c r="K36" s="14" t="inlineStr">
        <is>
          <t>18×</t>
        </is>
      </c>
      <c r="L36" s="15" t="inlineStr"/>
    </row>
    <row r="37" ht="136" customHeight="1">
      <c r="A37" s="10" t="n">
        <v>33</v>
      </c>
      <c r="B37" s="5" t="inlineStr">
        <is>
          <t>Mobile — Operasional Stasiun (MB-)</t>
        </is>
      </c>
      <c r="C37" s="11" t="inlineStr">
        <is>
          <t>MB-MON-04</t>
        </is>
      </c>
      <c r="D37" s="12" t="inlineStr">
        <is>
          <t>Tanggal otomatis memakai tanggal perangkat, termasuk dini hari</t>
        </is>
      </c>
      <c r="E37" s="5" t="inlineStr">
        <is>
          <t>OPR-A</t>
        </is>
      </c>
      <c r="F37" s="5" t="inlineStr">
        <is>
          <t>ubah jam perangkat ke 01:00 waktu setempat</t>
        </is>
      </c>
      <c r="G37" s="5" t="inlineStr">
        <is>
          <t>1. Ubah jam perangkat/emulator ke 01:00 waktu setempat, tanggal hari ini.
2. Login di mobile, Station List, lalu tekan tile stasiunnya (/stations/&lt;stasiun&gt;/monitor) untuk &lt;Stasiun&gt;, lalu tekan New Data.
3. Baca kolom Tanggal.
4. Bandingkan dengan tanggal pada jam perangkat.
5. Kembalikan jam perangkat ke keadaan semula.</t>
        </is>
      </c>
      <c r="H3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I37" s="13" t="inlineStr">
        <is>
          <t>Tinggi</t>
        </is>
      </c>
      <c r="J37" s="5" t="inlineStr">
        <is>
          <t>—</t>
        </is>
      </c>
      <c r="K37" s="10" t="inlineStr">
        <is>
          <t>18×</t>
        </is>
      </c>
      <c r="L37" s="5" t="inlineStr">
        <is>
          <t>ini kasus yang mudah terlewat. Shift pabrik berjalan melewati tengah malam, jadi draft yang dibuat pukul 01:00 harus bertanggal hari itu.</t>
        </is>
      </c>
    </row>
    <row r="38" ht="96.39999999999999" customHeight="1">
      <c r="A38" s="14" t="n">
        <v>34</v>
      </c>
      <c r="B38" s="15" t="inlineStr">
        <is>
          <t>Mobile — Operasional Stasiun (MB-)</t>
        </is>
      </c>
      <c r="C38" s="16" t="inlineStr">
        <is>
          <t>MB-MON-05</t>
        </is>
      </c>
      <c r="D38" s="17" t="inlineStr">
        <is>
          <t>Belum ada draft: keterangan, bukan daftar kosong</t>
        </is>
      </c>
      <c r="E38" s="15" t="inlineStr">
        <is>
          <t>OPR-A</t>
        </is>
      </c>
      <c r="F38" s="15" t="inlineStr">
        <is>
          <t>tidak ada draft untuk stasiun itu</t>
        </is>
      </c>
      <c r="G38" s="15" t="inlineStr">
        <is>
          <t>1. Pastikan stasiun ini tidak punya satu draft pun pada Production Line terpilih (hapus lewat Clear bila ada).
2. Login di mobile, Station List, lalu tekan tile stasiunnya (/stations/&lt;stasiun&gt;/monitor) untuk &lt;Stasiun&gt;.
3. Baca bagian daftar draft.</t>
        </is>
      </c>
      <c r="H38" s="15" t="inlineStr">
        <is>
          <t>- Muncul keterangan bahwa belum ada draft — kalimat, bukan ruang kosong.
- BUKAN tabel dengan nol baris tanpa penjelasan.
- Tombol New Data tetap ada dan dapat ditekan.</t>
        </is>
      </c>
      <c r="I38" s="14" t="inlineStr">
        <is>
          <t>Sedang</t>
        </is>
      </c>
      <c r="J38" s="15" t="inlineStr">
        <is>
          <t>—</t>
        </is>
      </c>
      <c r="K38" s="14" t="inlineStr">
        <is>
          <t>18×</t>
        </is>
      </c>
      <c r="L38" s="15" t="inlineStr"/>
    </row>
    <row r="39" ht="109.6" customHeight="1">
      <c r="A39" s="10" t="n">
        <v>35</v>
      </c>
      <c r="B39" s="5" t="inlineStr">
        <is>
          <t>Mobile — Operasional Stasiun (MB-)</t>
        </is>
      </c>
      <c r="C39" s="11" t="inlineStr">
        <is>
          <t>MB-MON-06</t>
        </is>
      </c>
      <c r="D39" s="12" t="inlineStr">
        <is>
          <t>Breadcrumb dapat diklik, bukan label mati</t>
        </is>
      </c>
      <c r="E39" s="5" t="inlineStr">
        <is>
          <t>OPR-A</t>
        </is>
      </c>
      <c r="F39" s="5" t="inlineStr">
        <is>
          <t>—</t>
        </is>
      </c>
      <c r="G39" s="5" t="inlineStr">
        <is>
          <t>1. Login di mobile, Station List, lalu tekan tile stasiunnya (/stations/&lt;stasiun&gt;/monitor) untuk &lt;Stasiun&gt;.
2. Cari breadcrumb di bagian atas layar (mis. Home / Station List / nama stasiun).
3. Tekan bagian Home pada breadcrumb.
4. Kembali ke Monitor, lalu tekan bagian Station List.</t>
        </is>
      </c>
      <c r="H39" s="5" t="inlineStr">
        <is>
          <t>- Bagian breadcrumb selain yang terakhir dapat ditekan.
- Menekan Home mendarat di Home; menekan Station List mendarat di Station List.
- Bagian terakhir (nama layar sekarang) tidak dapat ditekan — itu benar.</t>
        </is>
      </c>
      <c r="I39" s="10" t="inlineStr">
        <is>
          <t>Rendah</t>
        </is>
      </c>
      <c r="J39" s="5" t="inlineStr">
        <is>
          <t>—</t>
        </is>
      </c>
      <c r="K39" s="10" t="inlineStr">
        <is>
          <t>18×</t>
        </is>
      </c>
      <c r="L39" s="5" t="inlineStr"/>
    </row>
    <row r="40" ht="96.39999999999999" customHeight="1">
      <c r="A40" s="14" t="n">
        <v>36</v>
      </c>
      <c r="B40" s="15" t="inlineStr">
        <is>
          <t>Mobile — Operasional Stasiun (MB-)</t>
        </is>
      </c>
      <c r="C40" s="16" t="inlineStr">
        <is>
          <t>MB-MON-07</t>
        </is>
      </c>
      <c r="D40" s="17" t="inlineStr">
        <is>
          <t>Load Data membuka Data Preview stasiun itu</t>
        </is>
      </c>
      <c r="E40" s="15" t="inlineStr">
        <is>
          <t>OPR-A</t>
        </is>
      </c>
      <c r="F40" s="15" t="inlineStr">
        <is>
          <t>—</t>
        </is>
      </c>
      <c r="G40" s="15" t="inlineStr">
        <is>
          <t>1. Login di mobile, Station List, lalu tekan tile stasiunnya (/stations/&lt;stasiun&gt;/monitor) untuk &lt;Stasiun&gt;.
2. Tekan Load Data.
3. Baca judul layar dan alamatnya.
4. Periksa stasiun pada record yang terdaftar.</t>
        </is>
      </c>
      <c r="H40" s="15" t="inlineStr">
        <is>
          <t>- Terbuka Data Preview stasiun itu (/stations/&lt;stasiun&gt;/preview).
- Daftarnya hanya memuat record stasiun tersebut — tidak tercampur stasiun lain.</t>
        </is>
      </c>
      <c r="I40" s="14" t="inlineStr">
        <is>
          <t>Sedang</t>
        </is>
      </c>
      <c r="J40" s="15" t="inlineStr">
        <is>
          <t>—</t>
        </is>
      </c>
      <c r="K40" s="14" t="inlineStr">
        <is>
          <t>18×</t>
        </is>
      </c>
      <c r="L40" s="15" t="inlineStr"/>
    </row>
    <row r="41" ht="188.8" customHeight="1">
      <c r="A41" s="10" t="n">
        <v>37</v>
      </c>
      <c r="B41" s="5" t="inlineStr">
        <is>
          <t>Mobile — Operasional Stasiun (MB-)</t>
        </is>
      </c>
      <c r="C41" s="11" t="inlineStr">
        <is>
          <t>MB-FORM-01</t>
        </is>
      </c>
      <c r="D41" s="12" t="inlineStr">
        <is>
          <t>Simpan berhasil dengan satu baris terisi</t>
        </is>
      </c>
      <c r="E41" s="5" t="inlineStr">
        <is>
          <t>OPR-A</t>
        </is>
      </c>
      <c r="F41" s="5" t="inlineStr">
        <is>
          <t>periode stasiun itu Terbuka; Production Line terpilih</t>
        </is>
      </c>
      <c r="G41" s="5" t="inlineStr">
        <is>
          <t>1. Pastikan periode stasiun ini Terbuka dan satu Production Line sudah terpilih.
2. Login di mobile, buka Monitor stasiunnya, lalu tekan New Data (/stations/&lt;stasiun&gt;/form/&lt;id&gt;) untuk &lt;Stasiun&gt;.
3. Isi kolom identitas unit (lihat kolom "Kolom wajib" pada matriks 4.2).
4. Tambahkan satu baris slot waktu, pilih 07:00.
5. Isi satu kolom bacaan pada baris itu dengan angka yang masuk akal.
6. Tekan Simpan.
7. Kembali ke Monitor, lalu buka Load Data dan cari record itu.</t>
        </is>
      </c>
      <c r="H41" s="5" t="inlineStr">
        <is>
          <t>- Simpan berhasil, dengan pesan konfirmasi.
- Layar kembali ke Monitor (atau ke daftar), bukan tetap di Form.
- Record muncul di Data Preview dengan status Tersimpan.
- Satu baris terisi sudah cukup — tidak dipaksa mengisi 24 slot.</t>
        </is>
      </c>
      <c r="I41" s="13" t="inlineStr">
        <is>
          <t>Tinggi</t>
        </is>
      </c>
      <c r="J41" s="5" t="inlineStr">
        <is>
          <t>—</t>
        </is>
      </c>
      <c r="K41" s="10" t="inlineStr">
        <is>
          <t>18×</t>
        </is>
      </c>
      <c r="L41" s="5" t="inlineStr"/>
    </row>
    <row r="42" ht="109.6" customHeight="1">
      <c r="A42" s="14" t="n">
        <v>38</v>
      </c>
      <c r="B42" s="15" t="inlineStr">
        <is>
          <t>Mobile — Operasional Stasiun (MB-)</t>
        </is>
      </c>
      <c r="C42" s="16" t="inlineStr">
        <is>
          <t>MB-FORM-02</t>
        </is>
      </c>
      <c r="D42" s="17" t="inlineStr">
        <is>
          <t>Simpan ditolak bila kolom wajib kosong</t>
        </is>
      </c>
      <c r="E42" s="15" t="inlineStr">
        <is>
          <t>OPR-A</t>
        </is>
      </c>
      <c r="F42" s="15" t="inlineStr">
        <is>
          <t>—</t>
        </is>
      </c>
      <c r="G42" s="15" t="inlineStr">
        <is>
          <t>1. Login di mobile, buka Monitor stasiunnya, lalu tekan New Data (/stations/&lt;stasiun&gt;/form/&lt;id&gt;) untuk &lt;Stasiun&gt;.
2. Kosongkan kolom identitas unit.
3. Tambahkan satu baris slot waktu dan isi satu kolom bacaan.
4. Tekan Simpan.
5. Perhatikan di mana pesan galatnya muncul.</t>
        </is>
      </c>
      <c r="H42" s="15" t="inlineStr">
        <is>
          <t>- Ditolak — record tidak tersimpan.
- Pesan galat muncul di sebelah kolom identitas yang kosong, bukan hanya sebagai pesan umum.
- Isi yang sudah diketik pada grid tidak hilang.</t>
        </is>
      </c>
      <c r="I42" s="13" t="inlineStr">
        <is>
          <t>Tinggi</t>
        </is>
      </c>
      <c r="J42" s="15" t="inlineStr">
        <is>
          <t>—</t>
        </is>
      </c>
      <c r="K42" s="14" t="inlineStr">
        <is>
          <t>18×</t>
        </is>
      </c>
      <c r="L42" s="15" t="inlineStr"/>
    </row>
    <row r="43" ht="215.2" customHeight="1">
      <c r="A43" s="10" t="n">
        <v>39</v>
      </c>
      <c r="B43" s="5" t="inlineStr">
        <is>
          <t>Mobile — Operasional Stasiun (MB-)</t>
        </is>
      </c>
      <c r="C43" s="11" t="inlineStr">
        <is>
          <t>MB-FORM-03</t>
        </is>
      </c>
      <c r="D43" s="12" t="inlineStr">
        <is>
          <t>Slot waktu harus menaik dan tidak boleh kembar</t>
        </is>
      </c>
      <c r="E43" s="5" t="inlineStr">
        <is>
          <t>OPR-A</t>
        </is>
      </c>
      <c r="F43" s="5" t="inlineStr">
        <is>
          <t>—</t>
        </is>
      </c>
      <c r="G43" s="5" t="inlineStr">
        <is>
          <t>1. Login di mobile, buka Monitor stasiunnya, lalu tekan New Data (/stations/&lt;stasiun&gt;/form/&lt;id&gt;) untuk &lt;Stasiun&gt;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H43" s="5" t="inlineStr">
        <is>
          <t>- Langkah 4: pemilih baris kedua tidak lagi menawarkan slot yang sudah dipakai, dan tidak menawarkan slot yang lebih awal.
- Langkah 5 dan 6: tidak dapat dipilih — atau bila terpilih, Simpan ditolak dengan pesan yang menyebut urutan slot.
- Langkah 7: berhasil.</t>
        </is>
      </c>
      <c r="I43" s="13" t="inlineStr">
        <is>
          <t>Tinggi</t>
        </is>
      </c>
      <c r="J43" s="5" t="inlineStr">
        <is>
          <t>—</t>
        </is>
      </c>
      <c r="K43" s="10" t="inlineStr">
        <is>
          <t>18×</t>
        </is>
      </c>
      <c r="L43" s="5" t="inlineStr">
        <is>
          <t>lewati untuk Weighbridge, Grading, Kernel Dispatch, CPO Dispatch</t>
        </is>
      </c>
    </row>
    <row r="44" ht="136" customHeight="1">
      <c r="A44" s="14" t="n">
        <v>40</v>
      </c>
      <c r="B44" s="15" t="inlineStr">
        <is>
          <t>Mobile — Operasional Stasiun (MB-)</t>
        </is>
      </c>
      <c r="C44" s="16" t="inlineStr">
        <is>
          <t>MB-FORM-04</t>
        </is>
      </c>
      <c r="D44" s="17" t="inlineStr">
        <is>
          <t>Urutan slot mengikuti 07:00 → 06:00, bukan 00:00 → 23:00</t>
        </is>
      </c>
      <c r="E44" s="15" t="inlineStr">
        <is>
          <t>OPR-A</t>
        </is>
      </c>
      <c r="F44" s="15" t="inlineStr">
        <is>
          <t>—</t>
        </is>
      </c>
      <c r="G44" s="15" t="inlineStr">
        <is>
          <t>1. Login di mobile, buka Monitor stasiunnya, lalu tekan New Data (/stations/&lt;stasiun&gt;/form/&lt;id&gt;) untuk &lt;Stasiun&gt; (lewati untuk keempat stasiun per-transaksi).
2. Tambah satu baris slot waktu. Buka pemilih slotnya.
3. Catat urutan lengkap pilihan dari atas ke bawah.
4. Bandingkan dengan urutan yang benar: 07:00, 08:00, …, 23:00, 00:00, 01:00, …, 06:00.</t>
        </is>
      </c>
      <c r="H44" s="15" t="inlineStr">
        <is>
          <t>- Pilihan pertama adalah 07:00, bukan 00:00.
- Sesudah 23:00 menyusul 00:00, bukan selesai.
- Pilihan terakhir adalah 06:00.
- Jumlah pilihannya 24.
- Jadi 01:00 berada sesudah 23:00 — itu benar, bukan bug (lihat bagian 11.4).</t>
        </is>
      </c>
      <c r="I44" s="13" t="inlineStr">
        <is>
          <t>Tinggi</t>
        </is>
      </c>
      <c r="J44" s="15" t="inlineStr">
        <is>
          <t>—</t>
        </is>
      </c>
      <c r="K44" s="14" t="inlineStr">
        <is>
          <t>18×</t>
        </is>
      </c>
      <c r="L44" s="15" t="inlineStr">
        <is>
          <t>ini kasus yang paling mudah salah dibaca sebagai bug padahal benar, dan sebaliknya. Shift dimulai 07:00.</t>
        </is>
      </c>
    </row>
    <row r="45" ht="109.6" customHeight="1">
      <c r="A45" s="10" t="n">
        <v>41</v>
      </c>
      <c r="B45" s="5" t="inlineStr">
        <is>
          <t>Mobile — Operasional Stasiun (MB-)</t>
        </is>
      </c>
      <c r="C45" s="11" t="inlineStr">
        <is>
          <t>MB-FORM-05</t>
        </is>
      </c>
      <c r="D45" s="12" t="inlineStr">
        <is>
          <t>Simpan ditolak bila tidak ada satu pun baris terisi</t>
        </is>
      </c>
      <c r="E45" s="5" t="inlineStr">
        <is>
          <t>OPR-A</t>
        </is>
      </c>
      <c r="F45" s="5" t="inlineStr">
        <is>
          <t>—</t>
        </is>
      </c>
      <c r="G45" s="5" t="inlineStr">
        <is>
          <t>1. Login di mobile, buka Monitor stasiunnya, lalu tekan New Data (/stations/&lt;stasiun&gt;/form/&lt;id&gt;) untuk &lt;Stasiun&gt;.
2. Isi kolom identitas unit dengan benar.
3. Tambah satu baris slot waktu, pilih 07:00, tapi jangan isi satu pun kolom bacaan.
4. Tekan Simpan.
5. Catat bunyi pesannya.</t>
        </is>
      </c>
      <c r="H45" s="5" t="inlineStr">
        <is>
          <t>- Ditolak — record tidak tersimpan.
- Pesannya menyebut bahwa minimal satu baris harus punya slot waktu dan minimal satu kolom bacaan terisi.
- Pesannya muncul di bagian grid, bukan hanya di atas form.</t>
        </is>
      </c>
      <c r="I45" s="13" t="inlineStr">
        <is>
          <t>Tinggi</t>
        </is>
      </c>
      <c r="J45" s="5" t="inlineStr">
        <is>
          <t>—</t>
        </is>
      </c>
      <c r="K45" s="10" t="inlineStr">
        <is>
          <t>18×</t>
        </is>
      </c>
      <c r="L45" s="5" t="inlineStr"/>
    </row>
    <row r="46" ht="136" customHeight="1">
      <c r="A46" s="14" t="n">
        <v>42</v>
      </c>
      <c r="B46" s="15" t="inlineStr">
        <is>
          <t>Mobile — Operasional Stasiun (MB-)</t>
        </is>
      </c>
      <c r="C46" s="16" t="inlineStr">
        <is>
          <t>MB-FORM-06</t>
        </is>
      </c>
      <c r="D46" s="17" t="inlineStr">
        <is>
          <t>Baris yang sebagian terisi tetap sah</t>
        </is>
      </c>
      <c r="E46" s="15" t="inlineStr">
        <is>
          <t>OPR-A</t>
        </is>
      </c>
      <c r="F46" s="15" t="inlineStr">
        <is>
          <t>—</t>
        </is>
      </c>
      <c r="G46" s="15" t="inlineStr">
        <is>
          <t>1. Login di mobile, buka Monitor stasiunnya, lalu tekan New Data (/stations/&lt;stasiun&gt;/form/&lt;id&gt;) untuk &lt;Stasiun&gt;.
2. Isi kolom identitas unit.
3. Tambah satu baris slot waktu 07:00.
4. Isi hanya satu kolom bacaan; biarkan seluruh kolom lain pada baris itu kosong.
5. Tekan Simpan.
6. Buka record itu lewat Load Data dan periksa baris tersebut.</t>
        </is>
      </c>
      <c r="H46" s="15" t="inlineStr">
        <is>
          <t>- Berhasil tersimpan.
- Kolom yang dibiarkan kosong tersimpan sebagai kosong — bukan diisi 0.
- Pada detail, kolom kosong itu tampil sebagai tanda pisah atau kosong, bukan angka 0.</t>
        </is>
      </c>
      <c r="I46" s="13" t="inlineStr">
        <is>
          <t>Tinggi</t>
        </is>
      </c>
      <c r="J46" s="15" t="inlineStr">
        <is>
          <t>—</t>
        </is>
      </c>
      <c r="K46" s="14" t="inlineStr">
        <is>
          <t>18×</t>
        </is>
      </c>
      <c r="L46" s="15" t="inlineStr"/>
    </row>
    <row r="47" ht="136" customHeight="1">
      <c r="A47" s="10" t="n">
        <v>43</v>
      </c>
      <c r="B47" s="5" t="inlineStr">
        <is>
          <t>Mobile — Operasional Stasiun (MB-)</t>
        </is>
      </c>
      <c r="C47" s="11" t="inlineStr">
        <is>
          <t>MB-FORM-07</t>
        </is>
      </c>
      <c r="D47" s="12" t="inlineStr">
        <is>
          <t>Pause menyimpan apa adanya tanpa memvalidasi</t>
        </is>
      </c>
      <c r="E47" s="5" t="inlineStr">
        <is>
          <t>OPR-A</t>
        </is>
      </c>
      <c r="F47" s="5" t="inlineStr">
        <is>
          <t>—</t>
        </is>
      </c>
      <c r="G47" s="5" t="inlineStr">
        <is>
          <t>1. Login di mobile, buka Monitor stasiunnya, lalu tekan New Data (/stations/&lt;stasiun&gt;/form/&lt;id&gt;) untuk &lt;Stasiun&gt;.
2. Kosongkan kolom identitas unit (yang pada MB-FORM-02 membuat Simpan ditolak).
3. Tambah satu baris, pilih slot, tapi jangan isi kolom bacaan apa pun.
4. Tekan Pause.
5. Kembali ke Monitor dan cari draft itu.
6. Buka draft itu kembali.</t>
        </is>
      </c>
      <c r="H47" s="5" t="inlineStr">
        <is>
          <t>- Pause berhasil — tidak ada satu pun validasi yang menolaknya.
- Draft muncul di Monitor berlabel Pause.
- Saat dibuka kembali, isinya apa adanya seperti saat dijeda, termasuk kolom yang kosong.</t>
        </is>
      </c>
      <c r="I47" s="13" t="inlineStr">
        <is>
          <t>Tinggi</t>
        </is>
      </c>
      <c r="J47" s="5" t="inlineStr">
        <is>
          <t>—</t>
        </is>
      </c>
      <c r="K47" s="10" t="inlineStr">
        <is>
          <t>18×</t>
        </is>
      </c>
      <c r="L47" s="5" t="inlineStr"/>
    </row>
    <row r="48" ht="136" customHeight="1">
      <c r="A48" s="14" t="n">
        <v>44</v>
      </c>
      <c r="B48" s="15" t="inlineStr">
        <is>
          <t>Mobile — Operasional Stasiun (MB-)</t>
        </is>
      </c>
      <c r="C48" s="16" t="inlineStr">
        <is>
          <t>MB-FORM-08</t>
        </is>
      </c>
      <c r="D48" s="17" t="inlineStr">
        <is>
          <t>Melanjutkan draft memuat kembali isinya</t>
        </is>
      </c>
      <c r="E48" s="15" t="inlineStr">
        <is>
          <t>OPR-A</t>
        </is>
      </c>
      <c r="F48" s="15" t="inlineStr">
        <is>
          <t>satu draft dengan 2 baris terisi</t>
        </is>
      </c>
      <c r="G48" s="15" t="inlineStr">
        <is>
          <t>1. Buat satu draft dengan 2 baris terisi, lalu tekan Pause.
2. Login di mobile, Station List, lalu tekan tile stasiunnya (/stations/&lt;stasiun&gt;/monitor) untuk &lt;Stasiun&gt;. Tekan draft itu pada daftar.
3. Bandingkan kolom identitas, Tanggal, dan kedua baris dengan yang diisi di langkah 1.
4. Periksa pemilih slot waktu pada baris ketiga yang baru ditambahkan.</t>
        </is>
      </c>
      <c r="H48" s="15" t="inlineStr">
        <is>
          <t>- Kolom identitas dan Tanggal sama seperti saat dijeda.
- Kedua baris muncul lengkap dengan nilainya, pada slot waktu yang sama.
- Baris ketiga hanya menawarkan slot sesudah slot terakhir yang sudah dipakai.</t>
        </is>
      </c>
      <c r="I48" s="13" t="inlineStr">
        <is>
          <t>Tinggi</t>
        </is>
      </c>
      <c r="J48" s="15" t="inlineStr">
        <is>
          <t>—</t>
        </is>
      </c>
      <c r="K48" s="14" t="inlineStr">
        <is>
          <t>18×</t>
        </is>
      </c>
      <c r="L48" s="15" t="inlineStr"/>
    </row>
    <row r="49" ht="96.39999999999999" customHeight="1">
      <c r="A49" s="10" t="n">
        <v>45</v>
      </c>
      <c r="B49" s="5" t="inlineStr">
        <is>
          <t>Mobile — Operasional Stasiun (MB-)</t>
        </is>
      </c>
      <c r="C49" s="11" t="inlineStr">
        <is>
          <t>MB-FORM-09</t>
        </is>
      </c>
      <c r="D49" s="12" t="inlineStr">
        <is>
          <t>Clear meminta konfirmasi, lalu menghapus permanen</t>
        </is>
      </c>
      <c r="E49" s="5" t="inlineStr">
        <is>
          <t>OPR-A</t>
        </is>
      </c>
      <c r="F49" s="5" t="inlineStr">
        <is>
          <t>—</t>
        </is>
      </c>
      <c r="G49" s="5" t="inlineStr">
        <is>
          <t>1. Buat satu draft dengan minimal satu baris terisi.
2. Tekan Clear. Baca dialognya, lalu tekan Batal.
3. Periksa apakah isi formnya masih utuh.
4. Tekan Clear lagi, kali ini setujui.
5. Kembali ke Monitor dan cari draft itu.</t>
        </is>
      </c>
      <c r="H49" s="5" t="inlineStr">
        <is>
          <t>- Langkah 2 memunculkan dialog konfirmasi, bukan langsung menghapus.
- Langkah 3: isi form masih utuh sesudah Batal.
- Langkah 5: draft hilang dari daftar — terhapus permanen.</t>
        </is>
      </c>
      <c r="I49" s="13" t="inlineStr">
        <is>
          <t>Tinggi</t>
        </is>
      </c>
      <c r="J49" s="5" t="inlineStr">
        <is>
          <t>—</t>
        </is>
      </c>
      <c r="K49" s="10" t="inlineStr">
        <is>
          <t>18×</t>
        </is>
      </c>
      <c r="L49" s="5" t="inlineStr"/>
    </row>
    <row r="50" ht="188.8" customHeight="1">
      <c r="A50" s="14" t="n">
        <v>46</v>
      </c>
      <c r="B50" s="15" t="inlineStr">
        <is>
          <t>Mobile — Operasional Stasiun (MB-)</t>
        </is>
      </c>
      <c r="C50" s="16" t="inlineStr">
        <is>
          <t>MB-FORM-10</t>
        </is>
      </c>
      <c r="D50" s="17" t="inlineStr">
        <is>
          <t>Back dengan perubahan belum tersimpan meminta konfirmasi</t>
        </is>
      </c>
      <c r="E50" s="15" t="inlineStr">
        <is>
          <t>OPR-A</t>
        </is>
      </c>
      <c r="F50" s="15" t="inlineStr">
        <is>
          <t>—</t>
        </is>
      </c>
      <c r="G50" s="15" t="inlineStr">
        <is>
          <t>1. Login di mobile, buka Monitor stasiunnya, lalu tekan New Data (/stations/&lt;stasiun&gt;/form/&lt;id&gt;) untuk &lt;Stasiun&gt;.
2. Isi kolom identitas unit (jangan Simpan, jangan Pause).
3. Tekan Back.
4. Baca dialog yang muncul, lalu tekan Batal/tetap di halaman.
5. Tekan Back lagi dan kali ini setujui keluar.
6. Buka Login di mobile, buka Monitor stasiunnya, lalu tekan New Data (/stations/&lt;stasiun&gt;/form/&lt;id&gt;) baru, tanpa mengisi apa pun, lalu tekan Back.</t>
        </is>
      </c>
      <c r="H50" s="15" t="inlineStr">
        <is>
          <t>- Langkah 3 memunculkan dialog konfirmasi karena ada perubahan belum tersimpan.
- Langkah 4: tetap di Form, isi tidak hilang.
- Langkah 6: tidak ada dialog — form yang belum disentuh tidak perlu konfirmasi.</t>
        </is>
      </c>
      <c r="I50" s="14" t="inlineStr">
        <is>
          <t>Sedang</t>
        </is>
      </c>
      <c r="J50" s="15" t="inlineStr">
        <is>
          <t>—</t>
        </is>
      </c>
      <c r="K50" s="14" t="inlineStr">
        <is>
          <t>18×</t>
        </is>
      </c>
      <c r="L50" s="15" t="inlineStr"/>
    </row>
    <row r="51" ht="175.6" customHeight="1">
      <c r="A51" s="10" t="n">
        <v>47</v>
      </c>
      <c r="B51" s="5" t="inlineStr">
        <is>
          <t>Mobile — Operasional Stasiun (MB-)</t>
        </is>
      </c>
      <c r="C51" s="11" t="inlineStr">
        <is>
          <t>MB-FORM-11</t>
        </is>
      </c>
      <c r="D51" s="12" t="inlineStr">
        <is>
          <t>Stasiun per-transaksi: satu record per transaksi (Weighbridge, Grading, Kernel Dispatch, CPO Dispatch)</t>
        </is>
      </c>
      <c r="E51" s="5" t="inlineStr">
        <is>
          <t>OPR-A</t>
        </is>
      </c>
      <c r="F51" s="5" t="inlineStr">
        <is>
          <t>periode Terbuka</t>
        </is>
      </c>
      <c r="G51" s="5" t="inlineStr">
        <is>
          <t>1. Pastikan periode Terbuka. Login di mobile, buka Monitor stasiunnya, lalu tekan New Data (/stations/&lt;stasiun&gt;/form/&lt;id&gt;)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H5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I51" s="13" t="inlineStr">
        <is>
          <t>Tinggi</t>
        </is>
      </c>
      <c r="J51" s="5" t="inlineStr">
        <is>
          <t>—</t>
        </is>
      </c>
      <c r="K51" s="10" t="inlineStr">
        <is>
          <t>18×</t>
        </is>
      </c>
      <c r="L51" s="5" t="inlineStr"/>
    </row>
    <row r="52" ht="109.6" customHeight="1">
      <c r="A52" s="14" t="n">
        <v>48</v>
      </c>
      <c r="B52" s="15" t="inlineStr">
        <is>
          <t>Mobile — Operasional Stasiun (MB-)</t>
        </is>
      </c>
      <c r="C52" s="16" t="inlineStr">
        <is>
          <t>MB-FORM-12</t>
        </is>
      </c>
      <c r="D52" s="17" t="inlineStr">
        <is>
          <t>Operator tidak dapat mengisi Checked By maupun Acknowledged By</t>
        </is>
      </c>
      <c r="E52" s="15" t="inlineStr">
        <is>
          <t>OPR-A</t>
        </is>
      </c>
      <c r="F52" s="15" t="inlineStr">
        <is>
          <t>—</t>
        </is>
      </c>
      <c r="G52" s="15" t="inlineStr">
        <is>
          <t>1. Login di mobile, buka Monitor stasiunnya, lalu tekan New Data (/stations/&lt;stasiun&gt;/form/&lt;id&gt;) untuk &lt;Stasiun&gt; sebagai OPR-A.
2. Cari kolom Checked By dan Acknowledged By.
3. Coba mengetik atau memilih pada keduanya.
4. Pada stasiun Sterilizer, periksa juga kolom centang "Checked by SPV" per baris.</t>
        </is>
      </c>
      <c r="H52" s="15" t="inlineStr">
        <is>
          <t>- Keduanya tidak dapat diisi oleh Operator.
- Ada keterangan di layar yang menyebut siapa yang boleh mengisinya — bukan kolom mati tanpa alasan (lihat LS-14).
- Centang "Checked by SPV" per baris pada Sterilizer juga tidak dapat ditekan Operator.</t>
        </is>
      </c>
      <c r="I52" s="13" t="inlineStr">
        <is>
          <t>Tinggi</t>
        </is>
      </c>
      <c r="J52" s="15" t="inlineStr">
        <is>
          <t>—</t>
        </is>
      </c>
      <c r="K52" s="14" t="inlineStr">
        <is>
          <t>18×</t>
        </is>
      </c>
      <c r="L52" s="15" t="inlineStr"/>
    </row>
    <row r="53" ht="136" customHeight="1">
      <c r="A53" s="10" t="n">
        <v>49</v>
      </c>
      <c r="B53" s="5" t="inlineStr">
        <is>
          <t>Mobile — Operasional Stasiun (MB-)</t>
        </is>
      </c>
      <c r="C53" s="11" t="inlineStr">
        <is>
          <t>MB-FORM-13</t>
        </is>
      </c>
      <c r="D53" s="12" t="inlineStr">
        <is>
          <t>Supervisor mengisi Checked, Mill Management mengisi Acknowledged</t>
        </is>
      </c>
      <c r="E53" s="5" t="inlineStr">
        <is>
          <t>SPV-A, lalu MGR-A</t>
        </is>
      </c>
      <c r="F53" s="5" t="inlineStr">
        <is>
          <t>—</t>
        </is>
      </c>
      <c r="G53" s="5" t="inlineStr">
        <is>
          <t>1. Buat satu record sebagai OPR-A, simpan.
2. Login di mobile, buka Monitor stasiunnya, lalu tekan New Data (/stations/&lt;stasiun&gt;/form/&lt;id&gt;) sebagai SPV-A, buka record itu. Isi Checked By, tekan Simpan.
3. Periksa kolom Acknowledged By sebagai SPV-A.
4. Logout. Buka record yang sama sebagai MGR-A. Isi Acknowledged By, tekan Simpan.
5. Periksa kolom Checked By sebagai MGR-A.</t>
        </is>
      </c>
      <c r="H53" s="5" t="inlineStr">
        <is>
          <t>- SPV-A dapat mengisi Checked By.
- SPV-A tidak dapat mengisi Acknowledged By.
- MGR-A dapat mengisi Acknowledged By.
- MGR-A tidak dapat mengisi Checked By.
- Nama yang terisi adalah nama pengguna yang mengisinya, bukan diketik bebas.</t>
        </is>
      </c>
      <c r="I53" s="13" t="inlineStr">
        <is>
          <t>Tinggi</t>
        </is>
      </c>
      <c r="J53" s="5" t="inlineStr">
        <is>
          <t>—</t>
        </is>
      </c>
      <c r="K53" s="10" t="inlineStr">
        <is>
          <t>18×</t>
        </is>
      </c>
      <c r="L53" s="5" t="inlineStr"/>
    </row>
    <row r="54" ht="175.6" customHeight="1">
      <c r="A54" s="14" t="n">
        <v>50</v>
      </c>
      <c r="B54" s="15" t="inlineStr">
        <is>
          <t>Mobile — Operasional Stasiun (MB-)</t>
        </is>
      </c>
      <c r="C54" s="16" t="inlineStr">
        <is>
          <t>MB-FORM-14</t>
        </is>
      </c>
      <c r="D54" s="17" t="inlineStr">
        <is>
          <t>Tabel Target Operasional hanya referensi, tidak tersimpan</t>
        </is>
      </c>
      <c r="E54" s="15" t="inlineStr">
        <is>
          <t>OPR-A</t>
        </is>
      </c>
      <c r="F54" s="15" t="inlineStr">
        <is>
          <t>stasiun yang punya tabel target (Threshing, Pressing, Depricarping, Kernel Plant, Grading)</t>
        </is>
      </c>
      <c r="G54" s="15" t="inlineStr">
        <is>
          <t>1. Pilih stasiun yang punya tabel target: Threshing, Pressing, Depricarping, Kernel Plant, atau Grading.
2. Login di mobile, buka Monitor stasiunnya, lalu tekan New Data (/stations/&lt;stasiun&gt;/form/&lt;id&gt;) untuk stasiun itu.
3. Gulir ke bawah sampai tabel Target Operasional.
4. Coba mengetik pada tabel itu.
5. Isi form dengan benar dan Simpan.
6. Buka record itu di Data Preview dan periksa apakah nilai target ikut tersimpan sebagai data record.</t>
        </is>
      </c>
      <c r="H54" s="15" t="inlineStr">
        <is>
          <t>- Tabel target tampil read-only — tidak satu pun selnya dapat diketik.
- Isinya sama di mobile dan di web untuk stasiun yang sama.
- Nilai target tidak menjadi bagian data record — ia hanya acuan yang ditampilkan.</t>
        </is>
      </c>
      <c r="I54" s="14" t="inlineStr">
        <is>
          <t>Rendah</t>
        </is>
      </c>
      <c r="J54" s="15" t="inlineStr">
        <is>
          <t>—</t>
        </is>
      </c>
      <c r="K54" s="14" t="inlineStr">
        <is>
          <t>18×</t>
        </is>
      </c>
      <c r="L54" s="15" t="inlineStr"/>
    </row>
    <row r="55" ht="122.8" customHeight="1">
      <c r="A55" s="10" t="n">
        <v>51</v>
      </c>
      <c r="B55" s="5" t="inlineStr">
        <is>
          <t>Mobile — Operasional Stasiun (MB-)</t>
        </is>
      </c>
      <c r="C55" s="11" t="inlineStr">
        <is>
          <t>MB-FORM-15</t>
        </is>
      </c>
      <c r="D55" s="12" t="inlineStr">
        <is>
          <t>Simpan ditolak bila Production Line tidak punya stasiun aktif</t>
        </is>
      </c>
      <c r="E55" s="5" t="inlineStr">
        <is>
          <t>OPR-A</t>
        </is>
      </c>
      <c r="F55" s="5" t="inlineStr">
        <is>
          <t>satu Production Line yang tidak punya stasiun jenis itu dalam keadaan aktif</t>
        </is>
      </c>
      <c r="G55" s="5" t="inlineStr">
        <is>
          <t>1. Sebagai ADM di web, siapkan satu Production Line yang tidak punya stasiun jenis ini dalam keadaan aktif.
2. Login di mobile, tekan Station List (/stations); pilih Production Line bila diminta sebagai OPR-A dan pilih Production Line itu.
3. Buka Monitor &lt;Stasiun&gt;, tekan New Data.
4. Isi form dengan benar, lalu tekan Simpan.
5. Baca pesannya.</t>
        </is>
      </c>
      <c r="H55" s="5" t="inlineStr">
        <is>
          <t>- Ditolak — record tidak tersimpan.
- Pesannya menyebut bahwa Production Line itu tidak punya stasiun jenis ini yang aktif.
- BUKAN pesan galat teknis, BUKAN layar yang diam tanpa tanggapan.</t>
        </is>
      </c>
      <c r="I55" s="13" t="inlineStr">
        <is>
          <t>Tinggi</t>
        </is>
      </c>
      <c r="J55" s="5" t="inlineStr">
        <is>
          <t>—</t>
        </is>
      </c>
      <c r="K55" s="10" t="inlineStr">
        <is>
          <t>18×</t>
        </is>
      </c>
      <c r="L55" s="5" t="inlineStr"/>
    </row>
    <row r="56" ht="202" customHeight="1">
      <c r="A56" s="14" t="n">
        <v>52</v>
      </c>
      <c r="B56" s="15" t="inlineStr">
        <is>
          <t>Mobile — Operasional Stasiun (MB-)</t>
        </is>
      </c>
      <c r="C56" s="16" t="inlineStr">
        <is>
          <t>MB-SYNC-01</t>
        </is>
      </c>
      <c r="D56" s="17" t="inlineStr">
        <is>
          <t>Input berhasil sepenuhnya tanpa koneksi</t>
        </is>
      </c>
      <c r="E56" s="15" t="inlineStr">
        <is>
          <t>OPR-A</t>
        </is>
      </c>
      <c r="F56" s="15" t="inlineStr">
        <is>
          <t>sudah login sebelum koneksi dimatikan</t>
        </is>
      </c>
      <c r="G56" s="15" t="inlineStr">
        <is>
          <t>1. Login lebih dulu sambil online (Login di mobile (buka aplikasi, isi username dan password, tekan Login), mendarat di /home), dan buka Station List sekali supaya daftar stasiun tersimpan di perangkat.
2. Matikan koneksi perangkat sepenuhnya (mode pesawat).
3. Buka Monitor &lt;Stasiun&gt; → New Data.
4. Isi kolom identitas dan minimal satu baris terisi.
5. Tekan Simpan.
6. Kembali ke Monitor, lalu buka Load Data dan cari record itu.
7. Tutup aplikasi, buka lagi (masih tanpa koneksi), dan cari record itu lagi.</t>
        </is>
      </c>
      <c r="H56" s="1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I56" s="13" t="inlineStr">
        <is>
          <t>Tinggi</t>
        </is>
      </c>
      <c r="J56" s="15" t="inlineStr">
        <is>
          <t>—</t>
        </is>
      </c>
      <c r="K56" s="14" t="inlineStr">
        <is>
          <t>3×</t>
        </is>
      </c>
      <c r="L56" s="15" t="inlineStr">
        <is>
          <t>matikan koneksi sesudah login. Mematikannya sebelum login menguji hal yang berbeda (lihat MB-SYNC-05).</t>
        </is>
      </c>
    </row>
    <row r="57" ht="175.6" customHeight="1">
      <c r="A57" s="10" t="n">
        <v>53</v>
      </c>
      <c r="B57" s="5" t="inlineStr">
        <is>
          <t>Mobile — Operasional Stasiun (MB-)</t>
        </is>
      </c>
      <c r="C57" s="11" t="inlineStr">
        <is>
          <t>MB-SYNC-02</t>
        </is>
      </c>
      <c r="D57" s="12" t="inlineStr">
        <is>
          <t>Sync manual mengirim record ke server</t>
        </is>
      </c>
      <c r="E57" s="5" t="inlineStr">
        <is>
          <t>OPR-A + SPV-A</t>
        </is>
      </c>
      <c r="F57" s="5" t="inlineStr">
        <is>
          <t>ada record offline berstatus Tersimpan</t>
        </is>
      </c>
      <c r="G57"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nama stasiun (/data/&lt;stasiun&gt;) untuk stasiun yang sama sebagai SPV-A dan cari record itu.</t>
        </is>
      </c>
      <c r="H57" s="5" t="inlineStr">
        <is>
          <t>- Sync melaporkan jumlah record yang terkirim.
- Status record berubah menjadi Tersinkron.
- Record itu muncul di web dengan isi yang sama — identitas, tanggal, dan nilai barisnya cocok.</t>
        </is>
      </c>
      <c r="I57" s="13" t="inlineStr">
        <is>
          <t>Tinggi</t>
        </is>
      </c>
      <c r="J57" s="5" t="inlineStr">
        <is>
          <t>—</t>
        </is>
      </c>
      <c r="K57" s="10" t="inlineStr">
        <is>
          <t>3×</t>
        </is>
      </c>
      <c r="L57" s="5" t="inlineStr"/>
    </row>
    <row r="58" ht="109.6" customHeight="1">
      <c r="A58" s="14" t="n">
        <v>54</v>
      </c>
      <c r="B58" s="15" t="inlineStr">
        <is>
          <t>Mobile — Operasional Stasiun (MB-)</t>
        </is>
      </c>
      <c r="C58" s="16" t="inlineStr">
        <is>
          <t>MB-SYNC-03</t>
        </is>
      </c>
      <c r="D58" s="17" t="inlineStr">
        <is>
          <t>Sync tanpa koneksi gagal dengan pesan yang jelas dan tidak merusak data</t>
        </is>
      </c>
      <c r="E58" s="15" t="inlineStr">
        <is>
          <t>OPR-A</t>
        </is>
      </c>
      <c r="F58" s="15" t="inlineStr">
        <is>
          <t>—</t>
        </is>
      </c>
      <c r="G58" s="15" t="inlineStr">
        <is>
          <t>1. Siapkan satu record berstatus Tersimpan yang belum tersinkron.
2. Matikan koneksi perangkat.
3. Jalankan Sync.
4. Baca pesan yang muncul.
5. Periksa status dan isi record itu di Data Preview.
6. Nyalakan koneksi, jalankan Sync lagi.</t>
        </is>
      </c>
      <c r="H58" s="15" t="inlineStr">
        <is>
          <t>- Sync gagal dengan pesan yang menyebut koneksi/jaringan — jelas dan berbahasa Indonesia.
- Record tidak hilang dan tidak berubah — statusnya tetap Tersimpan.
- Record tidak ditandai Tersinkron secara keliru.
- Sesudah koneksi kembali, Sync berhasil mengirimnya.</t>
        </is>
      </c>
      <c r="I58" s="13" t="inlineStr">
        <is>
          <t>Tinggi</t>
        </is>
      </c>
      <c r="J58" s="15" t="inlineStr">
        <is>
          <t>—</t>
        </is>
      </c>
      <c r="K58" s="14" t="inlineStr">
        <is>
          <t>3×</t>
        </is>
      </c>
      <c r="L58" s="15" t="inlineStr"/>
    </row>
    <row r="59" ht="136" customHeight="1">
      <c r="A59" s="10" t="n">
        <v>55</v>
      </c>
      <c r="B59" s="5" t="inlineStr">
        <is>
          <t>Mobile — Operasional Stasiun (MB-)</t>
        </is>
      </c>
      <c r="C59" s="11" t="inlineStr">
        <is>
          <t>MB-SYNC-04</t>
        </is>
      </c>
      <c r="D59" s="12" t="inlineStr">
        <is>
          <t>Sync dua kali tidak menggandakan data</t>
        </is>
      </c>
      <c r="E59" s="5" t="inlineStr">
        <is>
          <t>OPR-A + SPV-A</t>
        </is>
      </c>
      <c r="F59" s="5" t="inlineStr">
        <is>
          <t>—</t>
        </is>
      </c>
      <c r="G59" s="5" t="inlineStr">
        <is>
          <t>1. Siapkan satu record berstatus Tersimpan, dengan koneksi hidup.
2. Jalankan Sync. Tunggu sampai benar-benar selesai.
3. Jalankan Sync lagi.
4. Di web, Login di web, lalu sidebar &gt; Data &gt; nama stasiun (/data/&lt;stasiun&gt;) untuk stasiun itu dan cari record tersebut.
5. Hitung berapa baris record dengan identitas dan tanggal itu.</t>
        </is>
      </c>
      <c r="H59" s="5" t="inlineStr">
        <is>
          <t>- Sync kedua berjalan tanpa galat.
- Di web hanya ada satu record — tidak ada duplikat.
- Jumlah baris detailnya juga tidak berganda.
- Sync kedua melaporkan 0 record terkirim, atau pesan sepadan.</t>
        </is>
      </c>
      <c r="I59" s="13" t="inlineStr">
        <is>
          <t>Tinggi</t>
        </is>
      </c>
      <c r="J59" s="5" t="inlineStr">
        <is>
          <t>—</t>
        </is>
      </c>
      <c r="K59" s="10" t="inlineStr">
        <is>
          <t>3×</t>
        </is>
      </c>
      <c r="L59" s="5" t="inlineStr"/>
    </row>
    <row r="60" ht="70" customHeight="1">
      <c r="A60" s="14" t="n">
        <v>56</v>
      </c>
      <c r="B60" s="15" t="inlineStr">
        <is>
          <t>Mobile — Operasional Stasiun (MB-)</t>
        </is>
      </c>
      <c r="C60" s="16" t="inlineStr">
        <is>
          <t>MB-SYNC-05</t>
        </is>
      </c>
      <c r="D60" s="17" t="inlineStr">
        <is>
          <t>Tanpa koneksi saat login: pesan jaringan, bukan "password salah"</t>
        </is>
      </c>
      <c r="E60" s="15" t="inlineStr">
        <is>
          <t>OPR-A</t>
        </is>
      </c>
      <c r="F60" s="15" t="inlineStr">
        <is>
          <t>—</t>
        </is>
      </c>
      <c r="G60" s="15" t="inlineStr">
        <is>
          <t>1. Logout dari aplikasi mobile.
2. Matikan koneksi perangkat.
3. Isi username dan password yang benar, tekan Login.
4. Baca pesan yang muncul.</t>
        </is>
      </c>
      <c r="H60" s="15" t="inlineStr">
        <is>
          <t>- Pesannya menyebut koneksi/jaringan.
- Pesannya tidak menyebut password salah atau akun tidak ditemukan — itu akan mengirim operator mengejar masalah yang tidak ada.
- Tetap di layar Login, tidak masuk.</t>
        </is>
      </c>
      <c r="I60" s="13" t="inlineStr">
        <is>
          <t>Tinggi</t>
        </is>
      </c>
      <c r="J60" s="15" t="inlineStr">
        <is>
          <t>—</t>
        </is>
      </c>
      <c r="K60" s="14" t="inlineStr">
        <is>
          <t>3×</t>
        </is>
      </c>
      <c r="L60" s="15" t="inlineStr"/>
    </row>
    <row r="61" ht="136" customHeight="1">
      <c r="A61" s="10" t="n">
        <v>57</v>
      </c>
      <c r="B61" s="5" t="inlineStr">
        <is>
          <t>Mobile — Operasional Stasiun (MB-)</t>
        </is>
      </c>
      <c r="C61" s="11" t="inlineStr">
        <is>
          <t>MB-PRV-01</t>
        </is>
      </c>
      <c r="D61" s="12" t="inlineStr">
        <is>
          <t>Filter tanggal default ke hari ini</t>
        </is>
      </c>
      <c r="E61" s="5" t="inlineStr">
        <is>
          <t>OPR-A</t>
        </is>
      </c>
      <c r="F61" s="5" t="inlineStr">
        <is>
          <t>ada record hari ini dan record beberapa hari lalu</t>
        </is>
      </c>
      <c r="G61" s="5" t="inlineStr">
        <is>
          <t>1. Siapkan untuk stasiun ini: beberapa record bertanggal hari ini, dan beberapa bertanggal beberapa hari lalu.
2. Login di mobile, buka Monitor stasiunnya, lalu tekan Load Data (/stations/&lt;stasiun&gt;/preview) untuk &lt;Stasiun&gt;.
3. Baca isi kolom filter Tanggal sebelum menyentuh apa pun.
4. Hitung baris pada daftar dan bandingkan dengan jumlah record hari ini.</t>
        </is>
      </c>
      <c r="H61" s="5" t="inlineStr">
        <is>
          <t>- Filter Tanggal sudah terisi tanggal hari ini tanpa diisi penguji.
- Daftar hanya memuat record hari ini.
- Record tanggal lain tidak terlihat sampai filternya diubah.</t>
        </is>
      </c>
      <c r="I61" s="10" t="inlineStr">
        <is>
          <t>Sedang</t>
        </is>
      </c>
      <c r="J61" s="5" t="inlineStr">
        <is>
          <t>—</t>
        </is>
      </c>
      <c r="K61" s="10" t="inlineStr">
        <is>
          <t>18×</t>
        </is>
      </c>
      <c r="L61" s="5" t="inlineStr"/>
    </row>
    <row r="62" ht="109.6" customHeight="1">
      <c r="A62" s="14" t="n">
        <v>58</v>
      </c>
      <c r="B62" s="15" t="inlineStr">
        <is>
          <t>Mobile — Operasional Stasiun (MB-)</t>
        </is>
      </c>
      <c r="C62" s="16" t="inlineStr">
        <is>
          <t>MB-PRV-02</t>
        </is>
      </c>
      <c r="D62" s="17" t="inlineStr">
        <is>
          <t>Pintasan "Semua" dan "Hari ini" bekerja</t>
        </is>
      </c>
      <c r="E62" s="15" t="inlineStr">
        <is>
          <t>OPR-A</t>
        </is>
      </c>
      <c r="F62" s="15" t="inlineStr">
        <is>
          <t>—</t>
        </is>
      </c>
      <c r="G62" s="15" t="inlineStr">
        <is>
          <t>1. Login di mobile, buka Monitor stasiunnya, lalu tekan Load Data (/stations/&lt;stasiun&gt;/preview) untuk &lt;Stasiun&gt;, dengan data hari ini dan data hari lain tersedia.
2. Tekan pintasan Semua. Hitung barisnya.
3. Tekan pintasan Hari ini. Hitung barisnya.
4. Bandingkan kedua angka itu dengan ringkasan jumlah hasil yang tertulis di layar.</t>
        </is>
      </c>
      <c r="H62" s="15" t="inlineStr">
        <is>
          <t>- Semua menampilkan record dari seluruh tanggal — jumlahnya lebih banyak.
- Hari ini mengembalikan daftar ke record hari ini saja.
- Ringkasan jumlah hasil cocok dengan jumlah baris yang terlihat.</t>
        </is>
      </c>
      <c r="I62" s="14" t="inlineStr">
        <is>
          <t>Sedang</t>
        </is>
      </c>
      <c r="J62" s="15" t="inlineStr">
        <is>
          <t>—</t>
        </is>
      </c>
      <c r="K62" s="14" t="inlineStr">
        <is>
          <t>18×</t>
        </is>
      </c>
      <c r="L62" s="15" t="inlineStr"/>
    </row>
    <row r="63" ht="162.4" customHeight="1">
      <c r="A63" s="10" t="n">
        <v>59</v>
      </c>
      <c r="B63" s="5" t="inlineStr">
        <is>
          <t>Mobile — Operasional Stasiun (MB-)</t>
        </is>
      </c>
      <c r="C63" s="11" t="inlineStr">
        <is>
          <t>MB-PRV-03</t>
        </is>
      </c>
      <c r="D63" s="12" t="inlineStr">
        <is>
          <t>Pencarian tidak peduli huruf besar-kecil</t>
        </is>
      </c>
      <c r="E63" s="5" t="inlineStr">
        <is>
          <t>OPR-A</t>
        </is>
      </c>
      <c r="F63" s="5" t="inlineStr">
        <is>
          <t>ada record dengan kolom wajib bernilai mis. PRESSER-01</t>
        </is>
      </c>
      <c r="G63" s="5" t="inlineStr">
        <is>
          <t>1. Siapkan satu record dengan kolom identitas bernilai mis. PRESSER-01.
2. Login di mobile, buka Monitor stasiunnya, lalu tekan Load Data (/stations/&lt;stasiun&gt;/preview) untuk &lt;Stasiun&gt;. Tekan pintasan Semua.
3. Pada kolom Cari, ketik presser-01 (huruf kecil semua).
4. Hapus, lalu ketik PRESSER (huruf besar semua).
5. Hapus, lalu ketik esser-0 (potongan di tengah).</t>
        </is>
      </c>
      <c r="H63" s="5" t="inlineStr">
        <is>
          <t>- Ketiga pencarian menemukan record itu.
- Pencarian tidak peduli huruf besar-kecil.
- Potongan di tengah juga cocok — bukan hanya awalan.</t>
        </is>
      </c>
      <c r="I63" s="10" t="inlineStr">
        <is>
          <t>Sedang</t>
        </is>
      </c>
      <c r="J63" s="5" t="inlineStr">
        <is>
          <t>—</t>
        </is>
      </c>
      <c r="K63" s="10" t="inlineStr">
        <is>
          <t>18×</t>
        </is>
      </c>
      <c r="L63" s="5" t="inlineStr"/>
    </row>
    <row r="64" ht="122.8" customHeight="1">
      <c r="A64" s="14" t="n">
        <v>60</v>
      </c>
      <c r="B64" s="15" t="inlineStr">
        <is>
          <t>Mobile — Operasional Stasiun (MB-)</t>
        </is>
      </c>
      <c r="C64" s="16" t="inlineStr">
        <is>
          <t>MB-PRV-04</t>
        </is>
      </c>
      <c r="D64" s="17" t="inlineStr">
        <is>
          <t>Tombol × menghapus kata kunci dan memulihkan daftar</t>
        </is>
      </c>
      <c r="E64" s="15" t="inlineStr">
        <is>
          <t>OPR-A</t>
        </is>
      </c>
      <c r="F64" s="15" t="inlineStr">
        <is>
          <t>—</t>
        </is>
      </c>
      <c r="G64" s="15" t="inlineStr">
        <is>
          <t>1. Login di mobile, buka Monitor stasiunnya, lalu tekan Load Data (/stations/&lt;stasiun&gt;/preview) untuk &lt;Stasiun&gt;. Tekan Semua. Catat jumlah baris.
2. Ketik satu kata kunci yang menyaring daftar. Catat jumlah barisnya.
3. Perhatikan apakah muncul tombol × pada kolom Cari.
4. Tekan tombol ×.</t>
        </is>
      </c>
      <c r="H64" s="15" t="inlineStr">
        <is>
          <t>- Tombol × muncul hanya ketika kolom Cari terisi.
- Menekan × mengosongkan kata kuncinya.
- Daftar kembali ke jumlah baris langkah 1.</t>
        </is>
      </c>
      <c r="I64" s="14" t="inlineStr">
        <is>
          <t>Rendah</t>
        </is>
      </c>
      <c r="J64" s="15" t="inlineStr">
        <is>
          <t>—</t>
        </is>
      </c>
      <c r="K64" s="14" t="inlineStr">
        <is>
          <t>18×</t>
        </is>
      </c>
      <c r="L64" s="15" t="inlineStr"/>
    </row>
    <row r="65" ht="149.2" customHeight="1">
      <c r="A65" s="10" t="n">
        <v>61</v>
      </c>
      <c r="B65" s="5" t="inlineStr">
        <is>
          <t>Mobile — Operasional Stasiun (MB-)</t>
        </is>
      </c>
      <c r="C65" s="11" t="inlineStr">
        <is>
          <t>MB-PRV-05</t>
        </is>
      </c>
      <c r="D65" s="12" t="inlineStr">
        <is>
          <t>Draft mengarah ke Form, record final mengarah ke detail read-only</t>
        </is>
      </c>
      <c r="E65" s="5" t="inlineStr">
        <is>
          <t>OPR-A</t>
        </is>
      </c>
      <c r="F65" s="5" t="inlineStr">
        <is>
          <t>ada satu draft dan satu record Tersimpan</t>
        </is>
      </c>
      <c r="G65" s="5" t="inlineStr">
        <is>
          <t>1. Siapkan satu draft (dijeda) dan satu record Tersimpan untuk stasiun ini.
2. Login di mobile, buka Monitor stasiunnya, lalu tekan Load Data (/stations/&lt;stasiun&gt;/preview) untuk &lt;Stasiun&gt;. Tekan Semua.
3. Tekan baris draft. Catat layar yang terbuka.
4. Kembali, lalu tekan baris record Tersimpan. Catat layar yang terbuka.
5. Pada layar langkah 4, coba ubah salah satu nilainya.</t>
        </is>
      </c>
      <c r="H65" s="5" t="inlineStr">
        <is>
          <t>- Baris draft mendarat di Form — dapat dilanjutkan dan diubah.
- Baris Tersimpan mendarat di detail read-only.
- Pada detail read-only, tidak satu pun nilai dapat diubah.</t>
        </is>
      </c>
      <c r="I65" s="13" t="inlineStr">
        <is>
          <t>Tinggi</t>
        </is>
      </c>
      <c r="J65" s="5" t="inlineStr">
        <is>
          <t>—</t>
        </is>
      </c>
      <c r="K65" s="10" t="inlineStr">
        <is>
          <t>18×</t>
        </is>
      </c>
      <c r="L65" s="5" t="inlineStr"/>
    </row>
    <row r="66" ht="109.6" customHeight="1">
      <c r="A66" s="14" t="n">
        <v>62</v>
      </c>
      <c r="B66" s="15" t="inlineStr">
        <is>
          <t>Mobile — Operasional Stasiun (MB-)</t>
        </is>
      </c>
      <c r="C66" s="16" t="inlineStr">
        <is>
          <t>MB-PRV-06</t>
        </is>
      </c>
      <c r="D66" s="17" t="inlineStr">
        <is>
          <t>Detail menampilkan persis baris yang tersimpan</t>
        </is>
      </c>
      <c r="E66" s="15" t="inlineStr">
        <is>
          <t>OPR-A</t>
        </is>
      </c>
      <c r="F66" s="15" t="inlineStr">
        <is>
          <t>record dengan 3 baris slot waktu</t>
        </is>
      </c>
      <c r="G66" s="15" t="inlineStr">
        <is>
          <t>1. Siapkan satu record dengan tepat 3 baris slot waktu terisi.
2. Login di mobile, buka Monitor stasiunnya, lalu tekan Load Data (/stations/&lt;stasiun&gt;/preview) untuk &lt;Stasiun&gt;, buka record itu.
3. Hitung jumlah baris pada grid detailnya.
4. Cocokkan slot waktu dan nilai tiap baris dengan yang disimpan.</t>
        </is>
      </c>
      <c r="H66" s="15" t="inlineStr">
        <is>
          <t>- Grid menampilkan tepat 3 baris — bukan 24, bukan dipadatkan menjadi 1.
- Slot waktu dan nilainya sama dengan yang disimpan.
- Tidak ada baris kosong tambahan yang digambar untuk mengisi sampai 24.</t>
        </is>
      </c>
      <c r="I66" s="13" t="inlineStr">
        <is>
          <t>Tinggi</t>
        </is>
      </c>
      <c r="J66" s="15" t="inlineStr">
        <is>
          <t>—</t>
        </is>
      </c>
      <c r="K66" s="14" t="inlineStr">
        <is>
          <t>18×</t>
        </is>
      </c>
      <c r="L66" s="15" t="inlineStr"/>
    </row>
    <row r="67" ht="122.8" customHeight="1">
      <c r="A67" s="10" t="n">
        <v>63</v>
      </c>
      <c r="B67" s="5" t="inlineStr">
        <is>
          <t>Mobile — Operasional Stasiun (MB-)</t>
        </is>
      </c>
      <c r="C67" s="11" t="inlineStr">
        <is>
          <t>MB-PRV-07</t>
        </is>
      </c>
      <c r="D67" s="12" t="inlineStr">
        <is>
          <t>Checked By / Acknowledged By terlihat oleh semua peran</t>
        </is>
      </c>
      <c r="E67" s="5" t="inlineStr">
        <is>
          <t>OPR-A</t>
        </is>
      </c>
      <c r="F67" s="5" t="inlineStr">
        <is>
          <t>record yang sudah di-Checked Supervisor</t>
        </is>
      </c>
      <c r="G67" s="5" t="inlineStr">
        <is>
          <t>1. Siapkan satu record yang sudah di-Checked oleh SPV-A.
2. Login di mobile, buka Monitor stasiunnya, lalu tekan Load Data (/stations/&lt;stasiun&gt;/preview) untuk &lt;Stasiun&gt; sebagai OPR-A, buka record itu.
3. Cari baris Checked By dan Acknowledged By pada header detail.
4. Ulangi sebagai SPV-A, lalu MGR-A.</t>
        </is>
      </c>
      <c r="H67" s="5" t="inlineStr">
        <is>
          <t>- Ketiga peran melihat nama pada Checked By.
- Acknowledged By yang belum terisi tampil sebagai tanda pisah atau keterangan, bukan angka 0 dan bukan kosong tanpa label.
- Melihat tidak sama dengan mengisi: Operator tetap tidak dapat mengubahnya.</t>
        </is>
      </c>
      <c r="I67" s="10" t="inlineStr">
        <is>
          <t>Sedang</t>
        </is>
      </c>
      <c r="J67" s="5" t="inlineStr">
        <is>
          <t>—</t>
        </is>
      </c>
      <c r="K67" s="10" t="inlineStr">
        <is>
          <t>18×</t>
        </is>
      </c>
      <c r="L67" s="5" t="inlineStr"/>
    </row>
    <row r="68" ht="122.8" customHeight="1">
      <c r="A68" s="14" t="n">
        <v>64</v>
      </c>
      <c r="B68" s="15" t="inlineStr">
        <is>
          <t>Mobile — Operasional Stasiun (MB-)</t>
        </is>
      </c>
      <c r="C68" s="16" t="inlineStr">
        <is>
          <t>MB-PRV-08</t>
        </is>
      </c>
      <c r="D68" s="17" t="inlineStr">
        <is>
          <t>Reset Filter memulihkan keadaan awal</t>
        </is>
      </c>
      <c r="E68" s="15" t="inlineStr">
        <is>
          <t>OPR-A</t>
        </is>
      </c>
      <c r="F68" s="15" t="inlineStr">
        <is>
          <t>—</t>
        </is>
      </c>
      <c r="G68" s="15" t="inlineStr">
        <is>
          <t>1. Login di mobile, buka Monitor stasiunnya, lalu tekan Load Data (/stations/&lt;stasiun&gt;/preview) untuk &lt;Stasiun&gt;. Catat keadaan awal: isi filter Tanggal dan jumlah baris.
2. Ubah filter Tanggal, dan ketik satu kata kunci pada kolom Cari.
3. Perhatikan apakah tombol Reset Filter muncul.
4. Tekan Reset Filter.</t>
        </is>
      </c>
      <c r="H68" s="15" t="inlineStr">
        <is>
          <t>- Tombol Reset Filter muncul hanya ketika ada filter aktif.
- Sesudah ditekan: filter Tanggal kembali ke hari ini, kolom Cari kosong.
- Jumlah baris kembali sama dengan keadaan awal langkah 1.</t>
        </is>
      </c>
      <c r="I68" s="14" t="inlineStr">
        <is>
          <t>Rendah ---</t>
        </is>
      </c>
      <c r="J68" s="15" t="inlineStr">
        <is>
          <t>—</t>
        </is>
      </c>
      <c r="K68" s="14" t="inlineStr">
        <is>
          <t>18×</t>
        </is>
      </c>
      <c r="L68" s="15" t="inlineStr"/>
    </row>
    <row r="69" ht="136" customHeight="1">
      <c r="A69" s="10" t="n">
        <v>65</v>
      </c>
      <c r="B69" s="5" t="inlineStr">
        <is>
          <t>Web — Data Stasiun (WB-)</t>
        </is>
      </c>
      <c r="C69" s="11" t="inlineStr">
        <is>
          <t>WB-BRW-01</t>
        </is>
      </c>
      <c r="D69" s="12" t="inlineStr">
        <is>
          <t>Daftar tampil dengan filter tanggal dan kolom status berbahasa Indonesia</t>
        </is>
      </c>
      <c r="E69" s="5" t="inlineStr">
        <is>
          <t>SPV-A</t>
        </is>
      </c>
      <c r="F69" s="5" t="inlineStr">
        <is>
          <t>ada record dengan status berbeda-beda</t>
        </is>
      </c>
      <c r="G69" s="5" t="inlineStr">
        <is>
          <t>1. Siapkan untuk stasiun ini record dengan status berbeda-beda: Draft, Dijeda, Tersimpan, Tersinkron.
2. Login di web, lalu sidebar &gt; Data &gt; nama stasiun (/data/&lt;stasiun&gt;) untuk &lt;Stasiun&gt; sebagai SPV-A.
3. Baca judul setiap kolom tabel.
4. Baca isi kolom Status pada setiap baris.
5. Periksa panel filter: apakah ada kolom tanggal dari dan sampai?</t>
        </is>
      </c>
      <c r="H6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I69" s="13" t="inlineStr">
        <is>
          <t>Tinggi</t>
        </is>
      </c>
      <c r="J69" s="5" t="inlineStr">
        <is>
          <t>—</t>
        </is>
      </c>
      <c r="K69" s="10" t="inlineStr">
        <is>
          <t>18×</t>
        </is>
      </c>
      <c r="L69" s="5" t="inlineStr"/>
    </row>
    <row r="70" ht="83.19999999999999" customHeight="1">
      <c r="A70" s="14" t="n">
        <v>66</v>
      </c>
      <c r="B70" s="15" t="inlineStr">
        <is>
          <t>Web — Data Stasiun (WB-)</t>
        </is>
      </c>
      <c r="C70" s="16" t="inlineStr">
        <is>
          <t>WB-BRW-02</t>
        </is>
      </c>
      <c r="D70" s="17" t="inlineStr">
        <is>
          <t>Rentang tanggal terbalik ditolak</t>
        </is>
      </c>
      <c r="E70" s="15" t="inlineStr">
        <is>
          <t>SPV-A</t>
        </is>
      </c>
      <c r="F70" s="15" t="inlineStr">
        <is>
          <t>—</t>
        </is>
      </c>
      <c r="G70" s="15" t="inlineStr">
        <is>
          <t>1. Login di web, lalu sidebar &gt; Data &gt; nama stasiun (/data/&lt;stasiun&gt;) untuk &lt;Stasiun&gt;.
2. Isi tanggal dari = hari ini.
3. Isi tanggal sampai = tanggal 7 hari sebelum hari ini.
4. Terapkan filter.</t>
        </is>
      </c>
      <c r="H70" s="15" t="inlineStr">
        <is>
          <t>- Ditolak dengan pesan yang menyebut rentang tanggalnya.
- BUKAN tabel kosong tanpa penjelasan — tabel kosong akan terbaca "tidak ada data", padahal filternya yang mustahil.
- BUKAN pesan galat teknis.</t>
        </is>
      </c>
      <c r="I70" s="13" t="inlineStr">
        <is>
          <t>Tinggi</t>
        </is>
      </c>
      <c r="J70" s="15" t="inlineStr">
        <is>
          <t>—</t>
        </is>
      </c>
      <c r="K70" s="14" t="inlineStr">
        <is>
          <t>18×</t>
        </is>
      </c>
      <c r="L70" s="15" t="inlineStr"/>
    </row>
    <row r="71" ht="122.8" customHeight="1">
      <c r="A71" s="10" t="n">
        <v>67</v>
      </c>
      <c r="B71" s="5" t="inlineStr">
        <is>
          <t>Web — Data Stasiun (WB-)</t>
        </is>
      </c>
      <c r="C71" s="11" t="inlineStr">
        <is>
          <t>WB-BRW-03</t>
        </is>
      </c>
      <c r="D71" s="12" t="inlineStr">
        <is>
          <t>"Jumlah Baris Terisi" tampil sebagai pecahan dari 24</t>
        </is>
      </c>
      <c r="E71" s="5" t="inlineStr">
        <is>
          <t>SPV-A</t>
        </is>
      </c>
      <c r="F71" s="5" t="inlineStr">
        <is>
          <t>satu record dengan 3 baris terisi</t>
        </is>
      </c>
      <c r="G71" s="5" t="inlineStr">
        <is>
          <t>1. Siapkan satu record dengan tepat 3 baris slot waktu terisi.
2. Login di web, lalu sidebar &gt; Data &gt; nama stasiun (/data/&lt;stasiun&gt;) untuk &lt;Stasiun&gt;, cari record itu.
3. Baca kolom Jumlah Baris Terisi pada baris itu.
4. Bandingkan dengan jumlah baris sebenarnya pada Detail record tersebut.</t>
        </is>
      </c>
      <c r="H71"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I71" s="10" t="inlineStr">
        <is>
          <t>Sedang</t>
        </is>
      </c>
      <c r="J71" s="5" t="inlineStr">
        <is>
          <t>—</t>
        </is>
      </c>
      <c r="K71" s="10" t="inlineStr">
        <is>
          <t>18×</t>
        </is>
      </c>
      <c r="L71" s="5" t="inlineStr">
        <is>
          <t>lewati untuk 4 stasiun per-transaksi</t>
        </is>
      </c>
    </row>
    <row r="72" ht="149.2" customHeight="1">
      <c r="A72" s="14" t="n">
        <v>68</v>
      </c>
      <c r="B72" s="15" t="inlineStr">
        <is>
          <t>Web — Data Stasiun (WB-)</t>
        </is>
      </c>
      <c r="C72" s="16" t="inlineStr">
        <is>
          <t>WB-BRW-04</t>
        </is>
      </c>
      <c r="D72" s="17" t="inlineStr">
        <is>
          <t>Filter menghasilkan hasil yang konsisten antar halaman</t>
        </is>
      </c>
      <c r="E72" s="15" t="inlineStr">
        <is>
          <t>SPV-A</t>
        </is>
      </c>
      <c r="F72" s="15" t="inlineStr">
        <is>
          <t>data cukup untuk lebih dari satu halaman</t>
        </is>
      </c>
      <c r="G72" s="15" t="inlineStr">
        <is>
          <t>1. Pastikan stasiun ini punya data lebih dari satu halaman.
2. Login di web, lalu sidebar &gt; Data &gt; nama stasiun (/data/&lt;stasiun&gt;) untuk &lt;Stasiun&gt;.
3. Terapkan satu filter (rentang tanggal atau kata kunci) yang hasilnya lebih dari satu halaman.
4. Catat jumlah total hasil yang tertulis.
5. Buka halaman 2.
6. Periksa setiap baris di halaman 2: apakah semuanya masih cocok dengan filternya?</t>
        </is>
      </c>
      <c r="H72" s="15" t="inlineStr">
        <is>
          <t>- Seluruh baris di halaman 2 masih memenuhi filter yang diterapkan.
- Jumlah total hasil tidak berubah saat berpindah halaman.
- Filternya tidak tereset saat pindah halaman.</t>
        </is>
      </c>
      <c r="I72" s="13" t="inlineStr">
        <is>
          <t>Tinggi</t>
        </is>
      </c>
      <c r="J72" s="15" t="inlineStr">
        <is>
          <t>—</t>
        </is>
      </c>
      <c r="K72" s="14" t="inlineStr">
        <is>
          <t>18×</t>
        </is>
      </c>
      <c r="L72" s="15" t="inlineStr"/>
    </row>
    <row r="73" ht="109.6" customHeight="1">
      <c r="A73" s="10" t="n">
        <v>69</v>
      </c>
      <c r="B73" s="5" t="inlineStr">
        <is>
          <t>Web — Data Stasiun (WB-)</t>
        </is>
      </c>
      <c r="C73" s="11" t="inlineStr">
        <is>
          <t>WB-BRW-05</t>
        </is>
      </c>
      <c r="D73" s="12" t="inlineStr">
        <is>
          <t>Reset filter memulihkan keadaan awal</t>
        </is>
      </c>
      <c r="E73" s="5" t="inlineStr">
        <is>
          <t>SPV-A</t>
        </is>
      </c>
      <c r="F73" s="5" t="inlineStr">
        <is>
          <t>—</t>
        </is>
      </c>
      <c r="G73" s="5" t="inlineStr">
        <is>
          <t>1. Login di web, lalu sidebar &gt; Data &gt; nama stasiun (/data/&lt;stasiun&gt;) untuk &lt;Stasiun&gt;. Catat keadaan awal: isi filter dan jumlah hasil.
2. Ubah rentang tanggal dan isi kata kunci pencarian.
3. Terapkan, lalu catat jumlah hasilnya.
4. Tekan Reset Filter.</t>
        </is>
      </c>
      <c r="H73" s="5" t="inlineStr">
        <is>
          <t>- Seluruh kolom filter kembali ke nilai awalnya.
- Jumlah hasil kembali sama dengan langkah 1.
- Halaman kembali ke halaman 1.</t>
        </is>
      </c>
      <c r="I73" s="10" t="inlineStr">
        <is>
          <t>Rendah</t>
        </is>
      </c>
      <c r="J73" s="5" t="inlineStr">
        <is>
          <t>—</t>
        </is>
      </c>
      <c r="K73" s="10" t="inlineStr">
        <is>
          <t>18×</t>
        </is>
      </c>
      <c r="L73" s="5" t="inlineStr"/>
    </row>
    <row r="74" ht="96.39999999999999" customHeight="1">
      <c r="A74" s="14" t="n">
        <v>70</v>
      </c>
      <c r="B74" s="15" t="inlineStr">
        <is>
          <t>Web — Data Stasiun (WB-)</t>
        </is>
      </c>
      <c r="C74" s="16" t="inlineStr">
        <is>
          <t>WB-BRW-06</t>
        </is>
      </c>
      <c r="D74" s="17" t="inlineStr">
        <is>
          <t>Klik baris membuka Detail record itu</t>
        </is>
      </c>
      <c r="E74" s="15" t="inlineStr">
        <is>
          <t>SPV-A</t>
        </is>
      </c>
      <c r="F74" s="15" t="inlineStr">
        <is>
          <t>—</t>
        </is>
      </c>
      <c r="G74" s="15" t="inlineStr">
        <is>
          <t>1. Login di web, lalu sidebar &gt; Data &gt; nama stasiun (/data/&lt;stasiun&gt;) untuk &lt;Stasiun&gt;.
2. Catat identitas dan tanggal pada baris ketiga tabel.
3. Klik baris ketiga itu.
4. Bandingkan header layar yang terbuka dengan catatan langkah 2.</t>
        </is>
      </c>
      <c r="H74" s="15" t="inlineStr">
        <is>
          <t>- Terbuka layar Detail (/data/&lt;stasiun&gt;/&lt;id&gt;).
- Identitas dan tanggal pada Detail sama dengan baris yang diklik — bukan record lain.</t>
        </is>
      </c>
      <c r="I74" s="13" t="inlineStr">
        <is>
          <t>Tinggi</t>
        </is>
      </c>
      <c r="J74" s="15" t="inlineStr">
        <is>
          <t>—</t>
        </is>
      </c>
      <c r="K74" s="14" t="inlineStr">
        <is>
          <t>18×</t>
        </is>
      </c>
      <c r="L74" s="15" t="inlineStr"/>
    </row>
    <row r="75" ht="96.39999999999999" customHeight="1">
      <c r="A75" s="10" t="n">
        <v>71</v>
      </c>
      <c r="B75" s="5" t="inlineStr">
        <is>
          <t>Web — Data Stasiun (WB-)</t>
        </is>
      </c>
      <c r="C75" s="11" t="inlineStr">
        <is>
          <t>WB-BRW-07</t>
        </is>
      </c>
      <c r="D75" s="12" t="inlineStr">
        <is>
          <t>Tambah Data membuka Form kosong</t>
        </is>
      </c>
      <c r="E75" s="5" t="inlineStr">
        <is>
          <t>SPV-A</t>
        </is>
      </c>
      <c r="F75" s="5" t="inlineStr">
        <is>
          <t>—</t>
        </is>
      </c>
      <c r="G75" s="5" t="inlineStr">
        <is>
          <t>1. Login di web, lalu sidebar &gt; Data &gt; nama stasiun (/data/&lt;stasiun&gt;) untuk &lt;Stasiun&gt;.
2. Tekan Tambah.
3. Baca seluruh kolom pada form yang terbuka.
4. Periksa bagian grid: berapa baris yang sudah ada?</t>
        </is>
      </c>
      <c r="H75" s="5" t="inlineStr">
        <is>
          <t>- Terbuka Form kosong (/data/&lt;stasiun&gt;/create).
- Kolom identitas kosong; tidak ada nilai sisa dari record mana pun.
- Kolom Production Line dapat dipilih.
- Grid slot waktu masih kosong atau menyediakan satu baris kosong untuk diisi.</t>
        </is>
      </c>
      <c r="I75" s="13" t="inlineStr">
        <is>
          <t>Tinggi</t>
        </is>
      </c>
      <c r="J75" s="5" t="inlineStr">
        <is>
          <t>—</t>
        </is>
      </c>
      <c r="K75" s="10" t="inlineStr">
        <is>
          <t>18×</t>
        </is>
      </c>
      <c r="L75" s="5" t="inlineStr"/>
    </row>
    <row r="76" ht="70" customHeight="1">
      <c r="A76" s="14" t="n">
        <v>72</v>
      </c>
      <c r="B76" s="15" t="inlineStr">
        <is>
          <t>Web — Data Stasiun (WB-)</t>
        </is>
      </c>
      <c r="C76" s="16" t="inlineStr">
        <is>
          <t>WB-BRW-08</t>
        </is>
      </c>
      <c r="D76" s="17" t="inlineStr">
        <is>
          <t>Filter tanpa hasil memberi keterangan, bukan tabel kosong tanpa penjelasan</t>
        </is>
      </c>
      <c r="E76" s="15" t="inlineStr">
        <is>
          <t>SPV-A</t>
        </is>
      </c>
      <c r="F76" s="15" t="inlineStr">
        <is>
          <t>—</t>
        </is>
      </c>
      <c r="G76" s="15" t="inlineStr">
        <is>
          <t>1. Login di web, lalu sidebar &gt; Data &gt; nama stasiun (/data/&lt;stasiun&gt;) untuk &lt;Stasiun&gt;.
2. Terapkan rentang tanggal yang pasti tidak punya data (mis. 1–2 Januari 2020).
3. Baca isi area tabel.</t>
        </is>
      </c>
      <c r="H76" s="15" t="inlineStr">
        <is>
          <t>- Muncul keterangan bahwa tidak ada data untuk filter itu — satu kalimat yang terbaca.
- BUKAN tabel dengan nol baris tanpa penjelasan.
- Panel filter tetap terlihat supaya penguji dapat mengubahnya kembali.</t>
        </is>
      </c>
      <c r="I76" s="14" t="inlineStr">
        <is>
          <t>Sedang</t>
        </is>
      </c>
      <c r="J76" s="15" t="inlineStr">
        <is>
          <t>—</t>
        </is>
      </c>
      <c r="K76" s="14" t="inlineStr">
        <is>
          <t>18×</t>
        </is>
      </c>
      <c r="L76" s="15" t="inlineStr"/>
    </row>
    <row r="77" ht="136" customHeight="1">
      <c r="A77" s="10" t="n">
        <v>73</v>
      </c>
      <c r="B77" s="5" t="inlineStr">
        <is>
          <t>Web — Data Stasiun (WB-)</t>
        </is>
      </c>
      <c r="C77" s="11" t="inlineStr">
        <is>
          <t>WB-BRW-09</t>
        </is>
      </c>
      <c r="D77" s="12" t="inlineStr">
        <is>
          <t>Ekspor melebihi batas baris ditolak dengan pesan, bukan berkas rusak</t>
        </is>
      </c>
      <c r="E77" s="5" t="inlineStr">
        <is>
          <t>ADM</t>
        </is>
      </c>
      <c r="F77" s="5" t="inlineStr">
        <is>
          <t>data melebihi batas ekspor (50.000 baris) — bila tak tersedia, catat kasus ini sebagai *tidak dapat diuji* dan jangan tandai lulus</t>
        </is>
      </c>
      <c r="G77" s="5" t="inlineStr">
        <is>
          <t>1. Pastikan stasiun ini punya data melebihi batas ekspor (50.000 baris). Bila tidak tersedia, catat kasus ini sebagai Tidak diuji dan jangan ditandai Lulus.
2. Login di web, lalu sidebar &gt; Data &gt; nama stasiun (/data/&lt;stasiun&gt;) untuk &lt;Stasiun&gt;, atur filter supaya mencakup seluruh data itu.
3. Tekan Ekspor CSV.
4. Baca pesan yang muncul. Periksa folder unduhan.</t>
        </is>
      </c>
      <c r="H77" s="5" t="inlineStr">
        <is>
          <t>- Ditolak dengan pesan yang menyebut batas jumlah barisnya.
- Pesannya menyarankan mempersempit rentang tanggal.
- Tidak ada berkas yang terunduh — lebih baik tanpa berkas daripada berkas separuh.</t>
        </is>
      </c>
      <c r="I77" s="10" t="inlineStr">
        <is>
          <t>Sedang</t>
        </is>
      </c>
      <c r="J77" s="5" t="inlineStr">
        <is>
          <t>—</t>
        </is>
      </c>
      <c r="K77" s="10" t="inlineStr">
        <is>
          <t>18×</t>
        </is>
      </c>
      <c r="L77" s="5" t="inlineStr"/>
    </row>
    <row r="78" ht="83.19999999999999" customHeight="1">
      <c r="A78" s="14" t="n">
        <v>74</v>
      </c>
      <c r="B78" s="15" t="inlineStr">
        <is>
          <t>Web — Data Stasiun (WB-)</t>
        </is>
      </c>
      <c r="C78" s="16" t="inlineStr">
        <is>
          <t>WB-DTL-01</t>
        </is>
      </c>
      <c r="D78" s="17" t="inlineStr">
        <is>
          <t>Seluruh kolom read-only, tanpa edit di tempat</t>
        </is>
      </c>
      <c r="E78" s="15" t="inlineStr">
        <is>
          <t>SPV-A</t>
        </is>
      </c>
      <c r="F78" s="15" t="inlineStr">
        <is>
          <t>—</t>
        </is>
      </c>
      <c r="G78" s="15" t="inlineStr">
        <is>
          <t>1. Login di web, buka /data/&lt;stasiun&gt;, lalu klik salah satu baris tabel untuk &lt;Stasiun&gt;.
2. Coba klik dan mengetik pada setiap nilai di header: identitas, tanggal, catatan.
3. Coba klik dan mengetik pada sel-sel grid.
4. Cari tombol Simpan di layar ini.</t>
        </is>
      </c>
      <c r="H78" s="15" t="inlineStr">
        <is>
          <t>- Tidak satu pun nilai dapat diubah di layar ini.
- Tidak ada tombol Simpan — layar ini hanya membaca.
- Perubahan hanya mungkin lewat tombol Edit, yang membuka Form.</t>
        </is>
      </c>
      <c r="I78" s="13" t="inlineStr">
        <is>
          <t>Tinggi</t>
        </is>
      </c>
      <c r="J78" s="15" t="inlineStr">
        <is>
          <t>—</t>
        </is>
      </c>
      <c r="K78" s="14" t="inlineStr">
        <is>
          <t>18×</t>
        </is>
      </c>
      <c r="L78" s="15" t="inlineStr"/>
    </row>
    <row r="79" ht="96.39999999999999" customHeight="1">
      <c r="A79" s="10" t="n">
        <v>75</v>
      </c>
      <c r="B79" s="5" t="inlineStr">
        <is>
          <t>Web — Data Stasiun (WB-)</t>
        </is>
      </c>
      <c r="C79" s="11" t="inlineStr">
        <is>
          <t>WB-DTL-02</t>
        </is>
      </c>
      <c r="D79" s="12" t="inlineStr">
        <is>
          <t>Verifikasi yang kosong ditampilkan sebagai tanda pisah</t>
        </is>
      </c>
      <c r="E79" s="5" t="inlineStr">
        <is>
          <t>SPV-A</t>
        </is>
      </c>
      <c r="F79" s="5" t="inlineStr">
        <is>
          <t>record yang belum diverifikasi siapa pun</t>
        </is>
      </c>
      <c r="G79" s="5" t="inlineStr">
        <is>
          <t>1. Siapkan satu record yang belum diverifikasi siapa pun.
2. Login di web, buka /data/&lt;stasiun&gt;, lalu klik salah satu baris tabel untuk record itu.
3. Baca baris Checked By dan Acknowledged By.</t>
        </is>
      </c>
      <c r="H79" s="5" t="inlineStr">
        <is>
          <t>- Keduanya tampil sebagai tanda pisah "—" atau keterangan "belum diverifikasi".
- BUKAN kosong tanpa label — kosong tanpa label tidak dapat dibedakan dari kolom yang gagal dimuat.
- BUKAN angka 0, BUKAN kata "null".</t>
        </is>
      </c>
      <c r="I79" s="10" t="inlineStr">
        <is>
          <t>Sedang</t>
        </is>
      </c>
      <c r="J79" s="5" t="inlineStr">
        <is>
          <t>—</t>
        </is>
      </c>
      <c r="K79" s="10" t="inlineStr">
        <is>
          <t>18×</t>
        </is>
      </c>
      <c r="L79" s="5" t="inlineStr"/>
    </row>
    <row r="80" ht="109.6" customHeight="1">
      <c r="A80" s="14" t="n">
        <v>76</v>
      </c>
      <c r="B80" s="15" t="inlineStr">
        <is>
          <t>Web — Data Stasiun (WB-)</t>
        </is>
      </c>
      <c r="C80" s="16" t="inlineStr">
        <is>
          <t>WB-DTL-03</t>
        </is>
      </c>
      <c r="D80" s="17" t="inlineStr">
        <is>
          <t>Grid menampilkan persis baris tersimpan</t>
        </is>
      </c>
      <c r="E80" s="15" t="inlineStr">
        <is>
          <t>SPV-A</t>
        </is>
      </c>
      <c r="F80" s="15" t="inlineStr">
        <is>
          <t>record dengan 3 baris terisi</t>
        </is>
      </c>
      <c r="G80" s="15" t="inlineStr">
        <is>
          <t>1. Siapkan satu record dengan tepat 3 baris terisi.
2. Login di web, buka /data/&lt;stasiun&gt;, lalu klik salah satu baris tabel untuk record itu.
3. Hitung jumlah baris pada grid.
4. Cocokkan slot waktu dan nilai tiap baris dengan yang disimpan.</t>
        </is>
      </c>
      <c r="H80" s="15" t="inlineStr">
        <is>
          <t>- Grid menampilkan tepat 3 baris.
- Tidak digambar 24 baris dengan 21 di antaranya kosong.
- Slot waktu dan nilainya cocok.</t>
        </is>
      </c>
      <c r="I80" s="13" t="inlineStr">
        <is>
          <t>Tinggi</t>
        </is>
      </c>
      <c r="J80" s="15" t="inlineStr">
        <is>
          <t>—</t>
        </is>
      </c>
      <c r="K80" s="14" t="inlineStr">
        <is>
          <t>18×</t>
        </is>
      </c>
      <c r="L80" s="15" t="inlineStr"/>
    </row>
    <row r="81" ht="109.6" customHeight="1">
      <c r="A81" s="10" t="n">
        <v>77</v>
      </c>
      <c r="B81" s="5" t="inlineStr">
        <is>
          <t>Web — Data Stasiun (WB-)</t>
        </is>
      </c>
      <c r="C81" s="11" t="inlineStr">
        <is>
          <t>WB-DTL-04</t>
        </is>
      </c>
      <c r="D81" s="12" t="inlineStr">
        <is>
          <t>Edit membuka Form mode ubah dengan isi yang sama</t>
        </is>
      </c>
      <c r="E81" s="5" t="inlineStr">
        <is>
          <t>SPV-A</t>
        </is>
      </c>
      <c r="F81" s="5" t="inlineStr">
        <is>
          <t>—</t>
        </is>
      </c>
      <c r="G81" s="5" t="inlineStr">
        <is>
          <t>1. Login di web, buka /data/&lt;stasiun&gt;, lalu klik salah satu baris tabel untuk &lt;Stasiun&gt;. Catat seluruh nilai header dan isi grid.
2. Tekan Edit.
3. Bandingkan setiap kolom pada Form dengan catatan langkah 1.
4. Periksa kolom Production Line: dapat diubah atau terkunci?</t>
        </is>
      </c>
      <c r="H81" s="5" t="inlineStr">
        <is>
          <t>- Terbuka Form mode ubah (/data/&lt;stasiun&gt;/&lt;id&gt;/edit).
- Seluruh nilai sama dengan Detail — tidak ada yang kosong atau tergeser.
- Production Line terkunci pada mode ubah (lihat WB-FRM-02).</t>
        </is>
      </c>
      <c r="I81" s="13" t="inlineStr">
        <is>
          <t>Tinggi</t>
        </is>
      </c>
      <c r="J81" s="5" t="inlineStr">
        <is>
          <t>—</t>
        </is>
      </c>
      <c r="K81" s="10" t="inlineStr">
        <is>
          <t>18×</t>
        </is>
      </c>
      <c r="L81" s="5" t="inlineStr"/>
    </row>
    <row r="82" ht="109.6" customHeight="1">
      <c r="A82" s="14" t="n">
        <v>78</v>
      </c>
      <c r="B82" s="15" t="inlineStr">
        <is>
          <t>Web — Data Stasiun (WB-)</t>
        </is>
      </c>
      <c r="C82" s="16" t="inlineStr">
        <is>
          <t>WB-DTL-05</t>
        </is>
      </c>
      <c r="D82" s="17" t="inlineStr">
        <is>
          <t>Back kembali ke Data Browser dengan filter yang masih sama</t>
        </is>
      </c>
      <c r="E82" s="15" t="inlineStr">
        <is>
          <t>SPV-A</t>
        </is>
      </c>
      <c r="F82" s="15" t="inlineStr">
        <is>
          <t>—</t>
        </is>
      </c>
      <c r="G82" s="15" t="inlineStr">
        <is>
          <t>1. Login di web, lalu sidebar &gt; Data &gt; nama stasiun (/data/&lt;stasiun&gt;) untuk &lt;Stasiun&gt;. Terapkan satu filter dan buka halaman 2.
2. Catat isi filter dan nomor halaman.
3. Klik satu baris untuk membuka Detail.
4. Tekan Back.
5. Bandingkan filter dan halaman dengan catatan langkah 2.</t>
        </is>
      </c>
      <c r="H82" s="15" t="inlineStr">
        <is>
          <t>- Kembali ke Data Browser stasiun yang sama.
- Filternya masih sama — tidak tereset.
- Halaman yang sedang dibuka juga tetap, atau setidaknya filternya dipertahankan sehingga baris itu mudah ditemukan lagi.</t>
        </is>
      </c>
      <c r="I82" s="14" t="inlineStr">
        <is>
          <t>Sedang</t>
        </is>
      </c>
      <c r="J82" s="15" t="inlineStr">
        <is>
          <t>—</t>
        </is>
      </c>
      <c r="K82" s="14" t="inlineStr">
        <is>
          <t>18×</t>
        </is>
      </c>
      <c r="L82" s="15" t="inlineStr"/>
    </row>
    <row r="83" ht="149.2" customHeight="1">
      <c r="A83" s="10" t="n">
        <v>79</v>
      </c>
      <c r="B83" s="5" t="inlineStr">
        <is>
          <t>Web — Data Stasiun (WB-)</t>
        </is>
      </c>
      <c r="C83" s="11" t="inlineStr">
        <is>
          <t>WB-FRM-01</t>
        </is>
      </c>
      <c r="D83" s="12" t="inlineStr">
        <is>
          <t>Simpan berhasil, status langsung Tersimpan</t>
        </is>
      </c>
      <c r="E83" s="5" t="inlineStr">
        <is>
          <t>SPV-A</t>
        </is>
      </c>
      <c r="F83" s="5" t="inlineStr">
        <is>
          <t>periode Terbuka</t>
        </is>
      </c>
      <c r="G83" s="5" t="inlineStr">
        <is>
          <t>1. Pastikan periode stasiun ini Terbuka.
2. Login di web, buka /data/&lt;stasiun&gt;, lalu tekan Tambah (/data/&lt;stasiun&gt;/create) untuk &lt;Stasiun&gt; sebagai SPV-A.
3. Pilih Production Line, isi kolom identitas, isi tanggal.
4. Tambah satu baris slot waktu dan isi satu kolom bacaan.
5. Tekan Simpan.
6. Cari record itu di Data Browser dan baca kolom Status.</t>
        </is>
      </c>
      <c r="H83" s="5" t="inlineStr">
        <is>
          <t>- Simpan berhasil, dengan pesan konfirmasi.
- Status record langsung Tersimpan — bukan Draft, karena input web tidak punya alur draft.
- Record muncul di Data Browser tanpa perlu muat ulang manual.</t>
        </is>
      </c>
      <c r="I83" s="13" t="inlineStr">
        <is>
          <t>Tinggi</t>
        </is>
      </c>
      <c r="J83" s="5" t="inlineStr">
        <is>
          <t>—</t>
        </is>
      </c>
      <c r="K83" s="10" t="inlineStr">
        <is>
          <t>18×</t>
        </is>
      </c>
      <c r="L83" s="5" t="inlineStr"/>
    </row>
    <row r="84" ht="109.6" customHeight="1">
      <c r="A84" s="14" t="n">
        <v>80</v>
      </c>
      <c r="B84" s="15" t="inlineStr">
        <is>
          <t>Web — Data Stasiun (WB-)</t>
        </is>
      </c>
      <c r="C84" s="16" t="inlineStr">
        <is>
          <t>WB-FRM-02</t>
        </is>
      </c>
      <c r="D84" s="17" t="inlineStr">
        <is>
          <t>Production Line wajib pada mode tambah, terkunci pada mode ubah</t>
        </is>
      </c>
      <c r="E84" s="15" t="inlineStr">
        <is>
          <t>SPV-A</t>
        </is>
      </c>
      <c r="F84" s="15" t="inlineStr">
        <is>
          <t>—</t>
        </is>
      </c>
      <c r="G84" s="15" t="inlineStr">
        <is>
          <t>1. Login di web, buka /data/&lt;stasiun&gt;, lalu tekan Tambah (/data/&lt;stasiun&gt;/create) untuk &lt;Stasiun&gt;. Jangan pilih Production Line.
2. Isi kolom lain dengan benar, lalu tekan Simpan.
3. Pilih Production Line, Simpan lagi.
4. Buka record itu, tekan Edit.
5. Coba ubah Production Line pada mode ubah.</t>
        </is>
      </c>
      <c r="H84" s="15" t="inlineStr">
        <is>
          <t>- Langkah 2: ditolak, dengan pesan yang menunjuk kolom Production Line.
- Langkah 3: berhasil.
- Langkah 5: Production Line tidak dapat diubah — ia dipaku saat record dibuat, dan ada keterangan yang menyebutkannya.</t>
        </is>
      </c>
      <c r="I84" s="13" t="inlineStr">
        <is>
          <t>Tinggi</t>
        </is>
      </c>
      <c r="J84" s="15" t="inlineStr">
        <is>
          <t>—</t>
        </is>
      </c>
      <c r="K84" s="14" t="inlineStr">
        <is>
          <t>18×</t>
        </is>
      </c>
      <c r="L84" s="15" t="inlineStr"/>
    </row>
    <row r="85" ht="162.4" customHeight="1">
      <c r="A85" s="10" t="n">
        <v>81</v>
      </c>
      <c r="B85" s="5" t="inlineStr">
        <is>
          <t>Web — Data Stasiun (WB-)</t>
        </is>
      </c>
      <c r="C85" s="11" t="inlineStr">
        <is>
          <t>WB-FRM-03</t>
        </is>
      </c>
      <c r="D85" s="12" t="inlineStr">
        <is>
          <t>Kolom wajib dan tanggal divalidasi</t>
        </is>
      </c>
      <c r="E85" s="5" t="inlineStr">
        <is>
          <t>SPV-A</t>
        </is>
      </c>
      <c r="F85" s="5" t="inlineStr">
        <is>
          <t>—</t>
        </is>
      </c>
      <c r="G85" s="5" t="inlineStr">
        <is>
          <t>1. Login di web, buka /data/&lt;stasiun&gt;, lalu tekan Tambah (/data/&lt;stasiun&gt;/create) untuk &lt;Stasiun&gt;.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H85" s="5" t="inlineStr">
        <is>
          <t>- Setiap langkah ditolak; record tidak tersimpan.
- Setiap pesan galat muncul di sebelah kolom yang bersangkutan.
- Tanggal di luar periode terbuka ditolak dengan pesan yang menyebut periode.
- Isi kolom lain tidak hilang setiap kali penolakan terjadi.</t>
        </is>
      </c>
      <c r="I85" s="13" t="inlineStr">
        <is>
          <t>Tinggi</t>
        </is>
      </c>
      <c r="J85" s="5" t="inlineStr">
        <is>
          <t>—</t>
        </is>
      </c>
      <c r="K85" s="10" t="inlineStr">
        <is>
          <t>18×</t>
        </is>
      </c>
      <c r="L85" s="5" t="inlineStr"/>
    </row>
    <row r="86" ht="122.8" customHeight="1">
      <c r="A86" s="14" t="n">
        <v>82</v>
      </c>
      <c r="B86" s="15" t="inlineStr">
        <is>
          <t>Web — Data Stasiun (WB-)</t>
        </is>
      </c>
      <c r="C86" s="16" t="inlineStr">
        <is>
          <t>WB-FRM-04</t>
        </is>
      </c>
      <c r="D86" s="17" t="inlineStr">
        <is>
          <t>Aturan slot waktu sama seperti mobile</t>
        </is>
      </c>
      <c r="E86" s="15" t="inlineStr">
        <is>
          <t>SPV-A</t>
        </is>
      </c>
      <c r="F86" s="15" t="inlineStr">
        <is>
          <t>—</t>
        </is>
      </c>
      <c r="G86" s="15" t="inlineStr">
        <is>
          <t>1. Login di web, buka /data/&lt;stasiun&gt;, lalu tekan Tambah (/data/&lt;stasiun&gt;/create) untuk &lt;Stasiun&gt; (lewati untuk keempat stasiun per-transaksi).
2. Jalankan seluruh langkah MB-FORM-03 pada form web ini: coba slot menurun dan slot kembar.
3. Jalankan seluruh langkah MB-FORM-04: baca urutan 24 pilihan slot.</t>
        </is>
      </c>
      <c r="H86" s="15" t="inlineStr">
        <is>
          <t>- Aturan slotnya sama persis dengan mobile: harus menaik, tidak boleh kembar.
- Urutannya 07:00 → 23:00 → 00:00 → 06:00, tepat 24 pilihan.
- Bila web dan mobile berbeda di titik mana pun, catat perbedaannya — itu temuan.</t>
        </is>
      </c>
      <c r="I86" s="13" t="inlineStr">
        <is>
          <t>Tinggi</t>
        </is>
      </c>
      <c r="J86" s="15" t="inlineStr">
        <is>
          <t>—</t>
        </is>
      </c>
      <c r="K86" s="14" t="inlineStr">
        <is>
          <t>18×</t>
        </is>
      </c>
      <c r="L86" s="15" t="inlineStr">
        <is>
          <t>lewati untuk 4 stasiun per-transaksi</t>
        </is>
      </c>
    </row>
    <row r="87" ht="109.6" customHeight="1">
      <c r="A87" s="10" t="n">
        <v>83</v>
      </c>
      <c r="B87" s="5" t="inlineStr">
        <is>
          <t>Web — Data Stasiun (WB-)</t>
        </is>
      </c>
      <c r="C87" s="11" t="inlineStr">
        <is>
          <t>WB-FRM-05</t>
        </is>
      </c>
      <c r="D87" s="12" t="inlineStr">
        <is>
          <t>Melebihi 24 baris ditolak</t>
        </is>
      </c>
      <c r="E87" s="5" t="inlineStr">
        <is>
          <t>SPV-A</t>
        </is>
      </c>
      <c r="F87" s="5" t="inlineStr">
        <is>
          <t>—</t>
        </is>
      </c>
      <c r="G87" s="5" t="inlineStr">
        <is>
          <t>1. Login di web, buka /data/&lt;stasiun&gt;, lalu tekan Tambah (/data/&lt;stasiun&gt;/create) untuk &lt;Stasiun&gt; (lewati untuk keempat stasiun per-transaksi).
2. Isi header dengan benar.
3. Tambah baris terus-menerus sampai mencapai 24 baris.
4. Coba tambah baris ke-25.</t>
        </is>
      </c>
      <c r="H87" s="5" t="inlineStr">
        <is>
          <t>- Pada 24 baris, tombol tambah baris tidak lagi bisa dipakai, atau penambahan ditolak dengan pesan.
- Pesannya menyebut batas 24 slot.
- Simpan pada 24 baris tetap berhasil.</t>
        </is>
      </c>
      <c r="I87" s="10" t="inlineStr">
        <is>
          <t>Sedang</t>
        </is>
      </c>
      <c r="J87" s="5" t="inlineStr">
        <is>
          <t>—</t>
        </is>
      </c>
      <c r="K87" s="10" t="inlineStr">
        <is>
          <t>18×</t>
        </is>
      </c>
      <c r="L87" s="5" t="inlineStr">
        <is>
          <t>lewati untuk 4 stasiun per-transaksi</t>
        </is>
      </c>
    </row>
    <row r="88" ht="96.39999999999999" customHeight="1">
      <c r="A88" s="14" t="n">
        <v>84</v>
      </c>
      <c r="B88" s="15" t="inlineStr">
        <is>
          <t>Web — Data Stasiun (WB-)</t>
        </is>
      </c>
      <c r="C88" s="16" t="inlineStr">
        <is>
          <t>WB-FRM-06</t>
        </is>
      </c>
      <c r="D88" s="17" t="inlineStr">
        <is>
          <t>Minimal satu baris terisi</t>
        </is>
      </c>
      <c r="E88" s="15" t="inlineStr">
        <is>
          <t>SPV-A</t>
        </is>
      </c>
      <c r="F88" s="15" t="inlineStr">
        <is>
          <t>—</t>
        </is>
      </c>
      <c r="G88" s="15" t="inlineStr">
        <is>
          <t>1. Login di web, buka /data/&lt;stasiun&gt;, lalu tekan Tambah (/data/&lt;stasiun&gt;/create) untuk &lt;Stasiun&gt;.
2. Isi header dengan benar.
3. Tambah satu baris, pilih slot waktu, tapi jangan isi satu pun kolom bacaan.
4. Tekan Simpan.</t>
        </is>
      </c>
      <c r="H88" s="15" t="inlineStr">
        <is>
          <t>- Ditolak — record tidak tersimpan.
- Pesannya menyebut bahwa minimal satu baris harus punya slot waktu dan minimal satu kolom bacaan terisi.
- Perilakunya sama dengan MB-FORM-05 di mobile.</t>
        </is>
      </c>
      <c r="I88" s="13" t="inlineStr">
        <is>
          <t>Tinggi</t>
        </is>
      </c>
      <c r="J88" s="15" t="inlineStr">
        <is>
          <t>—</t>
        </is>
      </c>
      <c r="K88" s="14" t="inlineStr">
        <is>
          <t>18×</t>
        </is>
      </c>
      <c r="L88" s="15" t="inlineStr"/>
    </row>
    <row r="89" ht="109.6" customHeight="1">
      <c r="A89" s="10" t="n">
        <v>85</v>
      </c>
      <c r="B89" s="5" t="inlineStr">
        <is>
          <t>Web — Data Stasiun (WB-)</t>
        </is>
      </c>
      <c r="C89" s="11" t="inlineStr">
        <is>
          <t>WB-FRM-07</t>
        </is>
      </c>
      <c r="D89" s="12" t="inlineStr">
        <is>
          <t>Line tanpa stasiun aktif ditolak</t>
        </is>
      </c>
      <c r="E89" s="5" t="inlineStr">
        <is>
          <t>SPV-A</t>
        </is>
      </c>
      <c r="F89" s="5" t="inlineStr">
        <is>
          <t>—</t>
        </is>
      </c>
      <c r="G89" s="5" t="inlineStr">
        <is>
          <t>1. Sebagai ADM, siapkan satu Production Line yang tidak punya stasiun jenis ini dalam keadaan aktif.
2. Login di web, buka /data/&lt;stasiun&gt;, lalu tekan Tambah (/data/&lt;stasiun&gt;/create) untuk &lt;Stasiun&gt;, pilih Production Line itu.
3. Isi seluruh kolom dengan benar, tekan Simpan.</t>
        </is>
      </c>
      <c r="H89" s="5" t="inlineStr">
        <is>
          <t>- Ditolak dengan pesan yang menyebut bahwa Production Line itu tidak punya stasiun jenis ini yang aktif.
- BUKAN pesan galat teknis.
- Isi form tidak hilang.</t>
        </is>
      </c>
      <c r="I89" s="13" t="inlineStr">
        <is>
          <t>Tinggi</t>
        </is>
      </c>
      <c r="J89" s="5" t="inlineStr">
        <is>
          <t>—</t>
        </is>
      </c>
      <c r="K89" s="10" t="inlineStr">
        <is>
          <t>18×</t>
        </is>
      </c>
      <c r="L89" s="5" t="inlineStr"/>
    </row>
    <row r="90" ht="122.8" customHeight="1">
      <c r="A90" s="14" t="n">
        <v>86</v>
      </c>
      <c r="B90" s="15" t="inlineStr">
        <is>
          <t>Web — Data Stasiun (WB-)</t>
        </is>
      </c>
      <c r="C90" s="16" t="inlineStr">
        <is>
          <t>WB-FRM-08</t>
        </is>
      </c>
      <c r="D90" s="17" t="inlineStr">
        <is>
          <t>Pembatasan peran pada verifikasi</t>
        </is>
      </c>
      <c r="E90" s="15" t="inlineStr">
        <is>
          <t>SPV-A, MGR-A, ADM</t>
        </is>
      </c>
      <c r="F90" s="15" t="inlineStr">
        <is>
          <t>—</t>
        </is>
      </c>
      <c r="G90" s="15" t="inlineStr">
        <is>
          <t>1. Login di web, buka satu record, lalu tekan Edit (/data/&lt;stasiun&gt;/&lt;id&gt;/edit) untuk satu record &lt;Stasiun&gt; sebagai SPV-A.
2. Coba isi Checked By, lalu Simpan.
3. Coba isi Acknowledged By sebagai SPV-A.
4. Logout. Ulangi sebagai MGR-A: coba Acknowledged By, lalu coba Checked By.
5. Logout. Ulangi sebagai ADM: coba keduanya.</t>
        </is>
      </c>
      <c r="H90" s="15" t="inlineStr">
        <is>
          <t>- SPV-A: Checked By bisa, Acknowledged By tidak.
- MGR-A: Acknowledged By bisa, Checked By tidak.
- ADM: keduanya bisa.
- Kolom yang tidak boleh diisi disertai keterangan siapa yang berhak (lihat LS-14).</t>
        </is>
      </c>
      <c r="I90" s="13" t="inlineStr">
        <is>
          <t>Tinggi</t>
        </is>
      </c>
      <c r="J90" s="15" t="inlineStr">
        <is>
          <t>—</t>
        </is>
      </c>
      <c r="K90" s="14" t="inlineStr">
        <is>
          <t>18×</t>
        </is>
      </c>
      <c r="L90" s="15" t="inlineStr"/>
    </row>
    <row r="91" ht="109.6" customHeight="1">
      <c r="A91" s="10" t="n">
        <v>87</v>
      </c>
      <c r="B91" s="5" t="inlineStr">
        <is>
          <t>Web — Data Stasiun (WB-)</t>
        </is>
      </c>
      <c r="C91" s="11" t="inlineStr">
        <is>
          <t>WB-FRM-09</t>
        </is>
      </c>
      <c r="D91" s="12" t="inlineStr">
        <is>
          <t>Batal tidak menyimpan apa pun</t>
        </is>
      </c>
      <c r="E91" s="5" t="inlineStr">
        <is>
          <t>SPV-A</t>
        </is>
      </c>
      <c r="F91" s="5" t="inlineStr">
        <is>
          <t>—</t>
        </is>
      </c>
      <c r="G91" s="5" t="inlineStr">
        <is>
          <t>1. Login di web, buka satu record, lalu tekan Edit (/data/&lt;stasiun&gt;/&lt;id&gt;/edit) untuk satu record &lt;Stasiun&gt;. Catat nilai aslinya.
2. Ubah beberapa nilai: identitas, satu nilai pada grid, dan catatan.
3. Tekan Batal.
4. Buka Detail record itu dan bandingkan dengan catatan langkah 1.</t>
        </is>
      </c>
      <c r="H91" s="5" t="inlineStr">
        <is>
          <t>- Kembali ke layar sebelumnya.
- Seluruh nilai record tidak berubah — tidak satu pun suntingan tersimpan.
- Bila ada dialog konfirmasi saat Batal, isinya menyebut bahwa perubahan akan dibuang.</t>
        </is>
      </c>
      <c r="I91" s="10" t="inlineStr">
        <is>
          <t>Sedang</t>
        </is>
      </c>
      <c r="J91" s="5" t="inlineStr">
        <is>
          <t>—</t>
        </is>
      </c>
      <c r="K91" s="10" t="inlineStr">
        <is>
          <t>18×</t>
        </is>
      </c>
      <c r="L91" s="5" t="inlineStr"/>
    </row>
    <row r="92" ht="136" customHeight="1">
      <c r="A92" s="14" t="n">
        <v>88</v>
      </c>
      <c r="B92" s="15" t="inlineStr">
        <is>
          <t>Web — Data Stasiun (WB-)</t>
        </is>
      </c>
      <c r="C92" s="16" t="inlineStr">
        <is>
          <t>WB-FRM-10</t>
        </is>
      </c>
      <c r="D92" s="17" t="inlineStr">
        <is>
          <t>Ubah record berhasil dan terlihat di Detail</t>
        </is>
      </c>
      <c r="E92" s="15" t="inlineStr">
        <is>
          <t>SPV-A</t>
        </is>
      </c>
      <c r="F92" s="15" t="inlineStr">
        <is>
          <t>—</t>
        </is>
      </c>
      <c r="G92" s="15" t="inlineStr">
        <is>
          <t>1. Login di web, buka satu record, lalu tekan Edit (/data/&lt;stasiun&gt;/&lt;id&gt;/edit) untuk satu record &lt;Stasiun&gt;.
2. Ubah kolom identitas, ubah satu nilai pada grid, dan isi catatan.
3. Tekan Simpan.
4. Buka Detail record itu dan bandingkan ketiga perubahan.
5. Buka Data Browser dan periksa baris record itu.</t>
        </is>
      </c>
      <c r="H92" s="15" t="inlineStr">
        <is>
          <t>- Simpan berhasil.
- Ketiga perubahan terlihat di Detail.
- Baris di Data Browser juga menunjukkan identitas yang baru.</t>
        </is>
      </c>
      <c r="I92" s="13" t="inlineStr">
        <is>
          <t>Tinggi</t>
        </is>
      </c>
      <c r="J92" s="15" t="inlineStr">
        <is>
          <t>—</t>
        </is>
      </c>
      <c r="K92" s="14" t="inlineStr">
        <is>
          <t>18×</t>
        </is>
      </c>
      <c r="L92" s="15" t="inlineStr"/>
    </row>
    <row r="93" ht="149.2" customHeight="1">
      <c r="A93" s="10" t="n">
        <v>89</v>
      </c>
      <c r="B93" s="5" t="inlineStr">
        <is>
          <t>Web — Data Stasiun (WB-)</t>
        </is>
      </c>
      <c r="C93" s="11" t="inlineStr">
        <is>
          <t>WB-FRM-11</t>
        </is>
      </c>
      <c r="D93" s="12" t="inlineStr">
        <is>
          <t>Hapus baris mengurangi "Jumlah Baris Terisi"</t>
        </is>
      </c>
      <c r="E93" s="5" t="inlineStr">
        <is>
          <t>SPV-A</t>
        </is>
      </c>
      <c r="F93" s="5" t="inlineStr">
        <is>
          <t>record dengan 3 baris terisi</t>
        </is>
      </c>
      <c r="G93" s="5" t="inlineStr">
        <is>
          <t>1. Siapkan satu record dengan 3 baris terisi.
2. Login di web, lalu sidebar &gt; Data &gt; nama stasiun (/data/&lt;stasiun&gt;) untuk &lt;Stasiun&gt;. Catat kolom Jumlah Baris Terisi pada record itu.
3. Buka Detail → Edit.
4. Hapus satu baris dari grid, lalu tekan Simpan.
5. Kembali ke Data Browser dan baca kolom Jumlah Baris Terisi lagi.</t>
        </is>
      </c>
      <c r="H93" s="5" t="inlineStr">
        <is>
          <t>- Angkanya turun dari 3 menjadi 2 — penyebutnya tetap 24.
- Detail record juga hanya menampilkan 2 baris.
- Baris yang dihapus tidak kembali setelah muat ulang.</t>
        </is>
      </c>
      <c r="I93" s="10" t="inlineStr">
        <is>
          <t>Sedang</t>
        </is>
      </c>
      <c r="J93" s="5" t="inlineStr">
        <is>
          <t>—</t>
        </is>
      </c>
      <c r="K93" s="10" t="inlineStr">
        <is>
          <t>18×</t>
        </is>
      </c>
      <c r="L93" s="5" t="inlineStr"/>
    </row>
    <row r="94" ht="162.4" customHeight="1">
      <c r="A94" s="14" t="n">
        <v>90</v>
      </c>
      <c r="B94" s="15" t="inlineStr">
        <is>
          <t>Laporan Periode Stasiun (LP-)</t>
        </is>
      </c>
      <c r="C94" s="16" t="inlineStr">
        <is>
          <t>LP-W-01</t>
        </is>
      </c>
      <c r="D94" s="17" t="inlineStr">
        <is>
          <t>Laporan tampil lengkap setelah periode dan line dipilih</t>
        </is>
      </c>
      <c r="E94" s="15" t="inlineStr">
        <is>
          <t>SPV-A</t>
        </is>
      </c>
      <c r="F94" s="15" t="inlineStr">
        <is>
          <t>periode dengan data terisi pada satu line</t>
        </is>
      </c>
      <c r="G94" s="15" t="inlineStr">
        <is>
          <t>1. Siapkan satu periode untuk stasiun ini dengan data terisi pada satu Production Line.
2. Login di web (buka /login, isi username dan password akun pada kolom Peran, tekan Login) sebagai SPV-A, sidebar → Laporan Stasiun, tekan tile &lt;Stasiun&gt;.
3. Sebelum memilih apa pun, baca isi layar.
4. Pilih Periode. Baca layar lagi.
5. Pilih Production Line.
6. Catat bagian-bagian yang muncul: cakupan, kartu parameter, rekap harian, rekap per unit, dan tombol ekspor.</t>
        </is>
      </c>
      <c r="H94" s="1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I94" s="13" t="inlineStr">
        <is>
          <t>Tinggi</t>
        </is>
      </c>
      <c r="J94" s="15" t="inlineStr">
        <is>
          <t>—</t>
        </is>
      </c>
      <c r="K94" s="14" t="inlineStr">
        <is>
          <t>11×</t>
        </is>
      </c>
      <c r="L94" s="15" t="inlineStr"/>
    </row>
    <row r="95" ht="109.6" customHeight="1">
      <c r="A95" s="10" t="n">
        <v>91</v>
      </c>
      <c r="B95" s="5" t="inlineStr">
        <is>
          <t>Laporan Periode Stasiun (LP-)</t>
        </is>
      </c>
      <c r="C95" s="11" t="inlineStr">
        <is>
          <t>LP-W-02</t>
        </is>
      </c>
      <c r="D95" s="12" t="inlineStr">
        <is>
          <t>Cakupan pencatatan berada DI ATAS semua angka lain</t>
        </is>
      </c>
      <c r="E95" s="5" t="inlineStr">
        <is>
          <t>SPV-A</t>
        </is>
      </c>
      <c r="F95" s="5" t="inlineStr">
        <is>
          <t>—</t>
        </is>
      </c>
      <c r="G95" s="5" t="inlineStr">
        <is>
          <t>1. Login di web, sidebar &gt; Laporan Stasiun (/reports), tekan tile stasiunnya, lalu pilih Periode dan Production Line untuk &lt;Stasiun&gt;, pilih periode dan line yang punya data.
2. Gulir ke paling atas.
3. Catat urutan bagian dari atas ke bawah.
4. Tentukan posisi bagian Cakupan Pencatatan relatif terhadap kartu parameter.</t>
        </is>
      </c>
      <c r="H9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I95" s="13" t="inlineStr">
        <is>
          <t>Tinggi</t>
        </is>
      </c>
      <c r="J95" s="5" t="inlineStr">
        <is>
          <t>—</t>
        </is>
      </c>
      <c r="K95" s="10" t="inlineStr">
        <is>
          <t>11×</t>
        </is>
      </c>
      <c r="L95" s="5" t="inlineStr">
        <is>
          <t>periode yang baru terisi seperlima pun menghasilkan rata-rata yang terlihat rapi. Pembaca harus melihat seberapa lengkap datanya sebelum mempercayai angkanya — itu sebabnya urutan ini diuji.</t>
        </is>
      </c>
    </row>
    <row r="96" ht="162.4" customHeight="1">
      <c r="A96" s="14" t="n">
        <v>92</v>
      </c>
      <c r="B96" s="15" t="inlineStr">
        <is>
          <t>Laporan Periode Stasiun (LP-)</t>
        </is>
      </c>
      <c r="C96" s="16" t="inlineStr">
        <is>
          <t>LP-W-03</t>
        </is>
      </c>
      <c r="D96" s="17" t="inlineStr">
        <is>
          <t>Setiap parameter mencetak penyebutnya sendiri</t>
        </is>
      </c>
      <c r="E96" s="15" t="inlineStr">
        <is>
          <t>SPV-A</t>
        </is>
      </c>
      <c r="F96" s="15" t="inlineStr">
        <is>
          <t>periode yang kolom-kolomnya terisi tidak sama banyak (mis. satu kolom 6 slot, kolom lain 2 slot)</t>
        </is>
      </c>
      <c r="G96" s="15" t="inlineStr">
        <is>
          <t>1. Siapkan satu periode yang kolom-kolomnya terisi tidak sama banyak — mis. satu kolom terisi pada 6 slot, kolom lain hanya 2 slot.
2. Login di web, sidebar &gt; Laporan Stasiun (/reports), tekan tile stasiunnya, lalu pilih Periode dan Production Line untuk &lt;Stasiun&gt; dengan periode itu.
3. Baca setiap kartu parameter dan catat penyebut yang tertulis pada masing-masing.
4. Bandingkan penyebut antar kartu.
5. Catat juga angka slot terisi pada bagian Cakupan.</t>
        </is>
      </c>
      <c r="H96" s="1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I96" s="13" t="inlineStr">
        <is>
          <t>Tinggi</t>
        </is>
      </c>
      <c r="J96" s="15" t="inlineStr">
        <is>
          <t>—</t>
        </is>
      </c>
      <c r="K96" s="14" t="inlineStr">
        <is>
          <t>11×</t>
        </is>
      </c>
      <c r="L96" s="15" t="inlineStr"/>
    </row>
    <row r="97" ht="149.2" customHeight="1">
      <c r="A97" s="10" t="n">
        <v>93</v>
      </c>
      <c r="B97" s="5" t="inlineStr">
        <is>
          <t>Laporan Periode Stasiun (LP-)</t>
        </is>
      </c>
      <c r="C97" s="11" t="inlineStr">
        <is>
          <t>LP-W-04</t>
        </is>
      </c>
      <c r="D97" s="12" t="inlineStr">
        <is>
          <t>Semua baris parameter tetap tampil, termasuk yang tak pernah diukur</t>
        </is>
      </c>
      <c r="E97" s="5" t="inlineStr">
        <is>
          <t>SPV-A</t>
        </is>
      </c>
      <c r="F97" s="5" t="inlineStr">
        <is>
          <t>satu kolom yang tidak pernah diisi sepanjang periode</t>
        </is>
      </c>
      <c r="G97" s="5" t="inlineStr">
        <is>
          <t>1. Siapkan periode di mana satu kolom bacaan tidak pernah diisi sepanjang periode.
2. Login di web, sidebar &gt; Laporan Stasiun (/reports), tekan tile stasiunnya, lalu pilih Periode dan Production Line untuk &lt;Stasiun&gt; dengan periode itu.
3. Hitung jumlah kartu parameter dan bandingkan dengan jumlah kolom bacaan stasiun itu (matriks 4.2).
4. Cari kartu milik kolom yang tidak pernah diisi, dan baca isinya.</t>
        </is>
      </c>
      <c r="H9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I97" s="13" t="inlineStr">
        <is>
          <t>Tinggi</t>
        </is>
      </c>
      <c r="J97" s="5" t="inlineStr">
        <is>
          <t>—</t>
        </is>
      </c>
      <c r="K97" s="10" t="inlineStr">
        <is>
          <t>11×</t>
        </is>
      </c>
      <c r="L97" s="5" t="inlineStr">
        <is>
          <t>baris yang hilang terbaca "parameter ini tidak ada", padahal yang benar "tidak ada yang mengukurnya".</t>
        </is>
      </c>
    </row>
    <row r="98" ht="136" customHeight="1">
      <c r="A98" s="14" t="n">
        <v>94</v>
      </c>
      <c r="B98" s="15" t="inlineStr">
        <is>
          <t>Laporan Periode Stasiun (LP-)</t>
        </is>
      </c>
      <c r="C98" s="16" t="inlineStr">
        <is>
          <t>LP-W-05</t>
        </is>
      </c>
      <c r="D98" s="17" t="inlineStr">
        <is>
          <t>Persen cakupan: tanda pisah vs 0,0%</t>
        </is>
      </c>
      <c r="E98" s="15" t="inlineStr">
        <is>
          <t>SPV-A</t>
        </is>
      </c>
      <c r="F98" s="15" t="inlineStr">
        <is>
          <t>dua keadaan — (a) periode tanpa satu record pun, (b) periode yang punya record tapi seluruh kolomnya kosong</t>
        </is>
      </c>
      <c r="G98" s="15" t="inlineStr">
        <is>
          <t>1. Siapkan dua periode: (a) periode tanpa satu record pun, dan (b) periode yang punya record tapi seluruh kolom bacaannya kosong.
2. Login di web, sidebar &gt; Laporan Stasiun (/reports), tekan tile stasiunnya, lalu pilih Periode dan Production Line untuk &lt;Stasiun&gt; dengan periode (a). Baca persen cakupannya.
3. Ganti ke periode (b). Baca persen cakupannya.
4. Bandingkan keduanya.</t>
        </is>
      </c>
      <c r="H98" s="1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I98" s="13" t="inlineStr">
        <is>
          <t>Tinggi</t>
        </is>
      </c>
      <c r="J98" s="15" t="inlineStr">
        <is>
          <t>—</t>
        </is>
      </c>
      <c r="K98" s="14" t="inlineStr">
        <is>
          <t>11×</t>
        </is>
      </c>
      <c r="L98" s="15" t="inlineStr">
        <is>
          <t>keduanya benar dan berbeda. (a) penyebutnya tak terbentuk — tak ada unit untuk dihitung. (b) penyebutnya ada, dan nol dari sekian slot memang terisi. Kalau keduanya terlihat sama, itu bug.</t>
        </is>
      </c>
    </row>
    <row r="99" ht="122.8" customHeight="1">
      <c r="A99" s="10" t="n">
        <v>95</v>
      </c>
      <c r="B99" s="5" t="inlineStr">
        <is>
          <t>Laporan Periode Stasiun (LP-)</t>
        </is>
      </c>
      <c r="C99" s="11" t="inlineStr">
        <is>
          <t>LP-W-06</t>
        </is>
      </c>
      <c r="D99" s="12" t="inlineStr">
        <is>
          <t>Periode belum mulai dijelaskan sebagai BELUM MULAI</t>
        </is>
      </c>
      <c r="E99" s="5" t="inlineStr">
        <is>
          <t>SPV-A</t>
        </is>
      </c>
      <c r="F99" s="5" t="inlineStr">
        <is>
          <t>periode yang tanggal mulainya di masa depan</t>
        </is>
      </c>
      <c r="G99" s="5" t="inlineStr">
        <is>
          <t>1. Sebagai ADM, siapkan satu periode yang tanggal mulainya di masa depan.
2. Login di web, sidebar &gt; Laporan Stasiun (/reports), tekan tile stasiunnya, lalu pilih Periode dan Production Line untuk &lt;Stasiun&gt;, pilih periode itu dan satu line.
3. Baca keterangan di bagian Cakupan.
4. Baca angka hari yang dihitung dan persen cakupannya.</t>
        </is>
      </c>
      <c r="H9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I99" s="13" t="inlineStr">
        <is>
          <t>Tinggi</t>
        </is>
      </c>
      <c r="J99" s="5" t="inlineStr">
        <is>
          <t>—</t>
        </is>
      </c>
      <c r="K99" s="10" t="inlineStr">
        <is>
          <t>11×</t>
        </is>
      </c>
      <c r="L99" s="5" t="inlineStr">
        <is>
          <t>kedua keterangan ini mudah tertukar di sistem. Kalau periode masa depan dijelaskan "sedang berjalan", itu bug.</t>
        </is>
      </c>
    </row>
    <row r="100" ht="175.6" customHeight="1">
      <c r="A100" s="14" t="n">
        <v>96</v>
      </c>
      <c r="B100" s="15" t="inlineStr">
        <is>
          <t>Laporan Periode Stasiun (LP-)</t>
        </is>
      </c>
      <c r="C100" s="16" t="inlineStr">
        <is>
          <t>LP-W-07</t>
        </is>
      </c>
      <c r="D100" s="17" t="inlineStr">
        <is>
          <t>Periode sedang berjalan: penyebut berhenti di hari ini</t>
        </is>
      </c>
      <c r="E100" s="15" t="inlineStr">
        <is>
          <t>SPV-A</t>
        </is>
      </c>
      <c r="F100" s="15" t="inlineStr">
        <is>
          <t>periode yang sudah mulai dan belum berakhir</t>
        </is>
      </c>
      <c r="G100" s="15" t="inlineStr">
        <is>
          <t>1. Siapkan satu periode yang sudah mulai dan belum berakhir (hari ini berada di tengahnya).
2. Login di web, sidebar &gt; Laporan Stasiun (/reports), tekan tile stasiunnya, lalu pilih Periode dan Production Line untuk &lt;Stasiun&gt; dengan periode itu.
3. Baca keterangan di bagian Cakupan.
4. Hitung sendiri: dari tanggal mulai sampai hari ini, berapa hari? Bandingkan dengan angka hari yang dicetak.
5. Hitung juga seluruh panjang periode dan pastikan angkanya bukan itu.</t>
        </is>
      </c>
      <c r="H100" s="15" t="inlineStr">
        <is>
          <t>- Keterangannya menyebut periode sedang berjalan.
- Jumlah hari yang dihitung berhenti di hari ini — bukan seluruh panjang periode.
- Kalau yang dipakai seluruh panjang periode, persen cakupan akan selalu terlihat rendah sampai periode berakhir; itu temuan.</t>
        </is>
      </c>
      <c r="I100" s="13" t="inlineStr">
        <is>
          <t>Tinggi</t>
        </is>
      </c>
      <c r="J100" s="15" t="inlineStr">
        <is>
          <t>—</t>
        </is>
      </c>
      <c r="K100" s="14" t="inlineStr">
        <is>
          <t>11×</t>
        </is>
      </c>
      <c r="L100" s="15" t="inlineStr"/>
    </row>
    <row r="101" ht="96.39999999999999" customHeight="1">
      <c r="A101" s="10" t="n">
        <v>97</v>
      </c>
      <c r="B101" s="5" t="inlineStr">
        <is>
          <t>Laporan Periode Stasiun (LP-)</t>
        </is>
      </c>
      <c r="C101" s="11" t="inlineStr">
        <is>
          <t>LP-W-08</t>
        </is>
      </c>
      <c r="D101" s="12" t="inlineStr">
        <is>
          <t>Mill tanpa periode stasiun itu memberi arahan</t>
        </is>
      </c>
      <c r="E101" s="5" t="inlineStr">
        <is>
          <t>SPV-A</t>
        </is>
      </c>
      <c r="F101" s="5" t="inlineStr">
        <is>
          <t>mill yang belum punya periode mencakup stasiun itu</t>
        </is>
      </c>
      <c r="G101" s="5" t="inlineStr">
        <is>
          <t>1. Siapkan satu mill yang belum punya periode mencakup stasiun ini.
2. Login di web (buka /login, isi username dan password akun pada kolom Peran, tekan Login) sebagai ADM, buka laporan &lt;Stasiun&gt;, lalu pilih mill itu.
3. Baca isi layar dan pemilih periodenya.</t>
        </is>
      </c>
      <c r="H101" s="5" t="inlineStr">
        <is>
          <t>- Muncul arahan yang menyebut periode — mis. agar Admin membuat periode lebih dulu.
- Pemilih periode tetap ada, dalam keadaan kosong.
- BUKAN layar kosong, BUKAN tabel nol baris, BUKAN angka 0.</t>
        </is>
      </c>
      <c r="I101" s="10" t="inlineStr">
        <is>
          <t>Sedang</t>
        </is>
      </c>
      <c r="J101" s="5" t="inlineStr">
        <is>
          <t>—</t>
        </is>
      </c>
      <c r="K101" s="10" t="inlineStr">
        <is>
          <t>11×</t>
        </is>
      </c>
      <c r="L101" s="5" t="inlineStr"/>
    </row>
    <row r="102" ht="162.4" customHeight="1">
      <c r="A102" s="14" t="n">
        <v>98</v>
      </c>
      <c r="B102" s="15" t="inlineStr">
        <is>
          <t>Laporan Periode Stasiun (LP-)</t>
        </is>
      </c>
      <c r="C102" s="16" t="inlineStr">
        <is>
          <t>LP-W-09</t>
        </is>
      </c>
      <c r="D102" s="17" t="inlineStr">
        <is>
          <t>Admin berganti mill mereset pilihan periode dan line</t>
        </is>
      </c>
      <c r="E102" s="15" t="inlineStr">
        <is>
          <t>ADM</t>
        </is>
      </c>
      <c r="F102" s="15" t="inlineStr">
        <is>
          <t>2 mill, keduanya punya data</t>
        </is>
      </c>
      <c r="G102" s="15" t="inlineStr">
        <is>
          <t>1. Siapkan 2 mill yang keduanya punya periode dan data untuk stasiun ini.
2. Login di web, sidebar &gt; Laporan Stasiun (/reports), tekan tile stasiunnya, lalu pilih Periode dan Production Line untuk &lt;Stasiun&gt; sebagai ADM. Pilih Mill A, satu periode, dan satu line. Catat angkanya.
3. Ganti pemilih Mill ke Mill B.
4. Baca pemilih periode dan pemilih line, serta area angka.
5. Pilih periode dan line Mill B, lalu catat angkanya.</t>
        </is>
      </c>
      <c r="H102" s="1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I102" s="13" t="inlineStr">
        <is>
          <t>Tinggi</t>
        </is>
      </c>
      <c r="J102" s="15" t="inlineStr">
        <is>
          <t>—</t>
        </is>
      </c>
      <c r="K102" s="14" t="inlineStr">
        <is>
          <t>11×</t>
        </is>
      </c>
      <c r="L102" s="15" t="inlineStr"/>
    </row>
    <row r="103" ht="162.4" customHeight="1">
      <c r="A103" s="10" t="n">
        <v>99</v>
      </c>
      <c r="B103" s="5" t="inlineStr">
        <is>
          <t>Laporan Periode Stasiun (LP-)</t>
        </is>
      </c>
      <c r="C103" s="11" t="inlineStr">
        <is>
          <t>LP-W-10</t>
        </is>
      </c>
      <c r="D103" s="12" t="inlineStr">
        <is>
          <t>Rekap harian dapat ditutup tanpa mengubah angka</t>
        </is>
      </c>
      <c r="E103" s="5" t="inlineStr">
        <is>
          <t>SPV-A</t>
        </is>
      </c>
      <c r="F103" s="5" t="inlineStr">
        <is>
          <t>—</t>
        </is>
      </c>
      <c r="G103" s="5" t="inlineStr">
        <is>
          <t>1. Login di web, sidebar &gt; Laporan Stasiun (/reports), tekan tile stasiunnya, lalu pilih Periode dan Production Line untuk &lt;Stasiun&gt;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H103" s="5" t="inlineStr">
        <is>
          <t>- Rekap Harian terbuka secara bawaan.
- Menutupnya tidak mengubah satu angka pun di bagian lain.
- Membukanya kembali menampilkan isi yang sama.</t>
        </is>
      </c>
      <c r="I103" s="10" t="inlineStr">
        <is>
          <t>Rendah</t>
        </is>
      </c>
      <c r="J103" s="5" t="inlineStr">
        <is>
          <t>—</t>
        </is>
      </c>
      <c r="K103" s="10" t="inlineStr">
        <is>
          <t>11×</t>
        </is>
      </c>
      <c r="L103" s="5" t="inlineStr"/>
    </row>
    <row r="104" ht="188.8" customHeight="1">
      <c r="A104" s="14" t="n">
        <v>100</v>
      </c>
      <c r="B104" s="15" t="inlineStr">
        <is>
          <t>Laporan Periode Stasiun (LP-)</t>
        </is>
      </c>
      <c r="C104" s="16" t="inlineStr">
        <is>
          <t>LP-W-11</t>
        </is>
      </c>
      <c r="D104" s="17" t="inlineStr">
        <is>
          <t>Baris total periode bukan rata-rata dari rata-rata harian</t>
        </is>
      </c>
      <c r="E104" s="15" t="inlineStr">
        <is>
          <t>SPV-A</t>
        </is>
      </c>
      <c r="F104" s="15" t="inlineStr">
        <is>
          <t>periode yang jumlah slot per harinya tidak sama (mis. hari-1 isi 2 slot, hari-2 isi 20 slot) dengan nilai yang berbeda jauh</t>
        </is>
      </c>
      <c r="G104" s="15" t="inlineStr">
        <is>
          <t>1. Siapkan periode dengan jumlah slot per hari yang sangat tidak sama — mis. hari-1 hanya 2 slot terisi dengan nilai tinggi, hari-2 20 slot terisi dengan nilai rendah.
2. Login di web, sidebar &gt; Laporan Stasiun (/reports), tekan tile stasiunnya, lalu pilih Periode dan Production Line untuk &lt;Stasiun&gt; dengan periode itu.
3. Catat rata-rata hari-1 dan rata-rata hari-2 pada Rekap Harian.
4. Hitung sendiri rata-rata dari kedua angka itu (jumlahkan lalu bagi 2).
5. Catat angka pada baris total periode.
6. Bandingkan langkah 4 dengan langkah 5.</t>
        </is>
      </c>
      <c r="H104" s="15" t="inlineStr">
        <is>
          <t>- Angka total periode berbeda dari hasil hitungan langkah 4.
- Total periode dihitung ulang dari seluruh slot, bukan dirata-ratakan dari rata-rata harian.
- Kalau keduanya sama, itu temuan: hari dengan 2 slot akan berbobot sama dengan hari 20 slot.</t>
        </is>
      </c>
      <c r="I104" s="14" t="inlineStr">
        <is>
          <t>Sedang</t>
        </is>
      </c>
      <c r="J104" s="15" t="inlineStr">
        <is>
          <t>—</t>
        </is>
      </c>
      <c r="K104" s="14" t="inlineStr">
        <is>
          <t>11×</t>
        </is>
      </c>
      <c r="L104" s="15" t="inlineStr"/>
    </row>
    <row r="105" ht="175.6" customHeight="1">
      <c r="A105" s="10" t="n">
        <v>101</v>
      </c>
      <c r="B105" s="5" t="inlineStr">
        <is>
          <t>Laporan Periode Stasiun (LP-)</t>
        </is>
      </c>
      <c r="C105" s="11" t="inlineStr">
        <is>
          <t>LP-W-12</t>
        </is>
      </c>
      <c r="D105" s="12" t="inlineStr">
        <is>
          <t>Downtime: tanda pisah vs nol yang tercatat</t>
        </is>
      </c>
      <c r="E105" s="5" t="inlineStr">
        <is>
          <t>SPV-A</t>
        </is>
      </c>
      <c r="F105" s="5" t="inlineStr">
        <is>
          <t>stasiun yang punya kolom downtime angka (Depricarping, Kernel Plant). Dua keadaan: (a) tak satu slot pun mengisi downtime, (b) beberapa slot mengisi 0 menit</t>
        </is>
      </c>
      <c r="G105" s="5" t="inlineStr">
        <is>
          <t>1. Pilih stasiun yang punya kolom downtime angka: Depricarping atau Kernel Plant.
2. Siapkan periode (a) di mana tidak satu slot pun mengisi downtime.
3. Login di web, sidebar &gt; Laporan Stasiun (/reports), tekan tile stasiunnya, lalu pilih Periode dan Production Line untuk stasiun itu dengan periode (a). Baca blok downtime dan rekap per unit.
4. Siapkan periode (b) di mana beberapa slot mengisi downtime dengan nilai 0.
5. Ganti ke periode (b) dan baca blok downtime lagi.</t>
        </is>
      </c>
      <c r="H105" s="5" t="inlineStr">
        <is>
          <t>- Periode (a): downtime tampil sebagai tanda pisah "—" atau keterangan ketiadaan, bukan 0 menit.
- Periode (b): downtime tampil sebagai 0 menit — nol yang benar-benar terukur.
- Keduanya berbeda: tidak pernah dicatat bukan hal yang sama dengan dicatat nol.</t>
        </is>
      </c>
      <c r="I105" s="13" t="inlineStr">
        <is>
          <t>Tinggi</t>
        </is>
      </c>
      <c r="J105" s="5" t="inlineStr">
        <is>
          <t>—</t>
        </is>
      </c>
      <c r="K105" s="10" t="inlineStr">
        <is>
          <t>11×</t>
        </is>
      </c>
      <c r="L105" s="5" t="inlineStr">
        <is>
          <t>"tercatat 0 menit" berarti seseorang menyatakan stasiun tidak berhenti. "Tidak dicatat" berarti tidak ada yang mengisinya. Keduanya tidak boleh terlihat sama.</t>
        </is>
      </c>
    </row>
    <row r="106" ht="136" customHeight="1">
      <c r="A106" s="14" t="n">
        <v>102</v>
      </c>
      <c r="B106" s="15" t="inlineStr">
        <is>
          <t>Laporan Periode Stasiun (LP-)</t>
        </is>
      </c>
      <c r="C106" s="16" t="inlineStr">
        <is>
          <t>LP-W-13</t>
        </is>
      </c>
      <c r="D106" s="17" t="inlineStr">
        <is>
          <t>Temuan dikelompokkan harfiah, dua ejaan jadi dua baris</t>
        </is>
      </c>
      <c r="E106" s="15" t="inlineStr">
        <is>
          <t>SPV-A</t>
        </is>
      </c>
      <c r="F106" s="15" t="inlineStr">
        <is>
          <t>dua record dengan temuan yang hanya beda huruf besar-kecil atau spasi (mis. Bearing panas dan bearing panas)</t>
        </is>
      </c>
      <c r="G106" s="15" t="inlineStr">
        <is>
          <t>1. Siapkan dua record dengan temuan yang hanya beda huruf besar-kecil atau spasi — mis. Bearing panas dan bearing panas.
2. Login di web, sidebar &gt; Laporan Stasiun (/reports), tekan tile stasiunnya, lalu pilih Periode dan Production Line untuk &lt;Stasiun&gt; dengan periode itu.
3. Cari daftar/ringkasan Temuan.
4. Hitung berapa baris yang muncul untuk kedua teks itu.</t>
        </is>
      </c>
      <c r="H106" s="15" t="inlineStr">
        <is>
          <t>- Muncul dua baris terpisah — pengelompokannya harfiah, apa adanya.
- Sistem tidak menyatukan ejaan yang berbeda; menyatukannya berarti menebak maksud operator.
- Masing-masing membawa jumlah kemunculannya sendiri.</t>
        </is>
      </c>
      <c r="I106" s="14" t="inlineStr">
        <is>
          <t>Sedang</t>
        </is>
      </c>
      <c r="J106" s="15" t="inlineStr">
        <is>
          <t>—</t>
        </is>
      </c>
      <c r="K106" s="14" t="inlineStr">
        <is>
          <t>11×</t>
        </is>
      </c>
      <c r="L106" s="15" t="inlineStr">
        <is>
          <t>menggabungkan keduanya akan menyatukan hal yang mungkin bukan satu hal. Yang dilaporkan sebagai bug adalah kalau keduanya digabung, atau kalau keterangannya hilang.</t>
        </is>
      </c>
    </row>
    <row r="107" ht="136" customHeight="1">
      <c r="A107" s="10" t="n">
        <v>103</v>
      </c>
      <c r="B107" s="5" t="inlineStr">
        <is>
          <t>Laporan Periode Stasiun (LP-)</t>
        </is>
      </c>
      <c r="C107" s="11" t="inlineStr">
        <is>
          <t>LP-W-14</t>
        </is>
      </c>
      <c r="D107" s="12" t="inlineStr">
        <is>
          <t>Temuan terpisah dari downtime</t>
        </is>
      </c>
      <c r="E107" s="5" t="inlineStr">
        <is>
          <t>SPV-A</t>
        </is>
      </c>
      <c r="F107" s="5" t="inlineStr">
        <is>
          <t>satu slot yang mengisi downtime dan temuan sekaligus</t>
        </is>
      </c>
      <c r="G107" s="5" t="inlineStr">
        <is>
          <t>1. Siapkan satu slot yang mengisi downtime dan temuan sekaligus, dan satu slot yang mengisi temuan saja.
2. Login di web, sidebar &gt; Laporan Stasiun (/reports), tekan tile stasiunnya, lalu pilih Periode dan Production Line untuk &lt;Stasiun&gt; dengan periode itu.
3. Baca blok downtime dan daftar temuan.
4. Periksa apakah slot "temuan saja" ikut menambah angka downtime.</t>
        </is>
      </c>
      <c r="H107" s="5" t="inlineStr">
        <is>
          <t>- Keduanya dihitung terpisah: slot yang hanya mengisi temuan tidak menambah menit downtime.
- Slot yang mengisi keduanya muncul di kedua tempat.
- Daftar temuan tidak hanya memuat temuan yang punya downtime.</t>
        </is>
      </c>
      <c r="I107" s="10" t="inlineStr">
        <is>
          <t>Sedang</t>
        </is>
      </c>
      <c r="J107" s="5" t="inlineStr">
        <is>
          <t>—</t>
        </is>
      </c>
      <c r="K107" s="10" t="inlineStr">
        <is>
          <t>11×</t>
        </is>
      </c>
      <c r="L107" s="5" t="inlineStr"/>
    </row>
    <row r="108" ht="122.8" customHeight="1">
      <c r="A108" s="14" t="n">
        <v>104</v>
      </c>
      <c r="B108" s="15" t="inlineStr">
        <is>
          <t>Laporan Periode Stasiun (LP-)</t>
        </is>
      </c>
      <c r="C108" s="16" t="inlineStr">
        <is>
          <t>LP-W-15</t>
        </is>
      </c>
      <c r="D108" s="17" t="inlineStr">
        <is>
          <t>Bagian "standar tanpa pengukuran" tetap digambar walau kosong</t>
        </is>
      </c>
      <c r="E108" s="15" t="inlineStr">
        <is>
          <t>SPV-A</t>
        </is>
      </c>
      <c r="F108" s="15" t="inlineStr">
        <is>
          <t>stasiun yang punya master target (Threshing, Pressing, Depricarping, Kernel Plant)</t>
        </is>
      </c>
      <c r="G108" s="15" t="inlineStr">
        <is>
          <t>1. Pilih stasiun bermaster target: Threshing, Pressing, Depricarping, atau Kernel Plant.
2. Login di web, sidebar &gt; Laporan Stasiun (/reports), tekan tile stasiunnya, lalu pilih Periode dan Production Line untuk stasiun itu dengan data.
3. Cari bagian standar tanpa pengukuran (standar master yang tidak punya kolom ukur).
4. Baca isinya dan keterangannya.</t>
        </is>
      </c>
      <c r="H108" s="1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I108" s="14" t="inlineStr">
        <is>
          <t>Sedang</t>
        </is>
      </c>
      <c r="J108" s="15" t="inlineStr">
        <is>
          <t>—</t>
        </is>
      </c>
      <c r="K108" s="14" t="inlineStr">
        <is>
          <t>11×</t>
        </is>
      </c>
      <c r="L108" s="15" t="inlineStr">
        <is>
          <t>bagian yang menghilang saat kosong tak dapat dibedakan dari bagian yang belum pernah dibuat.</t>
        </is>
      </c>
    </row>
    <row r="109" ht="122.8" customHeight="1">
      <c r="A109" s="10" t="n">
        <v>105</v>
      </c>
      <c r="B109" s="5" t="inlineStr">
        <is>
          <t>Laporan Periode Stasiun (LP-)</t>
        </is>
      </c>
      <c r="C109" s="11" t="inlineStr">
        <is>
          <t>LP-W-16</t>
        </is>
      </c>
      <c r="D109" s="12" t="inlineStr">
        <is>
          <t>Kolom target dirender utuh, termasuk keterangan dalam tanda kurung</t>
        </is>
      </c>
      <c r="E109" s="5" t="inlineStr">
        <is>
          <t>SPV-A</t>
        </is>
      </c>
      <c r="F109" s="5" t="inlineStr">
        <is>
          <t>stasiun bermaster target</t>
        </is>
      </c>
      <c r="G109" s="5" t="inlineStr">
        <is>
          <t>1. Pilih stasiun bermaster target.
2. Login di web, sidebar &gt; Laporan Stasiun (/reports), tekan tile stasiunnya, lalu pilih Periode dan Production Line untuk stasiun itu.
3. Baca kolom target pada setiap kartu parameter kata per kata.
4. Bandingkan dengan isi tabel Target Operasional pada layar Form stasiun yang sama.</t>
        </is>
      </c>
      <c r="H109" s="5" t="inlineStr">
        <is>
          <t>- Teks targetnya dirender utuh, termasuk keterangan dalam tanda kurung — mis. ≤ 7.0% (Prevents mold growth).
- Tidak dipotong, tidak dibuang tanda kurungnya, tidak diuraikan menjadi angka saja.
- Isinya sama dengan tabel Target Operasional di Form.</t>
        </is>
      </c>
      <c r="I109" s="10" t="inlineStr">
        <is>
          <t>Sedang</t>
        </is>
      </c>
      <c r="J109" s="5" t="inlineStr">
        <is>
          <t>—</t>
        </is>
      </c>
      <c r="K109" s="10" t="inlineStr">
        <is>
          <t>11×</t>
        </is>
      </c>
      <c r="L109" s="5" t="inlineStr"/>
    </row>
    <row r="110" ht="175.6" customHeight="1">
      <c r="A110" s="14" t="n">
        <v>106</v>
      </c>
      <c r="B110" s="15" t="inlineStr">
        <is>
          <t>Laporan Periode Stasiun (LP-)</t>
        </is>
      </c>
      <c r="C110" s="16" t="inlineStr">
        <is>
          <t>LP-W-17</t>
        </is>
      </c>
      <c r="D110" s="17" t="inlineStr">
        <is>
          <t>Kolom yang berbagi satu standar ditandai, dan angkanya tidak dirata-ratakan</t>
        </is>
      </c>
      <c r="E110" s="15" t="inlineStr">
        <is>
          <t>SPV-A</t>
        </is>
      </c>
      <c r="F110" s="15" t="inlineStr">
        <is>
          <t>Kernel Plant (2 pasang: ripple mill 1–2 dan kernel silo 1–2) atau Depricarping (1 pasang: nut silo)</t>
        </is>
      </c>
      <c r="G110" s="15" t="inlineStr">
        <is>
          <t>1. Pilih Kernel Plant (2 pasang: ripple mill 1–2 dan kernel silo 1–2) atau Depricarping (1 pasang: nut silo).
2. Login di web, sidebar &gt; Laporan Stasiun (/reports), tekan tile stasiunnya, lalu pilih Periode dan Production Line untuk stasiun itu dengan data pada kedua kolom pasangan.
3. Cari kedua kartu pasangan itu dan baca keterangannya.
4. Catat angka rata-rata masing-masing kartu.
5. Periksa apakah keduanya menampilkan angka yang identik.</t>
        </is>
      </c>
      <c r="H110" s="1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I110" s="13" t="inlineStr">
        <is>
          <t>Tinggi</t>
        </is>
      </c>
      <c r="J110" s="15" t="inlineStr">
        <is>
          <t>—</t>
        </is>
      </c>
      <c r="K110" s="14" t="inlineStr">
        <is>
          <t>11×</t>
        </is>
      </c>
      <c r="L110" s="15" t="inlineStr">
        <is>
          <t>pada Kernel Plant ada dua pasangan — pastikan keempat baris bertanda, bukan hanya dua.</t>
        </is>
      </c>
    </row>
    <row r="111" ht="175.6" customHeight="1">
      <c r="A111" s="10" t="n">
        <v>107</v>
      </c>
      <c r="B111" s="5" t="inlineStr">
        <is>
          <t>Laporan Periode Stasiun (LP-)</t>
        </is>
      </c>
      <c r="C111" s="11" t="inlineStr">
        <is>
          <t>LP-W-18</t>
        </is>
      </c>
      <c r="D111" s="12" t="inlineStr">
        <is>
          <t>Ekspor mengikuti periode dan line yang terpilih</t>
        </is>
      </c>
      <c r="E111" s="5" t="inlineStr">
        <is>
          <t>SPV-A</t>
        </is>
      </c>
      <c r="F111" s="5" t="inlineStr">
        <is>
          <t>—</t>
        </is>
      </c>
      <c r="G111" s="5" t="inlineStr">
        <is>
          <t>1. Login di web, sidebar &gt; Laporan Stasiun (/reports), tekan tile stasiunnya, lalu pilih Periode dan Production Line untuk &lt;Stasiun&gt;.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H111" s="5" t="inlineStr">
        <is>
          <t>- Berkas pertama memuat data Periode A / Line 1 saja.
- Berkas kedua berbeda isinya, mengikuti pilihan baru.
- Nama periode dan Production Line tertulis di dalam berkas, bukan hanya di layar.
- Tidak ada baris dari periode atau line yang tidak terpilih.</t>
        </is>
      </c>
      <c r="I111" s="13" t="inlineStr">
        <is>
          <t>Tinggi</t>
        </is>
      </c>
      <c r="J111" s="5" t="inlineStr">
        <is>
          <t>—</t>
        </is>
      </c>
      <c r="K111" s="10" t="inlineStr">
        <is>
          <t>11×</t>
        </is>
      </c>
      <c r="L111" s="5" t="inlineStr"/>
    </row>
    <row r="112" ht="202" customHeight="1">
      <c r="A112" s="14" t="n">
        <v>108</v>
      </c>
      <c r="B112" s="15" t="inlineStr">
        <is>
          <t>Laporan Periode Stasiun (LP-)</t>
        </is>
      </c>
      <c r="C112" s="16" t="inlineStr">
        <is>
          <t>LP-W-19</t>
        </is>
      </c>
      <c r="D112" s="17" t="inlineStr">
        <is>
          <t>Laporan tidak pernah mengubah data</t>
        </is>
      </c>
      <c r="E112" s="15" t="inlineStr">
        <is>
          <t>SPV-A</t>
        </is>
      </c>
      <c r="F112" s="15" t="inlineStr">
        <is>
          <t>—</t>
        </is>
      </c>
      <c r="G112" s="15" t="inlineStr">
        <is>
          <t>1. Login di web, lalu sidebar &gt; Data &gt; nama stasiun (/data/&lt;stasiun&gt;) untuk &lt;Stasiun&gt;. Catat jumlah data dan status beberapa record.
2. Login di web, sidebar &gt; Laporan Stasiun (/reports), tekan tile stasiunnya, lalu pilih Periode dan Production Line untuk &lt;Stasiun&gt;. Ganti periode dan line beberapa kali, buka-tutup rekap harian, dan lakukan ekspor.
3. Cari tombol apa pun di layar laporan yang mengubah data (Simpan, Edit, Hapus, Verifikasi).
4. Kembali ke Login di web, lalu sidebar &gt; Data &gt; nama stasiun (/data/&lt;stasiun&gt;) untuk &lt;Stasiun&gt; dan bandingkan dengan catatan langkah 1.</t>
        </is>
      </c>
      <c r="H112" s="15" t="inlineStr">
        <is>
          <t>- Layar laporan tidak punya satu pun tombol yang mengubah data — hanya pemilih, pengulang, dan ekspor.
- Jumlah data dan status seluruh record tidak berubah.
- Ekspor tidak mengubah status record menjadi apa pun.</t>
        </is>
      </c>
      <c r="I112" s="13" t="inlineStr">
        <is>
          <t>Tinggi</t>
        </is>
      </c>
      <c r="J112" s="15" t="inlineStr">
        <is>
          <t>—</t>
        </is>
      </c>
      <c r="K112" s="14" t="inlineStr">
        <is>
          <t>11×</t>
        </is>
      </c>
      <c r="L112" s="15" t="inlineStr"/>
    </row>
    <row r="113" ht="202" customHeight="1">
      <c r="A113" s="10" t="n">
        <v>109</v>
      </c>
      <c r="B113" s="5" t="inlineStr">
        <is>
          <t>Laporan Periode Stasiun (LP-)</t>
        </is>
      </c>
      <c r="C113" s="11" t="inlineStr">
        <is>
          <t>LP-M-01</t>
        </is>
      </c>
      <c r="D113" s="12" t="inlineStr">
        <is>
          <t>Isi laporan sama dengan versi web</t>
        </is>
      </c>
      <c r="E113" s="5" t="inlineStr">
        <is>
          <t>OPR-A (mobile) + SPV-A (web)</t>
        </is>
      </c>
      <c r="F113" s="5" t="inlineStr">
        <is>
          <t>periode &amp; line yang sama tersedia di keduanya</t>
        </is>
      </c>
      <c r="G113" s="5" t="inlineStr">
        <is>
          <t>1. Login di web, sidebar &gt; Laporan Stasiun (/reports), tekan tile stasiunnya, lalu pilih Periode dan Production Line untuk &lt;Stasiun&gt;. Pilih satu periode dan satu line. Catat seluruh angka: cakupan, setiap kartu parameter beserta penyebutnya, dan baris total periode.
2. Login di mobile, Dashboard &amp; Reporting &gt; Reporting, tekan tile stasiunnya, lalu pilih Periode dan Production Line untuk &lt;Stasiun&gt;. Pilih periode dan line yang sama.
3. Bandingkan angka satu per satu dengan catatan langkah 1.
4. Bandingkan juga jumlah kartu parameter dan jumlah baris rekap.</t>
        </is>
      </c>
      <c r="H113" s="5" t="inlineStr">
        <is>
          <t>- Setiap angka sama antara web dan mobile — termasuk penyebut tiap kartu.
- Jumlah kartu parameter sama.
- Keterangan cakupannya menyampaikan hal yang sama.
- Perbedaan angka mana pun adalah temuan, dan sebutkan angka mana yang berbeda.</t>
        </is>
      </c>
      <c r="I113" s="13" t="inlineStr">
        <is>
          <t>Tinggi</t>
        </is>
      </c>
      <c r="J113" s="5" t="inlineStr">
        <is>
          <t>—</t>
        </is>
      </c>
      <c r="K113" s="10" t="inlineStr">
        <is>
          <t>11×</t>
        </is>
      </c>
      <c r="L113" s="5" t="inlineStr">
        <is>
          <t>ini kasus terpenting di bagian ini. Kalau satu angka berbeda, laporkan sebagai temuan prioritas tinggi beserta nama kolomnya.</t>
        </is>
      </c>
    </row>
    <row r="114" ht="188.8" customHeight="1">
      <c r="A114" s="14" t="n">
        <v>110</v>
      </c>
      <c r="B114" s="15" t="inlineStr">
        <is>
          <t>Laporan Periode Stasiun (LP-)</t>
        </is>
      </c>
      <c r="C114" s="16" t="inlineStr">
        <is>
          <t>LP-M-02</t>
        </is>
      </c>
      <c r="D114" s="17" t="inlineStr">
        <is>
          <t>Tabel menjadi kartu bertumpuk, isinya tidak berkurang</t>
        </is>
      </c>
      <c r="E114" s="15" t="inlineStr">
        <is>
          <t>OPR-A</t>
        </is>
      </c>
      <c r="F114" s="15" t="inlineStr">
        <is>
          <t>—</t>
        </is>
      </c>
      <c r="G114" s="15" t="inlineStr">
        <is>
          <t>1. Login di web, sidebar &gt; Laporan Stasiun (/reports), tekan tile stasiunnya, lalu pilih Periode dan Production Line untuk &lt;Stasiun&gt;. Catat judul setiap kolom pada rekap harian dan rekap per unit.
2. Login di mobile, Dashboard &amp; Reporting &gt; Reporting, tekan tile stasiunnya, lalu pilih Periode dan Production Line untuk &lt;Stasiun&gt; dengan periode dan line yang sama.
3. Periksa bentuk rekapnya: tabel melebar, atau kartu bertumpuk?
4. Pada satu kartu, hitung berapa nilai yang ditampilkan dan cocokkan labelnya dengan catatan langkah 1.</t>
        </is>
      </c>
      <c r="H114" s="15" t="inlineStr">
        <is>
          <t>- Di mobile, tabel berubah menjadi kartu bertumpuk (satu kartu per hari / per unit).
- Setiap kolom web punya padanan berlabel di dalam kartu — tidak ada kolom yang dibuang demi ruang.
- Labelnya terbaca, bukan disingkat sampai tidak jelas.</t>
        </is>
      </c>
      <c r="I114" s="13" t="inlineStr">
        <is>
          <t>Tinggi</t>
        </is>
      </c>
      <c r="J114" s="15" t="inlineStr">
        <is>
          <t>—</t>
        </is>
      </c>
      <c r="K114" s="14" t="inlineStr">
        <is>
          <t>11×</t>
        </is>
      </c>
      <c r="L114" s="15" t="inlineStr"/>
    </row>
    <row r="115" ht="136" customHeight="1">
      <c r="A115" s="10" t="n">
        <v>111</v>
      </c>
      <c r="B115" s="5" t="inlineStr">
        <is>
          <t>Laporan Periode Stasiun (LP-)</t>
        </is>
      </c>
      <c r="C115" s="11" t="inlineStr">
        <is>
          <t>LP-M-03</t>
        </is>
      </c>
      <c r="D115" s="12" t="inlineStr">
        <is>
          <t>Halaman tidak menggulir mendatar pada lebar 390px</t>
        </is>
      </c>
      <c r="E115" s="5" t="inlineStr">
        <is>
          <t>OPR-A</t>
        </is>
      </c>
      <c r="F115" s="5" t="inlineStr">
        <is>
          <t>lebar layar 390px</t>
        </is>
      </c>
      <c r="G115" s="5" t="inlineStr">
        <is>
          <t>1. Atur lebar layar perangkat/emulator ke 390px.
2. Login di mobile, Dashboard &amp; Reporting &gt; Reporting, tekan tile stasiunnya, lalu pilih Periode dan Production Line untuk &lt;Stasiun&gt; dengan data penuh.
3. Gulir dari atas ke bawah seluruh layar.
4. Pada setiap bagian, coba gulir ke kanan.
5. Perhatikan apakah ada teks atau angka yang terpotong di tepi kanan.</t>
        </is>
      </c>
      <c r="H115" s="5" t="inlineStr">
        <is>
          <t>- Halaman tidak dapat digulir mendatar sama sekali.
- Tidak ada isi yang terpotong di tepi kanan.
- Tabel yang lebar di web sudah berubah bentuk, bukan dibiarkan melebar.
- Kalau ada satu bagian saja yang memaksa gulir mendatar, catat bagian mana.</t>
        </is>
      </c>
      <c r="I115" s="10" t="inlineStr">
        <is>
          <t>Sedang</t>
        </is>
      </c>
      <c r="J115" s="5" t="inlineStr">
        <is>
          <t>—</t>
        </is>
      </c>
      <c r="K115" s="10" t="inlineStr">
        <is>
          <t>11×</t>
        </is>
      </c>
      <c r="L115" s="5" t="inlineStr"/>
    </row>
    <row r="116" ht="122.8" customHeight="1">
      <c r="A116" s="14" t="n">
        <v>112</v>
      </c>
      <c r="B116" s="15" t="inlineStr">
        <is>
          <t>Laporan Periode Stasiun (LP-)</t>
        </is>
      </c>
      <c r="C116" s="16" t="inlineStr">
        <is>
          <t>LP-M-04</t>
        </is>
      </c>
      <c r="D116" s="17" t="inlineStr">
        <is>
          <t>Production Line wajib, termasuk saat hanya satu</t>
        </is>
      </c>
      <c r="E116" s="15" t="inlineStr">
        <is>
          <t>OPR-A</t>
        </is>
      </c>
      <c r="F116" s="15" t="inlineStr">
        <is>
          <t>—</t>
        </is>
      </c>
      <c r="G116" s="15" t="inlineStr">
        <is>
          <t>1. Siapkan satu mill dengan satu Production Line saja.
2. Login di mobile, Dashboard &amp; Reporting &gt; Reporting, tekan tile stasiunnya, lalu pilih Periode dan Production Line untuk &lt;Stasiun&gt; pada mill itu. Pilih periode, jangan pilih line.
3. Baca layar: ada angka atau tidak?
4. Pilih line satu-satunya itu.</t>
        </is>
      </c>
      <c r="H116" s="15" t="inlineStr">
        <is>
          <t>- Sebelum line dipilih: tidak ada satu angka pun, dan ada permintaan memilih Production Line.
- Line tunggal tidak terpilih otomatis.
- Sesudah dipilih, angkanya muncul.
- Perilakunya sama dengan LS-08 di web.</t>
        </is>
      </c>
      <c r="I116" s="13" t="inlineStr">
        <is>
          <t>Tinggi</t>
        </is>
      </c>
      <c r="J116" s="15" t="inlineStr">
        <is>
          <t>—</t>
        </is>
      </c>
      <c r="K116" s="14" t="inlineStr">
        <is>
          <t>11×</t>
        </is>
      </c>
      <c r="L116" s="15" t="inlineStr"/>
    </row>
    <row r="117" ht="162.4" customHeight="1">
      <c r="A117" s="10" t="n">
        <v>113</v>
      </c>
      <c r="B117" s="5" t="inlineStr">
        <is>
          <t>Laporan Periode Stasiun (LP-)</t>
        </is>
      </c>
      <c r="C117" s="11" t="inlineStr">
        <is>
          <t>LP-M-05</t>
        </is>
      </c>
      <c r="D117" s="12" t="inlineStr">
        <is>
          <t>Penjagaan line tidak bisa dilewati lewat coba-lagi atau ganti periode</t>
        </is>
      </c>
      <c r="E117" s="5" t="inlineStr">
        <is>
          <t>OPR-A</t>
        </is>
      </c>
      <c r="F117" s="5" t="inlineStr">
        <is>
          <t>mill dengan 2 line, belum ada yang terpilih</t>
        </is>
      </c>
      <c r="G117" s="5" t="inlineStr">
        <is>
          <t>1. Siapkan mill dengan 2 Production Line, dan pastikan belum ada line yang diingat perangkat (hapus data aplikasi bila perlu).
2. Login di mobile, Dashboard &amp; Reporting &gt; Reporting, tekan tile stasiunnya, lalu pilih Periode dan Production Line untuk &lt;Stasiun&gt;. Pilih periode, jangan pilih line.
3. Tekan tombol Coba Lagi bila ada. Baca layar.
4. Ganti ke periode lain. Baca layar.
5. Ganti kembali ke periode pertama. Baca layar.</t>
        </is>
      </c>
      <c r="H117" s="5" t="inlineStr">
        <is>
          <t>- Tidak satu pun dari langkah 3–5 memunculkan angka.
- Permintaan memilih Production Line tetap berdiri di setiap langkah.
- Penjagaan ini tidak dapat dilewati dengan memutar lewat Coba Lagi atau ganti periode.</t>
        </is>
      </c>
      <c r="I117" s="13" t="inlineStr">
        <is>
          <t>Tinggi</t>
        </is>
      </c>
      <c r="J117" s="5" t="inlineStr">
        <is>
          <t>—</t>
        </is>
      </c>
      <c r="K117" s="10" t="inlineStr">
        <is>
          <t>11×</t>
        </is>
      </c>
      <c r="L117" s="5" t="inlineStr"/>
    </row>
    <row r="118" ht="122.8" customHeight="1">
      <c r="A118" s="14" t="n">
        <v>114</v>
      </c>
      <c r="B118" s="15" t="inlineStr">
        <is>
          <t>Laporan Periode Stasiun (LP-)</t>
        </is>
      </c>
      <c r="C118" s="16" t="inlineStr">
        <is>
          <t>LP-M-06</t>
        </is>
      </c>
      <c r="D118" s="17" t="inlineStr">
        <is>
          <t>Line yang diingat perangkat dipakai tanpa diminta memilih lagi</t>
        </is>
      </c>
      <c r="E118" s="15" t="inlineStr">
        <is>
          <t>OPR-A</t>
        </is>
      </c>
      <c r="F118" s="15" t="inlineStr">
        <is>
          <t>—</t>
        </is>
      </c>
      <c r="G118" s="15" t="inlineStr">
        <is>
          <t>1. Login di mobile, Dashboard &amp; Reporting &gt; Reporting, tekan tile stasiunnya, lalu pilih Periode dan Production Line untuk &lt;Stasiun&gt;. Pilih periode dan Line 1. Catat angkanya.
2. Tekan Back ke Reporting, lalu masuk lagi ke laporan stasiun yang sama.
3. Perhatikan pemilih line.
4. Tutup aplikasi sepenuhnya, buka lagi, login, dan masuk ke laporan itu lagi.</t>
        </is>
      </c>
      <c r="H118" s="15" t="inlineStr">
        <is>
          <t>- Langkah 3: Line 1 sudah terpilih — tidak diminta memilih lagi.
- Langkah 4: masih Line 1 — pilihannya diingat perangkat.
- Angkanya langsung muncul sesudah periode dipilih, tanpa langkah memilih line lagi.</t>
        </is>
      </c>
      <c r="I118" s="14" t="inlineStr">
        <is>
          <t>Sedang</t>
        </is>
      </c>
      <c r="J118" s="15" t="inlineStr">
        <is>
          <t>—</t>
        </is>
      </c>
      <c r="K118" s="14" t="inlineStr">
        <is>
          <t>11×</t>
        </is>
      </c>
      <c r="L118" s="15" t="inlineStr"/>
    </row>
    <row r="119" ht="122.8" customHeight="1">
      <c r="A119" s="10" t="n">
        <v>115</v>
      </c>
      <c r="B119" s="5" t="inlineStr">
        <is>
          <t>Laporan Periode Stasiun (LP-)</t>
        </is>
      </c>
      <c r="C119" s="11" t="inlineStr">
        <is>
          <t>LP-M-07</t>
        </is>
      </c>
      <c r="D119" s="12" t="inlineStr">
        <is>
          <t>Line yang diingat sudah tidak ada: pemilih muncul lagi, tanpa menebak</t>
        </is>
      </c>
      <c r="E119" s="5" t="inlineStr">
        <is>
          <t>OPR-A + ADM</t>
        </is>
      </c>
      <c r="F119" s="5" t="inlineStr">
        <is>
          <t>line sudah diingat perangkat</t>
        </is>
      </c>
      <c r="G119" s="5" t="inlineStr">
        <is>
          <t>1. Jalankan LP-M-06 lebih dulu sehingga Line 1 diingat perangkat untuk &lt;Stasiun&gt;.
2. Sebagai ADM di web, hapus atau nonaktifkan Line 1 itu.
3. Login di mobile, Dashboard &amp; Reporting &gt; Reporting, tekan tile stasiunnya, lalu pilih Periode dan Production Line untuk &lt;Stasiun&gt; lagi. Pilih periode.
4. Baca layar dan pemilih line.</t>
        </is>
      </c>
      <c r="H11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I119" s="10" t="inlineStr">
        <is>
          <t>Sedang</t>
        </is>
      </c>
      <c r="J119" s="5" t="inlineStr">
        <is>
          <t>—</t>
        </is>
      </c>
      <c r="K119" s="10" t="inlineStr">
        <is>
          <t>11×</t>
        </is>
      </c>
      <c r="L119" s="5" t="inlineStr"/>
    </row>
    <row r="120" ht="202" customHeight="1">
      <c r="A120" s="14" t="n">
        <v>116</v>
      </c>
      <c r="B120" s="15" t="inlineStr">
        <is>
          <t>Laporan Periode Stasiun (LP-)</t>
        </is>
      </c>
      <c r="C120" s="16" t="inlineStr">
        <is>
          <t>LP-M-08</t>
        </is>
      </c>
      <c r="D120" s="17" t="inlineStr">
        <is>
          <t>Dua pesan yang harus berbeda: mill tanpa line vs daftar line gagal dimuat</t>
        </is>
      </c>
      <c r="E120" s="15" t="inlineStr">
        <is>
          <t>OPR-A</t>
        </is>
      </c>
      <c r="F120" s="15" t="inlineStr">
        <is>
          <t>—</t>
        </is>
      </c>
      <c r="G120" s="15" t="inlineStr">
        <is>
          <t>1. Siapkan satu mill yang belum punya Production Line, dan satu akun yang terikat mill itu.
2. Login di mobile, Dashboard &amp; Reporting &gt; Reporting, tekan tile stasiunnya, lalu pilih Periode dan Production Line untuk &lt;Stasiun&gt;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H120" s="1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I120" s="14" t="inlineStr">
        <is>
          <t>Sedang</t>
        </is>
      </c>
      <c r="J120" s="15" t="inlineStr">
        <is>
          <t>—</t>
        </is>
      </c>
      <c r="K120" s="14" t="inlineStr">
        <is>
          <t>11×</t>
        </is>
      </c>
      <c r="L120" s="15" t="inlineStr">
        <is>
          <t>menyatukan keduanya akan menyuruh pengguna menelepon Admin untuk masalah jaringan.</t>
        </is>
      </c>
    </row>
    <row r="121" ht="202" customHeight="1">
      <c r="A121" s="10" t="n">
        <v>117</v>
      </c>
      <c r="B121" s="5" t="inlineStr">
        <is>
          <t>Laporan Periode Stasiun (LP-)</t>
        </is>
      </c>
      <c r="C121" s="11" t="inlineStr">
        <is>
          <t>LP-M-09</t>
        </is>
      </c>
      <c r="D121" s="12" t="inlineStr">
        <is>
          <t>Ganti periode cepat: hanya hasil terakhir yang tampil</t>
        </is>
      </c>
      <c r="E121" s="5" t="inlineStr">
        <is>
          <t>OPR-A</t>
        </is>
      </c>
      <c r="F121" s="5" t="inlineStr">
        <is>
          <t>2 periode dengan angka yang berbeda jelas; koneksi lambat (gunakan throttling bila tersedia)</t>
        </is>
      </c>
      <c r="G121" s="5" t="inlineStr">
        <is>
          <t>1. Siapkan 2 periode dengan angka yang berbeda jelas.
2. Aktifkan pembatasan kecepatan jaringan bila tersedia (throttling), supaya pemuatan terasa lambat.
3. Login di mobile, Dashboard &amp; Reporting &gt; Reporting, tekan tile stasiunnya, lalu pilih Periode dan Production Line untuk &lt;Stasiun&gt;. Pilih Periode A, lalu segera ganti ke Periode B sebelum angka A selesai muncul.
4. Tunggu sampai layar tenang.
5. Bandingkan angka yang tampil dengan angka Periode B.
6. Ulangi beberapa kali dengan urutan dibalik.</t>
        </is>
      </c>
      <c r="H12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I121" s="10" t="inlineStr">
        <is>
          <t>Sedang</t>
        </is>
      </c>
      <c r="J121" s="5" t="inlineStr">
        <is>
          <t>—</t>
        </is>
      </c>
      <c r="K121" s="10" t="inlineStr">
        <is>
          <t>11×</t>
        </is>
      </c>
      <c r="L121" s="5" t="inlineStr"/>
    </row>
    <row r="122" ht="136" customHeight="1">
      <c r="A122" s="14" t="n">
        <v>118</v>
      </c>
      <c r="B122" s="15" t="inlineStr">
        <is>
          <t>Laporan Periode Stasiun (LP-)</t>
        </is>
      </c>
      <c r="C122" s="16" t="inlineStr">
        <is>
          <t>LP-M-10</t>
        </is>
      </c>
      <c r="D122" s="17" t="inlineStr">
        <is>
          <t>Gagal jaringan tidak menghapus pilihan</t>
        </is>
      </c>
      <c r="E122" s="15" t="inlineStr">
        <is>
          <t>OPR-A</t>
        </is>
      </c>
      <c r="F122" s="15" t="inlineStr">
        <is>
          <t>—</t>
        </is>
      </c>
      <c r="G122" s="15" t="inlineStr">
        <is>
          <t>1. Login di mobile, Dashboard &amp; Reporting &gt; Reporting, tekan tile stasiunnya, lalu pilih Periode dan Production Line untuk &lt;Stasiun&gt;. Pilih periode dan line. Catat keduanya.
2. Matikan koneksi perangkat.
3. Tekan Coba Lagi, atau ganti filter supaya pemuatan dipicu.
4. Baca pesannya, lalu periksa pemilih periode dan pemilih line.
5. Nyalakan koneksi dan tekan Coba Lagi.</t>
        </is>
      </c>
      <c r="H122" s="15" t="inlineStr">
        <is>
          <t>- Muncul pesan jaringan beserta tombol Coba Lagi.
- Pilihan periode dan line tidak hilang — keduanya masih seperti catatan langkah 1.
- Sesudah koneksi kembali, Coba Lagi memuat laporan untuk pilihan yang sama tanpa diminta memilih ulang.</t>
        </is>
      </c>
      <c r="I122" s="14" t="inlineStr">
        <is>
          <t>Sedang</t>
        </is>
      </c>
      <c r="J122" s="15" t="inlineStr">
        <is>
          <t>—</t>
        </is>
      </c>
      <c r="K122" s="14" t="inlineStr">
        <is>
          <t>11×</t>
        </is>
      </c>
      <c r="L122" s="15" t="inlineStr"/>
    </row>
    <row r="123" ht="136" customHeight="1">
      <c r="A123" s="10" t="n">
        <v>119</v>
      </c>
      <c r="B123" s="5" t="inlineStr">
        <is>
          <t>Laporan Periode Stasiun (LP-)</t>
        </is>
      </c>
      <c r="C123" s="11" t="inlineStr">
        <is>
          <t>LP-M-11</t>
        </is>
      </c>
      <c r="D123" s="12" t="inlineStr">
        <is>
          <t>Ekspor CSV berhasil mengunduh</t>
        </is>
      </c>
      <c r="E123" s="5" t="inlineStr">
        <is>
          <t>OPR-A</t>
        </is>
      </c>
      <c r="F123" s="5" t="inlineStr">
        <is>
          <t>—</t>
        </is>
      </c>
      <c r="G123" s="5" t="inlineStr">
        <is>
          <t>1. Login di mobile, Dashboard &amp; Reporting &gt; Reporting, tekan tile stasiunnya, lalu pilih Periode dan Production Line untuk &lt;Stasiun&gt; dengan data.
2. Baca tombol di bagian bawah layar.
3. Tekan Ekspor CSV.
4. Periksa folder unduhan perangkat dan buka berkasnya.
5. Cocokkan beberapa angka dengan yang di layar.</t>
        </is>
      </c>
      <c r="H123" s="5" t="inlineStr">
        <is>
          <t>- Hanya ada pilihan CSV (lihat LS-12).
- Berkas benar-benar terunduh dan dapat dibuka.
- Nama berkasnya menyebut stasiun dan periode.
- Angkanya cocok dengan layar.</t>
        </is>
      </c>
      <c r="I123" s="10" t="inlineStr">
        <is>
          <t>Sedang</t>
        </is>
      </c>
      <c r="J123" s="5" t="inlineStr">
        <is>
          <t>—</t>
        </is>
      </c>
      <c r="K123" s="10" t="inlineStr">
        <is>
          <t>11×</t>
        </is>
      </c>
      <c r="L123" s="5" t="inlineStr"/>
    </row>
    <row r="124" ht="109.6" customHeight="1">
      <c r="A124" s="14" t="n">
        <v>120</v>
      </c>
      <c r="B124" s="15" t="inlineStr">
        <is>
          <t>Laporan Periode Stasiun (LP-)</t>
        </is>
      </c>
      <c r="C124" s="16" t="inlineStr">
        <is>
          <t>LP-M-12</t>
        </is>
      </c>
      <c r="D124" s="17" t="inlineStr">
        <is>
          <t>Laporan mobile read-only</t>
        </is>
      </c>
      <c r="E124" s="15" t="inlineStr">
        <is>
          <t>OPR-A</t>
        </is>
      </c>
      <c r="F124" s="15" t="inlineStr">
        <is>
          <t>—</t>
        </is>
      </c>
      <c r="G124" s="15" t="inlineStr">
        <is>
          <t>1. Login di mobile, Dashboard &amp; Reporting &gt; Reporting, tekan tile stasiunnya, lalu pilih Periode dan Production Line untuk &lt;Stasiun&gt; dengan data.
2. Baca seluruh tombol di layar, termasuk yang di bagian bawah.
3. Coba ketik atau ubah nilai pada kartu parameter dan pada rekap.</t>
        </is>
      </c>
      <c r="H124" s="15" t="inlineStr">
        <is>
          <t>- Tombol di bagian bawah hanya Ekspor dan Back — tidak ada Simpan, Edit, atau Hapus.
- Tidak satu pun angka dapat diubah.
- Tidak ada kolom input di layar ini selain pemilih periode/line/mill.</t>
        </is>
      </c>
      <c r="I124" s="14" t="inlineStr">
        <is>
          <t>Tinggi ---</t>
        </is>
      </c>
      <c r="J124" s="15" t="inlineStr">
        <is>
          <t>—</t>
        </is>
      </c>
      <c r="K124" s="14" t="inlineStr">
        <is>
          <t>11×</t>
        </is>
      </c>
      <c r="L124" s="15" t="inlineStr"/>
    </row>
    <row r="125" ht="122.8" customHeight="1">
      <c r="A125" s="10" t="n">
        <v>121</v>
      </c>
      <c r="B125" s="5" t="inlineStr">
        <is>
          <t>Dashboard &amp; Laporan lain (DS-)</t>
        </is>
      </c>
      <c r="C125" s="11" t="inlineStr">
        <is>
          <t>DS-01</t>
        </is>
      </c>
      <c r="D125" s="12" t="inlineStr">
        <is>
          <t>Dashboard Web menampilkan ringkasan tiga stasiun</t>
        </is>
      </c>
      <c r="E125" s="5" t="inlineStr">
        <is>
          <t>SPV-A</t>
        </is>
      </c>
      <c r="F125" s="5" t="inlineStr">
        <is>
          <t>ada data Weighbridge, Grading, dan Cages Track hari ini</t>
        </is>
      </c>
      <c r="G125" s="5" t="inlineStr">
        <is>
          <t>1. Login di web, lalu sidebar &gt; Dashboard (/dashboard) sebagai SPV-A.
2. Catat stasiun mana saja yang diringkas di layar.
3. Ubah rentang tanggal ke satu hari yang punya data, lalu terapkan.
4. Bandingkan angka tiap ringkasan dengan jumlah record stasiun itu pada tanggal yang sama di Data Browser.</t>
        </is>
      </c>
      <c r="H125" s="5" t="inlineStr">
        <is>
          <t>- Dashboard meringkas tiga stasiun: Weighbridge, Grading, dan Cages Track — bukan 18. Itu disengaja (lihat K-5).
- Angkanya cocok dengan Data Browser untuk rentang tanggal yang sama.
- Setiap ringkasan menyebut stasiunnya, sehingga angkanya tidak ambigu.</t>
        </is>
      </c>
      <c r="I125" s="13" t="inlineStr">
        <is>
          <t>Tinggi</t>
        </is>
      </c>
      <c r="J125" s="5" t="inlineStr">
        <is>
          <t>—</t>
        </is>
      </c>
      <c r="K125" s="10" t="inlineStr">
        <is>
          <t>1×</t>
        </is>
      </c>
      <c r="L125" s="5" t="inlineStr">
        <is>
          <t>Dashboard memang hanya meringkas tiga stasiun, bukan 18. Itu bukan bug.</t>
        </is>
      </c>
    </row>
    <row r="126" ht="70" customHeight="1">
      <c r="A126" s="14" t="n">
        <v>122</v>
      </c>
      <c r="B126" s="15" t="inlineStr">
        <is>
          <t>Dashboard &amp; Laporan lain (DS-)</t>
        </is>
      </c>
      <c r="C126" s="16" t="inlineStr">
        <is>
          <t>DS-02</t>
        </is>
      </c>
      <c r="D126" s="17" t="inlineStr">
        <is>
          <t>Rentang tanggal Dashboard default ke hari ini</t>
        </is>
      </c>
      <c r="E126" s="15" t="inlineStr">
        <is>
          <t>SPV-A</t>
        </is>
      </c>
      <c r="F126" s="15" t="inlineStr">
        <is>
          <t>—</t>
        </is>
      </c>
      <c r="G126" s="15" t="inlineStr">
        <is>
          <t>1. Login di web, lalu sidebar &gt; Dashboard (/dashboard) sebagai SPV-A.
2. Sebelum menyentuh apa pun, baca isi kedua kolom rentang tanggal.
3. Bandingkan dengan tanggal hari ini.</t>
        </is>
      </c>
      <c r="H126" s="15" t="inlineStr">
        <is>
          <t>- Kedua kolom sudah terisi tanggal hari ini tanpa diisi penguji.
- Angka yang tampil adalah angka hari ini.
- Penguji tidak perlu mengisi filter sebelum melihat sesuatu.</t>
        </is>
      </c>
      <c r="I126" s="14" t="inlineStr">
        <is>
          <t>Sedang</t>
        </is>
      </c>
      <c r="J126" s="15" t="inlineStr">
        <is>
          <t>—</t>
        </is>
      </c>
      <c r="K126" s="14" t="inlineStr">
        <is>
          <t>1×</t>
        </is>
      </c>
      <c r="L126" s="15" t="inlineStr"/>
    </row>
    <row r="127" ht="122.8" customHeight="1">
      <c r="A127" s="10" t="n">
        <v>123</v>
      </c>
      <c r="B127" s="5" t="inlineStr">
        <is>
          <t>Dashboard &amp; Laporan lain (DS-)</t>
        </is>
      </c>
      <c r="C127" s="11" t="inlineStr">
        <is>
          <t>DS-03</t>
        </is>
      </c>
      <c r="D127" s="12" t="inlineStr">
        <is>
          <t>Dashboard ter-scope mill aktor</t>
        </is>
      </c>
      <c r="E127" s="5" t="inlineStr">
        <is>
          <t>SPV-A, SPV-B</t>
        </is>
      </c>
      <c r="F127" s="5" t="inlineStr">
        <is>
          <t>—</t>
        </is>
      </c>
      <c r="G127" s="5" t="inlineStr">
        <is>
          <t>1. Jalankan seluruh langkah LS-03 dengan Dashboard sebagai layar yang diuji.
2. Login di web, lalu sidebar &gt; Dashboard (/dashboard) sebagai SPV-A, catat seluruh angka dan setiap nama Production Line yang terlihat.
3. Logout, Login di web, lalu sidebar &gt; Dashboard (/dashboard) sebagai SPV-B, bandingkan.</t>
        </is>
      </c>
      <c r="H127" s="5" t="inlineStr">
        <is>
          <t>- Sesuai LS-03: SPV-B tidak melihat satu pun angka yang berasal dari Mill A.
- Tidak ada nama Production Line Mill A yang tercetak.
- Angka kedua peran berbeda, masing-masing hanya mill-nya sendiri.</t>
        </is>
      </c>
      <c r="I127" s="13" t="inlineStr">
        <is>
          <t>Tinggi</t>
        </is>
      </c>
      <c r="J127" s="5" t="inlineStr">
        <is>
          <t>—</t>
        </is>
      </c>
      <c r="K127" s="10" t="inlineStr">
        <is>
          <t>1×</t>
        </is>
      </c>
      <c r="L127" s="5" t="inlineStr"/>
    </row>
    <row r="128" ht="136" customHeight="1">
      <c r="A128" s="14" t="n">
        <v>124</v>
      </c>
      <c r="B128" s="15" t="inlineStr">
        <is>
          <t>Dashboard &amp; Laporan lain (DS-)</t>
        </is>
      </c>
      <c r="C128" s="16" t="inlineStr">
        <is>
          <t>DS-04</t>
        </is>
      </c>
      <c r="D128" s="17" t="inlineStr">
        <is>
          <t>Laporan Stasiun (Web): tile laporan yang ada aktif, sisanya kelabu</t>
        </is>
      </c>
      <c r="E128" s="15" t="inlineStr">
        <is>
          <t>SPV-A</t>
        </is>
      </c>
      <c r="F128" s="15" t="inlineStr">
        <is>
          <t>—</t>
        </is>
      </c>
      <c r="G128" s="15" t="inlineStr">
        <is>
          <t>1. Login di web (buka /login, isi username dan password akun pada kolom Peran, tekan Login) sebagai SPV-A, lalu sidebar → Laporan Stasiun (/reports).
2. Hitung jumlah tile stasiun di layar.
3. Hitung berapa tile yang dapat ditekan dan berapa yang kelabu.
4. Coba tekan satu tile kelabu.
5. Cari legenda yang menjelaskan arti tile kelabu.</t>
        </is>
      </c>
      <c r="H128" s="15"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I128" s="13" t="inlineStr">
        <is>
          <t>Tinggi</t>
        </is>
      </c>
      <c r="J128" s="15" t="inlineStr">
        <is>
          <t>—</t>
        </is>
      </c>
      <c r="K128" s="14" t="inlineStr">
        <is>
          <t>1×</t>
        </is>
      </c>
      <c r="L128" s="15" t="inlineStr">
        <is>
          <t>stasiun yang laporannya belum dibangun tetap ditampilkan, bukan dihilangkan — supaya pembaca tahu stasiun itu ada.</t>
        </is>
      </c>
    </row>
    <row r="129" ht="109.6" customHeight="1">
      <c r="A129" s="10" t="n">
        <v>125</v>
      </c>
      <c r="B129" s="5" t="inlineStr">
        <is>
          <t>Dashboard &amp; Laporan lain (DS-)</t>
        </is>
      </c>
      <c r="C129" s="11" t="inlineStr">
        <is>
          <t>DS-05</t>
        </is>
      </c>
      <c r="D129" s="12" t="inlineStr">
        <is>
          <t>Tile aktif mendarat di laporan stasiun yang benar</t>
        </is>
      </c>
      <c r="E129" s="5" t="inlineStr">
        <is>
          <t>SPV-A</t>
        </is>
      </c>
      <c r="F129" s="5" t="inlineStr">
        <is>
          <t>—</t>
        </is>
      </c>
      <c r="G129" s="5" t="inlineStr">
        <is>
          <t>1. Sidebar → Laporan Stasiun sebagai SPV-A.
2. Tekan tile Pressing. Catat judul layar dan alamatnya.
3. Periksa apakah mill dan Production Line ikut terbawa (sudah terpilih atau tinggal dipilih).
4. Tekan Back, lalu ulangi untuk Kernel Plant dan Storage Tank.</t>
        </is>
      </c>
      <c r="H129" s="5" t="inlineStr">
        <is>
          <t>- Setiap tile aktif mendarat di laporan stasiun yang sama dengan namanya (/reports/&lt;stasiun&gt;).
- Judul layarnya cocok dengan tile yang ditekan.
- Konteks mill terbawa; Production Line tetap wajib dipilih (lihat LS-08).</t>
        </is>
      </c>
      <c r="I129" s="13" t="inlineStr">
        <is>
          <t>Tinggi</t>
        </is>
      </c>
      <c r="J129" s="5" t="inlineStr">
        <is>
          <t>—</t>
        </is>
      </c>
      <c r="K129" s="10" t="inlineStr">
        <is>
          <t>1×</t>
        </is>
      </c>
      <c r="L129" s="5" t="inlineStr"/>
    </row>
    <row r="130" ht="109.6" customHeight="1">
      <c r="A130" s="14" t="n">
        <v>126</v>
      </c>
      <c r="B130" s="15" t="inlineStr">
        <is>
          <t>Dashboard &amp; Laporan lain (DS-)</t>
        </is>
      </c>
      <c r="C130" s="16" t="inlineStr">
        <is>
          <t>DS-06</t>
        </is>
      </c>
      <c r="D130" s="17" t="inlineStr">
        <is>
          <t>Laporan Manajemen hanya untuk Mill Management dan Admin</t>
        </is>
      </c>
      <c r="E130" s="15" t="inlineStr">
        <is>
          <t>SPV-A, MGR-A, ADM</t>
        </is>
      </c>
      <c r="F130" s="15" t="inlineStr">
        <is>
          <t>—</t>
        </is>
      </c>
      <c r="G130" s="15"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H130" s="15" t="inlineStr">
        <is>
          <t>- SPV-A: menu tidak ada di sidebar, dan alamat langsung menjawab 403.
- MGR-A: menu ada dan layarnya terbuka.
- ADM: menu ada dan layarnya terbuka.</t>
        </is>
      </c>
      <c r="I130" s="13" t="inlineStr">
        <is>
          <t>Tinggi</t>
        </is>
      </c>
      <c r="J130" s="15" t="inlineStr">
        <is>
          <t>—</t>
        </is>
      </c>
      <c r="K130" s="14" t="inlineStr">
        <is>
          <t>1×</t>
        </is>
      </c>
      <c r="L130" s="15" t="inlineStr"/>
    </row>
    <row r="131" ht="175.6" customHeight="1">
      <c r="A131" s="10" t="n">
        <v>127</v>
      </c>
      <c r="B131" s="5" t="inlineStr">
        <is>
          <t>Dashboard &amp; Laporan lain (DS-)</t>
        </is>
      </c>
      <c r="C131" s="11" t="inlineStr">
        <is>
          <t>DS-07</t>
        </is>
      </c>
      <c r="D131" s="12" t="inlineStr">
        <is>
          <t>Dashboard &amp; Reporting (Mobile) → Pilih Stasiun</t>
        </is>
      </c>
      <c r="E131" s="5" t="inlineStr">
        <is>
          <t>OPR-A</t>
        </is>
      </c>
      <c r="F131" s="5" t="inlineStr">
        <is>
          <t>—</t>
        </is>
      </c>
      <c r="G131" s="5"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H131" s="5"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I131" s="13" t="inlineStr">
        <is>
          <t>Tinggi</t>
        </is>
      </c>
      <c r="J131" s="5" t="inlineStr">
        <is>
          <t>—</t>
        </is>
      </c>
      <c r="K131" s="10" t="inlineStr">
        <is>
          <t>1×</t>
        </is>
      </c>
      <c r="L131" s="5" t="inlineStr"/>
    </row>
    <row r="132" ht="162.4" customHeight="1">
      <c r="A132" s="14" t="n">
        <v>128</v>
      </c>
      <c r="B132" s="15" t="inlineStr">
        <is>
          <t>Dashboard &amp; Laporan lain (DS-)</t>
        </is>
      </c>
      <c r="C132" s="16" t="inlineStr">
        <is>
          <t>DS-08</t>
        </is>
      </c>
      <c r="D132" s="17" t="inlineStr">
        <is>
          <t>Production Process Activity (Web): papan status, bukan sekadar peluncur</t>
        </is>
      </c>
      <c r="E132" s="15" t="inlineStr">
        <is>
          <t>SPV-A</t>
        </is>
      </c>
      <c r="F132" s="15" t="inlineStr">
        <is>
          <t>beberapa stasiun punya record hari ini, beberapa belum</t>
        </is>
      </c>
      <c r="G132" s="15"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H132" s="15"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I132" s="13" t="inlineStr">
        <is>
          <t>Tinggi</t>
        </is>
      </c>
      <c r="J132" s="15" t="inlineStr">
        <is>
          <t>—</t>
        </is>
      </c>
      <c r="K132" s="14" t="inlineStr">
        <is>
          <t>1×</t>
        </is>
      </c>
      <c r="L132" s="15" t="inlineStr"/>
    </row>
    <row r="133" ht="136" customHeight="1">
      <c r="A133" s="10" t="n">
        <v>129</v>
      </c>
      <c r="B133" s="5" t="inlineStr">
        <is>
          <t>Dashboard &amp; Laporan lain (DS-)</t>
        </is>
      </c>
      <c r="C133" s="11" t="inlineStr">
        <is>
          <t>DS-09</t>
        </is>
      </c>
      <c r="D133" s="12" t="inlineStr">
        <is>
          <t>Jumlah tile berwarna cocok dengan angka di kepala halaman</t>
        </is>
      </c>
      <c r="E133" s="5" t="inlineStr">
        <is>
          <t>SPV-A</t>
        </is>
      </c>
      <c r="F133" s="5" t="inlineStr">
        <is>
          <t>—</t>
        </is>
      </c>
      <c r="G133" s="5"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H133" s="5"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I133" s="10" t="inlineStr">
        <is>
          <t>Sedang</t>
        </is>
      </c>
      <c r="J133" s="5" t="inlineStr">
        <is>
          <t>—</t>
        </is>
      </c>
      <c r="K133" s="10" t="inlineStr">
        <is>
          <t>1×</t>
        </is>
      </c>
      <c r="L133" s="5" t="inlineStr"/>
    </row>
    <row r="134" ht="136" customHeight="1">
      <c r="A134" s="14" t="n">
        <v>130</v>
      </c>
      <c r="B134" s="15" t="inlineStr">
        <is>
          <t>Dashboard &amp; Laporan lain (DS-)</t>
        </is>
      </c>
      <c r="C134" s="16" t="inlineStr">
        <is>
          <t>DS-10</t>
        </is>
      </c>
      <c r="D134" s="17" t="inlineStr">
        <is>
          <t>"Nol hari ini" boleh berdampingan dengan "input terakhir beberapa menit lalu"</t>
        </is>
      </c>
      <c r="E134" s="15" t="inlineStr">
        <is>
          <t>SPV-A</t>
        </is>
      </c>
      <c r="F134" s="15" t="inlineStr">
        <is>
          <t>satu stasiun yang record terakhirnya dibuat tadi tapi tanggalnya kemarin</t>
        </is>
      </c>
      <c r="G134" s="15"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H134" s="15"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I134" s="14" t="inlineStr">
        <is>
          <t>Sedang</t>
        </is>
      </c>
      <c r="J134" s="15" t="inlineStr">
        <is>
          <t>—</t>
        </is>
      </c>
      <c r="K134" s="14" t="inlineStr">
        <is>
          <t>1×</t>
        </is>
      </c>
      <c r="L134" s="15" t="inlineStr">
        <is>
          <t>ini bukan bug. "Hari ini" menghitung record bertanggal hari ini; "input terakhir" tidak dibatasi tanggal. Keterangan di halaman menjelaskannya.</t>
        </is>
      </c>
    </row>
    <row r="135" ht="122.8" customHeight="1">
      <c r="A135" s="10" t="n">
        <v>131</v>
      </c>
      <c r="B135" s="5" t="inlineStr">
        <is>
          <t>Dashboard &amp; Laporan lain (DS-)</t>
        </is>
      </c>
      <c r="C135" s="11" t="inlineStr">
        <is>
          <t>DS-11</t>
        </is>
      </c>
      <c r="D135" s="12" t="inlineStr">
        <is>
          <t>Tile mengantar ke Data Browser stasiun yang benar</t>
        </is>
      </c>
      <c r="E135" s="5" t="inlineStr">
        <is>
          <t>SPV-A</t>
        </is>
      </c>
      <c r="F135" s="5" t="inlineStr">
        <is>
          <t>—</t>
        </is>
      </c>
      <c r="G135" s="5"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H135" s="5" t="inlineStr">
        <is>
          <t>- Setiap tile aktif mendarat di Data Browser stasiun yang sama dengan namanya (/data/&lt;stasiun&gt;).
- Judul layarnya cocok dengan tile yang ditekan.
- Tile tidak aktif tidak berpindah layar dan tidak memunculkan galat.</t>
        </is>
      </c>
      <c r="I135" s="13" t="inlineStr">
        <is>
          <t>Tinggi</t>
        </is>
      </c>
      <c r="J135" s="5" t="inlineStr">
        <is>
          <t>—</t>
        </is>
      </c>
      <c r="K135" s="10" t="inlineStr">
        <is>
          <t>1×</t>
        </is>
      </c>
      <c r="L135" s="5" t="inlineStr"/>
    </row>
    <row r="136" ht="162.4" customHeight="1">
      <c r="A136" s="14" t="n">
        <v>132</v>
      </c>
      <c r="B136" s="15" t="inlineStr">
        <is>
          <t>Dashboard &amp; Laporan lain (DS-)</t>
        </is>
      </c>
      <c r="C136" s="16" t="inlineStr">
        <is>
          <t>DS-12</t>
        </is>
      </c>
      <c r="D136" s="17" t="inlineStr">
        <is>
          <t>Urutan tile sama antara Web dan Mobile</t>
        </is>
      </c>
      <c r="E136" s="15" t="inlineStr">
        <is>
          <t>SPV-A (web) + OPR-A (mobile)</t>
        </is>
      </c>
      <c r="F136" s="15" t="inlineStr">
        <is>
          <t>—</t>
        </is>
      </c>
      <c r="G136" s="15"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H136" s="15" t="inlineStr">
        <is>
          <t>- Kedua urutan sama persis, posisi per posisi.
- Keduanya dimulai Weighbridge, lalu Pressing.
- Urutannya bukan alfabetis dan bukan urutan alur proses — ia urutan yang diminta produk.
- Perbedaan urutan mana pun adalah temuan; sebutkan posisi keberapa yang berbeda.</t>
        </is>
      </c>
      <c r="I136" s="14" t="inlineStr">
        <is>
          <t>Sedang</t>
        </is>
      </c>
      <c r="J136" s="15" t="inlineStr">
        <is>
          <t>—</t>
        </is>
      </c>
      <c r="K136" s="14" t="inlineStr">
        <is>
          <t>1×</t>
        </is>
      </c>
      <c r="L136" s="15" t="inlineStr">
        <is>
          <t>urutan ini bukan alfabetis dan bukan alur proses — ia urutan yang diminta produk. Yang diuji adalah web dan mobile tidak menyimpang satu dari yang lain. ---</t>
        </is>
      </c>
    </row>
    <row r="137" ht="136" customHeight="1">
      <c r="A137" s="10" t="n">
        <v>133</v>
      </c>
      <c r="B137" s="5" t="inlineStr">
        <is>
          <t>Master Data (MD-)</t>
        </is>
      </c>
      <c r="C137" s="11" t="inlineStr">
        <is>
          <t>MD-KEL-01</t>
        </is>
      </c>
      <c r="D137" s="12" t="inlineStr">
        <is>
          <t>Tambah data berhasil dan langsung terlihat</t>
        </is>
      </c>
      <c r="E137" s="5" t="inlineStr">
        <is>
          <t>ADM</t>
        </is>
      </c>
      <c r="F137" s="5" t="inlineStr">
        <is>
          <t>—</t>
        </is>
      </c>
      <c r="G137" s="5" t="inlineStr">
        <is>
          <t>1. Login di web, lalu sidebar &gt; Kelola &lt;tingkat&gt; (/master-data/&lt;tingkat&gt;) untuk &lt;Tingkat&gt; sebagai ADM. Catat jumlah data yang tertulis.
2. Tekan Tambah.
3. Isi seluruh kolom wajib dengan nilai yang belum dipakai.
4. Tekan Simpan.
5. Baca daftar tanpa menekan muat ulang browser.</t>
        </is>
      </c>
      <c r="H137" s="5" t="inlineStr">
        <is>
          <t>- Simpan berhasil dengan pesan konfirmasi.
- Entri baru langsung muncul di daftar — tanpa muat ulang manual.
- Jumlah data bertambah satu.</t>
        </is>
      </c>
      <c r="I137" s="13" t="inlineStr">
        <is>
          <t>Tinggi</t>
        </is>
      </c>
      <c r="J137" s="5" t="inlineStr">
        <is>
          <t>—</t>
        </is>
      </c>
      <c r="K137" s="10" t="inlineStr">
        <is>
          <t>8×</t>
        </is>
      </c>
      <c r="L137" s="5" t="inlineStr"/>
    </row>
    <row r="138" ht="109.6" customHeight="1">
      <c r="A138" s="14" t="n">
        <v>134</v>
      </c>
      <c r="B138" s="15" t="inlineStr">
        <is>
          <t>Master Data (MD-)</t>
        </is>
      </c>
      <c r="C138" s="16" t="inlineStr">
        <is>
          <t>MD-KEL-02</t>
        </is>
      </c>
      <c r="D138" s="17" t="inlineStr">
        <is>
          <t>Kolom wajib divalidasi di sebelah kolomnya</t>
        </is>
      </c>
      <c r="E138" s="15" t="inlineStr">
        <is>
          <t>ADM</t>
        </is>
      </c>
      <c r="F138" s="15" t="inlineStr">
        <is>
          <t>—</t>
        </is>
      </c>
      <c r="G138" s="15" t="inlineStr">
        <is>
          <t>1. Login di web, lalu sidebar &gt; Kelola &lt;tingkat&gt; (/master-data/&lt;tingkat&gt;) untuk &lt;Tingkat&gt; sebagai ADM. Tekan Tambah.
2. Kosongkan satu kolom wajib, isi yang lain, tekan Simpan.
3. Catat di mana pesan galatnya muncul.
4. Ulangi langkah 2–3 untuk setiap kolom wajib, satu per satu.</t>
        </is>
      </c>
      <c r="H138" s="15" t="inlineStr">
        <is>
          <t>- Setiap kali ditolak; data tidak tersimpan.
- Pesan galat muncul di sebelah kolom yang bersangkutan — bukan satu pesan umum di atas form.
- Isi kolom lain tidak hilang.</t>
        </is>
      </c>
      <c r="I138" s="13" t="inlineStr">
        <is>
          <t>Tinggi</t>
        </is>
      </c>
      <c r="J138" s="15" t="inlineStr">
        <is>
          <t>—</t>
        </is>
      </c>
      <c r="K138" s="14" t="inlineStr">
        <is>
          <t>8×</t>
        </is>
      </c>
      <c r="L138" s="15" t="inlineStr"/>
    </row>
    <row r="139" ht="136" customHeight="1">
      <c r="A139" s="10" t="n">
        <v>135</v>
      </c>
      <c r="B139" s="5" t="inlineStr">
        <is>
          <t>Master Data (MD-)</t>
        </is>
      </c>
      <c r="C139" s="11" t="inlineStr">
        <is>
          <t>MD-KEL-03</t>
        </is>
      </c>
      <c r="D139" s="12" t="inlineStr">
        <is>
          <t>Nama kembar ditolak, tidak peduli huruf besar-kecil</t>
        </is>
      </c>
      <c r="E139" s="5" t="inlineStr">
        <is>
          <t>ADM</t>
        </is>
      </c>
      <c r="F139" s="5" t="inlineStr">
        <is>
          <t>sudah ada entri bernama mis. PT Contoh</t>
        </is>
      </c>
      <c r="G139" s="5" t="inlineStr">
        <is>
          <t>1. Login di web, lalu sidebar &gt; Kelola &lt;tingkat&gt; (/master-data/&lt;tingkat&gt;) untuk &lt;Tingkat&gt; sebagai ADM. Buat satu entri bernama PT Contoh.
2. Tekan Tambah lagi, isi nama pt contoh (huruf kecil), Simpan.
3. Tekan Tambah lagi, isi nama PT CONTOH (huruf besar), Simpan.
4. Tekan Tambah lagi, isi   PT Contoh   (dengan spasi di depan dan belakang), Simpan.</t>
        </is>
      </c>
      <c r="H139" s="5" t="inlineStr">
        <is>
          <t>- Langkah 2, 3, dan 4 semuanya ditolak.
- Pesannya menyebut bahwa namanya sudah dipakai.
- Hanya satu entri yang ada di daftar.</t>
        </is>
      </c>
      <c r="I139" s="13" t="inlineStr">
        <is>
          <t>Tinggi</t>
        </is>
      </c>
      <c r="J139" s="5" t="inlineStr">
        <is>
          <t>—</t>
        </is>
      </c>
      <c r="K139" s="10" t="inlineStr">
        <is>
          <t>8×</t>
        </is>
      </c>
      <c r="L139" s="5" t="inlineStr"/>
    </row>
    <row r="140" ht="175.6" customHeight="1">
      <c r="A140" s="14" t="n">
        <v>136</v>
      </c>
      <c r="B140" s="15" t="inlineStr">
        <is>
          <t>Master Data (MD-)</t>
        </is>
      </c>
      <c r="C140" s="16" t="inlineStr">
        <is>
          <t>MD-KEL-04</t>
        </is>
      </c>
      <c r="D140" s="17" t="inlineStr">
        <is>
          <t>Induk wajib dipilih</t>
        </is>
      </c>
      <c r="E140" s="15" t="inlineStr">
        <is>
          <t>ADM</t>
        </is>
      </c>
      <c r="F140" s="15" t="inlineStr">
        <is>
          <t>berlaku untuk Company (induk: Corporate), Business Unit (induk: Company), Production Line (induk: Business Unit), Station (induk: Production Line), Machinery (induk: Machinery Group)</t>
        </is>
      </c>
      <c r="G140" s="15" t="inlineStr">
        <is>
          <t>1. Berlaku untuk tingkat yang punya induk: Company (Corporate), Business Unit (Company), Production Line (Business Unit), Station (Production Line), Machinery (Machinery Group).
2. Login di web, lalu sidebar &gt; Kelola &lt;tingkat&gt; (/master-data/&lt;tingkat&gt;) untuk &lt;Tingkat&gt; sebagai ADM. Tekan Tambah.
3. Isi seluruh kolom kecuali kolom induk — biarkan induknya belum dipilih.
4. Tekan Simpan.
5. Baca bentuk dan letak pesannya dengan teliti.</t>
        </is>
      </c>
      <c r="H140" s="1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I140" s="13" t="inlineStr">
        <is>
          <t>Tinggi</t>
        </is>
      </c>
      <c r="J140" s="15" t="inlineStr">
        <is>
          <t>—</t>
        </is>
      </c>
      <c r="K140" s="14" t="inlineStr">
        <is>
          <t>8×</t>
        </is>
      </c>
      <c r="L140" s="15" t="inlineStr">
        <is>
          <t>pernah ada bug di sini yang memunculkan galat teknis, bukan pesan validasi. Perhatikan bentuk pesannya.</t>
        </is>
      </c>
    </row>
    <row r="141" ht="136" customHeight="1">
      <c r="A141" s="10" t="n">
        <v>137</v>
      </c>
      <c r="B141" s="5" t="inlineStr">
        <is>
          <t>Master Data (MD-)</t>
        </is>
      </c>
      <c r="C141" s="11" t="inlineStr">
        <is>
          <t>MD-KEL-05</t>
        </is>
      </c>
      <c r="D141" s="12" t="inlineStr">
        <is>
          <t>Nama kembar diperiksa dalam lingkup induknya</t>
        </is>
      </c>
      <c r="E141" s="5" t="inlineStr">
        <is>
          <t>ADM</t>
        </is>
      </c>
      <c r="F141" s="5" t="inlineStr">
        <is>
          <t>dua Corporate berbeda</t>
        </is>
      </c>
      <c r="G141" s="5" t="inlineStr">
        <is>
          <t>1. Sebagai ADM, pastikan ada dua Corporate berbeda: Corporate A dan Corporate B.
2. Login di web, lalu sidebar &gt; Kelola &lt;tingkat&gt; (/master-data/&lt;tingkat&gt;) untuk Company. Tambah Company bernama PT Sama dengan induk Corporate A. Simpan.
3. Tambah Company bernama PT Sama dengan induk Corporate B. Simpan.
4. Tambah Company bernama PT Sama dengan induk Corporate A lagi. Simpan.</t>
        </is>
      </c>
      <c r="H141" s="5" t="inlineStr">
        <is>
          <t>- Langkah 3 berhasil — nama yang sama sah di induk yang berbeda.
- Langkah 4 ditolak — nama kembar di induk yang sama tidak boleh.
- Daftar memuat dua PT Sama, masing-masing dengan induk berbeda, dan induknya terlihat di daftar.</t>
        </is>
      </c>
      <c r="I141" s="10" t="inlineStr">
        <is>
          <t>Sedang</t>
        </is>
      </c>
      <c r="J141" s="5" t="inlineStr">
        <is>
          <t>—</t>
        </is>
      </c>
      <c r="K141" s="10" t="inlineStr">
        <is>
          <t>8×</t>
        </is>
      </c>
      <c r="L141" s="5" t="inlineStr"/>
    </row>
    <row r="142" ht="122.8" customHeight="1">
      <c r="A142" s="14" t="n">
        <v>138</v>
      </c>
      <c r="B142" s="15" t="inlineStr">
        <is>
          <t>Master Data (MD-)</t>
        </is>
      </c>
      <c r="C142" s="16" t="inlineStr">
        <is>
          <t>MD-KEL-06</t>
        </is>
      </c>
      <c r="D142" s="17" t="inlineStr">
        <is>
          <t>Ubah data berhasil dan terlihat</t>
        </is>
      </c>
      <c r="E142" s="15" t="inlineStr">
        <is>
          <t>ADM</t>
        </is>
      </c>
      <c r="F142" s="15" t="inlineStr">
        <is>
          <t>—</t>
        </is>
      </c>
      <c r="G142" s="15" t="inlineStr">
        <is>
          <t>1. Login di web, lalu sidebar &gt; Kelola &lt;tingkat&gt; (/master-data/&lt;tingkat&gt;) untuk &lt;Tingkat&gt; sebagai ADM. Pilih satu entri yang dipakai di layar lain.
2. Tekan Edit, ubah namanya, tekan Simpan.
3. Periksa daftar.
4. Buka satu layar lain yang menampilkan nama itu (mis. pemilih Production Line pada laporan, atau kolom Mill di daftar user).</t>
        </is>
      </c>
      <c r="H142" s="15" t="inlineStr">
        <is>
          <t>- Nama baru terlihat di daftar.
- Nama baru juga terlihat di layar lain yang memakainya — tidak ada tempat yang masih menampilkan nama lama.
- Id entrinya tidak berubah: record yang menunjuknya tidak terlepas.</t>
        </is>
      </c>
      <c r="I142" s="13" t="inlineStr">
        <is>
          <t>Tinggi</t>
        </is>
      </c>
      <c r="J142" s="15" t="inlineStr">
        <is>
          <t>—</t>
        </is>
      </c>
      <c r="K142" s="14" t="inlineStr">
        <is>
          <t>8×</t>
        </is>
      </c>
      <c r="L142" s="15" t="inlineStr"/>
    </row>
    <row r="143" ht="175.6" customHeight="1">
      <c r="A143" s="10" t="n">
        <v>139</v>
      </c>
      <c r="B143" s="5" t="inlineStr">
        <is>
          <t>Master Data (MD-)</t>
        </is>
      </c>
      <c r="C143" s="11" t="inlineStr">
        <is>
          <t>MD-KEL-07</t>
        </is>
      </c>
      <c r="D143" s="12" t="inlineStr">
        <is>
          <t>Hapus ditolak bila masih punya anak, dengan menyebut jumlahnya</t>
        </is>
      </c>
      <c r="E143" s="5" t="inlineStr">
        <is>
          <t>ADM</t>
        </is>
      </c>
      <c r="F143" s="5" t="inlineStr">
        <is>
          <t>satu Corporate yang punya 2 Company; satu Company yang punya Business Unit; satu Business Unit yang punya Production Line</t>
        </is>
      </c>
      <c r="G143" s="5" t="inlineStr">
        <is>
          <t>1. Sebagai ADM, siapkan: satu Corporate yang punya 2 Company; satu Company yang punya Business Unit; satu Business Unit yang punya Production Line.
2. Login di web, lalu sidebar &gt; Kelola &lt;tingkat&gt; (/master-data/&lt;tingkat&gt;) untuk Corporate. Coba Hapus Corporate itu. Baca pesannya.
3. Periksa apakah Corporate itu dan kedua Company-nya masih ada.
4. Ulangi langkah 2–3 untuk Company yang punya Business Unit.
5. Ulangi untuk Business Unit yang punya Production Line.</t>
        </is>
      </c>
      <c r="H143" s="5" t="inlineStr">
        <is>
          <t>- Setiap penghapusan ditolak.
- Pesannya menyebut jumlah penghalangnya — mis. "masih memiliki 2 Company".
- Induknya tidak terhapus, dan tidak ada penghapusan berantai: anak-anaknya juga masih utuh.</t>
        </is>
      </c>
      <c r="I143" s="13" t="inlineStr">
        <is>
          <t>Tinggi</t>
        </is>
      </c>
      <c r="J143" s="5" t="inlineStr">
        <is>
          <t>—</t>
        </is>
      </c>
      <c r="K143" s="10" t="inlineStr">
        <is>
          <t>8×</t>
        </is>
      </c>
      <c r="L143" s="5" t="inlineStr"/>
    </row>
    <row r="144" ht="70" customHeight="1">
      <c r="A144" s="14" t="n">
        <v>140</v>
      </c>
      <c r="B144" s="15" t="inlineStr">
        <is>
          <t>Master Data (MD-)</t>
        </is>
      </c>
      <c r="C144" s="16" t="inlineStr">
        <is>
          <t>MD-KEL-08</t>
        </is>
      </c>
      <c r="D144" s="17" t="inlineStr">
        <is>
          <t>Hapus berhasil bila sudah tidak punya anak</t>
        </is>
      </c>
      <c r="E144" s="15" t="inlineStr">
        <is>
          <t>ADM</t>
        </is>
      </c>
      <c r="F144" s="15" t="inlineStr">
        <is>
          <t>—</t>
        </is>
      </c>
      <c r="G144" s="15" t="inlineStr">
        <is>
          <t>1. Pakai induk yang sama dari MD-KEL-07.
2. Hapus seluruh anaknya satu per satu lebih dulu.
3. Periksa daftar anaknya sudah kosong.
4. Hapus induknya.</t>
        </is>
      </c>
      <c r="H144" s="15" t="inlineStr">
        <is>
          <t>- Penghapusan anak-anaknya berhasil.
- Penghapusan induknya kini berhasil.
- Induk itu hilang dari daftar, dan jumlah data berkurang.</t>
        </is>
      </c>
      <c r="I144" s="13" t="inlineStr">
        <is>
          <t>Tinggi</t>
        </is>
      </c>
      <c r="J144" s="15" t="inlineStr">
        <is>
          <t>—</t>
        </is>
      </c>
      <c r="K144" s="14" t="inlineStr">
        <is>
          <t>8×</t>
        </is>
      </c>
      <c r="L144" s="15" t="inlineStr"/>
    </row>
    <row r="145" ht="109.6" customHeight="1">
      <c r="A145" s="10" t="n">
        <v>141</v>
      </c>
      <c r="B145" s="5" t="inlineStr">
        <is>
          <t>Master Data (MD-)</t>
        </is>
      </c>
      <c r="C145" s="11" t="inlineStr">
        <is>
          <t>MD-KEL-09</t>
        </is>
      </c>
      <c r="D145" s="12" t="inlineStr">
        <is>
          <t>Hapus meminta konfirmasi</t>
        </is>
      </c>
      <c r="E145" s="5" t="inlineStr">
        <is>
          <t>ADM</t>
        </is>
      </c>
      <c r="F145" s="5" t="inlineStr">
        <is>
          <t>—</t>
        </is>
      </c>
      <c r="G145" s="5" t="inlineStr">
        <is>
          <t>1. Login di web, lalu sidebar &gt; Kelola &lt;tingkat&gt; (/master-data/&lt;tingkat&gt;) untuk &lt;Tingkat&gt; sebagai ADM. Pilih satu entri tanpa anak.
2. Tekan Hapus. Baca dialognya, lalu tekan Batal.
3. Periksa daftar: apakah entri itu masih ada?
4. Tekan Hapus lagi, kali ini setujui.</t>
        </is>
      </c>
      <c r="H145" s="5" t="inlineStr">
        <is>
          <t>- Langkah 2 memunculkan dialog konfirmasi — tidak langsung menghapus.
- Langkah 3: entri masih ada, utuh.
- Langkah 4: entri terhapus dan hilang dari daftar.</t>
        </is>
      </c>
      <c r="I145" s="10" t="inlineStr">
        <is>
          <t>Sedang</t>
        </is>
      </c>
      <c r="J145" s="5" t="inlineStr">
        <is>
          <t>—</t>
        </is>
      </c>
      <c r="K145" s="10" t="inlineStr">
        <is>
          <t>8×</t>
        </is>
      </c>
      <c r="L145" s="5" t="inlineStr"/>
    </row>
    <row r="146" ht="162.4" customHeight="1">
      <c r="A146" s="14" t="n">
        <v>142</v>
      </c>
      <c r="B146" s="15" t="inlineStr">
        <is>
          <t>Master Data (MD-)</t>
        </is>
      </c>
      <c r="C146" s="16" t="inlineStr">
        <is>
          <t>MD-KEL-10</t>
        </is>
      </c>
      <c r="D146" s="17" t="inlineStr">
        <is>
          <t>Pencarian dan paginasi bekerja bersama</t>
        </is>
      </c>
      <c r="E146" s="15" t="inlineStr">
        <is>
          <t>ADM</t>
        </is>
      </c>
      <c r="F146" s="15" t="inlineStr">
        <is>
          <t>data lebih dari satu halaman</t>
        </is>
      </c>
      <c r="G146" s="15" t="inlineStr">
        <is>
          <t>1. Login di web, lalu sidebar &gt; Kelola &lt;tingkat&gt; (/master-data/&lt;tingkat&gt;) untuk &lt;Tingkat&gt;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H146" s="15" t="inlineStr">
        <is>
          <t>- Seluruh baris di halaman 2 (dan 3) masih cocok dengan kata kuncinya.
- Jumlah total hasil tidak berubah saat berpindah halaman.
- Kata kuncinya masih terisi di kolom pencarian setelah pindah halaman.</t>
        </is>
      </c>
      <c r="I146" s="13" t="inlineStr">
        <is>
          <t>Tinggi</t>
        </is>
      </c>
      <c r="J146" s="15" t="inlineStr">
        <is>
          <t>—</t>
        </is>
      </c>
      <c r="K146" s="14" t="inlineStr">
        <is>
          <t>8×</t>
        </is>
      </c>
      <c r="L146" s="15" t="inlineStr"/>
    </row>
    <row r="147" ht="122.8" customHeight="1">
      <c r="A147" s="10" t="n">
        <v>143</v>
      </c>
      <c r="B147" s="5" t="inlineStr">
        <is>
          <t>Master Data (MD-)</t>
        </is>
      </c>
      <c r="C147" s="11" t="inlineStr">
        <is>
          <t>MD-KEL-11</t>
        </is>
      </c>
      <c r="D147" s="12" t="inlineStr">
        <is>
          <t>Pencarian tidak peduli huruf besar-kecil, dan karakter khusus diperlakukan sebagai huruf biasa</t>
        </is>
      </c>
      <c r="E147" s="5" t="inlineStr">
        <is>
          <t>ADM</t>
        </is>
      </c>
      <c r="F147" s="5" t="inlineStr">
        <is>
          <t>entri bernama mis. Mill 100% Murni dan Mill BU_A</t>
        </is>
      </c>
      <c r="G147" s="5" t="inlineStr">
        <is>
          <t>1. Login di web, lalu sidebar &gt; Kelola &lt;tingkat&gt; (/master-data/&lt;tingkat&gt;) untuk &lt;Tingkat&gt; sebagai ADM. Buat dua entri: Mill 100% Murni dan Mill BU_A. Bila memungkinkan, buat juga Mill BUxA.
2. Cari 100%. Catat hasilnya.
3. Hapus, cari BU_A. Catat hasilnya.
4. Hapus, cari mill (huruf kecil). Catat hasilnya.</t>
        </is>
      </c>
      <c r="H147"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I147" s="10" t="inlineStr">
        <is>
          <t>Sedang</t>
        </is>
      </c>
      <c r="J147" s="5" t="inlineStr">
        <is>
          <t>—</t>
        </is>
      </c>
      <c r="K147" s="10" t="inlineStr">
        <is>
          <t>8×</t>
        </is>
      </c>
      <c r="L147" s="5" t="inlineStr">
        <is>
          <t>% dan _ adalah karakter khusus pencarian di banyak sistem. Di sini keduanya harus diperlakukan sebagai huruf biasa.</t>
        </is>
      </c>
    </row>
    <row r="148" ht="136" customHeight="1">
      <c r="A148" s="14" t="n">
        <v>144</v>
      </c>
      <c r="B148" s="15" t="inlineStr">
        <is>
          <t>Master Data (MD-)</t>
        </is>
      </c>
      <c r="C148" s="16" t="inlineStr">
        <is>
          <t>MD-KEL-12</t>
        </is>
      </c>
      <c r="D148" s="17" t="inlineStr">
        <is>
          <t>Logo mill dapat diunggah dan terlihat</t>
        </is>
      </c>
      <c r="E148" s="15" t="inlineStr">
        <is>
          <t>ADM</t>
        </is>
      </c>
      <c r="F148" s="15" t="inlineStr">
        <is>
          <t>berlaku untuk Business Unit</t>
        </is>
      </c>
      <c r="G148" s="15" t="inlineStr">
        <is>
          <t>1. Login di web, lalu sidebar &gt; Kelola &lt;tingkat&gt; (/master-data/&lt;tingkat&gt;) untuk Business Unit sebagai ADM. Tekan Edit pada satu mill.
2. Unggah satu berkas gambar (PNG atau JPG) sebagai logo. Tekan Simpan.
3. Buka kembali entri itu dan periksa logonya.
4. Tekan Edit lagi, dan coba unggah berkas yang bukan gambar (mis. .pdf atau .txt).</t>
        </is>
      </c>
      <c r="H148" s="15" t="inlineStr">
        <is>
          <t>- Logo gambar tersimpan dan terlihat saat entri dibuka kembali.
- Berkas bukan gambar ditolak dengan pesan yang jelas.
- Penolakan itu tidak menghapus logo yang sudah tersimpan sebelumnya.</t>
        </is>
      </c>
      <c r="I148" s="14" t="inlineStr">
        <is>
          <t>Rendah</t>
        </is>
      </c>
      <c r="J148" s="15" t="inlineStr">
        <is>
          <t>—</t>
        </is>
      </c>
      <c r="K148" s="14" t="inlineStr">
        <is>
          <t>8×</t>
        </is>
      </c>
      <c r="L148" s="15" t="inlineStr"/>
    </row>
    <row r="149" ht="122.8" customHeight="1">
      <c r="A149" s="10" t="n">
        <v>145</v>
      </c>
      <c r="B149" s="5" t="inlineStr">
        <is>
          <t>Master Data (MD-)</t>
        </is>
      </c>
      <c r="C149" s="11" t="inlineStr">
        <is>
          <t>MD-STR-01</t>
        </is>
      </c>
      <c r="D149" s="12" t="inlineStr">
        <is>
          <t>Papan kartu per mill tampil dengan hierarki di atasnya</t>
        </is>
      </c>
      <c r="E149" s="5" t="inlineStr">
        <is>
          <t>ADM</t>
        </is>
      </c>
      <c r="F149" s="5" t="inlineStr">
        <is>
          <t>—</t>
        </is>
      </c>
      <c r="G149" s="5"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H149" s="5" t="inlineStr">
        <is>
          <t>- Satu kartu per mill.
- Tiap kartu memuat jalur corporate › company di atas nama mill-nya.
- Kode mill dan jumlah Production Line tercetak.
- Daftar Production Line ada di dalam kartu, masing-masing dengan aksinya.</t>
        </is>
      </c>
      <c r="I149" s="13" t="inlineStr">
        <is>
          <t>Tinggi</t>
        </is>
      </c>
      <c r="J149" s="5" t="inlineStr">
        <is>
          <t>—</t>
        </is>
      </c>
      <c r="K149" s="10" t="inlineStr">
        <is>
          <t>1×</t>
        </is>
      </c>
      <c r="L149" s="5" t="inlineStr"/>
    </row>
    <row r="150" ht="136" customHeight="1">
      <c r="A150" s="14" t="n">
        <v>146</v>
      </c>
      <c r="B150" s="15" t="inlineStr">
        <is>
          <t>Master Data (MD-)</t>
        </is>
      </c>
      <c r="C150" s="16" t="inlineStr">
        <is>
          <t>MD-STR-02</t>
        </is>
      </c>
      <c r="D150" s="17" t="inlineStr">
        <is>
          <t>Keempat tingkat dapat dikelola dari layar ini</t>
        </is>
      </c>
      <c r="E150" s="15" t="inlineStr">
        <is>
          <t>ADM</t>
        </is>
      </c>
      <c r="F150" s="15" t="inlineStr">
        <is>
          <t>—</t>
        </is>
      </c>
      <c r="G150" s="15"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H150" s="15" t="inlineStr">
        <is>
          <t>- Ketiga aksi (tambah, ubah, hapus) berhasil pada keempat tingkat.
- Semuanya lewat modal — tidak berpindah ke layar lain.
- Sesudah tiap aksi, kartu/daftarnya ikut berubah tanpa muat ulang manual.</t>
        </is>
      </c>
      <c r="I150" s="13" t="inlineStr">
        <is>
          <t>Tinggi</t>
        </is>
      </c>
      <c r="J150" s="15" t="inlineStr">
        <is>
          <t>—</t>
        </is>
      </c>
      <c r="K150" s="14" t="inlineStr">
        <is>
          <t>1×</t>
        </is>
      </c>
      <c r="L150" s="15" t="inlineStr"/>
    </row>
    <row r="151" ht="96.39999999999999" customHeight="1">
      <c r="A151" s="10" t="n">
        <v>147</v>
      </c>
      <c r="B151" s="5" t="inlineStr">
        <is>
          <t>Master Data (MD-)</t>
        </is>
      </c>
      <c r="C151" s="11" t="inlineStr">
        <is>
          <t>MD-STR-03</t>
        </is>
      </c>
      <c r="D151" s="12" t="inlineStr">
        <is>
          <t>Corporate dan Company tetap terkelola walau tidak punya anak</t>
        </is>
      </c>
      <c r="E151" s="5" t="inlineStr">
        <is>
          <t>ADM</t>
        </is>
      </c>
      <c r="F151" s="5" t="inlineStr">
        <is>
          <t>satu Corporate yang belum punya Company</t>
        </is>
      </c>
      <c r="G151" s="5" t="inlineStr">
        <is>
          <t>1. Sebagai ADM, siapkan satu Corporate yang belum punya Company sama sekali.
2. Login di web, lalu sidebar &gt; Struktur Mills (/master-data/tree-view).
3. Cari Corporate itu di bagian ringkas Corporate/Company.
4. Ubah namanya dari layar ini, lalu Simpan.</t>
        </is>
      </c>
      <c r="H151" s="5"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I151" s="13" t="inlineStr">
        <is>
          <t>Tinggi</t>
        </is>
      </c>
      <c r="J151" s="5" t="inlineStr">
        <is>
          <t>—</t>
        </is>
      </c>
      <c r="K151" s="10" t="inlineStr">
        <is>
          <t>1×</t>
        </is>
      </c>
      <c r="L151" s="5" t="inlineStr">
        <is>
          <t>kartu mill hanya memuat mill. Corporate/Company tanpa anak tidak boleh hilang dari layar ini, karena kalau hilang ia tidak dapat dikelola di mana pun.</t>
        </is>
      </c>
    </row>
    <row r="152" ht="122.8" customHeight="1">
      <c r="A152" s="14" t="n">
        <v>148</v>
      </c>
      <c r="B152" s="15" t="inlineStr">
        <is>
          <t>Master Data (MD-)</t>
        </is>
      </c>
      <c r="C152" s="16" t="inlineStr">
        <is>
          <t>MD-STR-04</t>
        </is>
      </c>
      <c r="D152" s="17" t="inlineStr">
        <is>
          <t>Pencarian menyaring sebelum paginasi</t>
        </is>
      </c>
      <c r="E152" s="15" t="inlineStr">
        <is>
          <t>ADM</t>
        </is>
      </c>
      <c r="F152" s="15" t="inlineStr">
        <is>
          <t>mill lebih dari satu halaman</t>
        </is>
      </c>
      <c r="G152" s="15"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H152" s="15" t="inlineStr">
        <is>
          <t>- Mill itu ditemukan.
- Pencarian menyaring seluruh data, bukan hanya halaman yang sedang tampil.
- Kalau tidak ditemukan, itu bug: hasil di halaman lain akan terbaca "tidak ada".</t>
        </is>
      </c>
      <c r="I152" s="13" t="inlineStr">
        <is>
          <t>Tinggi</t>
        </is>
      </c>
      <c r="J152" s="15" t="inlineStr">
        <is>
          <t>—</t>
        </is>
      </c>
      <c r="K152" s="14" t="inlineStr">
        <is>
          <t>1×</t>
        </is>
      </c>
      <c r="L152" s="15" t="inlineStr">
        <is>
          <t>kalau pencarian hanya menyaring halaman aktif, hasil di halaman lain terbaca sebagai "tidak ditemukan" — itu bug.</t>
        </is>
      </c>
    </row>
    <row r="153" ht="96.39999999999999" customHeight="1">
      <c r="A153" s="10" t="n">
        <v>149</v>
      </c>
      <c r="B153" s="5" t="inlineStr">
        <is>
          <t>Master Data (MD-)</t>
        </is>
      </c>
      <c r="C153" s="11" t="inlineStr">
        <is>
          <t>MD-STR-05</t>
        </is>
      </c>
      <c r="D153" s="12" t="inlineStr">
        <is>
          <t>Aturan hapus sama dengan layar Kelola</t>
        </is>
      </c>
      <c r="E153" s="5" t="inlineStr">
        <is>
          <t>ADM</t>
        </is>
      </c>
      <c r="F153" s="5" t="inlineStr">
        <is>
          <t>—</t>
        </is>
      </c>
      <c r="G153" s="5" t="inlineStr">
        <is>
          <t>1. Login di web, lalu sidebar &gt; Struktur Mills (/master-data/tree-view) sebagai ADM.
2. Jalankan seluruh langkah MD-KEL-07 dari layar ini (hapus induk yang masih punya anak).
3. Jalankan seluruh langkah MD-KEL-08 dari layar ini.</t>
        </is>
      </c>
      <c r="H153" s="5" t="inlineStr">
        <is>
          <t>- Hasilnya sama dengan layar Kelola: penolakan menyebut jumlah penghalangnya.
- Tidak ada penghapusan berantai.
- Penghapusan berhasil hanya setelah anaknya habis.</t>
        </is>
      </c>
      <c r="I153" s="13" t="inlineStr">
        <is>
          <t>Tinggi</t>
        </is>
      </c>
      <c r="J153" s="5" t="inlineStr">
        <is>
          <t>—</t>
        </is>
      </c>
      <c r="K153" s="10" t="inlineStr">
        <is>
          <t>1×</t>
        </is>
      </c>
      <c r="L153" s="5" t="inlineStr"/>
    </row>
    <row r="154" ht="109.6" customHeight="1">
      <c r="A154" s="14" t="n">
        <v>150</v>
      </c>
      <c r="B154" s="15" t="inlineStr">
        <is>
          <t>Master Data (MD-)</t>
        </is>
      </c>
      <c r="C154" s="16" t="inlineStr">
        <is>
          <t>MD-PRD-01</t>
        </is>
      </c>
      <c r="D154" s="17" t="inlineStr">
        <is>
          <t>Hanya Admin dapat membuka layar ini</t>
        </is>
      </c>
      <c r="E154" s="15" t="inlineStr">
        <is>
          <t>SPV-A, MGR-A, ADM</t>
        </is>
      </c>
      <c r="F154" s="15" t="inlineStr">
        <is>
          <t>—</t>
        </is>
      </c>
      <c r="G154" s="15"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H154" s="15" t="inlineStr">
        <is>
          <t>- SPV-A: menu tidak ada, alamat langsung menjawab 403.
- MGR-A: sama — 403.
- ADM: menu ada dan layarnya terbuka.</t>
        </is>
      </c>
      <c r="I154" s="13" t="inlineStr">
        <is>
          <t>Tinggi</t>
        </is>
      </c>
      <c r="J154" s="15" t="inlineStr">
        <is>
          <t>—</t>
        </is>
      </c>
      <c r="K154" s="14" t="inlineStr">
        <is>
          <t>1×</t>
        </is>
      </c>
      <c r="L154" s="15" t="inlineStr"/>
    </row>
    <row r="155" ht="136" customHeight="1">
      <c r="A155" s="10" t="n">
        <v>151</v>
      </c>
      <c r="B155" s="5" t="inlineStr">
        <is>
          <t>Master Data (MD-)</t>
        </is>
      </c>
      <c r="C155" s="11" t="inlineStr">
        <is>
          <t>MD-PRD-02</t>
        </is>
      </c>
      <c r="D155" s="12" t="inlineStr">
        <is>
          <t>Panel "Periode Terbuka Hari Ini" memakai syarat gabungan</t>
        </is>
      </c>
      <c r="E155" s="5" t="inlineStr">
        <is>
          <t>ADM</t>
        </is>
      </c>
      <c r="F155" s="5" t="inlineStr">
        <is>
          <t>(a) periode yang punya stasiun Terbuka dan mencakup hari ini; (b) periode yang punya stasiun Terbuka tapi tidak mencakup hari ini</t>
        </is>
      </c>
      <c r="G155" s="5"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H155" s="5" t="inlineStr">
        <is>
          <t>- Hanya (a) yang muncul di panel.
- (b) tidak muncul — tanggal hari ini adalah bagian dari syaratnya, bukan sekadar penanda.
- Keduanya tetap terlihat di daftar periode utama di bawahnya.</t>
        </is>
      </c>
      <c r="I155" s="10" t="inlineStr">
        <is>
          <t>Sedang</t>
        </is>
      </c>
      <c r="J155" s="5" t="inlineStr">
        <is>
          <t>—</t>
        </is>
      </c>
      <c r="K155" s="10" t="inlineStr">
        <is>
          <t>1×</t>
        </is>
      </c>
      <c r="L155" s="5" t="inlineStr"/>
    </row>
    <row r="156" ht="109.6" customHeight="1">
      <c r="A156" s="14" t="n">
        <v>152</v>
      </c>
      <c r="B156" s="15" t="inlineStr">
        <is>
          <t>Master Data (MD-)</t>
        </is>
      </c>
      <c r="C156" s="16" t="inlineStr">
        <is>
          <t>MD-PRD-03</t>
        </is>
      </c>
      <c r="D156" s="17" t="inlineStr">
        <is>
          <t>Mill tanpa periode yang memenuhi syarat tetap punya kartu, dalam keadaan redup</t>
        </is>
      </c>
      <c r="E156" s="15" t="inlineStr">
        <is>
          <t>ADM</t>
        </is>
      </c>
      <c r="F156" s="15" t="inlineStr">
        <is>
          <t>satu mill tanpa periode terbuka hari ini</t>
        </is>
      </c>
      <c r="G156" s="15"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H156" s="15" t="inlineStr">
        <is>
          <t>- Mill itu tetap punya kartu, tampil redup.
- Ia tidak disembunyikan — ketiadaan periode adalah informasi, bukan alasan menghilangkan mill.
- Ada keterangan pada kartu itu bahwa belum ada periode terbuka hari ini.</t>
        </is>
      </c>
      <c r="I156" s="14" t="inlineStr">
        <is>
          <t>Sedang</t>
        </is>
      </c>
      <c r="J156" s="15" t="inlineStr">
        <is>
          <t>—</t>
        </is>
      </c>
      <c r="K156" s="14" t="inlineStr">
        <is>
          <t>1×</t>
        </is>
      </c>
      <c r="L156" s="15" t="inlineStr"/>
    </row>
    <row r="157" ht="162.4" customHeight="1">
      <c r="A157" s="10" t="n">
        <v>153</v>
      </c>
      <c r="B157" s="5" t="inlineStr">
        <is>
          <t>Master Data (MD-)</t>
        </is>
      </c>
      <c r="C157" s="11" t="inlineStr">
        <is>
          <t>MD-PRD-04</t>
        </is>
      </c>
      <c r="D157" s="12" t="inlineStr">
        <is>
          <t>Hitungan pada kartu adalah stasiun Terbuka dibanding seluruh stasiun periode</t>
        </is>
      </c>
      <c r="E157" s="5" t="inlineStr">
        <is>
          <t>ADM</t>
        </is>
      </c>
      <c r="F157" s="5" t="inlineStr">
        <is>
          <t>periode dengan sebagian stasiun Terbuka dan sebagian Tertutup</t>
        </is>
      </c>
      <c r="G157" s="5"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H157" s="5" t="inlineStr">
        <is>
          <t>- Angka pada kartu adalah stasiun Terbuka dibanding seluruh stasiun periode itu.
- Angkanya cocok dengan hitungan manual dari Detail Periode.
- Penyebutnya bukan 18 dan bukan jumlah stasiun mill — tapi jumlah stasiun pada periode itu.</t>
        </is>
      </c>
      <c r="I157" s="10" t="inlineStr">
        <is>
          <t>Sedang</t>
        </is>
      </c>
      <c r="J157" s="5" t="inlineStr">
        <is>
          <t>—</t>
        </is>
      </c>
      <c r="K157" s="10" t="inlineStr">
        <is>
          <t>1×</t>
        </is>
      </c>
      <c r="L157" s="5" t="inlineStr"/>
    </row>
    <row r="158" ht="83.19999999999999" customHeight="1">
      <c r="A158" s="14" t="n">
        <v>154</v>
      </c>
      <c r="B158" s="15" t="inlineStr">
        <is>
          <t>Master Data (MD-)</t>
        </is>
      </c>
      <c r="C158" s="16" t="inlineStr">
        <is>
          <t>MD-PRD-05</t>
        </is>
      </c>
      <c r="D158" s="17" t="inlineStr">
        <is>
          <t>Mill wajib dipilih saat membuat periode</t>
        </is>
      </c>
      <c r="E158" s="15" t="inlineStr">
        <is>
          <t>ADM</t>
        </is>
      </c>
      <c r="F158" s="15" t="inlineStr">
        <is>
          <t>—</t>
        </is>
      </c>
      <c r="G158" s="15" t="inlineStr">
        <is>
          <t>1. Login di web, lalu sidebar &gt; Kelola Periode Pelaporan (/master-data/periods) sebagai ADM. Tekan Tambah Periode.
2. Isi nama, tanggal mulai, dan tanggal selesai — tapi jangan pilih Business Unit.
3. Tekan Simpan.</t>
        </is>
      </c>
      <c r="H158" s="15" t="inlineStr">
        <is>
          <t>- Ditolak dengan pesan yang menunjuk kolom mill / Business Unit.
- Periode tidak tersimpan.
- Isi kolom lain tidak hilang.</t>
        </is>
      </c>
      <c r="I158" s="13" t="inlineStr">
        <is>
          <t>Tinggi</t>
        </is>
      </c>
      <c r="J158" s="15" t="inlineStr">
        <is>
          <t>—</t>
        </is>
      </c>
      <c r="K158" s="14" t="inlineStr">
        <is>
          <t>1×</t>
        </is>
      </c>
      <c r="L158" s="15" t="inlineStr"/>
    </row>
    <row r="159" ht="122.8" customHeight="1">
      <c r="A159" s="10" t="n">
        <v>155</v>
      </c>
      <c r="B159" s="5" t="inlineStr">
        <is>
          <t>Master Data (MD-)</t>
        </is>
      </c>
      <c r="C159" s="11" t="inlineStr">
        <is>
          <t>MD-PRD-06</t>
        </is>
      </c>
      <c r="D159" s="12" t="inlineStr">
        <is>
          <t>Periode tumpang tindih pada satu mill ditolak</t>
        </is>
      </c>
      <c r="E159" s="5" t="inlineStr">
        <is>
          <t>ADM</t>
        </is>
      </c>
      <c r="F159" s="5" t="inlineStr">
        <is>
          <t>sudah ada periode 1–31 Oktober pada Mill A</t>
        </is>
      </c>
      <c r="G159" s="5"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H159" s="5" t="inlineStr">
        <is>
          <t>- Langkah 2 ditolak, dengan pesan yang menyebut tumpang tindih dengan periode yang sudah ada.
- Langkah 4 berhasil — tumpang tindih hanya dilarang dalam satu mill yang sama.</t>
        </is>
      </c>
      <c r="I159" s="13" t="inlineStr">
        <is>
          <t>Tinggi</t>
        </is>
      </c>
      <c r="J159" s="5" t="inlineStr">
        <is>
          <t>—</t>
        </is>
      </c>
      <c r="K159" s="10" t="inlineStr">
        <is>
          <t>1×</t>
        </is>
      </c>
      <c r="L159" s="5" t="inlineStr"/>
    </row>
    <row r="160" ht="122.8" customHeight="1">
      <c r="A160" s="14" t="n">
        <v>156</v>
      </c>
      <c r="B160" s="15" t="inlineStr">
        <is>
          <t>Master Data (MD-)</t>
        </is>
      </c>
      <c r="C160" s="16" t="inlineStr">
        <is>
          <t>MD-PRD-07</t>
        </is>
      </c>
      <c r="D160" s="17" t="inlineStr">
        <is>
          <t>Periode tidak memilih jenis stasiun; daftarnya diturunkan sistem</t>
        </is>
      </c>
      <c r="E160" s="15" t="inlineStr">
        <is>
          <t>ADM</t>
        </is>
      </c>
      <c r="F160" s="15" t="inlineStr">
        <is>
          <t>—</t>
        </is>
      </c>
      <c r="G160" s="15"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H160" s="15" t="inlineStr">
        <is>
          <t>- Saat membuat, tidak ada pilihan jenis stasiun sama sekali.
- Di Detail, daftar stasiunnya sudah terisi sesuai stasiun yang ada di mill itu — diturunkan sistem.
- Setiap stasiun pada daftar itu punya statusnya sendiri (draft/terbuka/tertutup).</t>
        </is>
      </c>
      <c r="I160" s="14" t="inlineStr">
        <is>
          <t>Sedang</t>
        </is>
      </c>
      <c r="J160" s="15" t="inlineStr">
        <is>
          <t>—</t>
        </is>
      </c>
      <c r="K160" s="14" t="inlineStr">
        <is>
          <t>1×</t>
        </is>
      </c>
      <c r="L160" s="15" t="inlineStr"/>
    </row>
    <row r="161" ht="122.8" customHeight="1">
      <c r="A161" s="10" t="n">
        <v>157</v>
      </c>
      <c r="B161" s="5" t="inlineStr">
        <is>
          <t>Master Data (MD-)</t>
        </is>
      </c>
      <c r="C161" s="11" t="inlineStr">
        <is>
          <t>MD-PRD-08</t>
        </is>
      </c>
      <c r="D161" s="12" t="inlineStr">
        <is>
          <t>Tanggal akhir tidak boleh sebelum tanggal mulai</t>
        </is>
      </c>
      <c r="E161" s="5" t="inlineStr">
        <is>
          <t>ADM</t>
        </is>
      </c>
      <c r="F161" s="5" t="inlineStr">
        <is>
          <t>—</t>
        </is>
      </c>
      <c r="G161" s="5"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H161" s="5" t="inlineStr">
        <is>
          <t>- Tanggal selesai lebih awal ditolak, dengan pesan yang menyebut rentangnya, muncul di sebelah kolom Tanggal Selesai.
- Periode tidak tersimpan.
- Tanggal selesai sama dengan tanggal mulai: catat perilakunya apa adanya (periode satu hari).</t>
        </is>
      </c>
      <c r="I161" s="13" t="inlineStr">
        <is>
          <t>Tinggi</t>
        </is>
      </c>
      <c r="J161" s="5" t="inlineStr">
        <is>
          <t>—</t>
        </is>
      </c>
      <c r="K161" s="10" t="inlineStr">
        <is>
          <t>1×</t>
        </is>
      </c>
      <c r="L161" s="5" t="inlineStr"/>
    </row>
    <row r="162" ht="136" customHeight="1">
      <c r="A162" s="14" t="n">
        <v>158</v>
      </c>
      <c r="B162" s="15" t="inlineStr">
        <is>
          <t>Master Data (MD-)</t>
        </is>
      </c>
      <c r="C162" s="16" t="inlineStr">
        <is>
          <t>MD-PRD-09</t>
        </is>
      </c>
      <c r="D162" s="17" t="inlineStr">
        <is>
          <t>Tutup dan Buka periode hanya oleh Admin, dan statusnya berpengaruh</t>
        </is>
      </c>
      <c r="E162" s="15" t="inlineStr">
        <is>
          <t>ADM, lalu SPV-A</t>
        </is>
      </c>
      <c r="F162" s="15" t="inlineStr">
        <is>
          <t>—</t>
        </is>
      </c>
      <c r="G162" s="15"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H162" s="15" t="inlineStr">
        <is>
          <t>- Hasil LS-10 terpenuhi: status periode benar-benar mengunci dan membuka input.
- SPV-A dan MGR-A tidak punya aksi tutup/buka sama sekali — bukan hanya tombolnya kelabu, tapi memang tidak ada.
- Hanya ADM yang dapat melakukannya.</t>
        </is>
      </c>
      <c r="I162" s="13" t="inlineStr">
        <is>
          <t>Tinggi</t>
        </is>
      </c>
      <c r="J162" s="15" t="inlineStr">
        <is>
          <t>—</t>
        </is>
      </c>
      <c r="K162" s="14" t="inlineStr">
        <is>
          <t>1×</t>
        </is>
      </c>
      <c r="L162" s="15" t="inlineStr"/>
    </row>
    <row r="163" ht="122.8" customHeight="1">
      <c r="A163" s="10" t="n">
        <v>159</v>
      </c>
      <c r="B163" s="5" t="inlineStr">
        <is>
          <t>Master Data (MD-)</t>
        </is>
      </c>
      <c r="C163" s="11" t="inlineStr">
        <is>
          <t>MD-PRD-10</t>
        </is>
      </c>
      <c r="D163" s="12" t="inlineStr">
        <is>
          <t>Hapus periode yang sudah punya record ditolak</t>
        </is>
      </c>
      <c r="E163" s="5" t="inlineStr">
        <is>
          <t>ADM</t>
        </is>
      </c>
      <c r="F163" s="5" t="inlineStr">
        <is>
          <t>periode yang sudah membingkai record stasiun</t>
        </is>
      </c>
      <c r="G163" s="5"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H163" s="5" t="inlineStr">
        <is>
          <t>- Ditolak dengan pesan yang menyebut sebabnya (masih punya record).
- Periode tidak terhapus.
- Record stasiunnya tidak terhapus — tidak ada penghapusan berantai.</t>
        </is>
      </c>
      <c r="I163" s="13" t="inlineStr">
        <is>
          <t>Tinggi</t>
        </is>
      </c>
      <c r="J163" s="5" t="inlineStr">
        <is>
          <t>—</t>
        </is>
      </c>
      <c r="K163" s="10" t="inlineStr">
        <is>
          <t>1×</t>
        </is>
      </c>
      <c r="L163" s="5" t="inlineStr"/>
    </row>
    <row r="164" ht="109.6" customHeight="1">
      <c r="A164" s="14" t="n">
        <v>160</v>
      </c>
      <c r="B164" s="15" t="inlineStr">
        <is>
          <t>Master Data (MD-)</t>
        </is>
      </c>
      <c r="C164" s="16" t="inlineStr">
        <is>
          <t>MD-PRD-11</t>
        </is>
      </c>
      <c r="D164" s="17" t="inlineStr">
        <is>
          <t>Filter dan paginasi daftar periode</t>
        </is>
      </c>
      <c r="E164" s="15" t="inlineStr">
        <is>
          <t>ADM</t>
        </is>
      </c>
      <c r="F164" s="15" t="inlineStr">
        <is>
          <t>—</t>
        </is>
      </c>
      <c r="G164" s="15" t="inlineStr">
        <is>
          <t>1. Login di web, lalu sidebar &gt; Kelola Periode Pelaporan (/master-data/periods) sebagai ADM.
2. Jalankan seluruh langkah MD-KEL-10 pada daftar periode: cari kata kunci yang hasilnya lebih dari satu halaman, lalu buka halaman 2.
3. Periksa setiap baris halaman 2.</t>
        </is>
      </c>
      <c r="H164" s="15" t="inlineStr">
        <is>
          <t>- Hasilnya sama dengan MD-KEL-10: seluruh baris halaman 2 masih cocok dengan filternya.
- Jumlah total hasil tidak berubah antar halaman.</t>
        </is>
      </c>
      <c r="I164" s="14" t="inlineStr">
        <is>
          <t>Sedang ---</t>
        </is>
      </c>
      <c r="J164" s="15" t="inlineStr">
        <is>
          <t>—</t>
        </is>
      </c>
      <c r="K164" s="14" t="inlineStr">
        <is>
          <t>1×</t>
        </is>
      </c>
      <c r="L164" s="15" t="inlineStr"/>
    </row>
    <row r="165" ht="149.2" customHeight="1">
      <c r="A165" s="10" t="n">
        <v>161</v>
      </c>
      <c r="B165" s="5" t="inlineStr">
        <is>
          <t>User &amp; Role, Pengaturan Mill (AD-)</t>
        </is>
      </c>
      <c r="C165" s="11" t="inlineStr">
        <is>
          <t>AD-01</t>
        </is>
      </c>
      <c r="D165" s="12" t="inlineStr">
        <is>
          <t>Tambah user dengan peran dan mill</t>
        </is>
      </c>
      <c r="E165" s="5" t="inlineStr">
        <is>
          <t>ADM</t>
        </is>
      </c>
      <c r="F165" s="5" t="inlineStr">
        <is>
          <t>—</t>
        </is>
      </c>
      <c r="G165" s="5"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H165" s="5"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I165" s="13" t="inlineStr">
        <is>
          <t>Tinggi</t>
        </is>
      </c>
      <c r="J165" s="5" t="inlineStr">
        <is>
          <t>—</t>
        </is>
      </c>
      <c r="K165" s="10" t="inlineStr">
        <is>
          <t>1×</t>
        </is>
      </c>
      <c r="L165" s="5" t="inlineStr"/>
    </row>
    <row r="166" ht="122.8" customHeight="1">
      <c r="A166" s="14" t="n">
        <v>162</v>
      </c>
      <c r="B166" s="15" t="inlineStr">
        <is>
          <t>User &amp; Role, Pengaturan Mill (AD-)</t>
        </is>
      </c>
      <c r="C166" s="16" t="inlineStr">
        <is>
          <t>AD-02</t>
        </is>
      </c>
      <c r="D166" s="17" t="inlineStr">
        <is>
          <t>Username kembar ditolak</t>
        </is>
      </c>
      <c r="E166" s="15" t="inlineStr">
        <is>
          <t>ADM</t>
        </is>
      </c>
      <c r="F166" s="15" t="inlineStr">
        <is>
          <t>—</t>
        </is>
      </c>
      <c r="G166" s="15"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H166" s="15" t="inlineStr">
        <is>
          <t>- Ketiganya ditolak.
- Pesannya menyebut bahwa username sudah dipakai.
- Tidak ada user ganda yang tercipta.</t>
        </is>
      </c>
      <c r="I166" s="13" t="inlineStr">
        <is>
          <t>Tinggi</t>
        </is>
      </c>
      <c r="J166" s="15" t="inlineStr">
        <is>
          <t>—</t>
        </is>
      </c>
      <c r="K166" s="14" t="inlineStr">
        <is>
          <t>1×</t>
        </is>
      </c>
      <c r="L166" s="15" t="inlineStr"/>
    </row>
    <row r="167" ht="96.39999999999999" customHeight="1">
      <c r="A167" s="10" t="n">
        <v>163</v>
      </c>
      <c r="B167" s="5" t="inlineStr">
        <is>
          <t>User &amp; Role, Pengaturan Mill (AD-)</t>
        </is>
      </c>
      <c r="C167" s="11" t="inlineStr">
        <is>
          <t>AD-03</t>
        </is>
      </c>
      <c r="D167" s="12" t="inlineStr">
        <is>
          <t>Peran terikat mill wajib punya mill</t>
        </is>
      </c>
      <c r="E167" s="5" t="inlineStr">
        <is>
          <t>ADM</t>
        </is>
      </c>
      <c r="F167" s="5" t="inlineStr">
        <is>
          <t>—</t>
        </is>
      </c>
      <c r="G167" s="5"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H167" s="5" t="inlineStr">
        <is>
          <t>- Langkah 2 ditolak, dengan pesan yang menunjuk kolom mill.
- Langkah 4 berhasil — Admin memang tidak terikat satu mill.
- Kalau Admin juga ditolak, itu temuan: ia akan membuat Admin mustahil dibuat.</t>
        </is>
      </c>
      <c r="I167" s="13" t="inlineStr">
        <is>
          <t>Tinggi</t>
        </is>
      </c>
      <c r="J167" s="5" t="inlineStr">
        <is>
          <t>—</t>
        </is>
      </c>
      <c r="K167" s="10" t="inlineStr">
        <is>
          <t>1×</t>
        </is>
      </c>
      <c r="L167" s="5" t="inlineStr"/>
    </row>
    <row r="168" ht="202" customHeight="1">
      <c r="A168" s="14" t="n">
        <v>164</v>
      </c>
      <c r="B168" s="15" t="inlineStr">
        <is>
          <t>User &amp; Role, Pengaturan Mill (AD-)</t>
        </is>
      </c>
      <c r="C168" s="16" t="inlineStr">
        <is>
          <t>AD-04</t>
        </is>
      </c>
      <c r="D168" s="17" t="inlineStr">
        <is>
          <t>Ubah peran langsung mengubah menu yang terlihat</t>
        </is>
      </c>
      <c r="E168" s="15" t="inlineStr">
        <is>
          <t>ADM + akun uji</t>
        </is>
      </c>
      <c r="F168" s="15" t="inlineStr">
        <is>
          <t>—</t>
        </is>
      </c>
      <c r="G168" s="15"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lalu tekan Edit (/data/&lt;stasiun&gt;/&lt;id&gt;/edit). Coba isi Checked By.
6. Coba isi Acknowledged By.</t>
        </is>
      </c>
      <c r="H168" s="15" t="inlineStr">
        <is>
          <t>- Sidebar berubah sesuai peran baru — mis. Laporan Manajemen kini muncul.
- Checked By kini tidak bisa diisi.
- Acknowledged By kini bisa diisi.
- Perubahan peran berlaku tanpa perlu membuat akun baru.</t>
        </is>
      </c>
      <c r="I168" s="13" t="inlineStr">
        <is>
          <t>Tinggi</t>
        </is>
      </c>
      <c r="J168" s="15" t="inlineStr">
        <is>
          <t>—</t>
        </is>
      </c>
      <c r="K168" s="14" t="inlineStr">
        <is>
          <t>1×</t>
        </is>
      </c>
      <c r="L168" s="15" t="inlineStr"/>
    </row>
    <row r="169" ht="70" customHeight="1">
      <c r="A169" s="10" t="n">
        <v>165</v>
      </c>
      <c r="B169" s="5" t="inlineStr">
        <is>
          <t>User &amp; Role, Pengaturan Mill (AD-)</t>
        </is>
      </c>
      <c r="C169" s="11" t="inlineStr">
        <is>
          <t>AD-05</t>
        </is>
      </c>
      <c r="D169" s="12" t="inlineStr">
        <is>
          <t>Nonaktifkan user memblokir login</t>
        </is>
      </c>
      <c r="E169" s="5" t="inlineStr">
        <is>
          <t>ADM</t>
        </is>
      </c>
      <c r="F169" s="5" t="inlineStr">
        <is>
          <t>—</t>
        </is>
      </c>
      <c r="G169" s="5" t="inlineStr">
        <is>
          <t>1. Jalankan seluruh langkah AU-04 dari layar Login di web, lalu sidebar &gt; Kelola User &amp; Role (/users).
2. Pastikan langkah terakhir AU-04 dijalankan: aktifkan kembali akunnya.</t>
        </is>
      </c>
      <c r="H169" s="5" t="inlineStr">
        <is>
          <t>- Hasilnya sesuai AU-04: sesi yang sedang berjalan dikeluarkan, dan login berikutnya gagal dengan pesan akun tidak aktif.
- Sesudah diaktifkan kembali, akun itu bisa login lagi.</t>
        </is>
      </c>
      <c r="I169" s="13" t="inlineStr">
        <is>
          <t>Tinggi</t>
        </is>
      </c>
      <c r="J169" s="5" t="inlineStr">
        <is>
          <t>—</t>
        </is>
      </c>
      <c r="K169" s="10" t="inlineStr">
        <is>
          <t>1×</t>
        </is>
      </c>
      <c r="L169" s="5" t="inlineStr"/>
    </row>
    <row r="170" ht="136" customHeight="1">
      <c r="A170" s="14" t="n">
        <v>166</v>
      </c>
      <c r="B170" s="15" t="inlineStr">
        <is>
          <t>User &amp; Role, Pengaturan Mill (AD-)</t>
        </is>
      </c>
      <c r="C170" s="16" t="inlineStr">
        <is>
          <t>AD-06</t>
        </is>
      </c>
      <c r="D170" s="17" t="inlineStr">
        <is>
          <t>Reset password oleh Admin</t>
        </is>
      </c>
      <c r="E170" s="15" t="inlineStr">
        <is>
          <t>ADM + akun uji</t>
        </is>
      </c>
      <c r="F170" s="15" t="inlineStr">
        <is>
          <t>—</t>
        </is>
      </c>
      <c r="G170" s="15"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H170" s="15" t="inlineStr">
        <is>
          <t>- Reset berhasil dengan pesan konfirmasi.
- Login dengan password baru berhasil.
- Login dengan password lama gagal.</t>
        </is>
      </c>
      <c r="I170" s="13" t="inlineStr">
        <is>
          <t>Tinggi</t>
        </is>
      </c>
      <c r="J170" s="15" t="inlineStr">
        <is>
          <t>—</t>
        </is>
      </c>
      <c r="K170" s="14" t="inlineStr">
        <is>
          <t>1×</t>
        </is>
      </c>
      <c r="L170" s="15" t="inlineStr"/>
    </row>
    <row r="171" ht="96.39999999999999" customHeight="1">
      <c r="A171" s="10" t="n">
        <v>167</v>
      </c>
      <c r="B171" s="5" t="inlineStr">
        <is>
          <t>User &amp; Role, Pengaturan Mill (AD-)</t>
        </is>
      </c>
      <c r="C171" s="11" t="inlineStr">
        <is>
          <t>AD-07</t>
        </is>
      </c>
      <c r="D171" s="12" t="inlineStr">
        <is>
          <t>Pengaturan Mill: Mill Management hanya mill sendiri</t>
        </is>
      </c>
      <c r="E171" s="5" t="inlineStr">
        <is>
          <t>MGR-A</t>
        </is>
      </c>
      <c r="F171" s="5" t="inlineStr">
        <is>
          <t>2 mill ada</t>
        </is>
      </c>
      <c r="G171" s="5" t="inlineStr">
        <is>
          <t>1. Pastikan ada 2 mill di sistem.
2. Login di web, lalu sidebar &gt; Mills Setting (/mill-settings) sebagai MGR-A.
3. Baca nama mill yang dapat diatur. Cari pemilih mill.
4. Periksa apakah nama mill kedua muncul di mana pun pada layar ini.</t>
        </is>
      </c>
      <c r="H171" s="5" t="inlineStr">
        <is>
          <t>- Hanya mill sendiri yang dapat diatur.
- Mill lain tidak terlihat dan tidak dapat dipilih — tidak ada pemilih mill untuk peran ini.
- Nama mill kedua tidak tercetak di layar mana pun.</t>
        </is>
      </c>
      <c r="I171" s="13" t="inlineStr">
        <is>
          <t>Tinggi</t>
        </is>
      </c>
      <c r="J171" s="5" t="inlineStr">
        <is>
          <t>—</t>
        </is>
      </c>
      <c r="K171" s="10" t="inlineStr">
        <is>
          <t>1×</t>
        </is>
      </c>
      <c r="L171" s="5" t="inlineStr"/>
    </row>
    <row r="172" ht="70" customHeight="1">
      <c r="A172" s="14" t="n">
        <v>168</v>
      </c>
      <c r="B172" s="15" t="inlineStr">
        <is>
          <t>User &amp; Role, Pengaturan Mill (AD-)</t>
        </is>
      </c>
      <c r="C172" s="16" t="inlineStr">
        <is>
          <t>AD-08</t>
        </is>
      </c>
      <c r="D172" s="17" t="inlineStr">
        <is>
          <t>Pengaturan Mill: Admin dapat semua mill</t>
        </is>
      </c>
      <c r="E172" s="15" t="inlineStr">
        <is>
          <t>ADM</t>
        </is>
      </c>
      <c r="F172" s="15" t="inlineStr">
        <is>
          <t>—</t>
        </is>
      </c>
      <c r="G172" s="15" t="inlineStr">
        <is>
          <t>1. Login di web, lalu sidebar &gt; Mills Setting (/mill-settings) sebagai ADM.
2. Cari pemilih mill dan buka daftarnya.
3. Pilih Mill A, baca pengaturannya. Lalu pilih Mill B dan baca pengaturannya.</t>
        </is>
      </c>
      <c r="H172" s="15" t="inlineStr">
        <is>
          <t>- Pemilih mill ada dan memuat seluruh mill.
- Pengaturan setiap mill dapat dibuka dan diatur.
- Berganti mill mengganti nilai yang tampil — bukan menampilkan nilai mill sebelumnya.</t>
        </is>
      </c>
      <c r="I172" s="13" t="inlineStr">
        <is>
          <t>Tinggi</t>
        </is>
      </c>
      <c r="J172" s="15" t="inlineStr">
        <is>
          <t>—</t>
        </is>
      </c>
      <c r="K172" s="14" t="inlineStr">
        <is>
          <t>1×</t>
        </is>
      </c>
      <c r="L172" s="15" t="inlineStr"/>
    </row>
    <row r="173" ht="96.39999999999999" customHeight="1">
      <c r="A173" s="10" t="n">
        <v>169</v>
      </c>
      <c r="B173" s="5" t="inlineStr">
        <is>
          <t>User &amp; Role, Pengaturan Mill (AD-)</t>
        </is>
      </c>
      <c r="C173" s="11" t="inlineStr">
        <is>
          <t>AD-09</t>
        </is>
      </c>
      <c r="D173" s="12" t="inlineStr">
        <is>
          <t>Supervisor dan Operator tidak punya Pengaturan Mill</t>
        </is>
      </c>
      <c r="E173" s="5" t="inlineStr">
        <is>
          <t>SPV-A, OPR-A</t>
        </is>
      </c>
      <c r="F173" s="5" t="inlineStr">
        <is>
          <t>—</t>
        </is>
      </c>
      <c r="G173" s="5" t="inlineStr">
        <is>
          <t>1. Login di web (buka /login, isi username dan password akun pada kolom Peran, tekan Login) sebagai SPV-A. Cari menu Mills Setting di sidebar.
2. Ketik /mill-settings langsung di bilah alamat.
3. Logout, ulangi langkah 1–2 sebagai OPR-A.</t>
        </is>
      </c>
      <c r="H173" s="5" t="inlineStr">
        <is>
          <t>- Menu tidak ada di sidebar untuk keduanya.
- Alamat langsung menjawab 403 untuk keduanya.
- Halaman 403-nya masih di dalam kerangka aplikasi (lihat LS-01).</t>
        </is>
      </c>
      <c r="I173" s="13" t="inlineStr">
        <is>
          <t>Tinggi</t>
        </is>
      </c>
      <c r="J173" s="5" t="inlineStr">
        <is>
          <t>—</t>
        </is>
      </c>
      <c r="K173" s="10" t="inlineStr">
        <is>
          <t>1×</t>
        </is>
      </c>
      <c r="L173" s="5" t="inlineStr"/>
    </row>
    <row r="174" ht="149.2" customHeight="1">
      <c r="A174" s="14" t="n">
        <v>170</v>
      </c>
      <c r="B174" s="15" t="inlineStr">
        <is>
          <t>User &amp; Role, Pengaturan Mill (AD-)</t>
        </is>
      </c>
      <c r="C174" s="16" t="inlineStr">
        <is>
          <t>AD-10</t>
        </is>
      </c>
      <c r="D174" s="17" t="inlineStr">
        <is>
          <t>Perubahan Pengaturan Mill tersimpan dan berlaku</t>
        </is>
      </c>
      <c r="E174" s="15" t="inlineStr">
        <is>
          <t>MGR-A</t>
        </is>
      </c>
      <c r="F174" s="15" t="inlineStr">
        <is>
          <t>—</t>
        </is>
      </c>
      <c r="G174" s="15"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H174" s="15" t="inlineStr">
        <is>
          <t>- Simpan berhasil dengan pesan konfirmasi.
- Nilai baru bertahan sesudah muat ulang.
- Nilai baru berlaku di layar yang memakainya.
- Nilai yang tersimpan tapi tidak berpengaruh ke layar mana pun adalah separuh fitur — itu yang diperiksa di langkah 4–5.</t>
        </is>
      </c>
      <c r="I174" s="14" t="inlineStr">
        <is>
          <t>Sedang ---</t>
        </is>
      </c>
      <c r="J174" s="15" t="inlineStr">
        <is>
          <t>—</t>
        </is>
      </c>
      <c r="K174" s="14" t="inlineStr">
        <is>
          <t>1×</t>
        </is>
      </c>
      <c r="L174" s="15" t="inlineStr"/>
    </row>
  </sheetData>
  <autoFilter ref="A4:L174"/>
  <mergeCells count="2">
    <mergeCell ref="A2:L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513"/>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32" customWidth="1" min="3" max="3"/>
    <col width="22" customWidth="1" min="4" max="4"/>
    <col width="14" customWidth="1" min="5" max="5"/>
    <col width="62" customWidth="1" min="6" max="6"/>
    <col width="9" customWidth="1" min="7" max="7"/>
    <col width="11" customWidth="1" min="8" max="8"/>
    <col width="13" customWidth="1" min="9" max="9"/>
    <col width="13" customWidth="1" min="10" max="10"/>
    <col width="11" customWidth="1" min="11" max="11"/>
    <col width="34" customWidth="1" min="12" max="12"/>
  </cols>
  <sheetData>
    <row r="1" ht="26" customHeight="1">
      <c r="A1" s="1" t="inlineStr">
        <is>
          <t>Lembar Hasil — satu baris per jalan</t>
        </is>
      </c>
    </row>
    <row r="2" ht="30" customHeight="1">
      <c r="A2" s="2" t="inlineStr">
        <is>
          <t>Kolom berlatar kuning diisi penguji. Kolom Hasil punya daftar pilihan. Hasil Diharapkan diulang di sini supaya penguji tidak perlu berpindah sheet.</t>
        </is>
      </c>
    </row>
    <row r="4" ht="28" customHeight="1">
      <c r="A4" s="9" t="inlineStr">
        <is>
          <t>No</t>
        </is>
      </c>
      <c r="B4" s="9" t="inlineStr">
        <is>
          <t>ID</t>
        </is>
      </c>
      <c r="C4" s="9" t="inlineStr">
        <is>
          <t>Judul</t>
        </is>
      </c>
      <c r="D4" s="9" t="inlineStr">
        <is>
          <t>Stasiun / Varian</t>
        </is>
      </c>
      <c r="E4" s="9" t="inlineStr">
        <is>
          <t>Peran</t>
        </is>
      </c>
      <c r="F4" s="9" t="inlineStr">
        <is>
          <t>Hasil Diharapkan</t>
        </is>
      </c>
      <c r="G4" s="9" t="inlineStr">
        <is>
          <t>Prioritas</t>
        </is>
      </c>
      <c r="H4" s="9" t="inlineStr">
        <is>
          <t>Tanggal</t>
        </is>
      </c>
      <c r="I4" s="9" t="inlineStr">
        <is>
          <t>Penguji</t>
        </is>
      </c>
      <c r="J4" s="9" t="inlineStr">
        <is>
          <t>Hasil</t>
        </is>
      </c>
      <c r="K4" s="9" t="inlineStr">
        <is>
          <t>No. Bug</t>
        </is>
      </c>
      <c r="L4" s="9" t="inlineStr">
        <is>
          <t>Catatan / apa yang terlihat</t>
        </is>
      </c>
    </row>
    <row r="5" ht="109.6" customHeight="1">
      <c r="A5" s="10" t="n">
        <v>1</v>
      </c>
      <c r="B5" s="11" t="inlineStr">
        <is>
          <t>LS-01</t>
        </is>
      </c>
      <c r="C5" s="5" t="inlineStr">
        <is>
          <t>Peran yang tidak berhak ditolak dengan halaman 403, bukan halaman kosong</t>
        </is>
      </c>
      <c r="D5" s="5" t="inlineStr">
        <is>
          <t>—</t>
        </is>
      </c>
      <c r="E5" s="5" t="inlineStr">
        <is>
          <t>semua, bergantian</t>
        </is>
      </c>
      <c r="F5" s="5"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G5" s="13" t="inlineStr">
        <is>
          <t>Tinggi</t>
        </is>
      </c>
      <c r="H5" s="18" t="n"/>
      <c r="I5" s="18" t="n"/>
      <c r="J5" s="18" t="n"/>
      <c r="K5" s="18" t="n"/>
      <c r="L5" s="18" t="n"/>
    </row>
    <row r="6" ht="96.39999999999999" customHeight="1">
      <c r="A6" s="14" t="n">
        <v>2</v>
      </c>
      <c r="B6" s="16" t="inlineStr">
        <is>
          <t>LS-02</t>
        </is>
      </c>
      <c r="C6" s="15" t="inlineStr">
        <is>
          <t>Menu yang tidak boleh diakses juga tidak muncul di sidebar</t>
        </is>
      </c>
      <c r="D6" s="15" t="inlineStr">
        <is>
          <t>—</t>
        </is>
      </c>
      <c r="E6" s="15" t="inlineStr">
        <is>
          <t>semua, bergantian</t>
        </is>
      </c>
      <c r="F6" s="15" t="inlineStr">
        <is>
          <t>- Sidebar hanya memuat menu yang bertanda ✓ untuk peran itu di matriks 1.3.
- Tidak ada menu yang bertanda "—" tetapi tetap terlihat.
- Setiap menu yang diklik terbuka — tidak ada satu pun yang menjawab 403. Menu yang terlihat tapi menolak saat diklik adalah bug.</t>
        </is>
      </c>
      <c r="G6" s="13" t="inlineStr">
        <is>
          <t>Tinggi</t>
        </is>
      </c>
      <c r="H6" s="18" t="n"/>
      <c r="I6" s="18" t="n"/>
      <c r="J6" s="18" t="n"/>
      <c r="K6" s="18" t="n"/>
      <c r="L6" s="18" t="n"/>
    </row>
    <row r="7" ht="83.19999999999999" customHeight="1">
      <c r="A7" s="10" t="n">
        <v>3</v>
      </c>
      <c r="B7" s="11" t="inlineStr">
        <is>
          <t>LS-03</t>
        </is>
      </c>
      <c r="C7" s="5" t="inlineStr">
        <is>
          <t>Data mill lain tidak pernah terlihat</t>
        </is>
      </c>
      <c r="D7" s="5" t="inlineStr">
        <is>
          <t>—</t>
        </is>
      </c>
      <c r="E7" s="5" t="inlineStr">
        <is>
          <t>SPV-A, lalu SPV-B</t>
        </is>
      </c>
      <c r="F7" s="5" t="inlineStr">
        <is>
          <t>- SPV-B tidak melihat satu pun record milik Mill A.
- SPV-B tidak melihat satu pun nama Production Line Mill A — tidak di pemilih, tidak di tabel, tidak di keterangan mana pun.
- Jumlah datanya berbeda, dan yang terlihat hanya milik Mill B.</t>
        </is>
      </c>
      <c r="G7" s="13" t="inlineStr">
        <is>
          <t>Tinggi</t>
        </is>
      </c>
      <c r="H7" s="18" t="n"/>
      <c r="I7" s="18" t="n"/>
      <c r="J7" s="18" t="n"/>
      <c r="K7" s="18" t="n"/>
      <c r="L7" s="18" t="n"/>
    </row>
    <row r="8" ht="96.39999999999999" customHeight="1">
      <c r="A8" s="14" t="n">
        <v>4</v>
      </c>
      <c r="B8" s="16" t="inlineStr">
        <is>
          <t>LS-04</t>
        </is>
      </c>
      <c r="C8" s="15" t="inlineStr">
        <is>
          <t>Akun tanpa mill ditolak dengan pesan yang menyebut sebabnya</t>
        </is>
      </c>
      <c r="D8" s="15" t="inlineStr">
        <is>
          <t>—</t>
        </is>
      </c>
      <c r="E8" s="15" t="inlineStr">
        <is>
          <t>NOMILL</t>
        </is>
      </c>
      <c r="F8" s="15"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G8" s="13" t="inlineStr">
        <is>
          <t>Tinggi</t>
        </is>
      </c>
      <c r="H8" s="18" t="n"/>
      <c r="I8" s="18" t="n"/>
      <c r="J8" s="18" t="n"/>
      <c r="K8" s="18" t="n"/>
      <c r="L8" s="18" t="n"/>
    </row>
    <row r="9" ht="56.8" customHeight="1">
      <c r="A9" s="10" t="n">
        <v>5</v>
      </c>
      <c r="B9" s="11" t="inlineStr">
        <is>
          <t>LS-05</t>
        </is>
      </c>
      <c r="C9" s="5" t="inlineStr">
        <is>
          <t>Hanya Admin melihat pemilih Mill</t>
        </is>
      </c>
      <c r="D9" s="5" t="inlineStr">
        <is>
          <t>—</t>
        </is>
      </c>
      <c r="E9" s="5" t="inlineStr">
        <is>
          <t>SPV-A, MGR-A, ADM</t>
        </is>
      </c>
      <c r="F9" s="5" t="inlineStr">
        <is>
          <t>- SPV-A: tidak ada pemilih Mill. Nama mill-nya hanya ditampilkan sebagai teks.
- MGR-A: sama — hanya ditampilkan, tidak dapat diubah.
- ADM: ada pemilih Mill, dan isinya memuat kedua mill.</t>
        </is>
      </c>
      <c r="G9" s="13" t="inlineStr">
        <is>
          <t>Tinggi</t>
        </is>
      </c>
      <c r="H9" s="18" t="n"/>
      <c r="I9" s="18" t="n"/>
      <c r="J9" s="18" t="n"/>
      <c r="K9" s="18" t="n"/>
      <c r="L9" s="18" t="n"/>
    </row>
    <row r="10" ht="70" customHeight="1">
      <c r="A10" s="14" t="n">
        <v>6</v>
      </c>
      <c r="B10" s="16" t="inlineStr">
        <is>
          <t>LS-06</t>
        </is>
      </c>
      <c r="C10" s="15" t="inlineStr">
        <is>
          <t>Sesi berakhir mengarahkan ke Login tanpa pesan jaringan</t>
        </is>
      </c>
      <c r="D10" s="15" t="inlineStr">
        <is>
          <t>—</t>
        </is>
      </c>
      <c r="E10" s="15" t="inlineStr">
        <is>
          <t>semua</t>
        </is>
      </c>
      <c r="F10" s="15" t="inlineStr">
        <is>
          <t>- Diarahkan ke layar Login.
- Pesannya menyebut sesi/akun — mis. sesi berakhir atau akun dinonaktifkan.
- Pesannya tidak menyuruh memeriksa koneksi atau jaringan. Kalau muncul "Periksa koneksi Anda", itu bug.</t>
        </is>
      </c>
      <c r="G10" s="13" t="inlineStr">
        <is>
          <t>Tinggi</t>
        </is>
      </c>
      <c r="H10" s="18" t="n"/>
      <c r="I10" s="18" t="n"/>
      <c r="J10" s="18" t="n"/>
      <c r="K10" s="18" t="n"/>
      <c r="L10" s="18" t="n"/>
    </row>
    <row r="11" ht="70" customHeight="1">
      <c r="A11" s="10" t="n">
        <v>7</v>
      </c>
      <c r="B11" s="11" t="inlineStr">
        <is>
          <t>LS-07</t>
        </is>
      </c>
      <c r="C11" s="5" t="inlineStr">
        <is>
          <t>Nol dirender sebagai pernyataan, bukan sebagai angka 0</t>
        </is>
      </c>
      <c r="D11" s="5" t="inlineStr">
        <is>
          <t>—</t>
        </is>
      </c>
      <c r="E11" s="5" t="inlineStr">
        <is>
          <t>SPV-A</t>
        </is>
      </c>
      <c r="F11" s="5" t="inlineStr">
        <is>
          <t>- Tempat yang belum ada datanya berbunyi "belum ada input", "tidak tersedia", atau tanda pisah "—".
- BUKAN angka 0. BUKAN 0%. BUKAN 0,0.
- Angka 0 hanya muncul bila memang sudah diukur dan hasilnya nol — bukan untuk menyatakan ketiadaan data.</t>
        </is>
      </c>
      <c r="G11" s="10" t="inlineStr">
        <is>
          <t>Sedang</t>
        </is>
      </c>
      <c r="H11" s="18" t="n"/>
      <c r="I11" s="18" t="n"/>
      <c r="J11" s="18" t="n"/>
      <c r="K11" s="18" t="n"/>
      <c r="L11" s="18" t="n"/>
    </row>
    <row r="12" ht="83.19999999999999" customHeight="1">
      <c r="A12" s="14" t="n">
        <v>8</v>
      </c>
      <c r="B12" s="16" t="inlineStr">
        <is>
          <t>LS-08</t>
        </is>
      </c>
      <c r="C12" s="15" t="inlineStr">
        <is>
          <t>Production Line wajib dipilih di Laporan Periode, termasuk saat hanya ada satu line</t>
        </is>
      </c>
      <c r="D12" s="15" t="inlineStr">
        <is>
          <t>—</t>
        </is>
      </c>
      <c r="E12" s="15" t="inlineStr">
        <is>
          <t>SPV-A</t>
        </is>
      </c>
      <c r="F12" s="15"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G12" s="13" t="inlineStr">
        <is>
          <t>Tinggi</t>
        </is>
      </c>
      <c r="H12" s="18" t="n"/>
      <c r="I12" s="18" t="n"/>
      <c r="J12" s="18" t="n"/>
      <c r="K12" s="18" t="n"/>
      <c r="L12" s="18" t="n"/>
    </row>
    <row r="13" ht="109.6" customHeight="1">
      <c r="A13" s="10" t="n">
        <v>9</v>
      </c>
      <c r="B13" s="11" t="inlineStr">
        <is>
          <t>LS-09</t>
        </is>
      </c>
      <c r="C13" s="5" t="inlineStr">
        <is>
          <t>Mengirim id Production Line milik mill lain diabaikan, bukan ditolak dengan galat</t>
        </is>
      </c>
      <c r="D13" s="5" t="inlineStr">
        <is>
          <t>—</t>
        </is>
      </c>
      <c r="E13" s="5" t="inlineStr">
        <is>
          <t>SPV-A</t>
        </is>
      </c>
      <c r="F13" s="5"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G13" s="13" t="inlineStr">
        <is>
          <t>Tinggi</t>
        </is>
      </c>
      <c r="H13" s="18" t="n"/>
      <c r="I13" s="18" t="n"/>
      <c r="J13" s="18" t="n"/>
      <c r="K13" s="18" t="n"/>
      <c r="L13" s="18" t="n"/>
    </row>
    <row r="14" ht="83.19999999999999" customHeight="1">
      <c r="A14" s="14" t="n">
        <v>10</v>
      </c>
      <c r="B14" s="16" t="inlineStr">
        <is>
          <t>LS-10</t>
        </is>
      </c>
      <c r="C14" s="15" t="inlineStr">
        <is>
          <t>Periode tertutup mengunci input, periode draft/terbuka tidak</t>
        </is>
      </c>
      <c r="D14" s="15" t="inlineStr">
        <is>
          <t>—</t>
        </is>
      </c>
      <c r="E14" s="15" t="inlineStr">
        <is>
          <t>SPV-A (input), ADM (ubah status)</t>
        </is>
      </c>
      <c r="F14" s="15" t="inlineStr">
        <is>
          <t>- Langkah 2 (Terbuka): tersimpan.
- Langkah 4 (Tertutup): ditolak, dengan pesan yang menyebut periode tertutup. Record tidak tersimpan.
- Langkah 6 (Terbuka kembali): tersimpan lagi.
- Periode berstatus draft berperilaku sama seperti terbuka — tidak mengunci.</t>
        </is>
      </c>
      <c r="G14" s="13" t="inlineStr">
        <is>
          <t>Tinggi</t>
        </is>
      </c>
      <c r="H14" s="18" t="n"/>
      <c r="I14" s="18" t="n"/>
      <c r="J14" s="18" t="n"/>
      <c r="K14" s="18" t="n"/>
      <c r="L14" s="18" t="n"/>
    </row>
    <row r="15" ht="122.8" customHeight="1">
      <c r="A15" s="10" t="n">
        <v>11</v>
      </c>
      <c r="B15" s="11" t="inlineStr">
        <is>
          <t>LS-11</t>
        </is>
      </c>
      <c r="C15" s="5" t="inlineStr">
        <is>
          <t>Ekspor menghasilkan berkas yang benar-benar terbuka</t>
        </is>
      </c>
      <c r="D15" s="5" t="inlineStr">
        <is>
          <t>—</t>
        </is>
      </c>
      <c r="E15" s="5" t="inlineStr">
        <is>
          <t>SPV-A</t>
        </is>
      </c>
      <c r="F15" s="5"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G15" s="13" t="inlineStr">
        <is>
          <t>Tinggi</t>
        </is>
      </c>
      <c r="H15" s="18" t="n"/>
      <c r="I15" s="18" t="n"/>
      <c r="J15" s="18" t="n"/>
      <c r="K15" s="18" t="n"/>
      <c r="L15" s="18" t="n"/>
    </row>
    <row r="16" ht="43.59999999999999" customHeight="1">
      <c r="A16" s="14" t="n">
        <v>12</v>
      </c>
      <c r="B16" s="16" t="inlineStr">
        <is>
          <t>LS-12</t>
        </is>
      </c>
      <c r="C16" s="15" t="inlineStr">
        <is>
          <t>Ekspor di mobile hanya CSV</t>
        </is>
      </c>
      <c r="D16" s="15" t="inlineStr">
        <is>
          <t>—</t>
        </is>
      </c>
      <c r="E16" s="15" t="inlineStr">
        <is>
          <t>OPR-A</t>
        </is>
      </c>
      <c r="F16" s="15" t="inlineStr">
        <is>
          <t>- Hanya ada satu pilihan ekspor, dan itu CSV.
- Tidak ada tombol Ekspor Excel di mobile.
- Berkasnya terunduh dan dapat dibuka.</t>
        </is>
      </c>
      <c r="G16" s="14" t="inlineStr">
        <is>
          <t>Sedang</t>
        </is>
      </c>
      <c r="H16" s="18" t="n"/>
      <c r="I16" s="18" t="n"/>
      <c r="J16" s="18" t="n"/>
      <c r="K16" s="18" t="n"/>
      <c r="L16" s="18" t="n"/>
    </row>
    <row r="17" ht="109.6" customHeight="1">
      <c r="A17" s="10" t="n">
        <v>13</v>
      </c>
      <c r="B17" s="11" t="inlineStr">
        <is>
          <t>LS-13</t>
        </is>
      </c>
      <c r="C17" s="5" t="inlineStr">
        <is>
          <t>Seluruh tampilan berbahasa Indonesia</t>
        </is>
      </c>
      <c r="D17" s="5" t="inlineStr">
        <is>
          <t>—</t>
        </is>
      </c>
      <c r="E17" s="5" t="inlineStr">
        <is>
          <t>semua</t>
        </is>
      </c>
      <c r="F17" s="5"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G17" s="10" t="inlineStr">
        <is>
          <t>Sedang</t>
        </is>
      </c>
      <c r="H17" s="18" t="n"/>
      <c r="I17" s="18" t="n"/>
      <c r="J17" s="18" t="n"/>
      <c r="K17" s="18" t="n"/>
      <c r="L17" s="18" t="n"/>
    </row>
    <row r="18" ht="109.6" customHeight="1">
      <c r="A18" s="14" t="n">
        <v>14</v>
      </c>
      <c r="B18" s="16" t="inlineStr">
        <is>
          <t>LS-14</t>
        </is>
      </c>
      <c r="C18" s="15" t="inlineStr">
        <is>
          <t>Tidak ada kolom input yang mati tanpa alasan</t>
        </is>
      </c>
      <c r="D18" s="15" t="inlineStr">
        <is>
          <t>—</t>
        </is>
      </c>
      <c r="E18" s="15" t="inlineStr">
        <is>
          <t>SPV-A, MGR-A</t>
        </is>
      </c>
      <c r="F18" s="15"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G18" s="14" t="inlineStr">
        <is>
          <t>Sedang</t>
        </is>
      </c>
      <c r="H18" s="18" t="n"/>
      <c r="I18" s="18" t="n"/>
      <c r="J18" s="18" t="n"/>
      <c r="K18" s="18" t="n"/>
      <c r="L18" s="18" t="n"/>
    </row>
    <row r="19" ht="83.19999999999999" customHeight="1">
      <c r="A19" s="10" t="n">
        <v>15</v>
      </c>
      <c r="B19" s="11" t="inlineStr">
        <is>
          <t>LS-15</t>
        </is>
      </c>
      <c r="C19" s="5" t="inlineStr">
        <is>
          <t>Kolom tanggal dan jam bisa diketik manual, bukan hanya lewat pemilih</t>
        </is>
      </c>
      <c r="D19" s="5" t="inlineStr">
        <is>
          <t>—</t>
        </is>
      </c>
      <c r="E19" s="5" t="inlineStr">
        <is>
          <t>SPV-A</t>
        </is>
      </c>
      <c r="F19" s="5" t="inlineStr">
        <is>
          <t>- Kolom tanggal dapat diketik manual dan nilainya diterima.
- Kolom tanggal juga dapat diisi lewat pemilih kalender.
- Keduanya menghasilkan nilai yang sama — tidak ada yang hanya menerima salah satu cara.
- Hal yang sama berlaku untuk kolom jam.</t>
        </is>
      </c>
      <c r="G19" s="10" t="inlineStr">
        <is>
          <t>Sedang</t>
        </is>
      </c>
      <c r="H19" s="18" t="n"/>
      <c r="I19" s="18" t="n"/>
      <c r="J19" s="18" t="n"/>
      <c r="K19" s="18" t="n"/>
      <c r="L19" s="18" t="n"/>
    </row>
    <row r="20" ht="109.6" customHeight="1">
      <c r="A20" s="14" t="n">
        <v>16</v>
      </c>
      <c r="B20" s="16" t="inlineStr">
        <is>
          <t>LS-16</t>
        </is>
      </c>
      <c r="C20" s="15" t="inlineStr">
        <is>
          <t>Laporan tidak menandai satu nilai pun sebagai "di luar batas"</t>
        </is>
      </c>
      <c r="D20" s="15" t="inlineStr">
        <is>
          <t>—</t>
        </is>
      </c>
      <c r="E20" s="15" t="inlineStr">
        <is>
          <t>SPV-A</t>
        </is>
      </c>
      <c r="F20" s="15"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G20" s="14" t="inlineStr">
        <is>
          <t>Sedang</t>
        </is>
      </c>
      <c r="H20" s="18" t="n"/>
      <c r="I20" s="18" t="n"/>
      <c r="J20" s="18" t="n"/>
      <c r="K20" s="18" t="n"/>
      <c r="L20" s="18" t="n"/>
    </row>
    <row r="21" ht="109.6" customHeight="1">
      <c r="A21" s="10" t="n">
        <v>17</v>
      </c>
      <c r="B21" s="11" t="inlineStr">
        <is>
          <t>AU-01</t>
        </is>
      </c>
      <c r="C21" s="5" t="inlineStr">
        <is>
          <t>Login berhasil mengarahkan ke beranda yang sesuai perannya</t>
        </is>
      </c>
      <c r="D21" s="5" t="inlineStr">
        <is>
          <t>—</t>
        </is>
      </c>
      <c r="E21" s="5" t="inlineStr">
        <is>
          <t>OPR-A, SPV-A, MGR-A, ADM</t>
        </is>
      </c>
      <c r="F21" s="5"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G21" s="13" t="inlineStr">
        <is>
          <t>Tinggi</t>
        </is>
      </c>
      <c r="H21" s="18" t="n"/>
      <c r="I21" s="18" t="n"/>
      <c r="J21" s="18" t="n"/>
      <c r="K21" s="18" t="n"/>
      <c r="L21" s="18" t="n"/>
    </row>
    <row r="22" ht="70" customHeight="1">
      <c r="A22" s="14" t="n">
        <v>18</v>
      </c>
      <c r="B22" s="16" t="inlineStr">
        <is>
          <t>AU-02</t>
        </is>
      </c>
      <c r="C22" s="15" t="inlineStr">
        <is>
          <t>Login gagal: password salah</t>
        </is>
      </c>
      <c r="D22" s="15" t="inlineStr">
        <is>
          <t>—</t>
        </is>
      </c>
      <c r="E22" s="15" t="inlineStr">
        <is>
          <t>SPV-A</t>
        </is>
      </c>
      <c r="F22" s="15" t="inlineStr">
        <is>
          <t>- Tetap di layar Login; tidak masuk.
- Muncul pesan galat berbahasa Indonesia.
- Pesannya tidak menyebutkan apakah username-nya terdaftar atau tidak (mis. bukan "Password salah" yang memastikan usernamenya ada).</t>
        </is>
      </c>
      <c r="G22" s="13" t="inlineStr">
        <is>
          <t>Tinggi</t>
        </is>
      </c>
      <c r="H22" s="18" t="n"/>
      <c r="I22" s="18" t="n"/>
      <c r="J22" s="18" t="n"/>
      <c r="K22" s="18" t="n"/>
      <c r="L22" s="18" t="n"/>
    </row>
    <row r="23" ht="56.8" customHeight="1">
      <c r="A23" s="10" t="n">
        <v>19</v>
      </c>
      <c r="B23" s="11" t="inlineStr">
        <is>
          <t>AU-03</t>
        </is>
      </c>
      <c r="C23" s="5" t="inlineStr">
        <is>
          <t>Login gagal: username tidak ada</t>
        </is>
      </c>
      <c r="D23" s="5" t="inlineStr">
        <is>
          <t>—</t>
        </is>
      </c>
      <c r="E23" s="5" t="inlineStr">
        <is>
          <t>—</t>
        </is>
      </c>
      <c r="F23" s="5" t="inlineStr">
        <is>
          <t>- Tetap di layar Login; tidak masuk.
- Pesannya sama bunyinya kata per kata dengan AU-02.
- Kalau bunyinya berbeda, itu bug: perbedaan bunyi memberi tahu orang luar username mana yang terdaftar.</t>
        </is>
      </c>
      <c r="G23" s="13" t="inlineStr">
        <is>
          <t>Tinggi</t>
        </is>
      </c>
      <c r="H23" s="18" t="n"/>
      <c r="I23" s="18" t="n"/>
      <c r="J23" s="18" t="n"/>
      <c r="K23" s="18" t="n"/>
      <c r="L23" s="18" t="n"/>
    </row>
    <row r="24" ht="70" customHeight="1">
      <c r="A24" s="14" t="n">
        <v>20</v>
      </c>
      <c r="B24" s="16" t="inlineStr">
        <is>
          <t>AU-04</t>
        </is>
      </c>
      <c r="C24" s="15" t="inlineStr">
        <is>
          <t>Akun yang dinonaktifkan tidak bisa masuk, dan yang sedang masuk dikeluarkan</t>
        </is>
      </c>
      <c r="D24" s="15" t="inlineStr">
        <is>
          <t>—</t>
        </is>
      </c>
      <c r="E24" s="15" t="inlineStr">
        <is>
          <t>ADM + SPV-A</t>
        </is>
      </c>
      <c r="F24" s="15" t="inlineStr">
        <is>
          <t>- Langkah 4: SPV-A dikeluarkan ke layar Login — sesi yang sedang berjalan tidak dibiarkan hidup.
- Langkah 5: login gagal, dengan pesan bahwa akunnya tidak aktif.
- Pesannya tidak menyuruh memeriksa koneksi.</t>
        </is>
      </c>
      <c r="G24" s="13" t="inlineStr">
        <is>
          <t>Tinggi</t>
        </is>
      </c>
      <c r="H24" s="18" t="n"/>
      <c r="I24" s="18" t="n"/>
      <c r="J24" s="18" t="n"/>
      <c r="K24" s="18" t="n"/>
      <c r="L24" s="18" t="n"/>
    </row>
    <row r="25" ht="96.39999999999999" customHeight="1">
      <c r="A25" s="10" t="n">
        <v>21</v>
      </c>
      <c r="B25" s="11" t="inlineStr">
        <is>
          <t>AU-05</t>
        </is>
      </c>
      <c r="C25" s="5" t="inlineStr">
        <is>
          <t>Login Mobile berhasil untuk keempat peran</t>
        </is>
      </c>
      <c r="D25" s="5" t="inlineStr">
        <is>
          <t>—</t>
        </is>
      </c>
      <c r="E25" s="5" t="inlineStr">
        <is>
          <t>OPR-A, SPV-A, MGR-A, ADM</t>
        </is>
      </c>
      <c r="F25" s="5"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G25" s="13" t="inlineStr">
        <is>
          <t>Tinggi</t>
        </is>
      </c>
      <c r="H25" s="18" t="n"/>
      <c r="I25" s="18" t="n"/>
      <c r="J25" s="18" t="n"/>
      <c r="K25" s="18" t="n"/>
      <c r="L25" s="18" t="n"/>
    </row>
    <row r="26" ht="70" customHeight="1">
      <c r="A26" s="14" t="n">
        <v>22</v>
      </c>
      <c r="B26" s="16" t="inlineStr">
        <is>
          <t>AU-06</t>
        </is>
      </c>
      <c r="C26" s="15" t="inlineStr">
        <is>
          <t>Tamu diarahkan ke Login, tidak melihat isi apa pun</t>
        </is>
      </c>
      <c r="D26" s="15" t="inlineStr">
        <is>
          <t>—</t>
        </is>
      </c>
      <c r="E26" s="15" t="inlineStr">
        <is>
          <t>belum login</t>
        </is>
      </c>
      <c r="F26" s="15" t="inlineStr">
        <is>
          <t>- Setiap alamat diarahkan ke Login.
- Tidak ada isi halaman yang sempat terlihat, bahkan sekejap — tidak ada angka, tidak ada nama, tidak ada kerangka tabel.
- Alamat akhir di bilah alamat adalah /login.</t>
        </is>
      </c>
      <c r="G26" s="13" t="inlineStr">
        <is>
          <t>Tinggi</t>
        </is>
      </c>
      <c r="H26" s="18" t="n"/>
      <c r="I26" s="18" t="n"/>
      <c r="J26" s="18" t="n"/>
      <c r="K26" s="18" t="n"/>
      <c r="L26" s="18" t="n"/>
    </row>
    <row r="27" ht="43.59999999999999" customHeight="1">
      <c r="A27" s="10" t="n">
        <v>23</v>
      </c>
      <c r="B27" s="11" t="inlineStr">
        <is>
          <t>AU-07</t>
        </is>
      </c>
      <c r="C27" s="5" t="inlineStr">
        <is>
          <t>Ganti Password berhasil, dan password lama berhenti berlaku</t>
        </is>
      </c>
      <c r="D27" s="5" t="inlineStr">
        <is>
          <t>—</t>
        </is>
      </c>
      <c r="E27" s="5" t="inlineStr">
        <is>
          <t>SPV-A (web), OPR-A (mobile)</t>
        </is>
      </c>
      <c r="F27" s="5" t="inlineStr">
        <is>
          <t>- Langkah 2 berhasil, dengan pesan konfirmasi.
- Langkah 4 berhasil masuk.
- Langkah 5 gagal — password lama berhenti berlaku.</t>
        </is>
      </c>
      <c r="G27" s="13" t="inlineStr">
        <is>
          <t>Tinggi</t>
        </is>
      </c>
      <c r="H27" s="18" t="n"/>
      <c r="I27" s="18" t="n"/>
      <c r="J27" s="18" t="n"/>
      <c r="K27" s="18" t="n"/>
      <c r="L27" s="18" t="n"/>
    </row>
    <row r="28" ht="70" customHeight="1">
      <c r="A28" s="14" t="n">
        <v>24</v>
      </c>
      <c r="B28" s="16" t="inlineStr">
        <is>
          <t>AU-08</t>
        </is>
      </c>
      <c r="C28" s="15" t="inlineStr">
        <is>
          <t>Ganti Password ditolak bila password lama salah</t>
        </is>
      </c>
      <c r="D28" s="15" t="inlineStr">
        <is>
          <t>—</t>
        </is>
      </c>
      <c r="E28" s="15" t="inlineStr">
        <is>
          <t>SPV-A</t>
        </is>
      </c>
      <c r="F28" s="15" t="inlineStr">
        <is>
          <t>- Ditolak, dengan pesan galat yang muncul di sebelah kolom password lama — bukan sebagai satu pesan umum di atas form.
- Langkah 4 berhasil: password tidak berubah sama sekali.</t>
        </is>
      </c>
      <c r="G28" s="13" t="inlineStr">
        <is>
          <t>Tinggi</t>
        </is>
      </c>
      <c r="H28" s="18" t="n"/>
      <c r="I28" s="18" t="n"/>
      <c r="J28" s="18" t="n"/>
      <c r="K28" s="18" t="n"/>
      <c r="L28" s="18" t="n"/>
    </row>
    <row r="29" ht="56.8" customHeight="1">
      <c r="A29" s="10" t="n">
        <v>25</v>
      </c>
      <c r="B29" s="11" t="inlineStr">
        <is>
          <t>AU-09</t>
        </is>
      </c>
      <c r="C29" s="5" t="inlineStr">
        <is>
          <t>Logout mencabut sesi perangkat itu</t>
        </is>
      </c>
      <c r="D29" s="5" t="inlineStr">
        <is>
          <t>—</t>
        </is>
      </c>
      <c r="E29" s="5" t="inlineStr">
        <is>
          <t>OPR-A</t>
        </is>
      </c>
      <c r="F29" s="5" t="inlineStr">
        <is>
          <t>- Langkah 2 mengarahkan ke Login.
- Langkah 3: isi halaman lama tidak terlihat lagi — tidak ada data yang masih terbaca dari cache browser.
- Langkah 4 juga diarahkan ke Login.</t>
        </is>
      </c>
      <c r="G29" s="10" t="inlineStr">
        <is>
          <t>Tinggi ---</t>
        </is>
      </c>
      <c r="H29" s="18" t="n"/>
      <c r="I29" s="18" t="n"/>
      <c r="J29" s="18" t="n"/>
      <c r="K29" s="18" t="n"/>
      <c r="L29" s="18" t="n"/>
    </row>
    <row r="30" ht="56.8" customHeight="1">
      <c r="A30" s="14" t="n">
        <v>26</v>
      </c>
      <c r="B30" s="16" t="inlineStr">
        <is>
          <t>MB-HOME-01</t>
        </is>
      </c>
      <c r="C30" s="15" t="inlineStr">
        <is>
          <t>Home menampilkan stasiun yang ditugaskan</t>
        </is>
      </c>
      <c r="D30" s="15" t="inlineStr">
        <is>
          <t>—</t>
        </is>
      </c>
      <c r="E30" s="15" t="inlineStr">
        <is>
          <t>OPR-A</t>
        </is>
      </c>
      <c r="F30" s="15" t="inlineStr">
        <is>
          <t>- Nama pengguna dan nama mill-nya tercetak.
- Ada jalan menuju Station List yang terlihat jelas.
- Tidak ada stasiun milik mill lain yang terlihat.
- Tidak ada bagian yang kosong tanpa keterangan.</t>
        </is>
      </c>
      <c r="G30" s="13" t="inlineStr">
        <is>
          <t>Tinggi</t>
        </is>
      </c>
      <c r="H30" s="18" t="n"/>
      <c r="I30" s="18" t="n"/>
      <c r="J30" s="18" t="n"/>
      <c r="K30" s="18" t="n"/>
      <c r="L30" s="18" t="n"/>
    </row>
    <row r="31" ht="70" customHeight="1">
      <c r="A31" s="10" t="n">
        <v>27</v>
      </c>
      <c r="B31" s="11" t="inlineStr">
        <is>
          <t>MB-HOME-02</t>
        </is>
      </c>
      <c r="C31" s="5" t="inlineStr">
        <is>
          <t>Station List mengantar ke Monitor stasiun yang benar</t>
        </is>
      </c>
      <c r="D31" s="5" t="inlineStr">
        <is>
          <t>—</t>
        </is>
      </c>
      <c r="E31" s="5" t="inlineStr">
        <is>
          <t>OPR-A</t>
        </is>
      </c>
      <c r="F31" s="5" t="inlineStr">
        <is>
          <t>- Ke-18 tile tampil.
- Setiap tile mendarat di Monitor stasiun yang sama dengan namanya — judulnya cocok, alamatnya /stations/&lt;stasiun&gt;/monitor.
- Tidak ada tile yang mendarat di stasiun lain.</t>
        </is>
      </c>
      <c r="G31" s="13" t="inlineStr">
        <is>
          <t>Tinggi</t>
        </is>
      </c>
      <c r="H31" s="18" t="n"/>
      <c r="I31" s="18" t="n"/>
      <c r="J31" s="18" t="n"/>
      <c r="K31" s="18" t="n"/>
      <c r="L31" s="18" t="n"/>
    </row>
    <row r="32" ht="83.19999999999999" customHeight="1">
      <c r="A32" s="14" t="n">
        <v>28</v>
      </c>
      <c r="B32" s="16" t="inlineStr">
        <is>
          <t>MB-HOME-03</t>
        </is>
      </c>
      <c r="C32" s="15" t="inlineStr">
        <is>
          <t>Pilihan Production Line diingat perangkat dan dibagi antar layar</t>
        </is>
      </c>
      <c r="D32" s="15" t="inlineStr">
        <is>
          <t>—</t>
        </is>
      </c>
      <c r="E32" s="15" t="inlineStr">
        <is>
          <t>OPR-A</t>
        </is>
      </c>
      <c r="F32" s="15"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G32" s="14" t="inlineStr">
        <is>
          <t>Sedang</t>
        </is>
      </c>
      <c r="H32" s="18" t="n"/>
      <c r="I32" s="18" t="n"/>
      <c r="J32" s="18" t="n"/>
      <c r="K32" s="18" t="n"/>
      <c r="L32" s="18" t="n"/>
    </row>
    <row r="33" ht="70" customHeight="1">
      <c r="A33" s="10" t="n">
        <v>29</v>
      </c>
      <c r="B33" s="11" t="inlineStr">
        <is>
          <t>MB-HOME-04</t>
        </is>
      </c>
      <c r="C33" s="5" t="inlineStr">
        <is>
          <t>Mill tanpa Production Line memberi arahan, bukan layar kosong</t>
        </is>
      </c>
      <c r="D33" s="5" t="inlineStr">
        <is>
          <t>—</t>
        </is>
      </c>
      <c r="E33" s="5" t="inlineStr">
        <is>
          <t>OPR-A pada mill tanpa line</t>
        </is>
      </c>
      <c r="F33" s="5" t="inlineStr">
        <is>
          <t>- Muncul arahan yang menyebut Production Line — mis. agar menghubungi Admin.
- BUKAN layar kosong, BUKAN daftar nol tile tanpa keterangan.
- Tidak ada pesan galat teknis.</t>
        </is>
      </c>
      <c r="G33" s="10" t="inlineStr">
        <is>
          <t>Sedang</t>
        </is>
      </c>
      <c r="H33" s="18" t="n"/>
      <c r="I33" s="18" t="n"/>
      <c r="J33" s="18" t="n"/>
      <c r="K33" s="18" t="n"/>
      <c r="L33" s="18" t="n"/>
    </row>
    <row r="34" ht="70" customHeight="1">
      <c r="A34" s="14" t="n">
        <v>30</v>
      </c>
      <c r="B34" s="16" t="inlineStr">
        <is>
          <t>MB-MON-01</t>
        </is>
      </c>
      <c r="C34" s="15" t="inlineStr">
        <is>
          <t>Monitor menampilkan daftar draft dan dua penghitung hari ini</t>
        </is>
      </c>
      <c r="D34" s="17" t="inlineStr">
        <is>
          <t>Weighbridge</t>
        </is>
      </c>
      <c r="E34" s="15" t="inlineStr">
        <is>
          <t>OPR-A</t>
        </is>
      </c>
      <c r="F34" s="15" t="inlineStr">
        <is>
          <t>- Daftar draft menampilkan seluruh draft stasiun itu.
- Dua penghitung hari ini tampil dan angkanya cocok dengan data yang disiapkan.
- Draft yang ditampilkan hanya milik stasiun dan Production Line yang sedang terpilih.</t>
        </is>
      </c>
      <c r="G34" s="13" t="inlineStr">
        <is>
          <t>Tinggi</t>
        </is>
      </c>
      <c r="H34" s="18" t="n"/>
      <c r="I34" s="18" t="n"/>
      <c r="J34" s="18" t="n"/>
      <c r="K34" s="18" t="n"/>
      <c r="L34" s="18" t="n"/>
    </row>
    <row r="35" ht="70" customHeight="1">
      <c r="A35" s="10" t="n">
        <v>31</v>
      </c>
      <c r="B35" s="11" t="inlineStr">
        <is>
          <t>MB-MON-01</t>
        </is>
      </c>
      <c r="C35" s="5" t="inlineStr">
        <is>
          <t>Monitor menampilkan daftar draft dan dua penghitung hari ini</t>
        </is>
      </c>
      <c r="D35" s="12" t="inlineStr">
        <is>
          <t>Grading</t>
        </is>
      </c>
      <c r="E35" s="5" t="inlineStr">
        <is>
          <t>OPR-A</t>
        </is>
      </c>
      <c r="F35" s="5" t="inlineStr">
        <is>
          <t>- Daftar draft menampilkan seluruh draft stasiun itu.
- Dua penghitung hari ini tampil dan angkanya cocok dengan data yang disiapkan.
- Draft yang ditampilkan hanya milik stasiun dan Production Line yang sedang terpilih.</t>
        </is>
      </c>
      <c r="G35" s="13" t="inlineStr">
        <is>
          <t>Tinggi</t>
        </is>
      </c>
      <c r="H35" s="18" t="n"/>
      <c r="I35" s="18" t="n"/>
      <c r="J35" s="18" t="n"/>
      <c r="K35" s="18" t="n"/>
      <c r="L35" s="18" t="n"/>
    </row>
    <row r="36" ht="70" customHeight="1">
      <c r="A36" s="14" t="n">
        <v>32</v>
      </c>
      <c r="B36" s="16" t="inlineStr">
        <is>
          <t>MB-MON-01</t>
        </is>
      </c>
      <c r="C36" s="15" t="inlineStr">
        <is>
          <t>Monitor menampilkan daftar draft dan dua penghitung hari ini</t>
        </is>
      </c>
      <c r="D36" s="17" t="inlineStr">
        <is>
          <t>Cages Track</t>
        </is>
      </c>
      <c r="E36" s="15" t="inlineStr">
        <is>
          <t>OPR-A</t>
        </is>
      </c>
      <c r="F36" s="15" t="inlineStr">
        <is>
          <t>- Daftar draft menampilkan seluruh draft stasiun itu.
- Dua penghitung hari ini tampil dan angkanya cocok dengan data yang disiapkan.
- Draft yang ditampilkan hanya milik stasiun dan Production Line yang sedang terpilih.</t>
        </is>
      </c>
      <c r="G36" s="13" t="inlineStr">
        <is>
          <t>Tinggi</t>
        </is>
      </c>
      <c r="H36" s="18" t="n"/>
      <c r="I36" s="18" t="n"/>
      <c r="J36" s="18" t="n"/>
      <c r="K36" s="18" t="n"/>
      <c r="L36" s="18" t="n"/>
    </row>
    <row r="37" ht="70" customHeight="1">
      <c r="A37" s="10" t="n">
        <v>33</v>
      </c>
      <c r="B37" s="11" t="inlineStr">
        <is>
          <t>MB-MON-01</t>
        </is>
      </c>
      <c r="C37" s="5" t="inlineStr">
        <is>
          <t>Monitor menampilkan daftar draft dan dua penghitung hari ini</t>
        </is>
      </c>
      <c r="D37" s="12" t="inlineStr">
        <is>
          <t>Sterilizer</t>
        </is>
      </c>
      <c r="E37" s="5" t="inlineStr">
        <is>
          <t>OPR-A</t>
        </is>
      </c>
      <c r="F37" s="5" t="inlineStr">
        <is>
          <t>- Daftar draft menampilkan seluruh draft stasiun itu.
- Dua penghitung hari ini tampil dan angkanya cocok dengan data yang disiapkan.
- Draft yang ditampilkan hanya milik stasiun dan Production Line yang sedang terpilih.</t>
        </is>
      </c>
      <c r="G37" s="13" t="inlineStr">
        <is>
          <t>Tinggi</t>
        </is>
      </c>
      <c r="H37" s="18" t="n"/>
      <c r="I37" s="18" t="n"/>
      <c r="J37" s="18" t="n"/>
      <c r="K37" s="18" t="n"/>
      <c r="L37" s="18" t="n"/>
    </row>
    <row r="38" ht="70" customHeight="1">
      <c r="A38" s="14" t="n">
        <v>34</v>
      </c>
      <c r="B38" s="16" t="inlineStr">
        <is>
          <t>MB-MON-01</t>
        </is>
      </c>
      <c r="C38" s="15" t="inlineStr">
        <is>
          <t>Monitor menampilkan daftar draft dan dua penghitung hari ini</t>
        </is>
      </c>
      <c r="D38" s="17" t="inlineStr">
        <is>
          <t>Threshing</t>
        </is>
      </c>
      <c r="E38" s="15" t="inlineStr">
        <is>
          <t>OPR-A</t>
        </is>
      </c>
      <c r="F38" s="15" t="inlineStr">
        <is>
          <t>- Daftar draft menampilkan seluruh draft stasiun itu.
- Dua penghitung hari ini tampil dan angkanya cocok dengan data yang disiapkan.
- Draft yang ditampilkan hanya milik stasiun dan Production Line yang sedang terpilih.</t>
        </is>
      </c>
      <c r="G38" s="13" t="inlineStr">
        <is>
          <t>Tinggi</t>
        </is>
      </c>
      <c r="H38" s="18" t="n"/>
      <c r="I38" s="18" t="n"/>
      <c r="J38" s="18" t="n"/>
      <c r="K38" s="18" t="n"/>
      <c r="L38" s="18" t="n"/>
    </row>
    <row r="39" ht="70" customHeight="1">
      <c r="A39" s="10" t="n">
        <v>35</v>
      </c>
      <c r="B39" s="11" t="inlineStr">
        <is>
          <t>MB-MON-01</t>
        </is>
      </c>
      <c r="C39" s="5" t="inlineStr">
        <is>
          <t>Monitor menampilkan daftar draft dan dua penghitung hari ini</t>
        </is>
      </c>
      <c r="D39" s="12" t="inlineStr">
        <is>
          <t>Pressing</t>
        </is>
      </c>
      <c r="E39" s="5" t="inlineStr">
        <is>
          <t>OPR-A</t>
        </is>
      </c>
      <c r="F39" s="5" t="inlineStr">
        <is>
          <t>- Daftar draft menampilkan seluruh draft stasiun itu.
- Dua penghitung hari ini tampil dan angkanya cocok dengan data yang disiapkan.
- Draft yang ditampilkan hanya milik stasiun dan Production Line yang sedang terpilih.</t>
        </is>
      </c>
      <c r="G39" s="13" t="inlineStr">
        <is>
          <t>Tinggi</t>
        </is>
      </c>
      <c r="H39" s="18" t="n"/>
      <c r="I39" s="18" t="n"/>
      <c r="J39" s="18" t="n"/>
      <c r="K39" s="18" t="n"/>
      <c r="L39" s="18" t="n"/>
    </row>
    <row r="40" ht="70" customHeight="1">
      <c r="A40" s="14" t="n">
        <v>36</v>
      </c>
      <c r="B40" s="16" t="inlineStr">
        <is>
          <t>MB-MON-01</t>
        </is>
      </c>
      <c r="C40" s="15" t="inlineStr">
        <is>
          <t>Monitor menampilkan daftar draft dan dua penghitung hari ini</t>
        </is>
      </c>
      <c r="D40" s="17" t="inlineStr">
        <is>
          <t>Clarification</t>
        </is>
      </c>
      <c r="E40" s="15" t="inlineStr">
        <is>
          <t>OPR-A</t>
        </is>
      </c>
      <c r="F40" s="15" t="inlineStr">
        <is>
          <t>- Daftar draft menampilkan seluruh draft stasiun itu.
- Dua penghitung hari ini tampil dan angkanya cocok dengan data yang disiapkan.
- Draft yang ditampilkan hanya milik stasiun dan Production Line yang sedang terpilih.</t>
        </is>
      </c>
      <c r="G40" s="13" t="inlineStr">
        <is>
          <t>Tinggi</t>
        </is>
      </c>
      <c r="H40" s="18" t="n"/>
      <c r="I40" s="18" t="n"/>
      <c r="J40" s="18" t="n"/>
      <c r="K40" s="18" t="n"/>
      <c r="L40" s="18" t="n"/>
    </row>
    <row r="41" ht="70" customHeight="1">
      <c r="A41" s="10" t="n">
        <v>37</v>
      </c>
      <c r="B41" s="11" t="inlineStr">
        <is>
          <t>MB-MON-01</t>
        </is>
      </c>
      <c r="C41" s="5" t="inlineStr">
        <is>
          <t>Monitor menampilkan daftar draft dan dua penghitung hari ini</t>
        </is>
      </c>
      <c r="D41" s="12" t="inlineStr">
        <is>
          <t>Kernel Plant</t>
        </is>
      </c>
      <c r="E41" s="5" t="inlineStr">
        <is>
          <t>OPR-A</t>
        </is>
      </c>
      <c r="F41" s="5" t="inlineStr">
        <is>
          <t>- Daftar draft menampilkan seluruh draft stasiun itu.
- Dua penghitung hari ini tampil dan angkanya cocok dengan data yang disiapkan.
- Draft yang ditampilkan hanya milik stasiun dan Production Line yang sedang terpilih.</t>
        </is>
      </c>
      <c r="G41" s="13" t="inlineStr">
        <is>
          <t>Tinggi</t>
        </is>
      </c>
      <c r="H41" s="18" t="n"/>
      <c r="I41" s="18" t="n"/>
      <c r="J41" s="18" t="n"/>
      <c r="K41" s="18" t="n"/>
      <c r="L41" s="18" t="n"/>
    </row>
    <row r="42" ht="70" customHeight="1">
      <c r="A42" s="14" t="n">
        <v>38</v>
      </c>
      <c r="B42" s="16" t="inlineStr">
        <is>
          <t>MB-MON-01</t>
        </is>
      </c>
      <c r="C42" s="15" t="inlineStr">
        <is>
          <t>Monitor menampilkan daftar draft dan dua penghitung hari ini</t>
        </is>
      </c>
      <c r="D42" s="17" t="inlineStr">
        <is>
          <t>Boiler Room</t>
        </is>
      </c>
      <c r="E42" s="15" t="inlineStr">
        <is>
          <t>OPR-A</t>
        </is>
      </c>
      <c r="F42" s="15" t="inlineStr">
        <is>
          <t>- Daftar draft menampilkan seluruh draft stasiun itu.
- Dua penghitung hari ini tampil dan angkanya cocok dengan data yang disiapkan.
- Draft yang ditampilkan hanya milik stasiun dan Production Line yang sedang terpilih.</t>
        </is>
      </c>
      <c r="G42" s="13" t="inlineStr">
        <is>
          <t>Tinggi</t>
        </is>
      </c>
      <c r="H42" s="18" t="n"/>
      <c r="I42" s="18" t="n"/>
      <c r="J42" s="18" t="n"/>
      <c r="K42" s="18" t="n"/>
      <c r="L42" s="18" t="n"/>
    </row>
    <row r="43" ht="70" customHeight="1">
      <c r="A43" s="10" t="n">
        <v>39</v>
      </c>
      <c r="B43" s="11" t="inlineStr">
        <is>
          <t>MB-MON-01</t>
        </is>
      </c>
      <c r="C43" s="5" t="inlineStr">
        <is>
          <t>Monitor menampilkan daftar draft dan dua penghitung hari ini</t>
        </is>
      </c>
      <c r="D43" s="12" t="inlineStr">
        <is>
          <t>Effluent Plant</t>
        </is>
      </c>
      <c r="E43" s="5" t="inlineStr">
        <is>
          <t>OPR-A</t>
        </is>
      </c>
      <c r="F43" s="5" t="inlineStr">
        <is>
          <t>- Daftar draft menampilkan seluruh draft stasiun itu.
- Dua penghitung hari ini tampil dan angkanya cocok dengan data yang disiapkan.
- Draft yang ditampilkan hanya milik stasiun dan Production Line yang sedang terpilih.</t>
        </is>
      </c>
      <c r="G43" s="13" t="inlineStr">
        <is>
          <t>Tinggi</t>
        </is>
      </c>
      <c r="H43" s="18" t="n"/>
      <c r="I43" s="18" t="n"/>
      <c r="J43" s="18" t="n"/>
      <c r="K43" s="18" t="n"/>
      <c r="L43" s="18" t="n"/>
    </row>
    <row r="44" ht="70" customHeight="1">
      <c r="A44" s="14" t="n">
        <v>40</v>
      </c>
      <c r="B44" s="16" t="inlineStr">
        <is>
          <t>MB-MON-01</t>
        </is>
      </c>
      <c r="C44" s="15" t="inlineStr">
        <is>
          <t>Monitor menampilkan daftar draft dan dua penghitung hari ini</t>
        </is>
      </c>
      <c r="D44" s="17" t="inlineStr">
        <is>
          <t>Depricarping</t>
        </is>
      </c>
      <c r="E44" s="15" t="inlineStr">
        <is>
          <t>OPR-A</t>
        </is>
      </c>
      <c r="F44" s="15" t="inlineStr">
        <is>
          <t>- Daftar draft menampilkan seluruh draft stasiun itu.
- Dua penghitung hari ini tampil dan angkanya cocok dengan data yang disiapkan.
- Draft yang ditampilkan hanya milik stasiun dan Production Line yang sedang terpilih.</t>
        </is>
      </c>
      <c r="G44" s="13" t="inlineStr">
        <is>
          <t>Tinggi</t>
        </is>
      </c>
      <c r="H44" s="18" t="n"/>
      <c r="I44" s="18" t="n"/>
      <c r="J44" s="18" t="n"/>
      <c r="K44" s="18" t="n"/>
      <c r="L44" s="18" t="n"/>
    </row>
    <row r="45" ht="70" customHeight="1">
      <c r="A45" s="10" t="n">
        <v>41</v>
      </c>
      <c r="B45" s="11" t="inlineStr">
        <is>
          <t>MB-MON-01</t>
        </is>
      </c>
      <c r="C45" s="5" t="inlineStr">
        <is>
          <t>Monitor menampilkan daftar draft dan dua penghitung hari ini</t>
        </is>
      </c>
      <c r="D45" s="12" t="inlineStr">
        <is>
          <t>Engine Room</t>
        </is>
      </c>
      <c r="E45" s="5" t="inlineStr">
        <is>
          <t>OPR-A</t>
        </is>
      </c>
      <c r="F45" s="5" t="inlineStr">
        <is>
          <t>- Daftar draft menampilkan seluruh draft stasiun itu.
- Dua penghitung hari ini tampil dan angkanya cocok dengan data yang disiapkan.
- Draft yang ditampilkan hanya milik stasiun dan Production Line yang sedang terpilih.</t>
        </is>
      </c>
      <c r="G45" s="13" t="inlineStr">
        <is>
          <t>Tinggi</t>
        </is>
      </c>
      <c r="H45" s="18" t="n"/>
      <c r="I45" s="18" t="n"/>
      <c r="J45" s="18" t="n"/>
      <c r="K45" s="18" t="n"/>
      <c r="L45" s="18" t="n"/>
    </row>
    <row r="46" ht="70" customHeight="1">
      <c r="A46" s="14" t="n">
        <v>42</v>
      </c>
      <c r="B46" s="16" t="inlineStr">
        <is>
          <t>MB-MON-01</t>
        </is>
      </c>
      <c r="C46" s="15" t="inlineStr">
        <is>
          <t>Monitor menampilkan daftar draft dan dua penghitung hari ini</t>
        </is>
      </c>
      <c r="D46" s="17" t="inlineStr">
        <is>
          <t>Process Water</t>
        </is>
      </c>
      <c r="E46" s="15" t="inlineStr">
        <is>
          <t>OPR-A</t>
        </is>
      </c>
      <c r="F46" s="15" t="inlineStr">
        <is>
          <t>- Daftar draft menampilkan seluruh draft stasiun itu.
- Dua penghitung hari ini tampil dan angkanya cocok dengan data yang disiapkan.
- Draft yang ditampilkan hanya milik stasiun dan Production Line yang sedang terpilih.</t>
        </is>
      </c>
      <c r="G46" s="13" t="inlineStr">
        <is>
          <t>Tinggi</t>
        </is>
      </c>
      <c r="H46" s="18" t="n"/>
      <c r="I46" s="18" t="n"/>
      <c r="J46" s="18" t="n"/>
      <c r="K46" s="18" t="n"/>
      <c r="L46" s="18" t="n"/>
    </row>
    <row r="47" ht="70" customHeight="1">
      <c r="A47" s="10" t="n">
        <v>43</v>
      </c>
      <c r="B47" s="11" t="inlineStr">
        <is>
          <t>MB-MON-01</t>
        </is>
      </c>
      <c r="C47" s="5" t="inlineStr">
        <is>
          <t>Monitor menampilkan daftar draft dan dua penghitung hari ini</t>
        </is>
      </c>
      <c r="D47" s="12" t="inlineStr">
        <is>
          <t>Storage Tank</t>
        </is>
      </c>
      <c r="E47" s="5" t="inlineStr">
        <is>
          <t>OPR-A</t>
        </is>
      </c>
      <c r="F47" s="5" t="inlineStr">
        <is>
          <t>- Daftar draft menampilkan seluruh draft stasiun itu.
- Dua penghitung hari ini tampil dan angkanya cocok dengan data yang disiapkan.
- Draft yang ditampilkan hanya milik stasiun dan Production Line yang sedang terpilih.</t>
        </is>
      </c>
      <c r="G47" s="13" t="inlineStr">
        <is>
          <t>Tinggi</t>
        </is>
      </c>
      <c r="H47" s="18" t="n"/>
      <c r="I47" s="18" t="n"/>
      <c r="J47" s="18" t="n"/>
      <c r="K47" s="18" t="n"/>
      <c r="L47" s="18" t="n"/>
    </row>
    <row r="48" ht="70" customHeight="1">
      <c r="A48" s="14" t="n">
        <v>44</v>
      </c>
      <c r="B48" s="16" t="inlineStr">
        <is>
          <t>MB-MON-01</t>
        </is>
      </c>
      <c r="C48" s="15" t="inlineStr">
        <is>
          <t>Monitor menampilkan daftar draft dan dua penghitung hari ini</t>
        </is>
      </c>
      <c r="D48" s="17" t="inlineStr">
        <is>
          <t>Solid Waste Disposal</t>
        </is>
      </c>
      <c r="E48" s="15" t="inlineStr">
        <is>
          <t>OPR-A</t>
        </is>
      </c>
      <c r="F48" s="15" t="inlineStr">
        <is>
          <t>- Daftar draft menampilkan seluruh draft stasiun itu.
- Dua penghitung hari ini tampil dan angkanya cocok dengan data yang disiapkan.
- Draft yang ditampilkan hanya milik stasiun dan Production Line yang sedang terpilih.</t>
        </is>
      </c>
      <c r="G48" s="13" t="inlineStr">
        <is>
          <t>Tinggi</t>
        </is>
      </c>
      <c r="H48" s="18" t="n"/>
      <c r="I48" s="18" t="n"/>
      <c r="J48" s="18" t="n"/>
      <c r="K48" s="18" t="n"/>
      <c r="L48" s="18" t="n"/>
    </row>
    <row r="49" ht="70" customHeight="1">
      <c r="A49" s="10" t="n">
        <v>45</v>
      </c>
      <c r="B49" s="11" t="inlineStr">
        <is>
          <t>MB-MON-01</t>
        </is>
      </c>
      <c r="C49" s="5" t="inlineStr">
        <is>
          <t>Monitor menampilkan daftar draft dan dua penghitung hari ini</t>
        </is>
      </c>
      <c r="D49" s="12" t="inlineStr">
        <is>
          <t>Kernel Dispatch</t>
        </is>
      </c>
      <c r="E49" s="5" t="inlineStr">
        <is>
          <t>OPR-A</t>
        </is>
      </c>
      <c r="F49" s="5" t="inlineStr">
        <is>
          <t>- Daftar draft menampilkan seluruh draft stasiun itu.
- Dua penghitung hari ini tampil dan angkanya cocok dengan data yang disiapkan.
- Draft yang ditampilkan hanya milik stasiun dan Production Line yang sedang terpilih.</t>
        </is>
      </c>
      <c r="G49" s="13" t="inlineStr">
        <is>
          <t>Tinggi</t>
        </is>
      </c>
      <c r="H49" s="18" t="n"/>
      <c r="I49" s="18" t="n"/>
      <c r="J49" s="18" t="n"/>
      <c r="K49" s="18" t="n"/>
      <c r="L49" s="18" t="n"/>
    </row>
    <row r="50" ht="70" customHeight="1">
      <c r="A50" s="14" t="n">
        <v>46</v>
      </c>
      <c r="B50" s="16" t="inlineStr">
        <is>
          <t>MB-MON-01</t>
        </is>
      </c>
      <c r="C50" s="15" t="inlineStr">
        <is>
          <t>Monitor menampilkan daftar draft dan dua penghitung hari ini</t>
        </is>
      </c>
      <c r="D50" s="17" t="inlineStr">
        <is>
          <t>CPO Dispatch</t>
        </is>
      </c>
      <c r="E50" s="15" t="inlineStr">
        <is>
          <t>OPR-A</t>
        </is>
      </c>
      <c r="F50" s="15" t="inlineStr">
        <is>
          <t>- Daftar draft menampilkan seluruh draft stasiun itu.
- Dua penghitung hari ini tampil dan angkanya cocok dengan data yang disiapkan.
- Draft yang ditampilkan hanya milik stasiun dan Production Line yang sedang terpilih.</t>
        </is>
      </c>
      <c r="G50" s="13" t="inlineStr">
        <is>
          <t>Tinggi</t>
        </is>
      </c>
      <c r="H50" s="18" t="n"/>
      <c r="I50" s="18" t="n"/>
      <c r="J50" s="18" t="n"/>
      <c r="K50" s="18" t="n"/>
      <c r="L50" s="18" t="n"/>
    </row>
    <row r="51" ht="70" customHeight="1">
      <c r="A51" s="10" t="n">
        <v>47</v>
      </c>
      <c r="B51" s="11" t="inlineStr">
        <is>
          <t>MB-MON-01</t>
        </is>
      </c>
      <c r="C51" s="5" t="inlineStr">
        <is>
          <t>Monitor menampilkan daftar draft dan dua penghitung hari ini</t>
        </is>
      </c>
      <c r="D51" s="12" t="inlineStr">
        <is>
          <t>Process Quality Control</t>
        </is>
      </c>
      <c r="E51" s="5" t="inlineStr">
        <is>
          <t>OPR-A</t>
        </is>
      </c>
      <c r="F51" s="5" t="inlineStr">
        <is>
          <t>- Daftar draft menampilkan seluruh draft stasiun itu.
- Dua penghitung hari ini tampil dan angkanya cocok dengan data yang disiapkan.
- Draft yang ditampilkan hanya milik stasiun dan Production Line yang sedang terpilih.</t>
        </is>
      </c>
      <c r="G51" s="13" t="inlineStr">
        <is>
          <t>Tinggi</t>
        </is>
      </c>
      <c r="H51" s="18" t="n"/>
      <c r="I51" s="18" t="n"/>
      <c r="J51" s="18" t="n"/>
      <c r="K51" s="18" t="n"/>
      <c r="L51" s="18" t="n"/>
    </row>
    <row r="52" ht="70" customHeight="1">
      <c r="A52" s="14" t="n">
        <v>48</v>
      </c>
      <c r="B52" s="16" t="inlineStr">
        <is>
          <t>MB-MON-02</t>
        </is>
      </c>
      <c r="C52" s="15" t="inlineStr">
        <is>
          <t>Beberapa draft bisa berjalan bersamaan dan semuanya tampil</t>
        </is>
      </c>
      <c r="D52" s="17" t="inlineStr">
        <is>
          <t>Weighbridge</t>
        </is>
      </c>
      <c r="E52" s="15" t="inlineStr">
        <is>
          <t>OPR-A</t>
        </is>
      </c>
      <c r="F52" s="15" t="inlineStr">
        <is>
          <t>- Ketiga draft tampil — tidak ada yang menimpa yang lain.
- Ketiganya berlabel "Pause".
- Membuat draft baru tidak menghapus atau menutup draft sebelumnya.</t>
        </is>
      </c>
      <c r="G52" s="14" t="inlineStr">
        <is>
          <t>Sedang</t>
        </is>
      </c>
      <c r="H52" s="18" t="n"/>
      <c r="I52" s="18" t="n"/>
      <c r="J52" s="18" t="n"/>
      <c r="K52" s="18" t="n"/>
      <c r="L52" s="18" t="n"/>
    </row>
    <row r="53" ht="70" customHeight="1">
      <c r="A53" s="10" t="n">
        <v>49</v>
      </c>
      <c r="B53" s="11" t="inlineStr">
        <is>
          <t>MB-MON-02</t>
        </is>
      </c>
      <c r="C53" s="5" t="inlineStr">
        <is>
          <t>Beberapa draft bisa berjalan bersamaan dan semuanya tampil</t>
        </is>
      </c>
      <c r="D53" s="12" t="inlineStr">
        <is>
          <t>Grading</t>
        </is>
      </c>
      <c r="E53" s="5" t="inlineStr">
        <is>
          <t>OPR-A</t>
        </is>
      </c>
      <c r="F53" s="5" t="inlineStr">
        <is>
          <t>- Ketiga draft tampil — tidak ada yang menimpa yang lain.
- Ketiganya berlabel "Pause".
- Membuat draft baru tidak menghapus atau menutup draft sebelumnya.</t>
        </is>
      </c>
      <c r="G53" s="10" t="inlineStr">
        <is>
          <t>Sedang</t>
        </is>
      </c>
      <c r="H53" s="18" t="n"/>
      <c r="I53" s="18" t="n"/>
      <c r="J53" s="18" t="n"/>
      <c r="K53" s="18" t="n"/>
      <c r="L53" s="18" t="n"/>
    </row>
    <row r="54" ht="70" customHeight="1">
      <c r="A54" s="14" t="n">
        <v>50</v>
      </c>
      <c r="B54" s="16" t="inlineStr">
        <is>
          <t>MB-MON-02</t>
        </is>
      </c>
      <c r="C54" s="15" t="inlineStr">
        <is>
          <t>Beberapa draft bisa berjalan bersamaan dan semuanya tampil</t>
        </is>
      </c>
      <c r="D54" s="17" t="inlineStr">
        <is>
          <t>Cages Track</t>
        </is>
      </c>
      <c r="E54" s="15" t="inlineStr">
        <is>
          <t>OPR-A</t>
        </is>
      </c>
      <c r="F54" s="15" t="inlineStr">
        <is>
          <t>- Ketiga draft tampil — tidak ada yang menimpa yang lain.
- Ketiganya berlabel "Pause".
- Membuat draft baru tidak menghapus atau menutup draft sebelumnya.</t>
        </is>
      </c>
      <c r="G54" s="14" t="inlineStr">
        <is>
          <t>Sedang</t>
        </is>
      </c>
      <c r="H54" s="18" t="n"/>
      <c r="I54" s="18" t="n"/>
      <c r="J54" s="18" t="n"/>
      <c r="K54" s="18" t="n"/>
      <c r="L54" s="18" t="n"/>
    </row>
    <row r="55" ht="70" customHeight="1">
      <c r="A55" s="10" t="n">
        <v>51</v>
      </c>
      <c r="B55" s="11" t="inlineStr">
        <is>
          <t>MB-MON-02</t>
        </is>
      </c>
      <c r="C55" s="5" t="inlineStr">
        <is>
          <t>Beberapa draft bisa berjalan bersamaan dan semuanya tampil</t>
        </is>
      </c>
      <c r="D55" s="12" t="inlineStr">
        <is>
          <t>Sterilizer</t>
        </is>
      </c>
      <c r="E55" s="5" t="inlineStr">
        <is>
          <t>OPR-A</t>
        </is>
      </c>
      <c r="F55" s="5" t="inlineStr">
        <is>
          <t>- Ketiga draft tampil — tidak ada yang menimpa yang lain.
- Ketiganya berlabel "Pause".
- Membuat draft baru tidak menghapus atau menutup draft sebelumnya.</t>
        </is>
      </c>
      <c r="G55" s="10" t="inlineStr">
        <is>
          <t>Sedang</t>
        </is>
      </c>
      <c r="H55" s="18" t="n"/>
      <c r="I55" s="18" t="n"/>
      <c r="J55" s="18" t="n"/>
      <c r="K55" s="18" t="n"/>
      <c r="L55" s="18" t="n"/>
    </row>
    <row r="56" ht="70" customHeight="1">
      <c r="A56" s="14" t="n">
        <v>52</v>
      </c>
      <c r="B56" s="16" t="inlineStr">
        <is>
          <t>MB-MON-02</t>
        </is>
      </c>
      <c r="C56" s="15" t="inlineStr">
        <is>
          <t>Beberapa draft bisa berjalan bersamaan dan semuanya tampil</t>
        </is>
      </c>
      <c r="D56" s="17" t="inlineStr">
        <is>
          <t>Threshing</t>
        </is>
      </c>
      <c r="E56" s="15" t="inlineStr">
        <is>
          <t>OPR-A</t>
        </is>
      </c>
      <c r="F56" s="15" t="inlineStr">
        <is>
          <t>- Ketiga draft tampil — tidak ada yang menimpa yang lain.
- Ketiganya berlabel "Pause".
- Membuat draft baru tidak menghapus atau menutup draft sebelumnya.</t>
        </is>
      </c>
      <c r="G56" s="14" t="inlineStr">
        <is>
          <t>Sedang</t>
        </is>
      </c>
      <c r="H56" s="18" t="n"/>
      <c r="I56" s="18" t="n"/>
      <c r="J56" s="18" t="n"/>
      <c r="K56" s="18" t="n"/>
      <c r="L56" s="18" t="n"/>
    </row>
    <row r="57" ht="70" customHeight="1">
      <c r="A57" s="10" t="n">
        <v>53</v>
      </c>
      <c r="B57" s="11" t="inlineStr">
        <is>
          <t>MB-MON-02</t>
        </is>
      </c>
      <c r="C57" s="5" t="inlineStr">
        <is>
          <t>Beberapa draft bisa berjalan bersamaan dan semuanya tampil</t>
        </is>
      </c>
      <c r="D57" s="12" t="inlineStr">
        <is>
          <t>Pressing</t>
        </is>
      </c>
      <c r="E57" s="5" t="inlineStr">
        <is>
          <t>OPR-A</t>
        </is>
      </c>
      <c r="F57" s="5" t="inlineStr">
        <is>
          <t>- Ketiga draft tampil — tidak ada yang menimpa yang lain.
- Ketiganya berlabel "Pause".
- Membuat draft baru tidak menghapus atau menutup draft sebelumnya.</t>
        </is>
      </c>
      <c r="G57" s="10" t="inlineStr">
        <is>
          <t>Sedang</t>
        </is>
      </c>
      <c r="H57" s="18" t="n"/>
      <c r="I57" s="18" t="n"/>
      <c r="J57" s="18" t="n"/>
      <c r="K57" s="18" t="n"/>
      <c r="L57" s="18" t="n"/>
    </row>
    <row r="58" ht="70" customHeight="1">
      <c r="A58" s="14" t="n">
        <v>54</v>
      </c>
      <c r="B58" s="16" t="inlineStr">
        <is>
          <t>MB-MON-02</t>
        </is>
      </c>
      <c r="C58" s="15" t="inlineStr">
        <is>
          <t>Beberapa draft bisa berjalan bersamaan dan semuanya tampil</t>
        </is>
      </c>
      <c r="D58" s="17" t="inlineStr">
        <is>
          <t>Clarification</t>
        </is>
      </c>
      <c r="E58" s="15" t="inlineStr">
        <is>
          <t>OPR-A</t>
        </is>
      </c>
      <c r="F58" s="15" t="inlineStr">
        <is>
          <t>- Ketiga draft tampil — tidak ada yang menimpa yang lain.
- Ketiganya berlabel "Pause".
- Membuat draft baru tidak menghapus atau menutup draft sebelumnya.</t>
        </is>
      </c>
      <c r="G58" s="14" t="inlineStr">
        <is>
          <t>Sedang</t>
        </is>
      </c>
      <c r="H58" s="18" t="n"/>
      <c r="I58" s="18" t="n"/>
      <c r="J58" s="18" t="n"/>
      <c r="K58" s="18" t="n"/>
      <c r="L58" s="18" t="n"/>
    </row>
    <row r="59" ht="70" customHeight="1">
      <c r="A59" s="10" t="n">
        <v>55</v>
      </c>
      <c r="B59" s="11" t="inlineStr">
        <is>
          <t>MB-MON-02</t>
        </is>
      </c>
      <c r="C59" s="5" t="inlineStr">
        <is>
          <t>Beberapa draft bisa berjalan bersamaan dan semuanya tampil</t>
        </is>
      </c>
      <c r="D59" s="12" t="inlineStr">
        <is>
          <t>Kernel Plant</t>
        </is>
      </c>
      <c r="E59" s="5" t="inlineStr">
        <is>
          <t>OPR-A</t>
        </is>
      </c>
      <c r="F59" s="5" t="inlineStr">
        <is>
          <t>- Ketiga draft tampil — tidak ada yang menimpa yang lain.
- Ketiganya berlabel "Pause".
- Membuat draft baru tidak menghapus atau menutup draft sebelumnya.</t>
        </is>
      </c>
      <c r="G59" s="10" t="inlineStr">
        <is>
          <t>Sedang</t>
        </is>
      </c>
      <c r="H59" s="18" t="n"/>
      <c r="I59" s="18" t="n"/>
      <c r="J59" s="18" t="n"/>
      <c r="K59" s="18" t="n"/>
      <c r="L59" s="18" t="n"/>
    </row>
    <row r="60" ht="70" customHeight="1">
      <c r="A60" s="14" t="n">
        <v>56</v>
      </c>
      <c r="B60" s="16" t="inlineStr">
        <is>
          <t>MB-MON-02</t>
        </is>
      </c>
      <c r="C60" s="15" t="inlineStr">
        <is>
          <t>Beberapa draft bisa berjalan bersamaan dan semuanya tampil</t>
        </is>
      </c>
      <c r="D60" s="17" t="inlineStr">
        <is>
          <t>Boiler Room</t>
        </is>
      </c>
      <c r="E60" s="15" t="inlineStr">
        <is>
          <t>OPR-A</t>
        </is>
      </c>
      <c r="F60" s="15" t="inlineStr">
        <is>
          <t>- Ketiga draft tampil — tidak ada yang menimpa yang lain.
- Ketiganya berlabel "Pause".
- Membuat draft baru tidak menghapus atau menutup draft sebelumnya.</t>
        </is>
      </c>
      <c r="G60" s="14" t="inlineStr">
        <is>
          <t>Sedang</t>
        </is>
      </c>
      <c r="H60" s="18" t="n"/>
      <c r="I60" s="18" t="n"/>
      <c r="J60" s="18" t="n"/>
      <c r="K60" s="18" t="n"/>
      <c r="L60" s="18" t="n"/>
    </row>
    <row r="61" ht="70" customHeight="1">
      <c r="A61" s="10" t="n">
        <v>57</v>
      </c>
      <c r="B61" s="11" t="inlineStr">
        <is>
          <t>MB-MON-02</t>
        </is>
      </c>
      <c r="C61" s="5" t="inlineStr">
        <is>
          <t>Beberapa draft bisa berjalan bersamaan dan semuanya tampil</t>
        </is>
      </c>
      <c r="D61" s="12" t="inlineStr">
        <is>
          <t>Effluent Plant</t>
        </is>
      </c>
      <c r="E61" s="5" t="inlineStr">
        <is>
          <t>OPR-A</t>
        </is>
      </c>
      <c r="F61" s="5" t="inlineStr">
        <is>
          <t>- Ketiga draft tampil — tidak ada yang menimpa yang lain.
- Ketiganya berlabel "Pause".
- Membuat draft baru tidak menghapus atau menutup draft sebelumnya.</t>
        </is>
      </c>
      <c r="G61" s="10" t="inlineStr">
        <is>
          <t>Sedang</t>
        </is>
      </c>
      <c r="H61" s="18" t="n"/>
      <c r="I61" s="18" t="n"/>
      <c r="J61" s="18" t="n"/>
      <c r="K61" s="18" t="n"/>
      <c r="L61" s="18" t="n"/>
    </row>
    <row r="62" ht="70" customHeight="1">
      <c r="A62" s="14" t="n">
        <v>58</v>
      </c>
      <c r="B62" s="16" t="inlineStr">
        <is>
          <t>MB-MON-02</t>
        </is>
      </c>
      <c r="C62" s="15" t="inlineStr">
        <is>
          <t>Beberapa draft bisa berjalan bersamaan dan semuanya tampil</t>
        </is>
      </c>
      <c r="D62" s="17" t="inlineStr">
        <is>
          <t>Depricarping</t>
        </is>
      </c>
      <c r="E62" s="15" t="inlineStr">
        <is>
          <t>OPR-A</t>
        </is>
      </c>
      <c r="F62" s="15" t="inlineStr">
        <is>
          <t>- Ketiga draft tampil — tidak ada yang menimpa yang lain.
- Ketiganya berlabel "Pause".
- Membuat draft baru tidak menghapus atau menutup draft sebelumnya.</t>
        </is>
      </c>
      <c r="G62" s="14" t="inlineStr">
        <is>
          <t>Sedang</t>
        </is>
      </c>
      <c r="H62" s="18" t="n"/>
      <c r="I62" s="18" t="n"/>
      <c r="J62" s="18" t="n"/>
      <c r="K62" s="18" t="n"/>
      <c r="L62" s="18" t="n"/>
    </row>
    <row r="63" ht="70" customHeight="1">
      <c r="A63" s="10" t="n">
        <v>59</v>
      </c>
      <c r="B63" s="11" t="inlineStr">
        <is>
          <t>MB-MON-02</t>
        </is>
      </c>
      <c r="C63" s="5" t="inlineStr">
        <is>
          <t>Beberapa draft bisa berjalan bersamaan dan semuanya tampil</t>
        </is>
      </c>
      <c r="D63" s="12" t="inlineStr">
        <is>
          <t>Engine Room</t>
        </is>
      </c>
      <c r="E63" s="5" t="inlineStr">
        <is>
          <t>OPR-A</t>
        </is>
      </c>
      <c r="F63" s="5" t="inlineStr">
        <is>
          <t>- Ketiga draft tampil — tidak ada yang menimpa yang lain.
- Ketiganya berlabel "Pause".
- Membuat draft baru tidak menghapus atau menutup draft sebelumnya.</t>
        </is>
      </c>
      <c r="G63" s="10" t="inlineStr">
        <is>
          <t>Sedang</t>
        </is>
      </c>
      <c r="H63" s="18" t="n"/>
      <c r="I63" s="18" t="n"/>
      <c r="J63" s="18" t="n"/>
      <c r="K63" s="18" t="n"/>
      <c r="L63" s="18" t="n"/>
    </row>
    <row r="64" ht="70" customHeight="1">
      <c r="A64" s="14" t="n">
        <v>60</v>
      </c>
      <c r="B64" s="16" t="inlineStr">
        <is>
          <t>MB-MON-02</t>
        </is>
      </c>
      <c r="C64" s="15" t="inlineStr">
        <is>
          <t>Beberapa draft bisa berjalan bersamaan dan semuanya tampil</t>
        </is>
      </c>
      <c r="D64" s="17" t="inlineStr">
        <is>
          <t>Process Water</t>
        </is>
      </c>
      <c r="E64" s="15" t="inlineStr">
        <is>
          <t>OPR-A</t>
        </is>
      </c>
      <c r="F64" s="15" t="inlineStr">
        <is>
          <t>- Ketiga draft tampil — tidak ada yang menimpa yang lain.
- Ketiganya berlabel "Pause".
- Membuat draft baru tidak menghapus atau menutup draft sebelumnya.</t>
        </is>
      </c>
      <c r="G64" s="14" t="inlineStr">
        <is>
          <t>Sedang</t>
        </is>
      </c>
      <c r="H64" s="18" t="n"/>
      <c r="I64" s="18" t="n"/>
      <c r="J64" s="18" t="n"/>
      <c r="K64" s="18" t="n"/>
      <c r="L64" s="18" t="n"/>
    </row>
    <row r="65" ht="70" customHeight="1">
      <c r="A65" s="10" t="n">
        <v>61</v>
      </c>
      <c r="B65" s="11" t="inlineStr">
        <is>
          <t>MB-MON-02</t>
        </is>
      </c>
      <c r="C65" s="5" t="inlineStr">
        <is>
          <t>Beberapa draft bisa berjalan bersamaan dan semuanya tampil</t>
        </is>
      </c>
      <c r="D65" s="12" t="inlineStr">
        <is>
          <t>Storage Tank</t>
        </is>
      </c>
      <c r="E65" s="5" t="inlineStr">
        <is>
          <t>OPR-A</t>
        </is>
      </c>
      <c r="F65" s="5" t="inlineStr">
        <is>
          <t>- Ketiga draft tampil — tidak ada yang menimpa yang lain.
- Ketiganya berlabel "Pause".
- Membuat draft baru tidak menghapus atau menutup draft sebelumnya.</t>
        </is>
      </c>
      <c r="G65" s="10" t="inlineStr">
        <is>
          <t>Sedang</t>
        </is>
      </c>
      <c r="H65" s="18" t="n"/>
      <c r="I65" s="18" t="n"/>
      <c r="J65" s="18" t="n"/>
      <c r="K65" s="18" t="n"/>
      <c r="L65" s="18" t="n"/>
    </row>
    <row r="66" ht="70" customHeight="1">
      <c r="A66" s="14" t="n">
        <v>62</v>
      </c>
      <c r="B66" s="16" t="inlineStr">
        <is>
          <t>MB-MON-02</t>
        </is>
      </c>
      <c r="C66" s="15" t="inlineStr">
        <is>
          <t>Beberapa draft bisa berjalan bersamaan dan semuanya tampil</t>
        </is>
      </c>
      <c r="D66" s="17" t="inlineStr">
        <is>
          <t>Solid Waste Disposal</t>
        </is>
      </c>
      <c r="E66" s="15" t="inlineStr">
        <is>
          <t>OPR-A</t>
        </is>
      </c>
      <c r="F66" s="15" t="inlineStr">
        <is>
          <t>- Ketiga draft tampil — tidak ada yang menimpa yang lain.
- Ketiganya berlabel "Pause".
- Membuat draft baru tidak menghapus atau menutup draft sebelumnya.</t>
        </is>
      </c>
      <c r="G66" s="14" t="inlineStr">
        <is>
          <t>Sedang</t>
        </is>
      </c>
      <c r="H66" s="18" t="n"/>
      <c r="I66" s="18" t="n"/>
      <c r="J66" s="18" t="n"/>
      <c r="K66" s="18" t="n"/>
      <c r="L66" s="18" t="n"/>
    </row>
    <row r="67" ht="70" customHeight="1">
      <c r="A67" s="10" t="n">
        <v>63</v>
      </c>
      <c r="B67" s="11" t="inlineStr">
        <is>
          <t>MB-MON-02</t>
        </is>
      </c>
      <c r="C67" s="5" t="inlineStr">
        <is>
          <t>Beberapa draft bisa berjalan bersamaan dan semuanya tampil</t>
        </is>
      </c>
      <c r="D67" s="12" t="inlineStr">
        <is>
          <t>Kernel Dispatch</t>
        </is>
      </c>
      <c r="E67" s="5" t="inlineStr">
        <is>
          <t>OPR-A</t>
        </is>
      </c>
      <c r="F67" s="5" t="inlineStr">
        <is>
          <t>- Ketiga draft tampil — tidak ada yang menimpa yang lain.
- Ketiganya berlabel "Pause".
- Membuat draft baru tidak menghapus atau menutup draft sebelumnya.</t>
        </is>
      </c>
      <c r="G67" s="10" t="inlineStr">
        <is>
          <t>Sedang</t>
        </is>
      </c>
      <c r="H67" s="18" t="n"/>
      <c r="I67" s="18" t="n"/>
      <c r="J67" s="18" t="n"/>
      <c r="K67" s="18" t="n"/>
      <c r="L67" s="18" t="n"/>
    </row>
    <row r="68" ht="70" customHeight="1">
      <c r="A68" s="14" t="n">
        <v>64</v>
      </c>
      <c r="B68" s="16" t="inlineStr">
        <is>
          <t>MB-MON-02</t>
        </is>
      </c>
      <c r="C68" s="15" t="inlineStr">
        <is>
          <t>Beberapa draft bisa berjalan bersamaan dan semuanya tampil</t>
        </is>
      </c>
      <c r="D68" s="17" t="inlineStr">
        <is>
          <t>CPO Dispatch</t>
        </is>
      </c>
      <c r="E68" s="15" t="inlineStr">
        <is>
          <t>OPR-A</t>
        </is>
      </c>
      <c r="F68" s="15" t="inlineStr">
        <is>
          <t>- Ketiga draft tampil — tidak ada yang menimpa yang lain.
- Ketiganya berlabel "Pause".
- Membuat draft baru tidak menghapus atau menutup draft sebelumnya.</t>
        </is>
      </c>
      <c r="G68" s="14" t="inlineStr">
        <is>
          <t>Sedang</t>
        </is>
      </c>
      <c r="H68" s="18" t="n"/>
      <c r="I68" s="18" t="n"/>
      <c r="J68" s="18" t="n"/>
      <c r="K68" s="18" t="n"/>
      <c r="L68" s="18" t="n"/>
    </row>
    <row r="69" ht="70" customHeight="1">
      <c r="A69" s="10" t="n">
        <v>65</v>
      </c>
      <c r="B69" s="11" t="inlineStr">
        <is>
          <t>MB-MON-02</t>
        </is>
      </c>
      <c r="C69" s="5" t="inlineStr">
        <is>
          <t>Beberapa draft bisa berjalan bersamaan dan semuanya tampil</t>
        </is>
      </c>
      <c r="D69" s="12" t="inlineStr">
        <is>
          <t>Process Quality Control</t>
        </is>
      </c>
      <c r="E69" s="5" t="inlineStr">
        <is>
          <t>OPR-A</t>
        </is>
      </c>
      <c r="F69" s="5" t="inlineStr">
        <is>
          <t>- Ketiga draft tampil — tidak ada yang menimpa yang lain.
- Ketiganya berlabel "Pause".
- Membuat draft baru tidak menghapus atau menutup draft sebelumnya.</t>
        </is>
      </c>
      <c r="G69" s="10" t="inlineStr">
        <is>
          <t>Sedang</t>
        </is>
      </c>
      <c r="H69" s="18" t="n"/>
      <c r="I69" s="18" t="n"/>
      <c r="J69" s="18" t="n"/>
      <c r="K69" s="18" t="n"/>
      <c r="L69" s="18" t="n"/>
    </row>
    <row r="70" ht="96.39999999999999" customHeight="1">
      <c r="A70" s="14" t="n">
        <v>66</v>
      </c>
      <c r="B70" s="16" t="inlineStr">
        <is>
          <t>MB-MON-03</t>
        </is>
      </c>
      <c r="C70" s="15" t="inlineStr">
        <is>
          <t>New Data membuat header saja, grid masih kosong</t>
        </is>
      </c>
      <c r="D70" s="17" t="inlineStr">
        <is>
          <t>Weighbridge</t>
        </is>
      </c>
      <c r="E70" s="15" t="inlineStr">
        <is>
          <t>OPR-A</t>
        </is>
      </c>
      <c r="F70" s="15" t="inlineStr">
        <is>
          <t>- Layar Form terbuka.
- Kolom Tanggal sudah terisi otomatis dengan tanggal hari ini.
- Kolom identitas unit kosong dan dapat diketik.
- Grid slot waktu masih kosong — belum ada satu baris pun. (Untuk stasiun per-transaksi, tidak ada grid 24 slot sama sekali.)</t>
        </is>
      </c>
      <c r="G70" s="13" t="inlineStr">
        <is>
          <t>Tinggi</t>
        </is>
      </c>
      <c r="H70" s="18" t="n"/>
      <c r="I70" s="18" t="n"/>
      <c r="J70" s="18" t="n"/>
      <c r="K70" s="18" t="n"/>
      <c r="L70" s="18" t="n"/>
    </row>
    <row r="71" ht="96.39999999999999" customHeight="1">
      <c r="A71" s="10" t="n">
        <v>67</v>
      </c>
      <c r="B71" s="11" t="inlineStr">
        <is>
          <t>MB-MON-03</t>
        </is>
      </c>
      <c r="C71" s="5" t="inlineStr">
        <is>
          <t>New Data membuat header saja, grid masih kosong</t>
        </is>
      </c>
      <c r="D71" s="12" t="inlineStr">
        <is>
          <t>Grading</t>
        </is>
      </c>
      <c r="E71" s="5" t="inlineStr">
        <is>
          <t>OPR-A</t>
        </is>
      </c>
      <c r="F71" s="5" t="inlineStr">
        <is>
          <t>- Layar Form terbuka.
- Kolom Tanggal sudah terisi otomatis dengan tanggal hari ini.
- Kolom identitas unit kosong dan dapat diketik.
- Grid slot waktu masih kosong — belum ada satu baris pun. (Untuk stasiun per-transaksi, tidak ada grid 24 slot sama sekali.)</t>
        </is>
      </c>
      <c r="G71" s="13" t="inlineStr">
        <is>
          <t>Tinggi</t>
        </is>
      </c>
      <c r="H71" s="18" t="n"/>
      <c r="I71" s="18" t="n"/>
      <c r="J71" s="18" t="n"/>
      <c r="K71" s="18" t="n"/>
      <c r="L71" s="18" t="n"/>
    </row>
    <row r="72" ht="96.39999999999999" customHeight="1">
      <c r="A72" s="14" t="n">
        <v>68</v>
      </c>
      <c r="B72" s="16" t="inlineStr">
        <is>
          <t>MB-MON-03</t>
        </is>
      </c>
      <c r="C72" s="15" t="inlineStr">
        <is>
          <t>New Data membuat header saja, grid masih kosong</t>
        </is>
      </c>
      <c r="D72" s="17" t="inlineStr">
        <is>
          <t>Cages Track</t>
        </is>
      </c>
      <c r="E72" s="15" t="inlineStr">
        <is>
          <t>OPR-A</t>
        </is>
      </c>
      <c r="F72" s="15" t="inlineStr">
        <is>
          <t>- Layar Form terbuka.
- Kolom Tanggal sudah terisi otomatis dengan tanggal hari ini.
- Kolom identitas unit kosong dan dapat diketik.
- Grid slot waktu masih kosong — belum ada satu baris pun. (Untuk stasiun per-transaksi, tidak ada grid 24 slot sama sekali.)</t>
        </is>
      </c>
      <c r="G72" s="13" t="inlineStr">
        <is>
          <t>Tinggi</t>
        </is>
      </c>
      <c r="H72" s="18" t="n"/>
      <c r="I72" s="18" t="n"/>
      <c r="J72" s="18" t="n"/>
      <c r="K72" s="18" t="n"/>
      <c r="L72" s="18" t="n"/>
    </row>
    <row r="73" ht="96.39999999999999" customHeight="1">
      <c r="A73" s="10" t="n">
        <v>69</v>
      </c>
      <c r="B73" s="11" t="inlineStr">
        <is>
          <t>MB-MON-03</t>
        </is>
      </c>
      <c r="C73" s="5" t="inlineStr">
        <is>
          <t>New Data membuat header saja, grid masih kosong</t>
        </is>
      </c>
      <c r="D73" s="12" t="inlineStr">
        <is>
          <t>Sterilizer</t>
        </is>
      </c>
      <c r="E73" s="5" t="inlineStr">
        <is>
          <t>OPR-A</t>
        </is>
      </c>
      <c r="F73" s="5" t="inlineStr">
        <is>
          <t>- Layar Form terbuka.
- Kolom Tanggal sudah terisi otomatis dengan tanggal hari ini.
- Kolom identitas unit kosong dan dapat diketik.
- Grid slot waktu masih kosong — belum ada satu baris pun. (Untuk stasiun per-transaksi, tidak ada grid 24 slot sama sekali.)</t>
        </is>
      </c>
      <c r="G73" s="13" t="inlineStr">
        <is>
          <t>Tinggi</t>
        </is>
      </c>
      <c r="H73" s="18" t="n"/>
      <c r="I73" s="18" t="n"/>
      <c r="J73" s="18" t="n"/>
      <c r="K73" s="18" t="n"/>
      <c r="L73" s="18" t="n"/>
    </row>
    <row r="74" ht="96.39999999999999" customHeight="1">
      <c r="A74" s="14" t="n">
        <v>70</v>
      </c>
      <c r="B74" s="16" t="inlineStr">
        <is>
          <t>MB-MON-03</t>
        </is>
      </c>
      <c r="C74" s="15" t="inlineStr">
        <is>
          <t>New Data membuat header saja, grid masih kosong</t>
        </is>
      </c>
      <c r="D74" s="17" t="inlineStr">
        <is>
          <t>Threshing</t>
        </is>
      </c>
      <c r="E74" s="15" t="inlineStr">
        <is>
          <t>OPR-A</t>
        </is>
      </c>
      <c r="F74" s="15" t="inlineStr">
        <is>
          <t>- Layar Form terbuka.
- Kolom Tanggal sudah terisi otomatis dengan tanggal hari ini.
- Kolom identitas unit kosong dan dapat diketik.
- Grid slot waktu masih kosong — belum ada satu baris pun. (Untuk stasiun per-transaksi, tidak ada grid 24 slot sama sekali.)</t>
        </is>
      </c>
      <c r="G74" s="13" t="inlineStr">
        <is>
          <t>Tinggi</t>
        </is>
      </c>
      <c r="H74" s="18" t="n"/>
      <c r="I74" s="18" t="n"/>
      <c r="J74" s="18" t="n"/>
      <c r="K74" s="18" t="n"/>
      <c r="L74" s="18" t="n"/>
    </row>
    <row r="75" ht="96.39999999999999" customHeight="1">
      <c r="A75" s="10" t="n">
        <v>71</v>
      </c>
      <c r="B75" s="11" t="inlineStr">
        <is>
          <t>MB-MON-03</t>
        </is>
      </c>
      <c r="C75" s="5" t="inlineStr">
        <is>
          <t>New Data membuat header saja, grid masih kosong</t>
        </is>
      </c>
      <c r="D75" s="12" t="inlineStr">
        <is>
          <t>Pressing</t>
        </is>
      </c>
      <c r="E75" s="5" t="inlineStr">
        <is>
          <t>OPR-A</t>
        </is>
      </c>
      <c r="F75" s="5" t="inlineStr">
        <is>
          <t>- Layar Form terbuka.
- Kolom Tanggal sudah terisi otomatis dengan tanggal hari ini.
- Kolom identitas unit kosong dan dapat diketik.
- Grid slot waktu masih kosong — belum ada satu baris pun. (Untuk stasiun per-transaksi, tidak ada grid 24 slot sama sekali.)</t>
        </is>
      </c>
      <c r="G75" s="13" t="inlineStr">
        <is>
          <t>Tinggi</t>
        </is>
      </c>
      <c r="H75" s="18" t="n"/>
      <c r="I75" s="18" t="n"/>
      <c r="J75" s="18" t="n"/>
      <c r="K75" s="18" t="n"/>
      <c r="L75" s="18" t="n"/>
    </row>
    <row r="76" ht="96.39999999999999" customHeight="1">
      <c r="A76" s="14" t="n">
        <v>72</v>
      </c>
      <c r="B76" s="16" t="inlineStr">
        <is>
          <t>MB-MON-03</t>
        </is>
      </c>
      <c r="C76" s="15" t="inlineStr">
        <is>
          <t>New Data membuat header saja, grid masih kosong</t>
        </is>
      </c>
      <c r="D76" s="17" t="inlineStr">
        <is>
          <t>Clarification</t>
        </is>
      </c>
      <c r="E76" s="15" t="inlineStr">
        <is>
          <t>OPR-A</t>
        </is>
      </c>
      <c r="F76" s="15" t="inlineStr">
        <is>
          <t>- Layar Form terbuka.
- Kolom Tanggal sudah terisi otomatis dengan tanggal hari ini.
- Kolom identitas unit kosong dan dapat diketik.
- Grid slot waktu masih kosong — belum ada satu baris pun. (Untuk stasiun per-transaksi, tidak ada grid 24 slot sama sekali.)</t>
        </is>
      </c>
      <c r="G76" s="13" t="inlineStr">
        <is>
          <t>Tinggi</t>
        </is>
      </c>
      <c r="H76" s="18" t="n"/>
      <c r="I76" s="18" t="n"/>
      <c r="J76" s="18" t="n"/>
      <c r="K76" s="18" t="n"/>
      <c r="L76" s="18" t="n"/>
    </row>
    <row r="77" ht="96.39999999999999" customHeight="1">
      <c r="A77" s="10" t="n">
        <v>73</v>
      </c>
      <c r="B77" s="11" t="inlineStr">
        <is>
          <t>MB-MON-03</t>
        </is>
      </c>
      <c r="C77" s="5" t="inlineStr">
        <is>
          <t>New Data membuat header saja, grid masih kosong</t>
        </is>
      </c>
      <c r="D77" s="12" t="inlineStr">
        <is>
          <t>Kernel Plant</t>
        </is>
      </c>
      <c r="E77" s="5" t="inlineStr">
        <is>
          <t>OPR-A</t>
        </is>
      </c>
      <c r="F77" s="5" t="inlineStr">
        <is>
          <t>- Layar Form terbuka.
- Kolom Tanggal sudah terisi otomatis dengan tanggal hari ini.
- Kolom identitas unit kosong dan dapat diketik.
- Grid slot waktu masih kosong — belum ada satu baris pun. (Untuk stasiun per-transaksi, tidak ada grid 24 slot sama sekali.)</t>
        </is>
      </c>
      <c r="G77" s="13" t="inlineStr">
        <is>
          <t>Tinggi</t>
        </is>
      </c>
      <c r="H77" s="18" t="n"/>
      <c r="I77" s="18" t="n"/>
      <c r="J77" s="18" t="n"/>
      <c r="K77" s="18" t="n"/>
      <c r="L77" s="18" t="n"/>
    </row>
    <row r="78" ht="96.39999999999999" customHeight="1">
      <c r="A78" s="14" t="n">
        <v>74</v>
      </c>
      <c r="B78" s="16" t="inlineStr">
        <is>
          <t>MB-MON-03</t>
        </is>
      </c>
      <c r="C78" s="15" t="inlineStr">
        <is>
          <t>New Data membuat header saja, grid masih kosong</t>
        </is>
      </c>
      <c r="D78" s="17" t="inlineStr">
        <is>
          <t>Boiler Room</t>
        </is>
      </c>
      <c r="E78" s="15" t="inlineStr">
        <is>
          <t>OPR-A</t>
        </is>
      </c>
      <c r="F78" s="15" t="inlineStr">
        <is>
          <t>- Layar Form terbuka.
- Kolom Tanggal sudah terisi otomatis dengan tanggal hari ini.
- Kolom identitas unit kosong dan dapat diketik.
- Grid slot waktu masih kosong — belum ada satu baris pun. (Untuk stasiun per-transaksi, tidak ada grid 24 slot sama sekali.)</t>
        </is>
      </c>
      <c r="G78" s="13" t="inlineStr">
        <is>
          <t>Tinggi</t>
        </is>
      </c>
      <c r="H78" s="18" t="n"/>
      <c r="I78" s="18" t="n"/>
      <c r="J78" s="18" t="n"/>
      <c r="K78" s="18" t="n"/>
      <c r="L78" s="18" t="n"/>
    </row>
    <row r="79" ht="96.39999999999999" customHeight="1">
      <c r="A79" s="10" t="n">
        <v>75</v>
      </c>
      <c r="B79" s="11" t="inlineStr">
        <is>
          <t>MB-MON-03</t>
        </is>
      </c>
      <c r="C79" s="5" t="inlineStr">
        <is>
          <t>New Data membuat header saja, grid masih kosong</t>
        </is>
      </c>
      <c r="D79" s="12" t="inlineStr">
        <is>
          <t>Effluent Plant</t>
        </is>
      </c>
      <c r="E79" s="5" t="inlineStr">
        <is>
          <t>OPR-A</t>
        </is>
      </c>
      <c r="F79" s="5" t="inlineStr">
        <is>
          <t>- Layar Form terbuka.
- Kolom Tanggal sudah terisi otomatis dengan tanggal hari ini.
- Kolom identitas unit kosong dan dapat diketik.
- Grid slot waktu masih kosong — belum ada satu baris pun. (Untuk stasiun per-transaksi, tidak ada grid 24 slot sama sekali.)</t>
        </is>
      </c>
      <c r="G79" s="13" t="inlineStr">
        <is>
          <t>Tinggi</t>
        </is>
      </c>
      <c r="H79" s="18" t="n"/>
      <c r="I79" s="18" t="n"/>
      <c r="J79" s="18" t="n"/>
      <c r="K79" s="18" t="n"/>
      <c r="L79" s="18" t="n"/>
    </row>
    <row r="80" ht="96.39999999999999" customHeight="1">
      <c r="A80" s="14" t="n">
        <v>76</v>
      </c>
      <c r="B80" s="16" t="inlineStr">
        <is>
          <t>MB-MON-03</t>
        </is>
      </c>
      <c r="C80" s="15" t="inlineStr">
        <is>
          <t>New Data membuat header saja, grid masih kosong</t>
        </is>
      </c>
      <c r="D80" s="17" t="inlineStr">
        <is>
          <t>Depricarping</t>
        </is>
      </c>
      <c r="E80" s="15" t="inlineStr">
        <is>
          <t>OPR-A</t>
        </is>
      </c>
      <c r="F80" s="15" t="inlineStr">
        <is>
          <t>- Layar Form terbuka.
- Kolom Tanggal sudah terisi otomatis dengan tanggal hari ini.
- Kolom identitas unit kosong dan dapat diketik.
- Grid slot waktu masih kosong — belum ada satu baris pun. (Untuk stasiun per-transaksi, tidak ada grid 24 slot sama sekali.)</t>
        </is>
      </c>
      <c r="G80" s="13" t="inlineStr">
        <is>
          <t>Tinggi</t>
        </is>
      </c>
      <c r="H80" s="18" t="n"/>
      <c r="I80" s="18" t="n"/>
      <c r="J80" s="18" t="n"/>
      <c r="K80" s="18" t="n"/>
      <c r="L80" s="18" t="n"/>
    </row>
    <row r="81" ht="96.39999999999999" customHeight="1">
      <c r="A81" s="10" t="n">
        <v>77</v>
      </c>
      <c r="B81" s="11" t="inlineStr">
        <is>
          <t>MB-MON-03</t>
        </is>
      </c>
      <c r="C81" s="5" t="inlineStr">
        <is>
          <t>New Data membuat header saja, grid masih kosong</t>
        </is>
      </c>
      <c r="D81" s="12" t="inlineStr">
        <is>
          <t>Engine Room</t>
        </is>
      </c>
      <c r="E81" s="5" t="inlineStr">
        <is>
          <t>OPR-A</t>
        </is>
      </c>
      <c r="F81" s="5" t="inlineStr">
        <is>
          <t>- Layar Form terbuka.
- Kolom Tanggal sudah terisi otomatis dengan tanggal hari ini.
- Kolom identitas unit kosong dan dapat diketik.
- Grid slot waktu masih kosong — belum ada satu baris pun. (Untuk stasiun per-transaksi, tidak ada grid 24 slot sama sekali.)</t>
        </is>
      </c>
      <c r="G81" s="13" t="inlineStr">
        <is>
          <t>Tinggi</t>
        </is>
      </c>
      <c r="H81" s="18" t="n"/>
      <c r="I81" s="18" t="n"/>
      <c r="J81" s="18" t="n"/>
      <c r="K81" s="18" t="n"/>
      <c r="L81" s="18" t="n"/>
    </row>
    <row r="82" ht="96.39999999999999" customHeight="1">
      <c r="A82" s="14" t="n">
        <v>78</v>
      </c>
      <c r="B82" s="16" t="inlineStr">
        <is>
          <t>MB-MON-03</t>
        </is>
      </c>
      <c r="C82" s="15" t="inlineStr">
        <is>
          <t>New Data membuat header saja, grid masih kosong</t>
        </is>
      </c>
      <c r="D82" s="17" t="inlineStr">
        <is>
          <t>Process Water</t>
        </is>
      </c>
      <c r="E82" s="15" t="inlineStr">
        <is>
          <t>OPR-A</t>
        </is>
      </c>
      <c r="F82" s="15" t="inlineStr">
        <is>
          <t>- Layar Form terbuka.
- Kolom Tanggal sudah terisi otomatis dengan tanggal hari ini.
- Kolom identitas unit kosong dan dapat diketik.
- Grid slot waktu masih kosong — belum ada satu baris pun. (Untuk stasiun per-transaksi, tidak ada grid 24 slot sama sekali.)</t>
        </is>
      </c>
      <c r="G82" s="13" t="inlineStr">
        <is>
          <t>Tinggi</t>
        </is>
      </c>
      <c r="H82" s="18" t="n"/>
      <c r="I82" s="18" t="n"/>
      <c r="J82" s="18" t="n"/>
      <c r="K82" s="18" t="n"/>
      <c r="L82" s="18" t="n"/>
    </row>
    <row r="83" ht="96.39999999999999" customHeight="1">
      <c r="A83" s="10" t="n">
        <v>79</v>
      </c>
      <c r="B83" s="11" t="inlineStr">
        <is>
          <t>MB-MON-03</t>
        </is>
      </c>
      <c r="C83" s="5" t="inlineStr">
        <is>
          <t>New Data membuat header saja, grid masih kosong</t>
        </is>
      </c>
      <c r="D83" s="12" t="inlineStr">
        <is>
          <t>Storage Tank</t>
        </is>
      </c>
      <c r="E83" s="5" t="inlineStr">
        <is>
          <t>OPR-A</t>
        </is>
      </c>
      <c r="F83" s="5" t="inlineStr">
        <is>
          <t>- Layar Form terbuka.
- Kolom Tanggal sudah terisi otomatis dengan tanggal hari ini.
- Kolom identitas unit kosong dan dapat diketik.
- Grid slot waktu masih kosong — belum ada satu baris pun. (Untuk stasiun per-transaksi, tidak ada grid 24 slot sama sekali.)</t>
        </is>
      </c>
      <c r="G83" s="13" t="inlineStr">
        <is>
          <t>Tinggi</t>
        </is>
      </c>
      <c r="H83" s="18" t="n"/>
      <c r="I83" s="18" t="n"/>
      <c r="J83" s="18" t="n"/>
      <c r="K83" s="18" t="n"/>
      <c r="L83" s="18" t="n"/>
    </row>
    <row r="84" ht="96.39999999999999" customHeight="1">
      <c r="A84" s="14" t="n">
        <v>80</v>
      </c>
      <c r="B84" s="16" t="inlineStr">
        <is>
          <t>MB-MON-03</t>
        </is>
      </c>
      <c r="C84" s="15" t="inlineStr">
        <is>
          <t>New Data membuat header saja, grid masih kosong</t>
        </is>
      </c>
      <c r="D84" s="17" t="inlineStr">
        <is>
          <t>Solid Waste Disposal</t>
        </is>
      </c>
      <c r="E84" s="15" t="inlineStr">
        <is>
          <t>OPR-A</t>
        </is>
      </c>
      <c r="F84" s="15" t="inlineStr">
        <is>
          <t>- Layar Form terbuka.
- Kolom Tanggal sudah terisi otomatis dengan tanggal hari ini.
- Kolom identitas unit kosong dan dapat diketik.
- Grid slot waktu masih kosong — belum ada satu baris pun. (Untuk stasiun per-transaksi, tidak ada grid 24 slot sama sekali.)</t>
        </is>
      </c>
      <c r="G84" s="13" t="inlineStr">
        <is>
          <t>Tinggi</t>
        </is>
      </c>
      <c r="H84" s="18" t="n"/>
      <c r="I84" s="18" t="n"/>
      <c r="J84" s="18" t="n"/>
      <c r="K84" s="18" t="n"/>
      <c r="L84" s="18" t="n"/>
    </row>
    <row r="85" ht="96.39999999999999" customHeight="1">
      <c r="A85" s="10" t="n">
        <v>81</v>
      </c>
      <c r="B85" s="11" t="inlineStr">
        <is>
          <t>MB-MON-03</t>
        </is>
      </c>
      <c r="C85" s="5" t="inlineStr">
        <is>
          <t>New Data membuat header saja, grid masih kosong</t>
        </is>
      </c>
      <c r="D85" s="12" t="inlineStr">
        <is>
          <t>Kernel Dispatch</t>
        </is>
      </c>
      <c r="E85" s="5" t="inlineStr">
        <is>
          <t>OPR-A</t>
        </is>
      </c>
      <c r="F85" s="5" t="inlineStr">
        <is>
          <t>- Layar Form terbuka.
- Kolom Tanggal sudah terisi otomatis dengan tanggal hari ini.
- Kolom identitas unit kosong dan dapat diketik.
- Grid slot waktu masih kosong — belum ada satu baris pun. (Untuk stasiun per-transaksi, tidak ada grid 24 slot sama sekali.)</t>
        </is>
      </c>
      <c r="G85" s="13" t="inlineStr">
        <is>
          <t>Tinggi</t>
        </is>
      </c>
      <c r="H85" s="18" t="n"/>
      <c r="I85" s="18" t="n"/>
      <c r="J85" s="18" t="n"/>
      <c r="K85" s="18" t="n"/>
      <c r="L85" s="18" t="n"/>
    </row>
    <row r="86" ht="96.39999999999999" customHeight="1">
      <c r="A86" s="14" t="n">
        <v>82</v>
      </c>
      <c r="B86" s="16" t="inlineStr">
        <is>
          <t>MB-MON-03</t>
        </is>
      </c>
      <c r="C86" s="15" t="inlineStr">
        <is>
          <t>New Data membuat header saja, grid masih kosong</t>
        </is>
      </c>
      <c r="D86" s="17" t="inlineStr">
        <is>
          <t>CPO Dispatch</t>
        </is>
      </c>
      <c r="E86" s="15" t="inlineStr">
        <is>
          <t>OPR-A</t>
        </is>
      </c>
      <c r="F86" s="15" t="inlineStr">
        <is>
          <t>- Layar Form terbuka.
- Kolom Tanggal sudah terisi otomatis dengan tanggal hari ini.
- Kolom identitas unit kosong dan dapat diketik.
- Grid slot waktu masih kosong — belum ada satu baris pun. (Untuk stasiun per-transaksi, tidak ada grid 24 slot sama sekali.)</t>
        </is>
      </c>
      <c r="G86" s="13" t="inlineStr">
        <is>
          <t>Tinggi</t>
        </is>
      </c>
      <c r="H86" s="18" t="n"/>
      <c r="I86" s="18" t="n"/>
      <c r="J86" s="18" t="n"/>
      <c r="K86" s="18" t="n"/>
      <c r="L86" s="18" t="n"/>
    </row>
    <row r="87" ht="96.39999999999999" customHeight="1">
      <c r="A87" s="10" t="n">
        <v>83</v>
      </c>
      <c r="B87" s="11" t="inlineStr">
        <is>
          <t>MB-MON-03</t>
        </is>
      </c>
      <c r="C87" s="5" t="inlineStr">
        <is>
          <t>New Data membuat header saja, grid masih kosong</t>
        </is>
      </c>
      <c r="D87" s="12" t="inlineStr">
        <is>
          <t>Process Quality Control</t>
        </is>
      </c>
      <c r="E87" s="5" t="inlineStr">
        <is>
          <t>OPR-A</t>
        </is>
      </c>
      <c r="F87" s="5" t="inlineStr">
        <is>
          <t>- Layar Form terbuka.
- Kolom Tanggal sudah terisi otomatis dengan tanggal hari ini.
- Kolom identitas unit kosong dan dapat diketik.
- Grid slot waktu masih kosong — belum ada satu baris pun. (Untuk stasiun per-transaksi, tidak ada grid 24 slot sama sekali.)</t>
        </is>
      </c>
      <c r="G87" s="13" t="inlineStr">
        <is>
          <t>Tinggi</t>
        </is>
      </c>
      <c r="H87" s="18" t="n"/>
      <c r="I87" s="18" t="n"/>
      <c r="J87" s="18" t="n"/>
      <c r="K87" s="18" t="n"/>
      <c r="L87" s="18" t="n"/>
    </row>
    <row r="88" ht="83.19999999999999" customHeight="1">
      <c r="A88" s="14" t="n">
        <v>84</v>
      </c>
      <c r="B88" s="16" t="inlineStr">
        <is>
          <t>MB-MON-04</t>
        </is>
      </c>
      <c r="C88" s="15" t="inlineStr">
        <is>
          <t>Tanggal otomatis memakai tanggal perangkat, termasuk dini hari</t>
        </is>
      </c>
      <c r="D88" s="17" t="inlineStr">
        <is>
          <t>Weighbridge</t>
        </is>
      </c>
      <c r="E88" s="15" t="inlineStr">
        <is>
          <t>OPR-A</t>
        </is>
      </c>
      <c r="F88" s="1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88" s="13" t="inlineStr">
        <is>
          <t>Tinggi</t>
        </is>
      </c>
      <c r="H88" s="18" t="n"/>
      <c r="I88" s="18" t="n"/>
      <c r="J88" s="18" t="n"/>
      <c r="K88" s="18" t="n"/>
      <c r="L88" s="18" t="n"/>
    </row>
    <row r="89" ht="83.19999999999999" customHeight="1">
      <c r="A89" s="10" t="n">
        <v>85</v>
      </c>
      <c r="B89" s="11" t="inlineStr">
        <is>
          <t>MB-MON-04</t>
        </is>
      </c>
      <c r="C89" s="5" t="inlineStr">
        <is>
          <t>Tanggal otomatis memakai tanggal perangkat, termasuk dini hari</t>
        </is>
      </c>
      <c r="D89" s="12" t="inlineStr">
        <is>
          <t>Grading</t>
        </is>
      </c>
      <c r="E89" s="5" t="inlineStr">
        <is>
          <t>OPR-A</t>
        </is>
      </c>
      <c r="F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89" s="13" t="inlineStr">
        <is>
          <t>Tinggi</t>
        </is>
      </c>
      <c r="H89" s="18" t="n"/>
      <c r="I89" s="18" t="n"/>
      <c r="J89" s="18" t="n"/>
      <c r="K89" s="18" t="n"/>
      <c r="L89" s="18" t="n"/>
    </row>
    <row r="90" ht="83.19999999999999" customHeight="1">
      <c r="A90" s="14" t="n">
        <v>86</v>
      </c>
      <c r="B90" s="16" t="inlineStr">
        <is>
          <t>MB-MON-04</t>
        </is>
      </c>
      <c r="C90" s="15" t="inlineStr">
        <is>
          <t>Tanggal otomatis memakai tanggal perangkat, termasuk dini hari</t>
        </is>
      </c>
      <c r="D90" s="17" t="inlineStr">
        <is>
          <t>Cages Track</t>
        </is>
      </c>
      <c r="E90" s="15" t="inlineStr">
        <is>
          <t>OPR-A</t>
        </is>
      </c>
      <c r="F90" s="1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90" s="13" t="inlineStr">
        <is>
          <t>Tinggi</t>
        </is>
      </c>
      <c r="H90" s="18" t="n"/>
      <c r="I90" s="18" t="n"/>
      <c r="J90" s="18" t="n"/>
      <c r="K90" s="18" t="n"/>
      <c r="L90" s="18" t="n"/>
    </row>
    <row r="91" ht="83.19999999999999" customHeight="1">
      <c r="A91" s="10" t="n">
        <v>87</v>
      </c>
      <c r="B91" s="11" t="inlineStr">
        <is>
          <t>MB-MON-04</t>
        </is>
      </c>
      <c r="C91" s="5" t="inlineStr">
        <is>
          <t>Tanggal otomatis memakai tanggal perangkat, termasuk dini hari</t>
        </is>
      </c>
      <c r="D91" s="12" t="inlineStr">
        <is>
          <t>Sterilizer</t>
        </is>
      </c>
      <c r="E91" s="5" t="inlineStr">
        <is>
          <t>OPR-A</t>
        </is>
      </c>
      <c r="F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91" s="13" t="inlineStr">
        <is>
          <t>Tinggi</t>
        </is>
      </c>
      <c r="H91" s="18" t="n"/>
      <c r="I91" s="18" t="n"/>
      <c r="J91" s="18" t="n"/>
      <c r="K91" s="18" t="n"/>
      <c r="L91" s="18" t="n"/>
    </row>
    <row r="92" ht="83.19999999999999" customHeight="1">
      <c r="A92" s="14" t="n">
        <v>88</v>
      </c>
      <c r="B92" s="16" t="inlineStr">
        <is>
          <t>MB-MON-04</t>
        </is>
      </c>
      <c r="C92" s="15" t="inlineStr">
        <is>
          <t>Tanggal otomatis memakai tanggal perangkat, termasuk dini hari</t>
        </is>
      </c>
      <c r="D92" s="17" t="inlineStr">
        <is>
          <t>Threshing</t>
        </is>
      </c>
      <c r="E92" s="15" t="inlineStr">
        <is>
          <t>OPR-A</t>
        </is>
      </c>
      <c r="F92" s="1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92" s="13" t="inlineStr">
        <is>
          <t>Tinggi</t>
        </is>
      </c>
      <c r="H92" s="18" t="n"/>
      <c r="I92" s="18" t="n"/>
      <c r="J92" s="18" t="n"/>
      <c r="K92" s="18" t="n"/>
      <c r="L92" s="18" t="n"/>
    </row>
    <row r="93" ht="83.19999999999999" customHeight="1">
      <c r="A93" s="10" t="n">
        <v>89</v>
      </c>
      <c r="B93" s="11" t="inlineStr">
        <is>
          <t>MB-MON-04</t>
        </is>
      </c>
      <c r="C93" s="5" t="inlineStr">
        <is>
          <t>Tanggal otomatis memakai tanggal perangkat, termasuk dini hari</t>
        </is>
      </c>
      <c r="D93" s="12" t="inlineStr">
        <is>
          <t>Pressing</t>
        </is>
      </c>
      <c r="E93" s="5" t="inlineStr">
        <is>
          <t>OPR-A</t>
        </is>
      </c>
      <c r="F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93" s="13" t="inlineStr">
        <is>
          <t>Tinggi</t>
        </is>
      </c>
      <c r="H93" s="18" t="n"/>
      <c r="I93" s="18" t="n"/>
      <c r="J93" s="18" t="n"/>
      <c r="K93" s="18" t="n"/>
      <c r="L93" s="18" t="n"/>
    </row>
    <row r="94" ht="83.19999999999999" customHeight="1">
      <c r="A94" s="14" t="n">
        <v>90</v>
      </c>
      <c r="B94" s="16" t="inlineStr">
        <is>
          <t>MB-MON-04</t>
        </is>
      </c>
      <c r="C94" s="15" t="inlineStr">
        <is>
          <t>Tanggal otomatis memakai tanggal perangkat, termasuk dini hari</t>
        </is>
      </c>
      <c r="D94" s="17" t="inlineStr">
        <is>
          <t>Clarification</t>
        </is>
      </c>
      <c r="E94" s="15" t="inlineStr">
        <is>
          <t>OPR-A</t>
        </is>
      </c>
      <c r="F94" s="1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94" s="13" t="inlineStr">
        <is>
          <t>Tinggi</t>
        </is>
      </c>
      <c r="H94" s="18" t="n"/>
      <c r="I94" s="18" t="n"/>
      <c r="J94" s="18" t="n"/>
      <c r="K94" s="18" t="n"/>
      <c r="L94" s="18" t="n"/>
    </row>
    <row r="95" ht="83.19999999999999" customHeight="1">
      <c r="A95" s="10" t="n">
        <v>91</v>
      </c>
      <c r="B95" s="11" t="inlineStr">
        <is>
          <t>MB-MON-04</t>
        </is>
      </c>
      <c r="C95" s="5" t="inlineStr">
        <is>
          <t>Tanggal otomatis memakai tanggal perangkat, termasuk dini hari</t>
        </is>
      </c>
      <c r="D95" s="12" t="inlineStr">
        <is>
          <t>Kernel Plant</t>
        </is>
      </c>
      <c r="E95" s="5" t="inlineStr">
        <is>
          <t>OPR-A</t>
        </is>
      </c>
      <c r="F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95" s="13" t="inlineStr">
        <is>
          <t>Tinggi</t>
        </is>
      </c>
      <c r="H95" s="18" t="n"/>
      <c r="I95" s="18" t="n"/>
      <c r="J95" s="18" t="n"/>
      <c r="K95" s="18" t="n"/>
      <c r="L95" s="18" t="n"/>
    </row>
    <row r="96" ht="83.19999999999999" customHeight="1">
      <c r="A96" s="14" t="n">
        <v>92</v>
      </c>
      <c r="B96" s="16" t="inlineStr">
        <is>
          <t>MB-MON-04</t>
        </is>
      </c>
      <c r="C96" s="15" t="inlineStr">
        <is>
          <t>Tanggal otomatis memakai tanggal perangkat, termasuk dini hari</t>
        </is>
      </c>
      <c r="D96" s="17" t="inlineStr">
        <is>
          <t>Boiler Room</t>
        </is>
      </c>
      <c r="E96" s="15" t="inlineStr">
        <is>
          <t>OPR-A</t>
        </is>
      </c>
      <c r="F96" s="1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96" s="13" t="inlineStr">
        <is>
          <t>Tinggi</t>
        </is>
      </c>
      <c r="H96" s="18" t="n"/>
      <c r="I96" s="18" t="n"/>
      <c r="J96" s="18" t="n"/>
      <c r="K96" s="18" t="n"/>
      <c r="L96" s="18" t="n"/>
    </row>
    <row r="97" ht="83.19999999999999" customHeight="1">
      <c r="A97" s="10" t="n">
        <v>93</v>
      </c>
      <c r="B97" s="11" t="inlineStr">
        <is>
          <t>MB-MON-04</t>
        </is>
      </c>
      <c r="C97" s="5" t="inlineStr">
        <is>
          <t>Tanggal otomatis memakai tanggal perangkat, termasuk dini hari</t>
        </is>
      </c>
      <c r="D97" s="12" t="inlineStr">
        <is>
          <t>Effluent Plant</t>
        </is>
      </c>
      <c r="E97" s="5" t="inlineStr">
        <is>
          <t>OPR-A</t>
        </is>
      </c>
      <c r="F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97" s="13" t="inlineStr">
        <is>
          <t>Tinggi</t>
        </is>
      </c>
      <c r="H97" s="18" t="n"/>
      <c r="I97" s="18" t="n"/>
      <c r="J97" s="18" t="n"/>
      <c r="K97" s="18" t="n"/>
      <c r="L97" s="18" t="n"/>
    </row>
    <row r="98" ht="83.19999999999999" customHeight="1">
      <c r="A98" s="14" t="n">
        <v>94</v>
      </c>
      <c r="B98" s="16" t="inlineStr">
        <is>
          <t>MB-MON-04</t>
        </is>
      </c>
      <c r="C98" s="15" t="inlineStr">
        <is>
          <t>Tanggal otomatis memakai tanggal perangkat, termasuk dini hari</t>
        </is>
      </c>
      <c r="D98" s="17" t="inlineStr">
        <is>
          <t>Depricarping</t>
        </is>
      </c>
      <c r="E98" s="15" t="inlineStr">
        <is>
          <t>OPR-A</t>
        </is>
      </c>
      <c r="F98" s="1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98" s="13" t="inlineStr">
        <is>
          <t>Tinggi</t>
        </is>
      </c>
      <c r="H98" s="18" t="n"/>
      <c r="I98" s="18" t="n"/>
      <c r="J98" s="18" t="n"/>
      <c r="K98" s="18" t="n"/>
      <c r="L98" s="18" t="n"/>
    </row>
    <row r="99" ht="83.19999999999999" customHeight="1">
      <c r="A99" s="10" t="n">
        <v>95</v>
      </c>
      <c r="B99" s="11" t="inlineStr">
        <is>
          <t>MB-MON-04</t>
        </is>
      </c>
      <c r="C99" s="5" t="inlineStr">
        <is>
          <t>Tanggal otomatis memakai tanggal perangkat, termasuk dini hari</t>
        </is>
      </c>
      <c r="D99" s="12" t="inlineStr">
        <is>
          <t>Engine Room</t>
        </is>
      </c>
      <c r="E99" s="5" t="inlineStr">
        <is>
          <t>OPR-A</t>
        </is>
      </c>
      <c r="F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99" s="13" t="inlineStr">
        <is>
          <t>Tinggi</t>
        </is>
      </c>
      <c r="H99" s="18" t="n"/>
      <c r="I99" s="18" t="n"/>
      <c r="J99" s="18" t="n"/>
      <c r="K99" s="18" t="n"/>
      <c r="L99" s="18" t="n"/>
    </row>
    <row r="100" ht="83.19999999999999" customHeight="1">
      <c r="A100" s="14" t="n">
        <v>96</v>
      </c>
      <c r="B100" s="16" t="inlineStr">
        <is>
          <t>MB-MON-04</t>
        </is>
      </c>
      <c r="C100" s="15" t="inlineStr">
        <is>
          <t>Tanggal otomatis memakai tanggal perangkat, termasuk dini hari</t>
        </is>
      </c>
      <c r="D100" s="17" t="inlineStr">
        <is>
          <t>Process Water</t>
        </is>
      </c>
      <c r="E100" s="15" t="inlineStr">
        <is>
          <t>OPR-A</t>
        </is>
      </c>
      <c r="F100" s="1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100" s="13" t="inlineStr">
        <is>
          <t>Tinggi</t>
        </is>
      </c>
      <c r="H100" s="18" t="n"/>
      <c r="I100" s="18" t="n"/>
      <c r="J100" s="18" t="n"/>
      <c r="K100" s="18" t="n"/>
      <c r="L100" s="18" t="n"/>
    </row>
    <row r="101" ht="83.19999999999999" customHeight="1">
      <c r="A101" s="10" t="n">
        <v>97</v>
      </c>
      <c r="B101" s="11" t="inlineStr">
        <is>
          <t>MB-MON-04</t>
        </is>
      </c>
      <c r="C101" s="5" t="inlineStr">
        <is>
          <t>Tanggal otomatis memakai tanggal perangkat, termasuk dini hari</t>
        </is>
      </c>
      <c r="D101" s="12" t="inlineStr">
        <is>
          <t>Storage Tank</t>
        </is>
      </c>
      <c r="E101" s="5" t="inlineStr">
        <is>
          <t>OPR-A</t>
        </is>
      </c>
      <c r="F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101" s="13" t="inlineStr">
        <is>
          <t>Tinggi</t>
        </is>
      </c>
      <c r="H101" s="18" t="n"/>
      <c r="I101" s="18" t="n"/>
      <c r="J101" s="18" t="n"/>
      <c r="K101" s="18" t="n"/>
      <c r="L101" s="18" t="n"/>
    </row>
    <row r="102" ht="83.19999999999999" customHeight="1">
      <c r="A102" s="14" t="n">
        <v>98</v>
      </c>
      <c r="B102" s="16" t="inlineStr">
        <is>
          <t>MB-MON-04</t>
        </is>
      </c>
      <c r="C102" s="15" t="inlineStr">
        <is>
          <t>Tanggal otomatis memakai tanggal perangkat, termasuk dini hari</t>
        </is>
      </c>
      <c r="D102" s="17" t="inlineStr">
        <is>
          <t>Solid Waste Disposal</t>
        </is>
      </c>
      <c r="E102" s="15" t="inlineStr">
        <is>
          <t>OPR-A</t>
        </is>
      </c>
      <c r="F102" s="1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102" s="13" t="inlineStr">
        <is>
          <t>Tinggi</t>
        </is>
      </c>
      <c r="H102" s="18" t="n"/>
      <c r="I102" s="18" t="n"/>
      <c r="J102" s="18" t="n"/>
      <c r="K102" s="18" t="n"/>
      <c r="L102" s="18" t="n"/>
    </row>
    <row r="103" ht="83.19999999999999" customHeight="1">
      <c r="A103" s="10" t="n">
        <v>99</v>
      </c>
      <c r="B103" s="11" t="inlineStr">
        <is>
          <t>MB-MON-04</t>
        </is>
      </c>
      <c r="C103" s="5" t="inlineStr">
        <is>
          <t>Tanggal otomatis memakai tanggal perangkat, termasuk dini hari</t>
        </is>
      </c>
      <c r="D103" s="12" t="inlineStr">
        <is>
          <t>Kernel Dispatch</t>
        </is>
      </c>
      <c r="E103" s="5" t="inlineStr">
        <is>
          <t>OPR-A</t>
        </is>
      </c>
      <c r="F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103" s="13" t="inlineStr">
        <is>
          <t>Tinggi</t>
        </is>
      </c>
      <c r="H103" s="18" t="n"/>
      <c r="I103" s="18" t="n"/>
      <c r="J103" s="18" t="n"/>
      <c r="K103" s="18" t="n"/>
      <c r="L103" s="18" t="n"/>
    </row>
    <row r="104" ht="83.19999999999999" customHeight="1">
      <c r="A104" s="14" t="n">
        <v>100</v>
      </c>
      <c r="B104" s="16" t="inlineStr">
        <is>
          <t>MB-MON-04</t>
        </is>
      </c>
      <c r="C104" s="15" t="inlineStr">
        <is>
          <t>Tanggal otomatis memakai tanggal perangkat, termasuk dini hari</t>
        </is>
      </c>
      <c r="D104" s="17" t="inlineStr">
        <is>
          <t>CPO Dispatch</t>
        </is>
      </c>
      <c r="E104" s="15" t="inlineStr">
        <is>
          <t>OPR-A</t>
        </is>
      </c>
      <c r="F104" s="1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104" s="13" t="inlineStr">
        <is>
          <t>Tinggi</t>
        </is>
      </c>
      <c r="H104" s="18" t="n"/>
      <c r="I104" s="18" t="n"/>
      <c r="J104" s="18" t="n"/>
      <c r="K104" s="18" t="n"/>
      <c r="L104" s="18" t="n"/>
    </row>
    <row r="105" ht="83.19999999999999" customHeight="1">
      <c r="A105" s="10" t="n">
        <v>101</v>
      </c>
      <c r="B105" s="11" t="inlineStr">
        <is>
          <t>MB-MON-04</t>
        </is>
      </c>
      <c r="C105" s="5" t="inlineStr">
        <is>
          <t>Tanggal otomatis memakai tanggal perangkat, termasuk dini hari</t>
        </is>
      </c>
      <c r="D105" s="12" t="inlineStr">
        <is>
          <t>Process Quality Control</t>
        </is>
      </c>
      <c r="E105" s="5" t="inlineStr">
        <is>
          <t>OPR-A</t>
        </is>
      </c>
      <c r="F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G105" s="13" t="inlineStr">
        <is>
          <t>Tinggi</t>
        </is>
      </c>
      <c r="H105" s="18" t="n"/>
      <c r="I105" s="18" t="n"/>
      <c r="J105" s="18" t="n"/>
      <c r="K105" s="18" t="n"/>
      <c r="L105" s="18" t="n"/>
    </row>
    <row r="106" ht="56.8" customHeight="1">
      <c r="A106" s="14" t="n">
        <v>102</v>
      </c>
      <c r="B106" s="16" t="inlineStr">
        <is>
          <t>MB-MON-05</t>
        </is>
      </c>
      <c r="C106" s="15" t="inlineStr">
        <is>
          <t>Belum ada draft: keterangan, bukan daftar kosong</t>
        </is>
      </c>
      <c r="D106" s="17" t="inlineStr">
        <is>
          <t>Weighbridge</t>
        </is>
      </c>
      <c r="E106" s="15" t="inlineStr">
        <is>
          <t>OPR-A</t>
        </is>
      </c>
      <c r="F106" s="15" t="inlineStr">
        <is>
          <t>- Muncul keterangan bahwa belum ada draft — kalimat, bukan ruang kosong.
- BUKAN tabel dengan nol baris tanpa penjelasan.
- Tombol New Data tetap ada dan dapat ditekan.</t>
        </is>
      </c>
      <c r="G106" s="14" t="inlineStr">
        <is>
          <t>Sedang</t>
        </is>
      </c>
      <c r="H106" s="18" t="n"/>
      <c r="I106" s="18" t="n"/>
      <c r="J106" s="18" t="n"/>
      <c r="K106" s="18" t="n"/>
      <c r="L106" s="18" t="n"/>
    </row>
    <row r="107" ht="56.8" customHeight="1">
      <c r="A107" s="10" t="n">
        <v>103</v>
      </c>
      <c r="B107" s="11" t="inlineStr">
        <is>
          <t>MB-MON-05</t>
        </is>
      </c>
      <c r="C107" s="5" t="inlineStr">
        <is>
          <t>Belum ada draft: keterangan, bukan daftar kosong</t>
        </is>
      </c>
      <c r="D107" s="12" t="inlineStr">
        <is>
          <t>Grading</t>
        </is>
      </c>
      <c r="E107" s="5" t="inlineStr">
        <is>
          <t>OPR-A</t>
        </is>
      </c>
      <c r="F107" s="5" t="inlineStr">
        <is>
          <t>- Muncul keterangan bahwa belum ada draft — kalimat, bukan ruang kosong.
- BUKAN tabel dengan nol baris tanpa penjelasan.
- Tombol New Data tetap ada dan dapat ditekan.</t>
        </is>
      </c>
      <c r="G107" s="10" t="inlineStr">
        <is>
          <t>Sedang</t>
        </is>
      </c>
      <c r="H107" s="18" t="n"/>
      <c r="I107" s="18" t="n"/>
      <c r="J107" s="18" t="n"/>
      <c r="K107" s="18" t="n"/>
      <c r="L107" s="18" t="n"/>
    </row>
    <row r="108" ht="56.8" customHeight="1">
      <c r="A108" s="14" t="n">
        <v>104</v>
      </c>
      <c r="B108" s="16" t="inlineStr">
        <is>
          <t>MB-MON-05</t>
        </is>
      </c>
      <c r="C108" s="15" t="inlineStr">
        <is>
          <t>Belum ada draft: keterangan, bukan daftar kosong</t>
        </is>
      </c>
      <c r="D108" s="17" t="inlineStr">
        <is>
          <t>Cages Track</t>
        </is>
      </c>
      <c r="E108" s="15" t="inlineStr">
        <is>
          <t>OPR-A</t>
        </is>
      </c>
      <c r="F108" s="15" t="inlineStr">
        <is>
          <t>- Muncul keterangan bahwa belum ada draft — kalimat, bukan ruang kosong.
- BUKAN tabel dengan nol baris tanpa penjelasan.
- Tombol New Data tetap ada dan dapat ditekan.</t>
        </is>
      </c>
      <c r="G108" s="14" t="inlineStr">
        <is>
          <t>Sedang</t>
        </is>
      </c>
      <c r="H108" s="18" t="n"/>
      <c r="I108" s="18" t="n"/>
      <c r="J108" s="18" t="n"/>
      <c r="K108" s="18" t="n"/>
      <c r="L108" s="18" t="n"/>
    </row>
    <row r="109" ht="56.8" customHeight="1">
      <c r="A109" s="10" t="n">
        <v>105</v>
      </c>
      <c r="B109" s="11" t="inlineStr">
        <is>
          <t>MB-MON-05</t>
        </is>
      </c>
      <c r="C109" s="5" t="inlineStr">
        <is>
          <t>Belum ada draft: keterangan, bukan daftar kosong</t>
        </is>
      </c>
      <c r="D109" s="12" t="inlineStr">
        <is>
          <t>Sterilizer</t>
        </is>
      </c>
      <c r="E109" s="5" t="inlineStr">
        <is>
          <t>OPR-A</t>
        </is>
      </c>
      <c r="F109" s="5" t="inlineStr">
        <is>
          <t>- Muncul keterangan bahwa belum ada draft — kalimat, bukan ruang kosong.
- BUKAN tabel dengan nol baris tanpa penjelasan.
- Tombol New Data tetap ada dan dapat ditekan.</t>
        </is>
      </c>
      <c r="G109" s="10" t="inlineStr">
        <is>
          <t>Sedang</t>
        </is>
      </c>
      <c r="H109" s="18" t="n"/>
      <c r="I109" s="18" t="n"/>
      <c r="J109" s="18" t="n"/>
      <c r="K109" s="18" t="n"/>
      <c r="L109" s="18" t="n"/>
    </row>
    <row r="110" ht="56.8" customHeight="1">
      <c r="A110" s="14" t="n">
        <v>106</v>
      </c>
      <c r="B110" s="16" t="inlineStr">
        <is>
          <t>MB-MON-05</t>
        </is>
      </c>
      <c r="C110" s="15" t="inlineStr">
        <is>
          <t>Belum ada draft: keterangan, bukan daftar kosong</t>
        </is>
      </c>
      <c r="D110" s="17" t="inlineStr">
        <is>
          <t>Threshing</t>
        </is>
      </c>
      <c r="E110" s="15" t="inlineStr">
        <is>
          <t>OPR-A</t>
        </is>
      </c>
      <c r="F110" s="15" t="inlineStr">
        <is>
          <t>- Muncul keterangan bahwa belum ada draft — kalimat, bukan ruang kosong.
- BUKAN tabel dengan nol baris tanpa penjelasan.
- Tombol New Data tetap ada dan dapat ditekan.</t>
        </is>
      </c>
      <c r="G110" s="14" t="inlineStr">
        <is>
          <t>Sedang</t>
        </is>
      </c>
      <c r="H110" s="18" t="n"/>
      <c r="I110" s="18" t="n"/>
      <c r="J110" s="18" t="n"/>
      <c r="K110" s="18" t="n"/>
      <c r="L110" s="18" t="n"/>
    </row>
    <row r="111" ht="56.8" customHeight="1">
      <c r="A111" s="10" t="n">
        <v>107</v>
      </c>
      <c r="B111" s="11" t="inlineStr">
        <is>
          <t>MB-MON-05</t>
        </is>
      </c>
      <c r="C111" s="5" t="inlineStr">
        <is>
          <t>Belum ada draft: keterangan, bukan daftar kosong</t>
        </is>
      </c>
      <c r="D111" s="12" t="inlineStr">
        <is>
          <t>Pressing</t>
        </is>
      </c>
      <c r="E111" s="5" t="inlineStr">
        <is>
          <t>OPR-A</t>
        </is>
      </c>
      <c r="F111" s="5" t="inlineStr">
        <is>
          <t>- Muncul keterangan bahwa belum ada draft — kalimat, bukan ruang kosong.
- BUKAN tabel dengan nol baris tanpa penjelasan.
- Tombol New Data tetap ada dan dapat ditekan.</t>
        </is>
      </c>
      <c r="G111" s="10" t="inlineStr">
        <is>
          <t>Sedang</t>
        </is>
      </c>
      <c r="H111" s="18" t="n"/>
      <c r="I111" s="18" t="n"/>
      <c r="J111" s="18" t="n"/>
      <c r="K111" s="18" t="n"/>
      <c r="L111" s="18" t="n"/>
    </row>
    <row r="112" ht="56.8" customHeight="1">
      <c r="A112" s="14" t="n">
        <v>108</v>
      </c>
      <c r="B112" s="16" t="inlineStr">
        <is>
          <t>MB-MON-05</t>
        </is>
      </c>
      <c r="C112" s="15" t="inlineStr">
        <is>
          <t>Belum ada draft: keterangan, bukan daftar kosong</t>
        </is>
      </c>
      <c r="D112" s="17" t="inlineStr">
        <is>
          <t>Clarification</t>
        </is>
      </c>
      <c r="E112" s="15" t="inlineStr">
        <is>
          <t>OPR-A</t>
        </is>
      </c>
      <c r="F112" s="15" t="inlineStr">
        <is>
          <t>- Muncul keterangan bahwa belum ada draft — kalimat, bukan ruang kosong.
- BUKAN tabel dengan nol baris tanpa penjelasan.
- Tombol New Data tetap ada dan dapat ditekan.</t>
        </is>
      </c>
      <c r="G112" s="14" t="inlineStr">
        <is>
          <t>Sedang</t>
        </is>
      </c>
      <c r="H112" s="18" t="n"/>
      <c r="I112" s="18" t="n"/>
      <c r="J112" s="18" t="n"/>
      <c r="K112" s="18" t="n"/>
      <c r="L112" s="18" t="n"/>
    </row>
    <row r="113" ht="56.8" customHeight="1">
      <c r="A113" s="10" t="n">
        <v>109</v>
      </c>
      <c r="B113" s="11" t="inlineStr">
        <is>
          <t>MB-MON-05</t>
        </is>
      </c>
      <c r="C113" s="5" t="inlineStr">
        <is>
          <t>Belum ada draft: keterangan, bukan daftar kosong</t>
        </is>
      </c>
      <c r="D113" s="12" t="inlineStr">
        <is>
          <t>Kernel Plant</t>
        </is>
      </c>
      <c r="E113" s="5" t="inlineStr">
        <is>
          <t>OPR-A</t>
        </is>
      </c>
      <c r="F113" s="5" t="inlineStr">
        <is>
          <t>- Muncul keterangan bahwa belum ada draft — kalimat, bukan ruang kosong.
- BUKAN tabel dengan nol baris tanpa penjelasan.
- Tombol New Data tetap ada dan dapat ditekan.</t>
        </is>
      </c>
      <c r="G113" s="10" t="inlineStr">
        <is>
          <t>Sedang</t>
        </is>
      </c>
      <c r="H113" s="18" t="n"/>
      <c r="I113" s="18" t="n"/>
      <c r="J113" s="18" t="n"/>
      <c r="K113" s="18" t="n"/>
      <c r="L113" s="18" t="n"/>
    </row>
    <row r="114" ht="56.8" customHeight="1">
      <c r="A114" s="14" t="n">
        <v>110</v>
      </c>
      <c r="B114" s="16" t="inlineStr">
        <is>
          <t>MB-MON-05</t>
        </is>
      </c>
      <c r="C114" s="15" t="inlineStr">
        <is>
          <t>Belum ada draft: keterangan, bukan daftar kosong</t>
        </is>
      </c>
      <c r="D114" s="17" t="inlineStr">
        <is>
          <t>Boiler Room</t>
        </is>
      </c>
      <c r="E114" s="15" t="inlineStr">
        <is>
          <t>OPR-A</t>
        </is>
      </c>
      <c r="F114" s="15" t="inlineStr">
        <is>
          <t>- Muncul keterangan bahwa belum ada draft — kalimat, bukan ruang kosong.
- BUKAN tabel dengan nol baris tanpa penjelasan.
- Tombol New Data tetap ada dan dapat ditekan.</t>
        </is>
      </c>
      <c r="G114" s="14" t="inlineStr">
        <is>
          <t>Sedang</t>
        </is>
      </c>
      <c r="H114" s="18" t="n"/>
      <c r="I114" s="18" t="n"/>
      <c r="J114" s="18" t="n"/>
      <c r="K114" s="18" t="n"/>
      <c r="L114" s="18" t="n"/>
    </row>
    <row r="115" ht="56.8" customHeight="1">
      <c r="A115" s="10" t="n">
        <v>111</v>
      </c>
      <c r="B115" s="11" t="inlineStr">
        <is>
          <t>MB-MON-05</t>
        </is>
      </c>
      <c r="C115" s="5" t="inlineStr">
        <is>
          <t>Belum ada draft: keterangan, bukan daftar kosong</t>
        </is>
      </c>
      <c r="D115" s="12" t="inlineStr">
        <is>
          <t>Effluent Plant</t>
        </is>
      </c>
      <c r="E115" s="5" t="inlineStr">
        <is>
          <t>OPR-A</t>
        </is>
      </c>
      <c r="F115" s="5" t="inlineStr">
        <is>
          <t>- Muncul keterangan bahwa belum ada draft — kalimat, bukan ruang kosong.
- BUKAN tabel dengan nol baris tanpa penjelasan.
- Tombol New Data tetap ada dan dapat ditekan.</t>
        </is>
      </c>
      <c r="G115" s="10" t="inlineStr">
        <is>
          <t>Sedang</t>
        </is>
      </c>
      <c r="H115" s="18" t="n"/>
      <c r="I115" s="18" t="n"/>
      <c r="J115" s="18" t="n"/>
      <c r="K115" s="18" t="n"/>
      <c r="L115" s="18" t="n"/>
    </row>
    <row r="116" ht="56.8" customHeight="1">
      <c r="A116" s="14" t="n">
        <v>112</v>
      </c>
      <c r="B116" s="16" t="inlineStr">
        <is>
          <t>MB-MON-05</t>
        </is>
      </c>
      <c r="C116" s="15" t="inlineStr">
        <is>
          <t>Belum ada draft: keterangan, bukan daftar kosong</t>
        </is>
      </c>
      <c r="D116" s="17" t="inlineStr">
        <is>
          <t>Depricarping</t>
        </is>
      </c>
      <c r="E116" s="15" t="inlineStr">
        <is>
          <t>OPR-A</t>
        </is>
      </c>
      <c r="F116" s="15" t="inlineStr">
        <is>
          <t>- Muncul keterangan bahwa belum ada draft — kalimat, bukan ruang kosong.
- BUKAN tabel dengan nol baris tanpa penjelasan.
- Tombol New Data tetap ada dan dapat ditekan.</t>
        </is>
      </c>
      <c r="G116" s="14" t="inlineStr">
        <is>
          <t>Sedang</t>
        </is>
      </c>
      <c r="H116" s="18" t="n"/>
      <c r="I116" s="18" t="n"/>
      <c r="J116" s="18" t="n"/>
      <c r="K116" s="18" t="n"/>
      <c r="L116" s="18" t="n"/>
    </row>
    <row r="117" ht="56.8" customHeight="1">
      <c r="A117" s="10" t="n">
        <v>113</v>
      </c>
      <c r="B117" s="11" t="inlineStr">
        <is>
          <t>MB-MON-05</t>
        </is>
      </c>
      <c r="C117" s="5" t="inlineStr">
        <is>
          <t>Belum ada draft: keterangan, bukan daftar kosong</t>
        </is>
      </c>
      <c r="D117" s="12" t="inlineStr">
        <is>
          <t>Engine Room</t>
        </is>
      </c>
      <c r="E117" s="5" t="inlineStr">
        <is>
          <t>OPR-A</t>
        </is>
      </c>
      <c r="F117" s="5" t="inlineStr">
        <is>
          <t>- Muncul keterangan bahwa belum ada draft — kalimat, bukan ruang kosong.
- BUKAN tabel dengan nol baris tanpa penjelasan.
- Tombol New Data tetap ada dan dapat ditekan.</t>
        </is>
      </c>
      <c r="G117" s="10" t="inlineStr">
        <is>
          <t>Sedang</t>
        </is>
      </c>
      <c r="H117" s="18" t="n"/>
      <c r="I117" s="18" t="n"/>
      <c r="J117" s="18" t="n"/>
      <c r="K117" s="18" t="n"/>
      <c r="L117" s="18" t="n"/>
    </row>
    <row r="118" ht="56.8" customHeight="1">
      <c r="A118" s="14" t="n">
        <v>114</v>
      </c>
      <c r="B118" s="16" t="inlineStr">
        <is>
          <t>MB-MON-05</t>
        </is>
      </c>
      <c r="C118" s="15" t="inlineStr">
        <is>
          <t>Belum ada draft: keterangan, bukan daftar kosong</t>
        </is>
      </c>
      <c r="D118" s="17" t="inlineStr">
        <is>
          <t>Process Water</t>
        </is>
      </c>
      <c r="E118" s="15" t="inlineStr">
        <is>
          <t>OPR-A</t>
        </is>
      </c>
      <c r="F118" s="15" t="inlineStr">
        <is>
          <t>- Muncul keterangan bahwa belum ada draft — kalimat, bukan ruang kosong.
- BUKAN tabel dengan nol baris tanpa penjelasan.
- Tombol New Data tetap ada dan dapat ditekan.</t>
        </is>
      </c>
      <c r="G118" s="14" t="inlineStr">
        <is>
          <t>Sedang</t>
        </is>
      </c>
      <c r="H118" s="18" t="n"/>
      <c r="I118" s="18" t="n"/>
      <c r="J118" s="18" t="n"/>
      <c r="K118" s="18" t="n"/>
      <c r="L118" s="18" t="n"/>
    </row>
    <row r="119" ht="56.8" customHeight="1">
      <c r="A119" s="10" t="n">
        <v>115</v>
      </c>
      <c r="B119" s="11" t="inlineStr">
        <is>
          <t>MB-MON-05</t>
        </is>
      </c>
      <c r="C119" s="5" t="inlineStr">
        <is>
          <t>Belum ada draft: keterangan, bukan daftar kosong</t>
        </is>
      </c>
      <c r="D119" s="12" t="inlineStr">
        <is>
          <t>Storage Tank</t>
        </is>
      </c>
      <c r="E119" s="5" t="inlineStr">
        <is>
          <t>OPR-A</t>
        </is>
      </c>
      <c r="F119" s="5" t="inlineStr">
        <is>
          <t>- Muncul keterangan bahwa belum ada draft — kalimat, bukan ruang kosong.
- BUKAN tabel dengan nol baris tanpa penjelasan.
- Tombol New Data tetap ada dan dapat ditekan.</t>
        </is>
      </c>
      <c r="G119" s="10" t="inlineStr">
        <is>
          <t>Sedang</t>
        </is>
      </c>
      <c r="H119" s="18" t="n"/>
      <c r="I119" s="18" t="n"/>
      <c r="J119" s="18" t="n"/>
      <c r="K119" s="18" t="n"/>
      <c r="L119" s="18" t="n"/>
    </row>
    <row r="120" ht="56.8" customHeight="1">
      <c r="A120" s="14" t="n">
        <v>116</v>
      </c>
      <c r="B120" s="16" t="inlineStr">
        <is>
          <t>MB-MON-05</t>
        </is>
      </c>
      <c r="C120" s="15" t="inlineStr">
        <is>
          <t>Belum ada draft: keterangan, bukan daftar kosong</t>
        </is>
      </c>
      <c r="D120" s="17" t="inlineStr">
        <is>
          <t>Solid Waste Disposal</t>
        </is>
      </c>
      <c r="E120" s="15" t="inlineStr">
        <is>
          <t>OPR-A</t>
        </is>
      </c>
      <c r="F120" s="15" t="inlineStr">
        <is>
          <t>- Muncul keterangan bahwa belum ada draft — kalimat, bukan ruang kosong.
- BUKAN tabel dengan nol baris tanpa penjelasan.
- Tombol New Data tetap ada dan dapat ditekan.</t>
        </is>
      </c>
      <c r="G120" s="14" t="inlineStr">
        <is>
          <t>Sedang</t>
        </is>
      </c>
      <c r="H120" s="18" t="n"/>
      <c r="I120" s="18" t="n"/>
      <c r="J120" s="18" t="n"/>
      <c r="K120" s="18" t="n"/>
      <c r="L120" s="18" t="n"/>
    </row>
    <row r="121" ht="56.8" customHeight="1">
      <c r="A121" s="10" t="n">
        <v>117</v>
      </c>
      <c r="B121" s="11" t="inlineStr">
        <is>
          <t>MB-MON-05</t>
        </is>
      </c>
      <c r="C121" s="5" t="inlineStr">
        <is>
          <t>Belum ada draft: keterangan, bukan daftar kosong</t>
        </is>
      </c>
      <c r="D121" s="12" t="inlineStr">
        <is>
          <t>Kernel Dispatch</t>
        </is>
      </c>
      <c r="E121" s="5" t="inlineStr">
        <is>
          <t>OPR-A</t>
        </is>
      </c>
      <c r="F121" s="5" t="inlineStr">
        <is>
          <t>- Muncul keterangan bahwa belum ada draft — kalimat, bukan ruang kosong.
- BUKAN tabel dengan nol baris tanpa penjelasan.
- Tombol New Data tetap ada dan dapat ditekan.</t>
        </is>
      </c>
      <c r="G121" s="10" t="inlineStr">
        <is>
          <t>Sedang</t>
        </is>
      </c>
      <c r="H121" s="18" t="n"/>
      <c r="I121" s="18" t="n"/>
      <c r="J121" s="18" t="n"/>
      <c r="K121" s="18" t="n"/>
      <c r="L121" s="18" t="n"/>
    </row>
    <row r="122" ht="56.8" customHeight="1">
      <c r="A122" s="14" t="n">
        <v>118</v>
      </c>
      <c r="B122" s="16" t="inlineStr">
        <is>
          <t>MB-MON-05</t>
        </is>
      </c>
      <c r="C122" s="15" t="inlineStr">
        <is>
          <t>Belum ada draft: keterangan, bukan daftar kosong</t>
        </is>
      </c>
      <c r="D122" s="17" t="inlineStr">
        <is>
          <t>CPO Dispatch</t>
        </is>
      </c>
      <c r="E122" s="15" t="inlineStr">
        <is>
          <t>OPR-A</t>
        </is>
      </c>
      <c r="F122" s="15" t="inlineStr">
        <is>
          <t>- Muncul keterangan bahwa belum ada draft — kalimat, bukan ruang kosong.
- BUKAN tabel dengan nol baris tanpa penjelasan.
- Tombol New Data tetap ada dan dapat ditekan.</t>
        </is>
      </c>
      <c r="G122" s="14" t="inlineStr">
        <is>
          <t>Sedang</t>
        </is>
      </c>
      <c r="H122" s="18" t="n"/>
      <c r="I122" s="18" t="n"/>
      <c r="J122" s="18" t="n"/>
      <c r="K122" s="18" t="n"/>
      <c r="L122" s="18" t="n"/>
    </row>
    <row r="123" ht="56.8" customHeight="1">
      <c r="A123" s="10" t="n">
        <v>119</v>
      </c>
      <c r="B123" s="11" t="inlineStr">
        <is>
          <t>MB-MON-05</t>
        </is>
      </c>
      <c r="C123" s="5" t="inlineStr">
        <is>
          <t>Belum ada draft: keterangan, bukan daftar kosong</t>
        </is>
      </c>
      <c r="D123" s="12" t="inlineStr">
        <is>
          <t>Process Quality Control</t>
        </is>
      </c>
      <c r="E123" s="5" t="inlineStr">
        <is>
          <t>OPR-A</t>
        </is>
      </c>
      <c r="F123" s="5" t="inlineStr">
        <is>
          <t>- Muncul keterangan bahwa belum ada draft — kalimat, bukan ruang kosong.
- BUKAN tabel dengan nol baris tanpa penjelasan.
- Tombol New Data tetap ada dan dapat ditekan.</t>
        </is>
      </c>
      <c r="G123" s="10" t="inlineStr">
        <is>
          <t>Sedang</t>
        </is>
      </c>
      <c r="H123" s="18" t="n"/>
      <c r="I123" s="18" t="n"/>
      <c r="J123" s="18" t="n"/>
      <c r="K123" s="18" t="n"/>
      <c r="L123" s="18" t="n"/>
    </row>
    <row r="124" ht="70" customHeight="1">
      <c r="A124" s="14" t="n">
        <v>120</v>
      </c>
      <c r="B124" s="16" t="inlineStr">
        <is>
          <t>MB-MON-06</t>
        </is>
      </c>
      <c r="C124" s="15" t="inlineStr">
        <is>
          <t>Breadcrumb dapat diklik, bukan label mati</t>
        </is>
      </c>
      <c r="D124" s="17" t="inlineStr">
        <is>
          <t>Weighbridge</t>
        </is>
      </c>
      <c r="E124" s="15" t="inlineStr">
        <is>
          <t>OPR-A</t>
        </is>
      </c>
      <c r="F124" s="15" t="inlineStr">
        <is>
          <t>- Bagian breadcrumb selain yang terakhir dapat ditekan.
- Menekan Home mendarat di Home; menekan Station List mendarat di Station List.
- Bagian terakhir (nama layar sekarang) tidak dapat ditekan — itu benar.</t>
        </is>
      </c>
      <c r="G124" s="14" t="inlineStr">
        <is>
          <t>Rendah</t>
        </is>
      </c>
      <c r="H124" s="18" t="n"/>
      <c r="I124" s="18" t="n"/>
      <c r="J124" s="18" t="n"/>
      <c r="K124" s="18" t="n"/>
      <c r="L124" s="18" t="n"/>
    </row>
    <row r="125" ht="70" customHeight="1">
      <c r="A125" s="10" t="n">
        <v>121</v>
      </c>
      <c r="B125" s="11" t="inlineStr">
        <is>
          <t>MB-MON-06</t>
        </is>
      </c>
      <c r="C125" s="5" t="inlineStr">
        <is>
          <t>Breadcrumb dapat diklik, bukan label mati</t>
        </is>
      </c>
      <c r="D125" s="12" t="inlineStr">
        <is>
          <t>Grading</t>
        </is>
      </c>
      <c r="E125" s="5" t="inlineStr">
        <is>
          <t>OPR-A</t>
        </is>
      </c>
      <c r="F125" s="5" t="inlineStr">
        <is>
          <t>- Bagian breadcrumb selain yang terakhir dapat ditekan.
- Menekan Home mendarat di Home; menekan Station List mendarat di Station List.
- Bagian terakhir (nama layar sekarang) tidak dapat ditekan — itu benar.</t>
        </is>
      </c>
      <c r="G125" s="10" t="inlineStr">
        <is>
          <t>Rendah</t>
        </is>
      </c>
      <c r="H125" s="18" t="n"/>
      <c r="I125" s="18" t="n"/>
      <c r="J125" s="18" t="n"/>
      <c r="K125" s="18" t="n"/>
      <c r="L125" s="18" t="n"/>
    </row>
    <row r="126" ht="70" customHeight="1">
      <c r="A126" s="14" t="n">
        <v>122</v>
      </c>
      <c r="B126" s="16" t="inlineStr">
        <is>
          <t>MB-MON-06</t>
        </is>
      </c>
      <c r="C126" s="15" t="inlineStr">
        <is>
          <t>Breadcrumb dapat diklik, bukan label mati</t>
        </is>
      </c>
      <c r="D126" s="17" t="inlineStr">
        <is>
          <t>Cages Track</t>
        </is>
      </c>
      <c r="E126" s="15" t="inlineStr">
        <is>
          <t>OPR-A</t>
        </is>
      </c>
      <c r="F126" s="15" t="inlineStr">
        <is>
          <t>- Bagian breadcrumb selain yang terakhir dapat ditekan.
- Menekan Home mendarat di Home; menekan Station List mendarat di Station List.
- Bagian terakhir (nama layar sekarang) tidak dapat ditekan — itu benar.</t>
        </is>
      </c>
      <c r="G126" s="14" t="inlineStr">
        <is>
          <t>Rendah</t>
        </is>
      </c>
      <c r="H126" s="18" t="n"/>
      <c r="I126" s="18" t="n"/>
      <c r="J126" s="18" t="n"/>
      <c r="K126" s="18" t="n"/>
      <c r="L126" s="18" t="n"/>
    </row>
    <row r="127" ht="70" customHeight="1">
      <c r="A127" s="10" t="n">
        <v>123</v>
      </c>
      <c r="B127" s="11" t="inlineStr">
        <is>
          <t>MB-MON-06</t>
        </is>
      </c>
      <c r="C127" s="5" t="inlineStr">
        <is>
          <t>Breadcrumb dapat diklik, bukan label mati</t>
        </is>
      </c>
      <c r="D127" s="12" t="inlineStr">
        <is>
          <t>Sterilizer</t>
        </is>
      </c>
      <c r="E127" s="5" t="inlineStr">
        <is>
          <t>OPR-A</t>
        </is>
      </c>
      <c r="F127" s="5" t="inlineStr">
        <is>
          <t>- Bagian breadcrumb selain yang terakhir dapat ditekan.
- Menekan Home mendarat di Home; menekan Station List mendarat di Station List.
- Bagian terakhir (nama layar sekarang) tidak dapat ditekan — itu benar.</t>
        </is>
      </c>
      <c r="G127" s="10" t="inlineStr">
        <is>
          <t>Rendah</t>
        </is>
      </c>
      <c r="H127" s="18" t="n"/>
      <c r="I127" s="18" t="n"/>
      <c r="J127" s="18" t="n"/>
      <c r="K127" s="18" t="n"/>
      <c r="L127" s="18" t="n"/>
    </row>
    <row r="128" ht="70" customHeight="1">
      <c r="A128" s="14" t="n">
        <v>124</v>
      </c>
      <c r="B128" s="16" t="inlineStr">
        <is>
          <t>MB-MON-06</t>
        </is>
      </c>
      <c r="C128" s="15" t="inlineStr">
        <is>
          <t>Breadcrumb dapat diklik, bukan label mati</t>
        </is>
      </c>
      <c r="D128" s="17" t="inlineStr">
        <is>
          <t>Threshing</t>
        </is>
      </c>
      <c r="E128" s="15" t="inlineStr">
        <is>
          <t>OPR-A</t>
        </is>
      </c>
      <c r="F128" s="15" t="inlineStr">
        <is>
          <t>- Bagian breadcrumb selain yang terakhir dapat ditekan.
- Menekan Home mendarat di Home; menekan Station List mendarat di Station List.
- Bagian terakhir (nama layar sekarang) tidak dapat ditekan — itu benar.</t>
        </is>
      </c>
      <c r="G128" s="14" t="inlineStr">
        <is>
          <t>Rendah</t>
        </is>
      </c>
      <c r="H128" s="18" t="n"/>
      <c r="I128" s="18" t="n"/>
      <c r="J128" s="18" t="n"/>
      <c r="K128" s="18" t="n"/>
      <c r="L128" s="18" t="n"/>
    </row>
    <row r="129" ht="70" customHeight="1">
      <c r="A129" s="10" t="n">
        <v>125</v>
      </c>
      <c r="B129" s="11" t="inlineStr">
        <is>
          <t>MB-MON-06</t>
        </is>
      </c>
      <c r="C129" s="5" t="inlineStr">
        <is>
          <t>Breadcrumb dapat diklik, bukan label mati</t>
        </is>
      </c>
      <c r="D129" s="12" t="inlineStr">
        <is>
          <t>Pressing</t>
        </is>
      </c>
      <c r="E129" s="5" t="inlineStr">
        <is>
          <t>OPR-A</t>
        </is>
      </c>
      <c r="F129" s="5" t="inlineStr">
        <is>
          <t>- Bagian breadcrumb selain yang terakhir dapat ditekan.
- Menekan Home mendarat di Home; menekan Station List mendarat di Station List.
- Bagian terakhir (nama layar sekarang) tidak dapat ditekan — itu benar.</t>
        </is>
      </c>
      <c r="G129" s="10" t="inlineStr">
        <is>
          <t>Rendah</t>
        </is>
      </c>
      <c r="H129" s="18" t="n"/>
      <c r="I129" s="18" t="n"/>
      <c r="J129" s="18" t="n"/>
      <c r="K129" s="18" t="n"/>
      <c r="L129" s="18" t="n"/>
    </row>
    <row r="130" ht="70" customHeight="1">
      <c r="A130" s="14" t="n">
        <v>126</v>
      </c>
      <c r="B130" s="16" t="inlineStr">
        <is>
          <t>MB-MON-06</t>
        </is>
      </c>
      <c r="C130" s="15" t="inlineStr">
        <is>
          <t>Breadcrumb dapat diklik, bukan label mati</t>
        </is>
      </c>
      <c r="D130" s="17" t="inlineStr">
        <is>
          <t>Clarification</t>
        </is>
      </c>
      <c r="E130" s="15" t="inlineStr">
        <is>
          <t>OPR-A</t>
        </is>
      </c>
      <c r="F130" s="15" t="inlineStr">
        <is>
          <t>- Bagian breadcrumb selain yang terakhir dapat ditekan.
- Menekan Home mendarat di Home; menekan Station List mendarat di Station List.
- Bagian terakhir (nama layar sekarang) tidak dapat ditekan — itu benar.</t>
        </is>
      </c>
      <c r="G130" s="14" t="inlineStr">
        <is>
          <t>Rendah</t>
        </is>
      </c>
      <c r="H130" s="18" t="n"/>
      <c r="I130" s="18" t="n"/>
      <c r="J130" s="18" t="n"/>
      <c r="K130" s="18" t="n"/>
      <c r="L130" s="18" t="n"/>
    </row>
    <row r="131" ht="70" customHeight="1">
      <c r="A131" s="10" t="n">
        <v>127</v>
      </c>
      <c r="B131" s="11" t="inlineStr">
        <is>
          <t>MB-MON-06</t>
        </is>
      </c>
      <c r="C131" s="5" t="inlineStr">
        <is>
          <t>Breadcrumb dapat diklik, bukan label mati</t>
        </is>
      </c>
      <c r="D131" s="12" t="inlineStr">
        <is>
          <t>Kernel Plant</t>
        </is>
      </c>
      <c r="E131" s="5" t="inlineStr">
        <is>
          <t>OPR-A</t>
        </is>
      </c>
      <c r="F131" s="5" t="inlineStr">
        <is>
          <t>- Bagian breadcrumb selain yang terakhir dapat ditekan.
- Menekan Home mendarat di Home; menekan Station List mendarat di Station List.
- Bagian terakhir (nama layar sekarang) tidak dapat ditekan — itu benar.</t>
        </is>
      </c>
      <c r="G131" s="10" t="inlineStr">
        <is>
          <t>Rendah</t>
        </is>
      </c>
      <c r="H131" s="18" t="n"/>
      <c r="I131" s="18" t="n"/>
      <c r="J131" s="18" t="n"/>
      <c r="K131" s="18" t="n"/>
      <c r="L131" s="18" t="n"/>
    </row>
    <row r="132" ht="70" customHeight="1">
      <c r="A132" s="14" t="n">
        <v>128</v>
      </c>
      <c r="B132" s="16" t="inlineStr">
        <is>
          <t>MB-MON-06</t>
        </is>
      </c>
      <c r="C132" s="15" t="inlineStr">
        <is>
          <t>Breadcrumb dapat diklik, bukan label mati</t>
        </is>
      </c>
      <c r="D132" s="17" t="inlineStr">
        <is>
          <t>Boiler Room</t>
        </is>
      </c>
      <c r="E132" s="15" t="inlineStr">
        <is>
          <t>OPR-A</t>
        </is>
      </c>
      <c r="F132" s="15" t="inlineStr">
        <is>
          <t>- Bagian breadcrumb selain yang terakhir dapat ditekan.
- Menekan Home mendarat di Home; menekan Station List mendarat di Station List.
- Bagian terakhir (nama layar sekarang) tidak dapat ditekan — itu benar.</t>
        </is>
      </c>
      <c r="G132" s="14" t="inlineStr">
        <is>
          <t>Rendah</t>
        </is>
      </c>
      <c r="H132" s="18" t="n"/>
      <c r="I132" s="18" t="n"/>
      <c r="J132" s="18" t="n"/>
      <c r="K132" s="18" t="n"/>
      <c r="L132" s="18" t="n"/>
    </row>
    <row r="133" ht="70" customHeight="1">
      <c r="A133" s="10" t="n">
        <v>129</v>
      </c>
      <c r="B133" s="11" t="inlineStr">
        <is>
          <t>MB-MON-06</t>
        </is>
      </c>
      <c r="C133" s="5" t="inlineStr">
        <is>
          <t>Breadcrumb dapat diklik, bukan label mati</t>
        </is>
      </c>
      <c r="D133" s="12" t="inlineStr">
        <is>
          <t>Effluent Plant</t>
        </is>
      </c>
      <c r="E133" s="5" t="inlineStr">
        <is>
          <t>OPR-A</t>
        </is>
      </c>
      <c r="F133" s="5" t="inlineStr">
        <is>
          <t>- Bagian breadcrumb selain yang terakhir dapat ditekan.
- Menekan Home mendarat di Home; menekan Station List mendarat di Station List.
- Bagian terakhir (nama layar sekarang) tidak dapat ditekan — itu benar.</t>
        </is>
      </c>
      <c r="G133" s="10" t="inlineStr">
        <is>
          <t>Rendah</t>
        </is>
      </c>
      <c r="H133" s="18" t="n"/>
      <c r="I133" s="18" t="n"/>
      <c r="J133" s="18" t="n"/>
      <c r="K133" s="18" t="n"/>
      <c r="L133" s="18" t="n"/>
    </row>
    <row r="134" ht="70" customHeight="1">
      <c r="A134" s="14" t="n">
        <v>130</v>
      </c>
      <c r="B134" s="16" t="inlineStr">
        <is>
          <t>MB-MON-06</t>
        </is>
      </c>
      <c r="C134" s="15" t="inlineStr">
        <is>
          <t>Breadcrumb dapat diklik, bukan label mati</t>
        </is>
      </c>
      <c r="D134" s="17" t="inlineStr">
        <is>
          <t>Depricarping</t>
        </is>
      </c>
      <c r="E134" s="15" t="inlineStr">
        <is>
          <t>OPR-A</t>
        </is>
      </c>
      <c r="F134" s="15" t="inlineStr">
        <is>
          <t>- Bagian breadcrumb selain yang terakhir dapat ditekan.
- Menekan Home mendarat di Home; menekan Station List mendarat di Station List.
- Bagian terakhir (nama layar sekarang) tidak dapat ditekan — itu benar.</t>
        </is>
      </c>
      <c r="G134" s="14" t="inlineStr">
        <is>
          <t>Rendah</t>
        </is>
      </c>
      <c r="H134" s="18" t="n"/>
      <c r="I134" s="18" t="n"/>
      <c r="J134" s="18" t="n"/>
      <c r="K134" s="18" t="n"/>
      <c r="L134" s="18" t="n"/>
    </row>
    <row r="135" ht="70" customHeight="1">
      <c r="A135" s="10" t="n">
        <v>131</v>
      </c>
      <c r="B135" s="11" t="inlineStr">
        <is>
          <t>MB-MON-06</t>
        </is>
      </c>
      <c r="C135" s="5" t="inlineStr">
        <is>
          <t>Breadcrumb dapat diklik, bukan label mati</t>
        </is>
      </c>
      <c r="D135" s="12" t="inlineStr">
        <is>
          <t>Engine Room</t>
        </is>
      </c>
      <c r="E135" s="5" t="inlineStr">
        <is>
          <t>OPR-A</t>
        </is>
      </c>
      <c r="F135" s="5" t="inlineStr">
        <is>
          <t>- Bagian breadcrumb selain yang terakhir dapat ditekan.
- Menekan Home mendarat di Home; menekan Station List mendarat di Station List.
- Bagian terakhir (nama layar sekarang) tidak dapat ditekan — itu benar.</t>
        </is>
      </c>
      <c r="G135" s="10" t="inlineStr">
        <is>
          <t>Rendah</t>
        </is>
      </c>
      <c r="H135" s="18" t="n"/>
      <c r="I135" s="18" t="n"/>
      <c r="J135" s="18" t="n"/>
      <c r="K135" s="18" t="n"/>
      <c r="L135" s="18" t="n"/>
    </row>
    <row r="136" ht="70" customHeight="1">
      <c r="A136" s="14" t="n">
        <v>132</v>
      </c>
      <c r="B136" s="16" t="inlineStr">
        <is>
          <t>MB-MON-06</t>
        </is>
      </c>
      <c r="C136" s="15" t="inlineStr">
        <is>
          <t>Breadcrumb dapat diklik, bukan label mati</t>
        </is>
      </c>
      <c r="D136" s="17" t="inlineStr">
        <is>
          <t>Process Water</t>
        </is>
      </c>
      <c r="E136" s="15" t="inlineStr">
        <is>
          <t>OPR-A</t>
        </is>
      </c>
      <c r="F136" s="15" t="inlineStr">
        <is>
          <t>- Bagian breadcrumb selain yang terakhir dapat ditekan.
- Menekan Home mendarat di Home; menekan Station List mendarat di Station List.
- Bagian terakhir (nama layar sekarang) tidak dapat ditekan — itu benar.</t>
        </is>
      </c>
      <c r="G136" s="14" t="inlineStr">
        <is>
          <t>Rendah</t>
        </is>
      </c>
      <c r="H136" s="18" t="n"/>
      <c r="I136" s="18" t="n"/>
      <c r="J136" s="18" t="n"/>
      <c r="K136" s="18" t="n"/>
      <c r="L136" s="18" t="n"/>
    </row>
    <row r="137" ht="70" customHeight="1">
      <c r="A137" s="10" t="n">
        <v>133</v>
      </c>
      <c r="B137" s="11" t="inlineStr">
        <is>
          <t>MB-MON-06</t>
        </is>
      </c>
      <c r="C137" s="5" t="inlineStr">
        <is>
          <t>Breadcrumb dapat diklik, bukan label mati</t>
        </is>
      </c>
      <c r="D137" s="12" t="inlineStr">
        <is>
          <t>Storage Tank</t>
        </is>
      </c>
      <c r="E137" s="5" t="inlineStr">
        <is>
          <t>OPR-A</t>
        </is>
      </c>
      <c r="F137" s="5" t="inlineStr">
        <is>
          <t>- Bagian breadcrumb selain yang terakhir dapat ditekan.
- Menekan Home mendarat di Home; menekan Station List mendarat di Station List.
- Bagian terakhir (nama layar sekarang) tidak dapat ditekan — itu benar.</t>
        </is>
      </c>
      <c r="G137" s="10" t="inlineStr">
        <is>
          <t>Rendah</t>
        </is>
      </c>
      <c r="H137" s="18" t="n"/>
      <c r="I137" s="18" t="n"/>
      <c r="J137" s="18" t="n"/>
      <c r="K137" s="18" t="n"/>
      <c r="L137" s="18" t="n"/>
    </row>
    <row r="138" ht="70" customHeight="1">
      <c r="A138" s="14" t="n">
        <v>134</v>
      </c>
      <c r="B138" s="16" t="inlineStr">
        <is>
          <t>MB-MON-06</t>
        </is>
      </c>
      <c r="C138" s="15" t="inlineStr">
        <is>
          <t>Breadcrumb dapat diklik, bukan label mati</t>
        </is>
      </c>
      <c r="D138" s="17" t="inlineStr">
        <is>
          <t>Solid Waste Disposal</t>
        </is>
      </c>
      <c r="E138" s="15" t="inlineStr">
        <is>
          <t>OPR-A</t>
        </is>
      </c>
      <c r="F138" s="15" t="inlineStr">
        <is>
          <t>- Bagian breadcrumb selain yang terakhir dapat ditekan.
- Menekan Home mendarat di Home; menekan Station List mendarat di Station List.
- Bagian terakhir (nama layar sekarang) tidak dapat ditekan — itu benar.</t>
        </is>
      </c>
      <c r="G138" s="14" t="inlineStr">
        <is>
          <t>Rendah</t>
        </is>
      </c>
      <c r="H138" s="18" t="n"/>
      <c r="I138" s="18" t="n"/>
      <c r="J138" s="18" t="n"/>
      <c r="K138" s="18" t="n"/>
      <c r="L138" s="18" t="n"/>
    </row>
    <row r="139" ht="70" customHeight="1">
      <c r="A139" s="10" t="n">
        <v>135</v>
      </c>
      <c r="B139" s="11" t="inlineStr">
        <is>
          <t>MB-MON-06</t>
        </is>
      </c>
      <c r="C139" s="5" t="inlineStr">
        <is>
          <t>Breadcrumb dapat diklik, bukan label mati</t>
        </is>
      </c>
      <c r="D139" s="12" t="inlineStr">
        <is>
          <t>Kernel Dispatch</t>
        </is>
      </c>
      <c r="E139" s="5" t="inlineStr">
        <is>
          <t>OPR-A</t>
        </is>
      </c>
      <c r="F139" s="5" t="inlineStr">
        <is>
          <t>- Bagian breadcrumb selain yang terakhir dapat ditekan.
- Menekan Home mendarat di Home; menekan Station List mendarat di Station List.
- Bagian terakhir (nama layar sekarang) tidak dapat ditekan — itu benar.</t>
        </is>
      </c>
      <c r="G139" s="10" t="inlineStr">
        <is>
          <t>Rendah</t>
        </is>
      </c>
      <c r="H139" s="18" t="n"/>
      <c r="I139" s="18" t="n"/>
      <c r="J139" s="18" t="n"/>
      <c r="K139" s="18" t="n"/>
      <c r="L139" s="18" t="n"/>
    </row>
    <row r="140" ht="70" customHeight="1">
      <c r="A140" s="14" t="n">
        <v>136</v>
      </c>
      <c r="B140" s="16" t="inlineStr">
        <is>
          <t>MB-MON-06</t>
        </is>
      </c>
      <c r="C140" s="15" t="inlineStr">
        <is>
          <t>Breadcrumb dapat diklik, bukan label mati</t>
        </is>
      </c>
      <c r="D140" s="17" t="inlineStr">
        <is>
          <t>CPO Dispatch</t>
        </is>
      </c>
      <c r="E140" s="15" t="inlineStr">
        <is>
          <t>OPR-A</t>
        </is>
      </c>
      <c r="F140" s="15" t="inlineStr">
        <is>
          <t>- Bagian breadcrumb selain yang terakhir dapat ditekan.
- Menekan Home mendarat di Home; menekan Station List mendarat di Station List.
- Bagian terakhir (nama layar sekarang) tidak dapat ditekan — itu benar.</t>
        </is>
      </c>
      <c r="G140" s="14" t="inlineStr">
        <is>
          <t>Rendah</t>
        </is>
      </c>
      <c r="H140" s="18" t="n"/>
      <c r="I140" s="18" t="n"/>
      <c r="J140" s="18" t="n"/>
      <c r="K140" s="18" t="n"/>
      <c r="L140" s="18" t="n"/>
    </row>
    <row r="141" ht="70" customHeight="1">
      <c r="A141" s="10" t="n">
        <v>137</v>
      </c>
      <c r="B141" s="11" t="inlineStr">
        <is>
          <t>MB-MON-06</t>
        </is>
      </c>
      <c r="C141" s="5" t="inlineStr">
        <is>
          <t>Breadcrumb dapat diklik, bukan label mati</t>
        </is>
      </c>
      <c r="D141" s="12" t="inlineStr">
        <is>
          <t>Process Quality Control</t>
        </is>
      </c>
      <c r="E141" s="5" t="inlineStr">
        <is>
          <t>OPR-A</t>
        </is>
      </c>
      <c r="F141" s="5" t="inlineStr">
        <is>
          <t>- Bagian breadcrumb selain yang terakhir dapat ditekan.
- Menekan Home mendarat di Home; menekan Station List mendarat di Station List.
- Bagian terakhir (nama layar sekarang) tidak dapat ditekan — itu benar.</t>
        </is>
      </c>
      <c r="G141" s="10" t="inlineStr">
        <is>
          <t>Rendah</t>
        </is>
      </c>
      <c r="H141" s="18" t="n"/>
      <c r="I141" s="18" t="n"/>
      <c r="J141" s="18" t="n"/>
      <c r="K141" s="18" t="n"/>
      <c r="L141" s="18" t="n"/>
    </row>
    <row r="142" ht="56.8" customHeight="1">
      <c r="A142" s="14" t="n">
        <v>138</v>
      </c>
      <c r="B142" s="16" t="inlineStr">
        <is>
          <t>MB-MON-07</t>
        </is>
      </c>
      <c r="C142" s="15" t="inlineStr">
        <is>
          <t>Load Data membuka Data Preview stasiun itu</t>
        </is>
      </c>
      <c r="D142" s="17" t="inlineStr">
        <is>
          <t>Weighbridge</t>
        </is>
      </c>
      <c r="E142" s="15" t="inlineStr">
        <is>
          <t>OPR-A</t>
        </is>
      </c>
      <c r="F142" s="15" t="inlineStr">
        <is>
          <t>- Terbuka Data Preview stasiun itu (/stations/&lt;stasiun&gt;/preview).
- Daftarnya hanya memuat record stasiun tersebut — tidak tercampur stasiun lain.</t>
        </is>
      </c>
      <c r="G142" s="14" t="inlineStr">
        <is>
          <t>Sedang</t>
        </is>
      </c>
      <c r="H142" s="18" t="n"/>
      <c r="I142" s="18" t="n"/>
      <c r="J142" s="18" t="n"/>
      <c r="K142" s="18" t="n"/>
      <c r="L142" s="18" t="n"/>
    </row>
    <row r="143" ht="56.8" customHeight="1">
      <c r="A143" s="10" t="n">
        <v>139</v>
      </c>
      <c r="B143" s="11" t="inlineStr">
        <is>
          <t>MB-MON-07</t>
        </is>
      </c>
      <c r="C143" s="5" t="inlineStr">
        <is>
          <t>Load Data membuka Data Preview stasiun itu</t>
        </is>
      </c>
      <c r="D143" s="12" t="inlineStr">
        <is>
          <t>Grading</t>
        </is>
      </c>
      <c r="E143" s="5" t="inlineStr">
        <is>
          <t>OPR-A</t>
        </is>
      </c>
      <c r="F143" s="5" t="inlineStr">
        <is>
          <t>- Terbuka Data Preview stasiun itu (/stations/&lt;stasiun&gt;/preview).
- Daftarnya hanya memuat record stasiun tersebut — tidak tercampur stasiun lain.</t>
        </is>
      </c>
      <c r="G143" s="10" t="inlineStr">
        <is>
          <t>Sedang</t>
        </is>
      </c>
      <c r="H143" s="18" t="n"/>
      <c r="I143" s="18" t="n"/>
      <c r="J143" s="18" t="n"/>
      <c r="K143" s="18" t="n"/>
      <c r="L143" s="18" t="n"/>
    </row>
    <row r="144" ht="56.8" customHeight="1">
      <c r="A144" s="14" t="n">
        <v>140</v>
      </c>
      <c r="B144" s="16" t="inlineStr">
        <is>
          <t>MB-MON-07</t>
        </is>
      </c>
      <c r="C144" s="15" t="inlineStr">
        <is>
          <t>Load Data membuka Data Preview stasiun itu</t>
        </is>
      </c>
      <c r="D144" s="17" t="inlineStr">
        <is>
          <t>Cages Track</t>
        </is>
      </c>
      <c r="E144" s="15" t="inlineStr">
        <is>
          <t>OPR-A</t>
        </is>
      </c>
      <c r="F144" s="15" t="inlineStr">
        <is>
          <t>- Terbuka Data Preview stasiun itu (/stations/&lt;stasiun&gt;/preview).
- Daftarnya hanya memuat record stasiun tersebut — tidak tercampur stasiun lain.</t>
        </is>
      </c>
      <c r="G144" s="14" t="inlineStr">
        <is>
          <t>Sedang</t>
        </is>
      </c>
      <c r="H144" s="18" t="n"/>
      <c r="I144" s="18" t="n"/>
      <c r="J144" s="18" t="n"/>
      <c r="K144" s="18" t="n"/>
      <c r="L144" s="18" t="n"/>
    </row>
    <row r="145" ht="56.8" customHeight="1">
      <c r="A145" s="10" t="n">
        <v>141</v>
      </c>
      <c r="B145" s="11" t="inlineStr">
        <is>
          <t>MB-MON-07</t>
        </is>
      </c>
      <c r="C145" s="5" t="inlineStr">
        <is>
          <t>Load Data membuka Data Preview stasiun itu</t>
        </is>
      </c>
      <c r="D145" s="12" t="inlineStr">
        <is>
          <t>Sterilizer</t>
        </is>
      </c>
      <c r="E145" s="5" t="inlineStr">
        <is>
          <t>OPR-A</t>
        </is>
      </c>
      <c r="F145" s="5" t="inlineStr">
        <is>
          <t>- Terbuka Data Preview stasiun itu (/stations/&lt;stasiun&gt;/preview).
- Daftarnya hanya memuat record stasiun tersebut — tidak tercampur stasiun lain.</t>
        </is>
      </c>
      <c r="G145" s="10" t="inlineStr">
        <is>
          <t>Sedang</t>
        </is>
      </c>
      <c r="H145" s="18" t="n"/>
      <c r="I145" s="18" t="n"/>
      <c r="J145" s="18" t="n"/>
      <c r="K145" s="18" t="n"/>
      <c r="L145" s="18" t="n"/>
    </row>
    <row r="146" ht="56.8" customHeight="1">
      <c r="A146" s="14" t="n">
        <v>142</v>
      </c>
      <c r="B146" s="16" t="inlineStr">
        <is>
          <t>MB-MON-07</t>
        </is>
      </c>
      <c r="C146" s="15" t="inlineStr">
        <is>
          <t>Load Data membuka Data Preview stasiun itu</t>
        </is>
      </c>
      <c r="D146" s="17" t="inlineStr">
        <is>
          <t>Threshing</t>
        </is>
      </c>
      <c r="E146" s="15" t="inlineStr">
        <is>
          <t>OPR-A</t>
        </is>
      </c>
      <c r="F146" s="15" t="inlineStr">
        <is>
          <t>- Terbuka Data Preview stasiun itu (/stations/&lt;stasiun&gt;/preview).
- Daftarnya hanya memuat record stasiun tersebut — tidak tercampur stasiun lain.</t>
        </is>
      </c>
      <c r="G146" s="14" t="inlineStr">
        <is>
          <t>Sedang</t>
        </is>
      </c>
      <c r="H146" s="18" t="n"/>
      <c r="I146" s="18" t="n"/>
      <c r="J146" s="18" t="n"/>
      <c r="K146" s="18" t="n"/>
      <c r="L146" s="18" t="n"/>
    </row>
    <row r="147" ht="56.8" customHeight="1">
      <c r="A147" s="10" t="n">
        <v>143</v>
      </c>
      <c r="B147" s="11" t="inlineStr">
        <is>
          <t>MB-MON-07</t>
        </is>
      </c>
      <c r="C147" s="5" t="inlineStr">
        <is>
          <t>Load Data membuka Data Preview stasiun itu</t>
        </is>
      </c>
      <c r="D147" s="12" t="inlineStr">
        <is>
          <t>Pressing</t>
        </is>
      </c>
      <c r="E147" s="5" t="inlineStr">
        <is>
          <t>OPR-A</t>
        </is>
      </c>
      <c r="F147" s="5" t="inlineStr">
        <is>
          <t>- Terbuka Data Preview stasiun itu (/stations/&lt;stasiun&gt;/preview).
- Daftarnya hanya memuat record stasiun tersebut — tidak tercampur stasiun lain.</t>
        </is>
      </c>
      <c r="G147" s="10" t="inlineStr">
        <is>
          <t>Sedang</t>
        </is>
      </c>
      <c r="H147" s="18" t="n"/>
      <c r="I147" s="18" t="n"/>
      <c r="J147" s="18" t="n"/>
      <c r="K147" s="18" t="n"/>
      <c r="L147" s="18" t="n"/>
    </row>
    <row r="148" ht="56.8" customHeight="1">
      <c r="A148" s="14" t="n">
        <v>144</v>
      </c>
      <c r="B148" s="16" t="inlineStr">
        <is>
          <t>MB-MON-07</t>
        </is>
      </c>
      <c r="C148" s="15" t="inlineStr">
        <is>
          <t>Load Data membuka Data Preview stasiun itu</t>
        </is>
      </c>
      <c r="D148" s="17" t="inlineStr">
        <is>
          <t>Clarification</t>
        </is>
      </c>
      <c r="E148" s="15" t="inlineStr">
        <is>
          <t>OPR-A</t>
        </is>
      </c>
      <c r="F148" s="15" t="inlineStr">
        <is>
          <t>- Terbuka Data Preview stasiun itu (/stations/&lt;stasiun&gt;/preview).
- Daftarnya hanya memuat record stasiun tersebut — tidak tercampur stasiun lain.</t>
        </is>
      </c>
      <c r="G148" s="14" t="inlineStr">
        <is>
          <t>Sedang</t>
        </is>
      </c>
      <c r="H148" s="18" t="n"/>
      <c r="I148" s="18" t="n"/>
      <c r="J148" s="18" t="n"/>
      <c r="K148" s="18" t="n"/>
      <c r="L148" s="18" t="n"/>
    </row>
    <row r="149" ht="56.8" customHeight="1">
      <c r="A149" s="10" t="n">
        <v>145</v>
      </c>
      <c r="B149" s="11" t="inlineStr">
        <is>
          <t>MB-MON-07</t>
        </is>
      </c>
      <c r="C149" s="5" t="inlineStr">
        <is>
          <t>Load Data membuka Data Preview stasiun itu</t>
        </is>
      </c>
      <c r="D149" s="12" t="inlineStr">
        <is>
          <t>Kernel Plant</t>
        </is>
      </c>
      <c r="E149" s="5" t="inlineStr">
        <is>
          <t>OPR-A</t>
        </is>
      </c>
      <c r="F149" s="5" t="inlineStr">
        <is>
          <t>- Terbuka Data Preview stasiun itu (/stations/&lt;stasiun&gt;/preview).
- Daftarnya hanya memuat record stasiun tersebut — tidak tercampur stasiun lain.</t>
        </is>
      </c>
      <c r="G149" s="10" t="inlineStr">
        <is>
          <t>Sedang</t>
        </is>
      </c>
      <c r="H149" s="18" t="n"/>
      <c r="I149" s="18" t="n"/>
      <c r="J149" s="18" t="n"/>
      <c r="K149" s="18" t="n"/>
      <c r="L149" s="18" t="n"/>
    </row>
    <row r="150" ht="56.8" customHeight="1">
      <c r="A150" s="14" t="n">
        <v>146</v>
      </c>
      <c r="B150" s="16" t="inlineStr">
        <is>
          <t>MB-MON-07</t>
        </is>
      </c>
      <c r="C150" s="15" t="inlineStr">
        <is>
          <t>Load Data membuka Data Preview stasiun itu</t>
        </is>
      </c>
      <c r="D150" s="17" t="inlineStr">
        <is>
          <t>Boiler Room</t>
        </is>
      </c>
      <c r="E150" s="15" t="inlineStr">
        <is>
          <t>OPR-A</t>
        </is>
      </c>
      <c r="F150" s="15" t="inlineStr">
        <is>
          <t>- Terbuka Data Preview stasiun itu (/stations/&lt;stasiun&gt;/preview).
- Daftarnya hanya memuat record stasiun tersebut — tidak tercampur stasiun lain.</t>
        </is>
      </c>
      <c r="G150" s="14" t="inlineStr">
        <is>
          <t>Sedang</t>
        </is>
      </c>
      <c r="H150" s="18" t="n"/>
      <c r="I150" s="18" t="n"/>
      <c r="J150" s="18" t="n"/>
      <c r="K150" s="18" t="n"/>
      <c r="L150" s="18" t="n"/>
    </row>
    <row r="151" ht="56.8" customHeight="1">
      <c r="A151" s="10" t="n">
        <v>147</v>
      </c>
      <c r="B151" s="11" t="inlineStr">
        <is>
          <t>MB-MON-07</t>
        </is>
      </c>
      <c r="C151" s="5" t="inlineStr">
        <is>
          <t>Load Data membuka Data Preview stasiun itu</t>
        </is>
      </c>
      <c r="D151" s="12" t="inlineStr">
        <is>
          <t>Effluent Plant</t>
        </is>
      </c>
      <c r="E151" s="5" t="inlineStr">
        <is>
          <t>OPR-A</t>
        </is>
      </c>
      <c r="F151" s="5" t="inlineStr">
        <is>
          <t>- Terbuka Data Preview stasiun itu (/stations/&lt;stasiun&gt;/preview).
- Daftarnya hanya memuat record stasiun tersebut — tidak tercampur stasiun lain.</t>
        </is>
      </c>
      <c r="G151" s="10" t="inlineStr">
        <is>
          <t>Sedang</t>
        </is>
      </c>
      <c r="H151" s="18" t="n"/>
      <c r="I151" s="18" t="n"/>
      <c r="J151" s="18" t="n"/>
      <c r="K151" s="18" t="n"/>
      <c r="L151" s="18" t="n"/>
    </row>
    <row r="152" ht="56.8" customHeight="1">
      <c r="A152" s="14" t="n">
        <v>148</v>
      </c>
      <c r="B152" s="16" t="inlineStr">
        <is>
          <t>MB-MON-07</t>
        </is>
      </c>
      <c r="C152" s="15" t="inlineStr">
        <is>
          <t>Load Data membuka Data Preview stasiun itu</t>
        </is>
      </c>
      <c r="D152" s="17" t="inlineStr">
        <is>
          <t>Depricarping</t>
        </is>
      </c>
      <c r="E152" s="15" t="inlineStr">
        <is>
          <t>OPR-A</t>
        </is>
      </c>
      <c r="F152" s="15" t="inlineStr">
        <is>
          <t>- Terbuka Data Preview stasiun itu (/stations/&lt;stasiun&gt;/preview).
- Daftarnya hanya memuat record stasiun tersebut — tidak tercampur stasiun lain.</t>
        </is>
      </c>
      <c r="G152" s="14" t="inlineStr">
        <is>
          <t>Sedang</t>
        </is>
      </c>
      <c r="H152" s="18" t="n"/>
      <c r="I152" s="18" t="n"/>
      <c r="J152" s="18" t="n"/>
      <c r="K152" s="18" t="n"/>
      <c r="L152" s="18" t="n"/>
    </row>
    <row r="153" ht="56.8" customHeight="1">
      <c r="A153" s="10" t="n">
        <v>149</v>
      </c>
      <c r="B153" s="11" t="inlineStr">
        <is>
          <t>MB-MON-07</t>
        </is>
      </c>
      <c r="C153" s="5" t="inlineStr">
        <is>
          <t>Load Data membuka Data Preview stasiun itu</t>
        </is>
      </c>
      <c r="D153" s="12" t="inlineStr">
        <is>
          <t>Engine Room</t>
        </is>
      </c>
      <c r="E153" s="5" t="inlineStr">
        <is>
          <t>OPR-A</t>
        </is>
      </c>
      <c r="F153" s="5" t="inlineStr">
        <is>
          <t>- Terbuka Data Preview stasiun itu (/stations/&lt;stasiun&gt;/preview).
- Daftarnya hanya memuat record stasiun tersebut — tidak tercampur stasiun lain.</t>
        </is>
      </c>
      <c r="G153" s="10" t="inlineStr">
        <is>
          <t>Sedang</t>
        </is>
      </c>
      <c r="H153" s="18" t="n"/>
      <c r="I153" s="18" t="n"/>
      <c r="J153" s="18" t="n"/>
      <c r="K153" s="18" t="n"/>
      <c r="L153" s="18" t="n"/>
    </row>
    <row r="154" ht="56.8" customHeight="1">
      <c r="A154" s="14" t="n">
        <v>150</v>
      </c>
      <c r="B154" s="16" t="inlineStr">
        <is>
          <t>MB-MON-07</t>
        </is>
      </c>
      <c r="C154" s="15" t="inlineStr">
        <is>
          <t>Load Data membuka Data Preview stasiun itu</t>
        </is>
      </c>
      <c r="D154" s="17" t="inlineStr">
        <is>
          <t>Process Water</t>
        </is>
      </c>
      <c r="E154" s="15" t="inlineStr">
        <is>
          <t>OPR-A</t>
        </is>
      </c>
      <c r="F154" s="15" t="inlineStr">
        <is>
          <t>- Terbuka Data Preview stasiun itu (/stations/&lt;stasiun&gt;/preview).
- Daftarnya hanya memuat record stasiun tersebut — tidak tercampur stasiun lain.</t>
        </is>
      </c>
      <c r="G154" s="14" t="inlineStr">
        <is>
          <t>Sedang</t>
        </is>
      </c>
      <c r="H154" s="18" t="n"/>
      <c r="I154" s="18" t="n"/>
      <c r="J154" s="18" t="n"/>
      <c r="K154" s="18" t="n"/>
      <c r="L154" s="18" t="n"/>
    </row>
    <row r="155" ht="56.8" customHeight="1">
      <c r="A155" s="10" t="n">
        <v>151</v>
      </c>
      <c r="B155" s="11" t="inlineStr">
        <is>
          <t>MB-MON-07</t>
        </is>
      </c>
      <c r="C155" s="5" t="inlineStr">
        <is>
          <t>Load Data membuka Data Preview stasiun itu</t>
        </is>
      </c>
      <c r="D155" s="12" t="inlineStr">
        <is>
          <t>Storage Tank</t>
        </is>
      </c>
      <c r="E155" s="5" t="inlineStr">
        <is>
          <t>OPR-A</t>
        </is>
      </c>
      <c r="F155" s="5" t="inlineStr">
        <is>
          <t>- Terbuka Data Preview stasiun itu (/stations/&lt;stasiun&gt;/preview).
- Daftarnya hanya memuat record stasiun tersebut — tidak tercampur stasiun lain.</t>
        </is>
      </c>
      <c r="G155" s="10" t="inlineStr">
        <is>
          <t>Sedang</t>
        </is>
      </c>
      <c r="H155" s="18" t="n"/>
      <c r="I155" s="18" t="n"/>
      <c r="J155" s="18" t="n"/>
      <c r="K155" s="18" t="n"/>
      <c r="L155" s="18" t="n"/>
    </row>
    <row r="156" ht="56.8" customHeight="1">
      <c r="A156" s="14" t="n">
        <v>152</v>
      </c>
      <c r="B156" s="16" t="inlineStr">
        <is>
          <t>MB-MON-07</t>
        </is>
      </c>
      <c r="C156" s="15" t="inlineStr">
        <is>
          <t>Load Data membuka Data Preview stasiun itu</t>
        </is>
      </c>
      <c r="D156" s="17" t="inlineStr">
        <is>
          <t>Solid Waste Disposal</t>
        </is>
      </c>
      <c r="E156" s="15" t="inlineStr">
        <is>
          <t>OPR-A</t>
        </is>
      </c>
      <c r="F156" s="15" t="inlineStr">
        <is>
          <t>- Terbuka Data Preview stasiun itu (/stations/&lt;stasiun&gt;/preview).
- Daftarnya hanya memuat record stasiun tersebut — tidak tercampur stasiun lain.</t>
        </is>
      </c>
      <c r="G156" s="14" t="inlineStr">
        <is>
          <t>Sedang</t>
        </is>
      </c>
      <c r="H156" s="18" t="n"/>
      <c r="I156" s="18" t="n"/>
      <c r="J156" s="18" t="n"/>
      <c r="K156" s="18" t="n"/>
      <c r="L156" s="18" t="n"/>
    </row>
    <row r="157" ht="56.8" customHeight="1">
      <c r="A157" s="10" t="n">
        <v>153</v>
      </c>
      <c r="B157" s="11" t="inlineStr">
        <is>
          <t>MB-MON-07</t>
        </is>
      </c>
      <c r="C157" s="5" t="inlineStr">
        <is>
          <t>Load Data membuka Data Preview stasiun itu</t>
        </is>
      </c>
      <c r="D157" s="12" t="inlineStr">
        <is>
          <t>Kernel Dispatch</t>
        </is>
      </c>
      <c r="E157" s="5" t="inlineStr">
        <is>
          <t>OPR-A</t>
        </is>
      </c>
      <c r="F157" s="5" t="inlineStr">
        <is>
          <t>- Terbuka Data Preview stasiun itu (/stations/&lt;stasiun&gt;/preview).
- Daftarnya hanya memuat record stasiun tersebut — tidak tercampur stasiun lain.</t>
        </is>
      </c>
      <c r="G157" s="10" t="inlineStr">
        <is>
          <t>Sedang</t>
        </is>
      </c>
      <c r="H157" s="18" t="n"/>
      <c r="I157" s="18" t="n"/>
      <c r="J157" s="18" t="n"/>
      <c r="K157" s="18" t="n"/>
      <c r="L157" s="18" t="n"/>
    </row>
    <row r="158" ht="56.8" customHeight="1">
      <c r="A158" s="14" t="n">
        <v>154</v>
      </c>
      <c r="B158" s="16" t="inlineStr">
        <is>
          <t>MB-MON-07</t>
        </is>
      </c>
      <c r="C158" s="15" t="inlineStr">
        <is>
          <t>Load Data membuka Data Preview stasiun itu</t>
        </is>
      </c>
      <c r="D158" s="17" t="inlineStr">
        <is>
          <t>CPO Dispatch</t>
        </is>
      </c>
      <c r="E158" s="15" t="inlineStr">
        <is>
          <t>OPR-A</t>
        </is>
      </c>
      <c r="F158" s="15" t="inlineStr">
        <is>
          <t>- Terbuka Data Preview stasiun itu (/stations/&lt;stasiun&gt;/preview).
- Daftarnya hanya memuat record stasiun tersebut — tidak tercampur stasiun lain.</t>
        </is>
      </c>
      <c r="G158" s="14" t="inlineStr">
        <is>
          <t>Sedang</t>
        </is>
      </c>
      <c r="H158" s="18" t="n"/>
      <c r="I158" s="18" t="n"/>
      <c r="J158" s="18" t="n"/>
      <c r="K158" s="18" t="n"/>
      <c r="L158" s="18" t="n"/>
    </row>
    <row r="159" ht="56.8" customHeight="1">
      <c r="A159" s="10" t="n">
        <v>155</v>
      </c>
      <c r="B159" s="11" t="inlineStr">
        <is>
          <t>MB-MON-07</t>
        </is>
      </c>
      <c r="C159" s="5" t="inlineStr">
        <is>
          <t>Load Data membuka Data Preview stasiun itu</t>
        </is>
      </c>
      <c r="D159" s="12" t="inlineStr">
        <is>
          <t>Process Quality Control</t>
        </is>
      </c>
      <c r="E159" s="5" t="inlineStr">
        <is>
          <t>OPR-A</t>
        </is>
      </c>
      <c r="F159" s="5" t="inlineStr">
        <is>
          <t>- Terbuka Data Preview stasiun itu (/stations/&lt;stasiun&gt;/preview).
- Daftarnya hanya memuat record stasiun tersebut — tidak tercampur stasiun lain.</t>
        </is>
      </c>
      <c r="G159" s="10" t="inlineStr">
        <is>
          <t>Sedang</t>
        </is>
      </c>
      <c r="H159" s="18" t="n"/>
      <c r="I159" s="18" t="n"/>
      <c r="J159" s="18" t="n"/>
      <c r="K159" s="18" t="n"/>
      <c r="L159" s="18" t="n"/>
    </row>
    <row r="160" ht="83.19999999999999" customHeight="1">
      <c r="A160" s="14" t="n">
        <v>156</v>
      </c>
      <c r="B160" s="16" t="inlineStr">
        <is>
          <t>MB-FORM-01</t>
        </is>
      </c>
      <c r="C160" s="15" t="inlineStr">
        <is>
          <t>Simpan berhasil dengan satu baris terisi</t>
        </is>
      </c>
      <c r="D160" s="17" t="inlineStr">
        <is>
          <t>Weighbridge</t>
        </is>
      </c>
      <c r="E160" s="15" t="inlineStr">
        <is>
          <t>OPR-A</t>
        </is>
      </c>
      <c r="F160" s="15" t="inlineStr">
        <is>
          <t>- Simpan berhasil, dengan pesan konfirmasi.
- Layar kembali ke Monitor (atau ke daftar), bukan tetap di Form.
- Record muncul di Data Preview dengan status Tersimpan.
- Satu baris terisi sudah cukup — tidak dipaksa mengisi 24 slot.</t>
        </is>
      </c>
      <c r="G160" s="13" t="inlineStr">
        <is>
          <t>Tinggi</t>
        </is>
      </c>
      <c r="H160" s="18" t="n"/>
      <c r="I160" s="18" t="n"/>
      <c r="J160" s="18" t="n"/>
      <c r="K160" s="18" t="n"/>
      <c r="L160" s="18" t="n"/>
    </row>
    <row r="161" ht="83.19999999999999" customHeight="1">
      <c r="A161" s="10" t="n">
        <v>157</v>
      </c>
      <c r="B161" s="11" t="inlineStr">
        <is>
          <t>MB-FORM-01</t>
        </is>
      </c>
      <c r="C161" s="5" t="inlineStr">
        <is>
          <t>Simpan berhasil dengan satu baris terisi</t>
        </is>
      </c>
      <c r="D161" s="12" t="inlineStr">
        <is>
          <t>Grading</t>
        </is>
      </c>
      <c r="E161" s="5" t="inlineStr">
        <is>
          <t>OPR-A</t>
        </is>
      </c>
      <c r="F161" s="5" t="inlineStr">
        <is>
          <t>- Simpan berhasil, dengan pesan konfirmasi.
- Layar kembali ke Monitor (atau ke daftar), bukan tetap di Form.
- Record muncul di Data Preview dengan status Tersimpan.
- Satu baris terisi sudah cukup — tidak dipaksa mengisi 24 slot.</t>
        </is>
      </c>
      <c r="G161" s="13" t="inlineStr">
        <is>
          <t>Tinggi</t>
        </is>
      </c>
      <c r="H161" s="18" t="n"/>
      <c r="I161" s="18" t="n"/>
      <c r="J161" s="18" t="n"/>
      <c r="K161" s="18" t="n"/>
      <c r="L161" s="18" t="n"/>
    </row>
    <row r="162" ht="83.19999999999999" customHeight="1">
      <c r="A162" s="14" t="n">
        <v>158</v>
      </c>
      <c r="B162" s="16" t="inlineStr">
        <is>
          <t>MB-FORM-01</t>
        </is>
      </c>
      <c r="C162" s="15" t="inlineStr">
        <is>
          <t>Simpan berhasil dengan satu baris terisi</t>
        </is>
      </c>
      <c r="D162" s="17" t="inlineStr">
        <is>
          <t>Cages Track</t>
        </is>
      </c>
      <c r="E162" s="15" t="inlineStr">
        <is>
          <t>OPR-A</t>
        </is>
      </c>
      <c r="F162" s="15" t="inlineStr">
        <is>
          <t>- Simpan berhasil, dengan pesan konfirmasi.
- Layar kembali ke Monitor (atau ke daftar), bukan tetap di Form.
- Record muncul di Data Preview dengan status Tersimpan.
- Satu baris terisi sudah cukup — tidak dipaksa mengisi 24 slot.</t>
        </is>
      </c>
      <c r="G162" s="13" t="inlineStr">
        <is>
          <t>Tinggi</t>
        </is>
      </c>
      <c r="H162" s="18" t="n"/>
      <c r="I162" s="18" t="n"/>
      <c r="J162" s="18" t="n"/>
      <c r="K162" s="18" t="n"/>
      <c r="L162" s="18" t="n"/>
    </row>
    <row r="163" ht="83.19999999999999" customHeight="1">
      <c r="A163" s="10" t="n">
        <v>159</v>
      </c>
      <c r="B163" s="11" t="inlineStr">
        <is>
          <t>MB-FORM-01</t>
        </is>
      </c>
      <c r="C163" s="5" t="inlineStr">
        <is>
          <t>Simpan berhasil dengan satu baris terisi</t>
        </is>
      </c>
      <c r="D163" s="12" t="inlineStr">
        <is>
          <t>Sterilizer</t>
        </is>
      </c>
      <c r="E163" s="5" t="inlineStr">
        <is>
          <t>OPR-A</t>
        </is>
      </c>
      <c r="F163" s="5" t="inlineStr">
        <is>
          <t>- Simpan berhasil, dengan pesan konfirmasi.
- Layar kembali ke Monitor (atau ke daftar), bukan tetap di Form.
- Record muncul di Data Preview dengan status Tersimpan.
- Satu baris terisi sudah cukup — tidak dipaksa mengisi 24 slot.</t>
        </is>
      </c>
      <c r="G163" s="13" t="inlineStr">
        <is>
          <t>Tinggi</t>
        </is>
      </c>
      <c r="H163" s="18" t="n"/>
      <c r="I163" s="18" t="n"/>
      <c r="J163" s="18" t="n"/>
      <c r="K163" s="18" t="n"/>
      <c r="L163" s="18" t="n"/>
    </row>
    <row r="164" ht="83.19999999999999" customHeight="1">
      <c r="A164" s="14" t="n">
        <v>160</v>
      </c>
      <c r="B164" s="16" t="inlineStr">
        <is>
          <t>MB-FORM-01</t>
        </is>
      </c>
      <c r="C164" s="15" t="inlineStr">
        <is>
          <t>Simpan berhasil dengan satu baris terisi</t>
        </is>
      </c>
      <c r="D164" s="17" t="inlineStr">
        <is>
          <t>Threshing</t>
        </is>
      </c>
      <c r="E164" s="15" t="inlineStr">
        <is>
          <t>OPR-A</t>
        </is>
      </c>
      <c r="F164" s="15" t="inlineStr">
        <is>
          <t>- Simpan berhasil, dengan pesan konfirmasi.
- Layar kembali ke Monitor (atau ke daftar), bukan tetap di Form.
- Record muncul di Data Preview dengan status Tersimpan.
- Satu baris terisi sudah cukup — tidak dipaksa mengisi 24 slot.</t>
        </is>
      </c>
      <c r="G164" s="13" t="inlineStr">
        <is>
          <t>Tinggi</t>
        </is>
      </c>
      <c r="H164" s="18" t="n"/>
      <c r="I164" s="18" t="n"/>
      <c r="J164" s="18" t="n"/>
      <c r="K164" s="18" t="n"/>
      <c r="L164" s="18" t="n"/>
    </row>
    <row r="165" ht="83.19999999999999" customHeight="1">
      <c r="A165" s="10" t="n">
        <v>161</v>
      </c>
      <c r="B165" s="11" t="inlineStr">
        <is>
          <t>MB-FORM-01</t>
        </is>
      </c>
      <c r="C165" s="5" t="inlineStr">
        <is>
          <t>Simpan berhasil dengan satu baris terisi</t>
        </is>
      </c>
      <c r="D165" s="12" t="inlineStr">
        <is>
          <t>Pressing</t>
        </is>
      </c>
      <c r="E165" s="5" t="inlineStr">
        <is>
          <t>OPR-A</t>
        </is>
      </c>
      <c r="F165" s="5" t="inlineStr">
        <is>
          <t>- Simpan berhasil, dengan pesan konfirmasi.
- Layar kembali ke Monitor (atau ke daftar), bukan tetap di Form.
- Record muncul di Data Preview dengan status Tersimpan.
- Satu baris terisi sudah cukup — tidak dipaksa mengisi 24 slot.</t>
        </is>
      </c>
      <c r="G165" s="13" t="inlineStr">
        <is>
          <t>Tinggi</t>
        </is>
      </c>
      <c r="H165" s="18" t="n"/>
      <c r="I165" s="18" t="n"/>
      <c r="J165" s="18" t="n"/>
      <c r="K165" s="18" t="n"/>
      <c r="L165" s="18" t="n"/>
    </row>
    <row r="166" ht="83.19999999999999" customHeight="1">
      <c r="A166" s="14" t="n">
        <v>162</v>
      </c>
      <c r="B166" s="16" t="inlineStr">
        <is>
          <t>MB-FORM-01</t>
        </is>
      </c>
      <c r="C166" s="15" t="inlineStr">
        <is>
          <t>Simpan berhasil dengan satu baris terisi</t>
        </is>
      </c>
      <c r="D166" s="17" t="inlineStr">
        <is>
          <t>Clarification</t>
        </is>
      </c>
      <c r="E166" s="15" t="inlineStr">
        <is>
          <t>OPR-A</t>
        </is>
      </c>
      <c r="F166" s="15" t="inlineStr">
        <is>
          <t>- Simpan berhasil, dengan pesan konfirmasi.
- Layar kembali ke Monitor (atau ke daftar), bukan tetap di Form.
- Record muncul di Data Preview dengan status Tersimpan.
- Satu baris terisi sudah cukup — tidak dipaksa mengisi 24 slot.</t>
        </is>
      </c>
      <c r="G166" s="13" t="inlineStr">
        <is>
          <t>Tinggi</t>
        </is>
      </c>
      <c r="H166" s="18" t="n"/>
      <c r="I166" s="18" t="n"/>
      <c r="J166" s="18" t="n"/>
      <c r="K166" s="18" t="n"/>
      <c r="L166" s="18" t="n"/>
    </row>
    <row r="167" ht="83.19999999999999" customHeight="1">
      <c r="A167" s="10" t="n">
        <v>163</v>
      </c>
      <c r="B167" s="11" t="inlineStr">
        <is>
          <t>MB-FORM-01</t>
        </is>
      </c>
      <c r="C167" s="5" t="inlineStr">
        <is>
          <t>Simpan berhasil dengan satu baris terisi</t>
        </is>
      </c>
      <c r="D167" s="12" t="inlineStr">
        <is>
          <t>Kernel Plant</t>
        </is>
      </c>
      <c r="E167" s="5" t="inlineStr">
        <is>
          <t>OPR-A</t>
        </is>
      </c>
      <c r="F167" s="5" t="inlineStr">
        <is>
          <t>- Simpan berhasil, dengan pesan konfirmasi.
- Layar kembali ke Monitor (atau ke daftar), bukan tetap di Form.
- Record muncul di Data Preview dengan status Tersimpan.
- Satu baris terisi sudah cukup — tidak dipaksa mengisi 24 slot.</t>
        </is>
      </c>
      <c r="G167" s="13" t="inlineStr">
        <is>
          <t>Tinggi</t>
        </is>
      </c>
      <c r="H167" s="18" t="n"/>
      <c r="I167" s="18" t="n"/>
      <c r="J167" s="18" t="n"/>
      <c r="K167" s="18" t="n"/>
      <c r="L167" s="18" t="n"/>
    </row>
    <row r="168" ht="83.19999999999999" customHeight="1">
      <c r="A168" s="14" t="n">
        <v>164</v>
      </c>
      <c r="B168" s="16" t="inlineStr">
        <is>
          <t>MB-FORM-01</t>
        </is>
      </c>
      <c r="C168" s="15" t="inlineStr">
        <is>
          <t>Simpan berhasil dengan satu baris terisi</t>
        </is>
      </c>
      <c r="D168" s="17" t="inlineStr">
        <is>
          <t>Boiler Room</t>
        </is>
      </c>
      <c r="E168" s="15" t="inlineStr">
        <is>
          <t>OPR-A</t>
        </is>
      </c>
      <c r="F168" s="15" t="inlineStr">
        <is>
          <t>- Simpan berhasil, dengan pesan konfirmasi.
- Layar kembali ke Monitor (atau ke daftar), bukan tetap di Form.
- Record muncul di Data Preview dengan status Tersimpan.
- Satu baris terisi sudah cukup — tidak dipaksa mengisi 24 slot.</t>
        </is>
      </c>
      <c r="G168" s="13" t="inlineStr">
        <is>
          <t>Tinggi</t>
        </is>
      </c>
      <c r="H168" s="18" t="n"/>
      <c r="I168" s="18" t="n"/>
      <c r="J168" s="18" t="n"/>
      <c r="K168" s="18" t="n"/>
      <c r="L168" s="18" t="n"/>
    </row>
    <row r="169" ht="83.19999999999999" customHeight="1">
      <c r="A169" s="10" t="n">
        <v>165</v>
      </c>
      <c r="B169" s="11" t="inlineStr">
        <is>
          <t>MB-FORM-01</t>
        </is>
      </c>
      <c r="C169" s="5" t="inlineStr">
        <is>
          <t>Simpan berhasil dengan satu baris terisi</t>
        </is>
      </c>
      <c r="D169" s="12" t="inlineStr">
        <is>
          <t>Effluent Plant</t>
        </is>
      </c>
      <c r="E169" s="5" t="inlineStr">
        <is>
          <t>OPR-A</t>
        </is>
      </c>
      <c r="F169" s="5" t="inlineStr">
        <is>
          <t>- Simpan berhasil, dengan pesan konfirmasi.
- Layar kembali ke Monitor (atau ke daftar), bukan tetap di Form.
- Record muncul di Data Preview dengan status Tersimpan.
- Satu baris terisi sudah cukup — tidak dipaksa mengisi 24 slot.</t>
        </is>
      </c>
      <c r="G169" s="13" t="inlineStr">
        <is>
          <t>Tinggi</t>
        </is>
      </c>
      <c r="H169" s="18" t="n"/>
      <c r="I169" s="18" t="n"/>
      <c r="J169" s="18" t="n"/>
      <c r="K169" s="18" t="n"/>
      <c r="L169" s="18" t="n"/>
    </row>
    <row r="170" ht="83.19999999999999" customHeight="1">
      <c r="A170" s="14" t="n">
        <v>166</v>
      </c>
      <c r="B170" s="16" t="inlineStr">
        <is>
          <t>MB-FORM-01</t>
        </is>
      </c>
      <c r="C170" s="15" t="inlineStr">
        <is>
          <t>Simpan berhasil dengan satu baris terisi</t>
        </is>
      </c>
      <c r="D170" s="17" t="inlineStr">
        <is>
          <t>Depricarping</t>
        </is>
      </c>
      <c r="E170" s="15" t="inlineStr">
        <is>
          <t>OPR-A</t>
        </is>
      </c>
      <c r="F170" s="15" t="inlineStr">
        <is>
          <t>- Simpan berhasil, dengan pesan konfirmasi.
- Layar kembali ke Monitor (atau ke daftar), bukan tetap di Form.
- Record muncul di Data Preview dengan status Tersimpan.
- Satu baris terisi sudah cukup — tidak dipaksa mengisi 24 slot.</t>
        </is>
      </c>
      <c r="G170" s="13" t="inlineStr">
        <is>
          <t>Tinggi</t>
        </is>
      </c>
      <c r="H170" s="18" t="n"/>
      <c r="I170" s="18" t="n"/>
      <c r="J170" s="18" t="n"/>
      <c r="K170" s="18" t="n"/>
      <c r="L170" s="18" t="n"/>
    </row>
    <row r="171" ht="83.19999999999999" customHeight="1">
      <c r="A171" s="10" t="n">
        <v>167</v>
      </c>
      <c r="B171" s="11" t="inlineStr">
        <is>
          <t>MB-FORM-01</t>
        </is>
      </c>
      <c r="C171" s="5" t="inlineStr">
        <is>
          <t>Simpan berhasil dengan satu baris terisi</t>
        </is>
      </c>
      <c r="D171" s="12" t="inlineStr">
        <is>
          <t>Engine Room</t>
        </is>
      </c>
      <c r="E171" s="5" t="inlineStr">
        <is>
          <t>OPR-A</t>
        </is>
      </c>
      <c r="F171" s="5" t="inlineStr">
        <is>
          <t>- Simpan berhasil, dengan pesan konfirmasi.
- Layar kembali ke Monitor (atau ke daftar), bukan tetap di Form.
- Record muncul di Data Preview dengan status Tersimpan.
- Satu baris terisi sudah cukup — tidak dipaksa mengisi 24 slot.</t>
        </is>
      </c>
      <c r="G171" s="13" t="inlineStr">
        <is>
          <t>Tinggi</t>
        </is>
      </c>
      <c r="H171" s="18" t="n"/>
      <c r="I171" s="18" t="n"/>
      <c r="J171" s="18" t="n"/>
      <c r="K171" s="18" t="n"/>
      <c r="L171" s="18" t="n"/>
    </row>
    <row r="172" ht="83.19999999999999" customHeight="1">
      <c r="A172" s="14" t="n">
        <v>168</v>
      </c>
      <c r="B172" s="16" t="inlineStr">
        <is>
          <t>MB-FORM-01</t>
        </is>
      </c>
      <c r="C172" s="15" t="inlineStr">
        <is>
          <t>Simpan berhasil dengan satu baris terisi</t>
        </is>
      </c>
      <c r="D172" s="17" t="inlineStr">
        <is>
          <t>Process Water</t>
        </is>
      </c>
      <c r="E172" s="15" t="inlineStr">
        <is>
          <t>OPR-A</t>
        </is>
      </c>
      <c r="F172" s="15" t="inlineStr">
        <is>
          <t>- Simpan berhasil, dengan pesan konfirmasi.
- Layar kembali ke Monitor (atau ke daftar), bukan tetap di Form.
- Record muncul di Data Preview dengan status Tersimpan.
- Satu baris terisi sudah cukup — tidak dipaksa mengisi 24 slot.</t>
        </is>
      </c>
      <c r="G172" s="13" t="inlineStr">
        <is>
          <t>Tinggi</t>
        </is>
      </c>
      <c r="H172" s="18" t="n"/>
      <c r="I172" s="18" t="n"/>
      <c r="J172" s="18" t="n"/>
      <c r="K172" s="18" t="n"/>
      <c r="L172" s="18" t="n"/>
    </row>
    <row r="173" ht="83.19999999999999" customHeight="1">
      <c r="A173" s="10" t="n">
        <v>169</v>
      </c>
      <c r="B173" s="11" t="inlineStr">
        <is>
          <t>MB-FORM-01</t>
        </is>
      </c>
      <c r="C173" s="5" t="inlineStr">
        <is>
          <t>Simpan berhasil dengan satu baris terisi</t>
        </is>
      </c>
      <c r="D173" s="12" t="inlineStr">
        <is>
          <t>Storage Tank</t>
        </is>
      </c>
      <c r="E173" s="5" t="inlineStr">
        <is>
          <t>OPR-A</t>
        </is>
      </c>
      <c r="F173" s="5" t="inlineStr">
        <is>
          <t>- Simpan berhasil, dengan pesan konfirmasi.
- Layar kembali ke Monitor (atau ke daftar), bukan tetap di Form.
- Record muncul di Data Preview dengan status Tersimpan.
- Satu baris terisi sudah cukup — tidak dipaksa mengisi 24 slot.</t>
        </is>
      </c>
      <c r="G173" s="13" t="inlineStr">
        <is>
          <t>Tinggi</t>
        </is>
      </c>
      <c r="H173" s="18" t="n"/>
      <c r="I173" s="18" t="n"/>
      <c r="J173" s="18" t="n"/>
      <c r="K173" s="18" t="n"/>
      <c r="L173" s="18" t="n"/>
    </row>
    <row r="174" ht="83.19999999999999" customHeight="1">
      <c r="A174" s="14" t="n">
        <v>170</v>
      </c>
      <c r="B174" s="16" t="inlineStr">
        <is>
          <t>MB-FORM-01</t>
        </is>
      </c>
      <c r="C174" s="15" t="inlineStr">
        <is>
          <t>Simpan berhasil dengan satu baris terisi</t>
        </is>
      </c>
      <c r="D174" s="17" t="inlineStr">
        <is>
          <t>Solid Waste Disposal</t>
        </is>
      </c>
      <c r="E174" s="15" t="inlineStr">
        <is>
          <t>OPR-A</t>
        </is>
      </c>
      <c r="F174" s="15" t="inlineStr">
        <is>
          <t>- Simpan berhasil, dengan pesan konfirmasi.
- Layar kembali ke Monitor (atau ke daftar), bukan tetap di Form.
- Record muncul di Data Preview dengan status Tersimpan.
- Satu baris terisi sudah cukup — tidak dipaksa mengisi 24 slot.</t>
        </is>
      </c>
      <c r="G174" s="13" t="inlineStr">
        <is>
          <t>Tinggi</t>
        </is>
      </c>
      <c r="H174" s="18" t="n"/>
      <c r="I174" s="18" t="n"/>
      <c r="J174" s="18" t="n"/>
      <c r="K174" s="18" t="n"/>
      <c r="L174" s="18" t="n"/>
    </row>
    <row r="175" ht="83.19999999999999" customHeight="1">
      <c r="A175" s="10" t="n">
        <v>171</v>
      </c>
      <c r="B175" s="11" t="inlineStr">
        <is>
          <t>MB-FORM-01</t>
        </is>
      </c>
      <c r="C175" s="5" t="inlineStr">
        <is>
          <t>Simpan berhasil dengan satu baris terisi</t>
        </is>
      </c>
      <c r="D175" s="12" t="inlineStr">
        <is>
          <t>Kernel Dispatch</t>
        </is>
      </c>
      <c r="E175" s="5" t="inlineStr">
        <is>
          <t>OPR-A</t>
        </is>
      </c>
      <c r="F175" s="5" t="inlineStr">
        <is>
          <t>- Simpan berhasil, dengan pesan konfirmasi.
- Layar kembali ke Monitor (atau ke daftar), bukan tetap di Form.
- Record muncul di Data Preview dengan status Tersimpan.
- Satu baris terisi sudah cukup — tidak dipaksa mengisi 24 slot.</t>
        </is>
      </c>
      <c r="G175" s="13" t="inlineStr">
        <is>
          <t>Tinggi</t>
        </is>
      </c>
      <c r="H175" s="18" t="n"/>
      <c r="I175" s="18" t="n"/>
      <c r="J175" s="18" t="n"/>
      <c r="K175" s="18" t="n"/>
      <c r="L175" s="18" t="n"/>
    </row>
    <row r="176" ht="83.19999999999999" customHeight="1">
      <c r="A176" s="14" t="n">
        <v>172</v>
      </c>
      <c r="B176" s="16" t="inlineStr">
        <is>
          <t>MB-FORM-01</t>
        </is>
      </c>
      <c r="C176" s="15" t="inlineStr">
        <is>
          <t>Simpan berhasil dengan satu baris terisi</t>
        </is>
      </c>
      <c r="D176" s="17" t="inlineStr">
        <is>
          <t>CPO Dispatch</t>
        </is>
      </c>
      <c r="E176" s="15" t="inlineStr">
        <is>
          <t>OPR-A</t>
        </is>
      </c>
      <c r="F176" s="15" t="inlineStr">
        <is>
          <t>- Simpan berhasil, dengan pesan konfirmasi.
- Layar kembali ke Monitor (atau ke daftar), bukan tetap di Form.
- Record muncul di Data Preview dengan status Tersimpan.
- Satu baris terisi sudah cukup — tidak dipaksa mengisi 24 slot.</t>
        </is>
      </c>
      <c r="G176" s="13" t="inlineStr">
        <is>
          <t>Tinggi</t>
        </is>
      </c>
      <c r="H176" s="18" t="n"/>
      <c r="I176" s="18" t="n"/>
      <c r="J176" s="18" t="n"/>
      <c r="K176" s="18" t="n"/>
      <c r="L176" s="18" t="n"/>
    </row>
    <row r="177" ht="83.19999999999999" customHeight="1">
      <c r="A177" s="10" t="n">
        <v>173</v>
      </c>
      <c r="B177" s="11" t="inlineStr">
        <is>
          <t>MB-FORM-01</t>
        </is>
      </c>
      <c r="C177" s="5" t="inlineStr">
        <is>
          <t>Simpan berhasil dengan satu baris terisi</t>
        </is>
      </c>
      <c r="D177" s="12" t="inlineStr">
        <is>
          <t>Process Quality Control</t>
        </is>
      </c>
      <c r="E177" s="5" t="inlineStr">
        <is>
          <t>OPR-A</t>
        </is>
      </c>
      <c r="F177" s="5" t="inlineStr">
        <is>
          <t>- Simpan berhasil, dengan pesan konfirmasi.
- Layar kembali ke Monitor (atau ke daftar), bukan tetap di Form.
- Record muncul di Data Preview dengan status Tersimpan.
- Satu baris terisi sudah cukup — tidak dipaksa mengisi 24 slot.</t>
        </is>
      </c>
      <c r="G177" s="13" t="inlineStr">
        <is>
          <t>Tinggi</t>
        </is>
      </c>
      <c r="H177" s="18" t="n"/>
      <c r="I177" s="18" t="n"/>
      <c r="J177" s="18" t="n"/>
      <c r="K177" s="18" t="n"/>
      <c r="L177" s="18" t="n"/>
    </row>
    <row r="178" ht="56.8" customHeight="1">
      <c r="A178" s="14" t="n">
        <v>174</v>
      </c>
      <c r="B178" s="16" t="inlineStr">
        <is>
          <t>MB-FORM-02</t>
        </is>
      </c>
      <c r="C178" s="15" t="inlineStr">
        <is>
          <t>Simpan ditolak bila kolom wajib kosong</t>
        </is>
      </c>
      <c r="D178" s="17" t="inlineStr">
        <is>
          <t>Weighbridge</t>
        </is>
      </c>
      <c r="E178" s="15" t="inlineStr">
        <is>
          <t>OPR-A</t>
        </is>
      </c>
      <c r="F178" s="15" t="inlineStr">
        <is>
          <t>- Ditolak — record tidak tersimpan.
- Pesan galat muncul di sebelah kolom identitas yang kosong, bukan hanya sebagai pesan umum.
- Isi yang sudah diketik pada grid tidak hilang.</t>
        </is>
      </c>
      <c r="G178" s="13" t="inlineStr">
        <is>
          <t>Tinggi</t>
        </is>
      </c>
      <c r="H178" s="18" t="n"/>
      <c r="I178" s="18" t="n"/>
      <c r="J178" s="18" t="n"/>
      <c r="K178" s="18" t="n"/>
      <c r="L178" s="18" t="n"/>
    </row>
    <row r="179" ht="56.8" customHeight="1">
      <c r="A179" s="10" t="n">
        <v>175</v>
      </c>
      <c r="B179" s="11" t="inlineStr">
        <is>
          <t>MB-FORM-02</t>
        </is>
      </c>
      <c r="C179" s="5" t="inlineStr">
        <is>
          <t>Simpan ditolak bila kolom wajib kosong</t>
        </is>
      </c>
      <c r="D179" s="12" t="inlineStr">
        <is>
          <t>Grading</t>
        </is>
      </c>
      <c r="E179" s="5" t="inlineStr">
        <is>
          <t>OPR-A</t>
        </is>
      </c>
      <c r="F179" s="5" t="inlineStr">
        <is>
          <t>- Ditolak — record tidak tersimpan.
- Pesan galat muncul di sebelah kolom identitas yang kosong, bukan hanya sebagai pesan umum.
- Isi yang sudah diketik pada grid tidak hilang.</t>
        </is>
      </c>
      <c r="G179" s="13" t="inlineStr">
        <is>
          <t>Tinggi</t>
        </is>
      </c>
      <c r="H179" s="18" t="n"/>
      <c r="I179" s="18" t="n"/>
      <c r="J179" s="18" t="n"/>
      <c r="K179" s="18" t="n"/>
      <c r="L179" s="18" t="n"/>
    </row>
    <row r="180" ht="56.8" customHeight="1">
      <c r="A180" s="14" t="n">
        <v>176</v>
      </c>
      <c r="B180" s="16" t="inlineStr">
        <is>
          <t>MB-FORM-02</t>
        </is>
      </c>
      <c r="C180" s="15" t="inlineStr">
        <is>
          <t>Simpan ditolak bila kolom wajib kosong</t>
        </is>
      </c>
      <c r="D180" s="17" t="inlineStr">
        <is>
          <t>Cages Track</t>
        </is>
      </c>
      <c r="E180" s="15" t="inlineStr">
        <is>
          <t>OPR-A</t>
        </is>
      </c>
      <c r="F180" s="15" t="inlineStr">
        <is>
          <t>- Ditolak — record tidak tersimpan.
- Pesan galat muncul di sebelah kolom identitas yang kosong, bukan hanya sebagai pesan umum.
- Isi yang sudah diketik pada grid tidak hilang.</t>
        </is>
      </c>
      <c r="G180" s="13" t="inlineStr">
        <is>
          <t>Tinggi</t>
        </is>
      </c>
      <c r="H180" s="18" t="n"/>
      <c r="I180" s="18" t="n"/>
      <c r="J180" s="18" t="n"/>
      <c r="K180" s="18" t="n"/>
      <c r="L180" s="18" t="n"/>
    </row>
    <row r="181" ht="56.8" customHeight="1">
      <c r="A181" s="10" t="n">
        <v>177</v>
      </c>
      <c r="B181" s="11" t="inlineStr">
        <is>
          <t>MB-FORM-02</t>
        </is>
      </c>
      <c r="C181" s="5" t="inlineStr">
        <is>
          <t>Simpan ditolak bila kolom wajib kosong</t>
        </is>
      </c>
      <c r="D181" s="12" t="inlineStr">
        <is>
          <t>Sterilizer</t>
        </is>
      </c>
      <c r="E181" s="5" t="inlineStr">
        <is>
          <t>OPR-A</t>
        </is>
      </c>
      <c r="F181" s="5" t="inlineStr">
        <is>
          <t>- Ditolak — record tidak tersimpan.
- Pesan galat muncul di sebelah kolom identitas yang kosong, bukan hanya sebagai pesan umum.
- Isi yang sudah diketik pada grid tidak hilang.</t>
        </is>
      </c>
      <c r="G181" s="13" t="inlineStr">
        <is>
          <t>Tinggi</t>
        </is>
      </c>
      <c r="H181" s="18" t="n"/>
      <c r="I181" s="18" t="n"/>
      <c r="J181" s="18" t="n"/>
      <c r="K181" s="18" t="n"/>
      <c r="L181" s="18" t="n"/>
    </row>
    <row r="182" ht="56.8" customHeight="1">
      <c r="A182" s="14" t="n">
        <v>178</v>
      </c>
      <c r="B182" s="16" t="inlineStr">
        <is>
          <t>MB-FORM-02</t>
        </is>
      </c>
      <c r="C182" s="15" t="inlineStr">
        <is>
          <t>Simpan ditolak bila kolom wajib kosong</t>
        </is>
      </c>
      <c r="D182" s="17" t="inlineStr">
        <is>
          <t>Threshing</t>
        </is>
      </c>
      <c r="E182" s="15" t="inlineStr">
        <is>
          <t>OPR-A</t>
        </is>
      </c>
      <c r="F182" s="15" t="inlineStr">
        <is>
          <t>- Ditolak — record tidak tersimpan.
- Pesan galat muncul di sebelah kolom identitas yang kosong, bukan hanya sebagai pesan umum.
- Isi yang sudah diketik pada grid tidak hilang.</t>
        </is>
      </c>
      <c r="G182" s="13" t="inlineStr">
        <is>
          <t>Tinggi</t>
        </is>
      </c>
      <c r="H182" s="18" t="n"/>
      <c r="I182" s="18" t="n"/>
      <c r="J182" s="18" t="n"/>
      <c r="K182" s="18" t="n"/>
      <c r="L182" s="18" t="n"/>
    </row>
    <row r="183" ht="56.8" customHeight="1">
      <c r="A183" s="10" t="n">
        <v>179</v>
      </c>
      <c r="B183" s="11" t="inlineStr">
        <is>
          <t>MB-FORM-02</t>
        </is>
      </c>
      <c r="C183" s="5" t="inlineStr">
        <is>
          <t>Simpan ditolak bila kolom wajib kosong</t>
        </is>
      </c>
      <c r="D183" s="12" t="inlineStr">
        <is>
          <t>Pressing</t>
        </is>
      </c>
      <c r="E183" s="5" t="inlineStr">
        <is>
          <t>OPR-A</t>
        </is>
      </c>
      <c r="F183" s="5" t="inlineStr">
        <is>
          <t>- Ditolak — record tidak tersimpan.
- Pesan galat muncul di sebelah kolom identitas yang kosong, bukan hanya sebagai pesan umum.
- Isi yang sudah diketik pada grid tidak hilang.</t>
        </is>
      </c>
      <c r="G183" s="13" t="inlineStr">
        <is>
          <t>Tinggi</t>
        </is>
      </c>
      <c r="H183" s="18" t="n"/>
      <c r="I183" s="18" t="n"/>
      <c r="J183" s="18" t="n"/>
      <c r="K183" s="18" t="n"/>
      <c r="L183" s="18" t="n"/>
    </row>
    <row r="184" ht="56.8" customHeight="1">
      <c r="A184" s="14" t="n">
        <v>180</v>
      </c>
      <c r="B184" s="16" t="inlineStr">
        <is>
          <t>MB-FORM-02</t>
        </is>
      </c>
      <c r="C184" s="15" t="inlineStr">
        <is>
          <t>Simpan ditolak bila kolom wajib kosong</t>
        </is>
      </c>
      <c r="D184" s="17" t="inlineStr">
        <is>
          <t>Clarification</t>
        </is>
      </c>
      <c r="E184" s="15" t="inlineStr">
        <is>
          <t>OPR-A</t>
        </is>
      </c>
      <c r="F184" s="15" t="inlineStr">
        <is>
          <t>- Ditolak — record tidak tersimpan.
- Pesan galat muncul di sebelah kolom identitas yang kosong, bukan hanya sebagai pesan umum.
- Isi yang sudah diketik pada grid tidak hilang.</t>
        </is>
      </c>
      <c r="G184" s="13" t="inlineStr">
        <is>
          <t>Tinggi</t>
        </is>
      </c>
      <c r="H184" s="18" t="n"/>
      <c r="I184" s="18" t="n"/>
      <c r="J184" s="18" t="n"/>
      <c r="K184" s="18" t="n"/>
      <c r="L184" s="18" t="n"/>
    </row>
    <row r="185" ht="56.8" customHeight="1">
      <c r="A185" s="10" t="n">
        <v>181</v>
      </c>
      <c r="B185" s="11" t="inlineStr">
        <is>
          <t>MB-FORM-02</t>
        </is>
      </c>
      <c r="C185" s="5" t="inlineStr">
        <is>
          <t>Simpan ditolak bila kolom wajib kosong</t>
        </is>
      </c>
      <c r="D185" s="12" t="inlineStr">
        <is>
          <t>Kernel Plant</t>
        </is>
      </c>
      <c r="E185" s="5" t="inlineStr">
        <is>
          <t>OPR-A</t>
        </is>
      </c>
      <c r="F185" s="5" t="inlineStr">
        <is>
          <t>- Ditolak — record tidak tersimpan.
- Pesan galat muncul di sebelah kolom identitas yang kosong, bukan hanya sebagai pesan umum.
- Isi yang sudah diketik pada grid tidak hilang.</t>
        </is>
      </c>
      <c r="G185" s="13" t="inlineStr">
        <is>
          <t>Tinggi</t>
        </is>
      </c>
      <c r="H185" s="18" t="n"/>
      <c r="I185" s="18" t="n"/>
      <c r="J185" s="18" t="n"/>
      <c r="K185" s="18" t="n"/>
      <c r="L185" s="18" t="n"/>
    </row>
    <row r="186" ht="56.8" customHeight="1">
      <c r="A186" s="14" t="n">
        <v>182</v>
      </c>
      <c r="B186" s="16" t="inlineStr">
        <is>
          <t>MB-FORM-02</t>
        </is>
      </c>
      <c r="C186" s="15" t="inlineStr">
        <is>
          <t>Simpan ditolak bila kolom wajib kosong</t>
        </is>
      </c>
      <c r="D186" s="17" t="inlineStr">
        <is>
          <t>Boiler Room</t>
        </is>
      </c>
      <c r="E186" s="15" t="inlineStr">
        <is>
          <t>OPR-A</t>
        </is>
      </c>
      <c r="F186" s="15" t="inlineStr">
        <is>
          <t>- Ditolak — record tidak tersimpan.
- Pesan galat muncul di sebelah kolom identitas yang kosong, bukan hanya sebagai pesan umum.
- Isi yang sudah diketik pada grid tidak hilang.</t>
        </is>
      </c>
      <c r="G186" s="13" t="inlineStr">
        <is>
          <t>Tinggi</t>
        </is>
      </c>
      <c r="H186" s="18" t="n"/>
      <c r="I186" s="18" t="n"/>
      <c r="J186" s="18" t="n"/>
      <c r="K186" s="18" t="n"/>
      <c r="L186" s="18" t="n"/>
    </row>
    <row r="187" ht="56.8" customHeight="1">
      <c r="A187" s="10" t="n">
        <v>183</v>
      </c>
      <c r="B187" s="11" t="inlineStr">
        <is>
          <t>MB-FORM-02</t>
        </is>
      </c>
      <c r="C187" s="5" t="inlineStr">
        <is>
          <t>Simpan ditolak bila kolom wajib kosong</t>
        </is>
      </c>
      <c r="D187" s="12" t="inlineStr">
        <is>
          <t>Effluent Plant</t>
        </is>
      </c>
      <c r="E187" s="5" t="inlineStr">
        <is>
          <t>OPR-A</t>
        </is>
      </c>
      <c r="F187" s="5" t="inlineStr">
        <is>
          <t>- Ditolak — record tidak tersimpan.
- Pesan galat muncul di sebelah kolom identitas yang kosong, bukan hanya sebagai pesan umum.
- Isi yang sudah diketik pada grid tidak hilang.</t>
        </is>
      </c>
      <c r="G187" s="13" t="inlineStr">
        <is>
          <t>Tinggi</t>
        </is>
      </c>
      <c r="H187" s="18" t="n"/>
      <c r="I187" s="18" t="n"/>
      <c r="J187" s="18" t="n"/>
      <c r="K187" s="18" t="n"/>
      <c r="L187" s="18" t="n"/>
    </row>
    <row r="188" ht="56.8" customHeight="1">
      <c r="A188" s="14" t="n">
        <v>184</v>
      </c>
      <c r="B188" s="16" t="inlineStr">
        <is>
          <t>MB-FORM-02</t>
        </is>
      </c>
      <c r="C188" s="15" t="inlineStr">
        <is>
          <t>Simpan ditolak bila kolom wajib kosong</t>
        </is>
      </c>
      <c r="D188" s="17" t="inlineStr">
        <is>
          <t>Depricarping</t>
        </is>
      </c>
      <c r="E188" s="15" t="inlineStr">
        <is>
          <t>OPR-A</t>
        </is>
      </c>
      <c r="F188" s="15" t="inlineStr">
        <is>
          <t>- Ditolak — record tidak tersimpan.
- Pesan galat muncul di sebelah kolom identitas yang kosong, bukan hanya sebagai pesan umum.
- Isi yang sudah diketik pada grid tidak hilang.</t>
        </is>
      </c>
      <c r="G188" s="13" t="inlineStr">
        <is>
          <t>Tinggi</t>
        </is>
      </c>
      <c r="H188" s="18" t="n"/>
      <c r="I188" s="18" t="n"/>
      <c r="J188" s="18" t="n"/>
      <c r="K188" s="18" t="n"/>
      <c r="L188" s="18" t="n"/>
    </row>
    <row r="189" ht="56.8" customHeight="1">
      <c r="A189" s="10" t="n">
        <v>185</v>
      </c>
      <c r="B189" s="11" t="inlineStr">
        <is>
          <t>MB-FORM-02</t>
        </is>
      </c>
      <c r="C189" s="5" t="inlineStr">
        <is>
          <t>Simpan ditolak bila kolom wajib kosong</t>
        </is>
      </c>
      <c r="D189" s="12" t="inlineStr">
        <is>
          <t>Engine Room</t>
        </is>
      </c>
      <c r="E189" s="5" t="inlineStr">
        <is>
          <t>OPR-A</t>
        </is>
      </c>
      <c r="F189" s="5" t="inlineStr">
        <is>
          <t>- Ditolak — record tidak tersimpan.
- Pesan galat muncul di sebelah kolom identitas yang kosong, bukan hanya sebagai pesan umum.
- Isi yang sudah diketik pada grid tidak hilang.</t>
        </is>
      </c>
      <c r="G189" s="13" t="inlineStr">
        <is>
          <t>Tinggi</t>
        </is>
      </c>
      <c r="H189" s="18" t="n"/>
      <c r="I189" s="18" t="n"/>
      <c r="J189" s="18" t="n"/>
      <c r="K189" s="18" t="n"/>
      <c r="L189" s="18" t="n"/>
    </row>
    <row r="190" ht="56.8" customHeight="1">
      <c r="A190" s="14" t="n">
        <v>186</v>
      </c>
      <c r="B190" s="16" t="inlineStr">
        <is>
          <t>MB-FORM-02</t>
        </is>
      </c>
      <c r="C190" s="15" t="inlineStr">
        <is>
          <t>Simpan ditolak bila kolom wajib kosong</t>
        </is>
      </c>
      <c r="D190" s="17" t="inlineStr">
        <is>
          <t>Process Water</t>
        </is>
      </c>
      <c r="E190" s="15" t="inlineStr">
        <is>
          <t>OPR-A</t>
        </is>
      </c>
      <c r="F190" s="15" t="inlineStr">
        <is>
          <t>- Ditolak — record tidak tersimpan.
- Pesan galat muncul di sebelah kolom identitas yang kosong, bukan hanya sebagai pesan umum.
- Isi yang sudah diketik pada grid tidak hilang.</t>
        </is>
      </c>
      <c r="G190" s="13" t="inlineStr">
        <is>
          <t>Tinggi</t>
        </is>
      </c>
      <c r="H190" s="18" t="n"/>
      <c r="I190" s="18" t="n"/>
      <c r="J190" s="18" t="n"/>
      <c r="K190" s="18" t="n"/>
      <c r="L190" s="18" t="n"/>
    </row>
    <row r="191" ht="56.8" customHeight="1">
      <c r="A191" s="10" t="n">
        <v>187</v>
      </c>
      <c r="B191" s="11" t="inlineStr">
        <is>
          <t>MB-FORM-02</t>
        </is>
      </c>
      <c r="C191" s="5" t="inlineStr">
        <is>
          <t>Simpan ditolak bila kolom wajib kosong</t>
        </is>
      </c>
      <c r="D191" s="12" t="inlineStr">
        <is>
          <t>Storage Tank</t>
        </is>
      </c>
      <c r="E191" s="5" t="inlineStr">
        <is>
          <t>OPR-A</t>
        </is>
      </c>
      <c r="F191" s="5" t="inlineStr">
        <is>
          <t>- Ditolak — record tidak tersimpan.
- Pesan galat muncul di sebelah kolom identitas yang kosong, bukan hanya sebagai pesan umum.
- Isi yang sudah diketik pada grid tidak hilang.</t>
        </is>
      </c>
      <c r="G191" s="13" t="inlineStr">
        <is>
          <t>Tinggi</t>
        </is>
      </c>
      <c r="H191" s="18" t="n"/>
      <c r="I191" s="18" t="n"/>
      <c r="J191" s="18" t="n"/>
      <c r="K191" s="18" t="n"/>
      <c r="L191" s="18" t="n"/>
    </row>
    <row r="192" ht="56.8" customHeight="1">
      <c r="A192" s="14" t="n">
        <v>188</v>
      </c>
      <c r="B192" s="16" t="inlineStr">
        <is>
          <t>MB-FORM-02</t>
        </is>
      </c>
      <c r="C192" s="15" t="inlineStr">
        <is>
          <t>Simpan ditolak bila kolom wajib kosong</t>
        </is>
      </c>
      <c r="D192" s="17" t="inlineStr">
        <is>
          <t>Solid Waste Disposal</t>
        </is>
      </c>
      <c r="E192" s="15" t="inlineStr">
        <is>
          <t>OPR-A</t>
        </is>
      </c>
      <c r="F192" s="15" t="inlineStr">
        <is>
          <t>- Ditolak — record tidak tersimpan.
- Pesan galat muncul di sebelah kolom identitas yang kosong, bukan hanya sebagai pesan umum.
- Isi yang sudah diketik pada grid tidak hilang.</t>
        </is>
      </c>
      <c r="G192" s="13" t="inlineStr">
        <is>
          <t>Tinggi</t>
        </is>
      </c>
      <c r="H192" s="18" t="n"/>
      <c r="I192" s="18" t="n"/>
      <c r="J192" s="18" t="n"/>
      <c r="K192" s="18" t="n"/>
      <c r="L192" s="18" t="n"/>
    </row>
    <row r="193" ht="56.8" customHeight="1">
      <c r="A193" s="10" t="n">
        <v>189</v>
      </c>
      <c r="B193" s="11" t="inlineStr">
        <is>
          <t>MB-FORM-02</t>
        </is>
      </c>
      <c r="C193" s="5" t="inlineStr">
        <is>
          <t>Simpan ditolak bila kolom wajib kosong</t>
        </is>
      </c>
      <c r="D193" s="12" t="inlineStr">
        <is>
          <t>Kernel Dispatch</t>
        </is>
      </c>
      <c r="E193" s="5" t="inlineStr">
        <is>
          <t>OPR-A</t>
        </is>
      </c>
      <c r="F193" s="5" t="inlineStr">
        <is>
          <t>- Ditolak — record tidak tersimpan.
- Pesan galat muncul di sebelah kolom identitas yang kosong, bukan hanya sebagai pesan umum.
- Isi yang sudah diketik pada grid tidak hilang.</t>
        </is>
      </c>
      <c r="G193" s="13" t="inlineStr">
        <is>
          <t>Tinggi</t>
        </is>
      </c>
      <c r="H193" s="18" t="n"/>
      <c r="I193" s="18" t="n"/>
      <c r="J193" s="18" t="n"/>
      <c r="K193" s="18" t="n"/>
      <c r="L193" s="18" t="n"/>
    </row>
    <row r="194" ht="56.8" customHeight="1">
      <c r="A194" s="14" t="n">
        <v>190</v>
      </c>
      <c r="B194" s="16" t="inlineStr">
        <is>
          <t>MB-FORM-02</t>
        </is>
      </c>
      <c r="C194" s="15" t="inlineStr">
        <is>
          <t>Simpan ditolak bila kolom wajib kosong</t>
        </is>
      </c>
      <c r="D194" s="17" t="inlineStr">
        <is>
          <t>CPO Dispatch</t>
        </is>
      </c>
      <c r="E194" s="15" t="inlineStr">
        <is>
          <t>OPR-A</t>
        </is>
      </c>
      <c r="F194" s="15" t="inlineStr">
        <is>
          <t>- Ditolak — record tidak tersimpan.
- Pesan galat muncul di sebelah kolom identitas yang kosong, bukan hanya sebagai pesan umum.
- Isi yang sudah diketik pada grid tidak hilang.</t>
        </is>
      </c>
      <c r="G194" s="13" t="inlineStr">
        <is>
          <t>Tinggi</t>
        </is>
      </c>
      <c r="H194" s="18" t="n"/>
      <c r="I194" s="18" t="n"/>
      <c r="J194" s="18" t="n"/>
      <c r="K194" s="18" t="n"/>
      <c r="L194" s="18" t="n"/>
    </row>
    <row r="195" ht="56.8" customHeight="1">
      <c r="A195" s="10" t="n">
        <v>191</v>
      </c>
      <c r="B195" s="11" t="inlineStr">
        <is>
          <t>MB-FORM-02</t>
        </is>
      </c>
      <c r="C195" s="5" t="inlineStr">
        <is>
          <t>Simpan ditolak bila kolom wajib kosong</t>
        </is>
      </c>
      <c r="D195" s="12" t="inlineStr">
        <is>
          <t>Process Quality Control</t>
        </is>
      </c>
      <c r="E195" s="5" t="inlineStr">
        <is>
          <t>OPR-A</t>
        </is>
      </c>
      <c r="F195" s="5" t="inlineStr">
        <is>
          <t>- Ditolak — record tidak tersimpan.
- Pesan galat muncul di sebelah kolom identitas yang kosong, bukan hanya sebagai pesan umum.
- Isi yang sudah diketik pada grid tidak hilang.</t>
        </is>
      </c>
      <c r="G195" s="13" t="inlineStr">
        <is>
          <t>Tinggi</t>
        </is>
      </c>
      <c r="H195" s="18" t="n"/>
      <c r="I195" s="18" t="n"/>
      <c r="J195" s="18" t="n"/>
      <c r="K195" s="18" t="n"/>
      <c r="L195" s="18" t="n"/>
    </row>
    <row r="196" ht="17.2" customHeight="1">
      <c r="A196" s="14" t="n">
        <v>192</v>
      </c>
      <c r="B196" s="16" t="inlineStr">
        <is>
          <t>MB-FORM-03</t>
        </is>
      </c>
      <c r="C196" s="15" t="inlineStr">
        <is>
          <t>Slot waktu harus menaik dan tidak boleh kembar</t>
        </is>
      </c>
      <c r="D196" s="17" t="inlineStr">
        <is>
          <t>Weighbridge</t>
        </is>
      </c>
      <c r="E196" s="15" t="inlineStr">
        <is>
          <t>OPR-A</t>
        </is>
      </c>
      <c r="F196" s="19" t="inlineStr">
        <is>
          <t>Tidak berlaku — stasiun per-transaksi, pakai MB-FORM-11</t>
        </is>
      </c>
      <c r="G196" s="13" t="inlineStr">
        <is>
          <t>Tinggi</t>
        </is>
      </c>
      <c r="H196" s="20" t="n"/>
      <c r="I196" s="20" t="n"/>
      <c r="J196" s="20" t="n"/>
      <c r="K196" s="20" t="n"/>
      <c r="L196" s="20" t="n"/>
    </row>
    <row r="197" ht="17.2" customHeight="1">
      <c r="A197" s="10" t="n">
        <v>193</v>
      </c>
      <c r="B197" s="11" t="inlineStr">
        <is>
          <t>MB-FORM-03</t>
        </is>
      </c>
      <c r="C197" s="5" t="inlineStr">
        <is>
          <t>Slot waktu harus menaik dan tidak boleh kembar</t>
        </is>
      </c>
      <c r="D197" s="12" t="inlineStr">
        <is>
          <t>Grading</t>
        </is>
      </c>
      <c r="E197" s="5" t="inlineStr">
        <is>
          <t>OPR-A</t>
        </is>
      </c>
      <c r="F197" s="19" t="inlineStr">
        <is>
          <t>Tidak berlaku — stasiun per-transaksi, pakai MB-FORM-11</t>
        </is>
      </c>
      <c r="G197" s="13" t="inlineStr">
        <is>
          <t>Tinggi</t>
        </is>
      </c>
      <c r="H197" s="20" t="n"/>
      <c r="I197" s="20" t="n"/>
      <c r="J197" s="20" t="n"/>
      <c r="K197" s="20" t="n"/>
      <c r="L197" s="20" t="n"/>
    </row>
    <row r="198" ht="96.39999999999999" customHeight="1">
      <c r="A198" s="14" t="n">
        <v>194</v>
      </c>
      <c r="B198" s="16" t="inlineStr">
        <is>
          <t>MB-FORM-03</t>
        </is>
      </c>
      <c r="C198" s="15" t="inlineStr">
        <is>
          <t>Slot waktu harus menaik dan tidak boleh kembar</t>
        </is>
      </c>
      <c r="D198" s="17" t="inlineStr">
        <is>
          <t>Cages Track</t>
        </is>
      </c>
      <c r="E198" s="15" t="inlineStr">
        <is>
          <t>OPR-A</t>
        </is>
      </c>
      <c r="F198" s="15" t="inlineStr">
        <is>
          <t>- Langkah 4: pemilih baris kedua tidak lagi menawarkan slot yang sudah dipakai, dan tidak menawarkan slot yang lebih awal.
- Langkah 5 dan 6: tidak dapat dipilih — atau bila terpilih, Simpan ditolak dengan pesan yang menyebut urutan slot.
- Langkah 7: berhasil.</t>
        </is>
      </c>
      <c r="G198" s="13" t="inlineStr">
        <is>
          <t>Tinggi</t>
        </is>
      </c>
      <c r="H198" s="18" t="n"/>
      <c r="I198" s="18" t="n"/>
      <c r="J198" s="18" t="n"/>
      <c r="K198" s="18" t="n"/>
      <c r="L198" s="18" t="n"/>
    </row>
    <row r="199" ht="96.39999999999999" customHeight="1">
      <c r="A199" s="10" t="n">
        <v>195</v>
      </c>
      <c r="B199" s="11" t="inlineStr">
        <is>
          <t>MB-FORM-03</t>
        </is>
      </c>
      <c r="C199" s="5" t="inlineStr">
        <is>
          <t>Slot waktu harus menaik dan tidak boleh kembar</t>
        </is>
      </c>
      <c r="D199" s="12" t="inlineStr">
        <is>
          <t>Sterilizer</t>
        </is>
      </c>
      <c r="E199" s="5" t="inlineStr">
        <is>
          <t>OPR-A</t>
        </is>
      </c>
      <c r="F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G199" s="13" t="inlineStr">
        <is>
          <t>Tinggi</t>
        </is>
      </c>
      <c r="H199" s="18" t="n"/>
      <c r="I199" s="18" t="n"/>
      <c r="J199" s="18" t="n"/>
      <c r="K199" s="18" t="n"/>
      <c r="L199" s="18" t="n"/>
    </row>
    <row r="200" ht="96.39999999999999" customHeight="1">
      <c r="A200" s="14" t="n">
        <v>196</v>
      </c>
      <c r="B200" s="16" t="inlineStr">
        <is>
          <t>MB-FORM-03</t>
        </is>
      </c>
      <c r="C200" s="15" t="inlineStr">
        <is>
          <t>Slot waktu harus menaik dan tidak boleh kembar</t>
        </is>
      </c>
      <c r="D200" s="17" t="inlineStr">
        <is>
          <t>Threshing</t>
        </is>
      </c>
      <c r="E200" s="15" t="inlineStr">
        <is>
          <t>OPR-A</t>
        </is>
      </c>
      <c r="F200" s="15" t="inlineStr">
        <is>
          <t>- Langkah 4: pemilih baris kedua tidak lagi menawarkan slot yang sudah dipakai, dan tidak menawarkan slot yang lebih awal.
- Langkah 5 dan 6: tidak dapat dipilih — atau bila terpilih, Simpan ditolak dengan pesan yang menyebut urutan slot.
- Langkah 7: berhasil.</t>
        </is>
      </c>
      <c r="G200" s="13" t="inlineStr">
        <is>
          <t>Tinggi</t>
        </is>
      </c>
      <c r="H200" s="18" t="n"/>
      <c r="I200" s="18" t="n"/>
      <c r="J200" s="18" t="n"/>
      <c r="K200" s="18" t="n"/>
      <c r="L200" s="18" t="n"/>
    </row>
    <row r="201" ht="96.39999999999999" customHeight="1">
      <c r="A201" s="10" t="n">
        <v>197</v>
      </c>
      <c r="B201" s="11" t="inlineStr">
        <is>
          <t>MB-FORM-03</t>
        </is>
      </c>
      <c r="C201" s="5" t="inlineStr">
        <is>
          <t>Slot waktu harus menaik dan tidak boleh kembar</t>
        </is>
      </c>
      <c r="D201" s="12" t="inlineStr">
        <is>
          <t>Pressing</t>
        </is>
      </c>
      <c r="E201" s="5" t="inlineStr">
        <is>
          <t>OPR-A</t>
        </is>
      </c>
      <c r="F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G201" s="13" t="inlineStr">
        <is>
          <t>Tinggi</t>
        </is>
      </c>
      <c r="H201" s="18" t="n"/>
      <c r="I201" s="18" t="n"/>
      <c r="J201" s="18" t="n"/>
      <c r="K201" s="18" t="n"/>
      <c r="L201" s="18" t="n"/>
    </row>
    <row r="202" ht="96.39999999999999" customHeight="1">
      <c r="A202" s="14" t="n">
        <v>198</v>
      </c>
      <c r="B202" s="16" t="inlineStr">
        <is>
          <t>MB-FORM-03</t>
        </is>
      </c>
      <c r="C202" s="15" t="inlineStr">
        <is>
          <t>Slot waktu harus menaik dan tidak boleh kembar</t>
        </is>
      </c>
      <c r="D202" s="17" t="inlineStr">
        <is>
          <t>Clarification</t>
        </is>
      </c>
      <c r="E202" s="15" t="inlineStr">
        <is>
          <t>OPR-A</t>
        </is>
      </c>
      <c r="F202" s="15" t="inlineStr">
        <is>
          <t>- Langkah 4: pemilih baris kedua tidak lagi menawarkan slot yang sudah dipakai, dan tidak menawarkan slot yang lebih awal.
- Langkah 5 dan 6: tidak dapat dipilih — atau bila terpilih, Simpan ditolak dengan pesan yang menyebut urutan slot.
- Langkah 7: berhasil.</t>
        </is>
      </c>
      <c r="G202" s="13" t="inlineStr">
        <is>
          <t>Tinggi</t>
        </is>
      </c>
      <c r="H202" s="18" t="n"/>
      <c r="I202" s="18" t="n"/>
      <c r="J202" s="18" t="n"/>
      <c r="K202" s="18" t="n"/>
      <c r="L202" s="18" t="n"/>
    </row>
    <row r="203" ht="96.39999999999999" customHeight="1">
      <c r="A203" s="10" t="n">
        <v>199</v>
      </c>
      <c r="B203" s="11" t="inlineStr">
        <is>
          <t>MB-FORM-03</t>
        </is>
      </c>
      <c r="C203" s="5" t="inlineStr">
        <is>
          <t>Slot waktu harus menaik dan tidak boleh kembar</t>
        </is>
      </c>
      <c r="D203" s="12" t="inlineStr">
        <is>
          <t>Kernel Plant</t>
        </is>
      </c>
      <c r="E203" s="5" t="inlineStr">
        <is>
          <t>OPR-A</t>
        </is>
      </c>
      <c r="F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G203" s="13" t="inlineStr">
        <is>
          <t>Tinggi</t>
        </is>
      </c>
      <c r="H203" s="18" t="n"/>
      <c r="I203" s="18" t="n"/>
      <c r="J203" s="18" t="n"/>
      <c r="K203" s="18" t="n"/>
      <c r="L203" s="18" t="n"/>
    </row>
    <row r="204" ht="96.39999999999999" customHeight="1">
      <c r="A204" s="14" t="n">
        <v>200</v>
      </c>
      <c r="B204" s="16" t="inlineStr">
        <is>
          <t>MB-FORM-03</t>
        </is>
      </c>
      <c r="C204" s="15" t="inlineStr">
        <is>
          <t>Slot waktu harus menaik dan tidak boleh kembar</t>
        </is>
      </c>
      <c r="D204" s="17" t="inlineStr">
        <is>
          <t>Boiler Room</t>
        </is>
      </c>
      <c r="E204" s="15" t="inlineStr">
        <is>
          <t>OPR-A</t>
        </is>
      </c>
      <c r="F204" s="15" t="inlineStr">
        <is>
          <t>- Langkah 4: pemilih baris kedua tidak lagi menawarkan slot yang sudah dipakai, dan tidak menawarkan slot yang lebih awal.
- Langkah 5 dan 6: tidak dapat dipilih — atau bila terpilih, Simpan ditolak dengan pesan yang menyebut urutan slot.
- Langkah 7: berhasil.</t>
        </is>
      </c>
      <c r="G204" s="13" t="inlineStr">
        <is>
          <t>Tinggi</t>
        </is>
      </c>
      <c r="H204" s="18" t="n"/>
      <c r="I204" s="18" t="n"/>
      <c r="J204" s="18" t="n"/>
      <c r="K204" s="18" t="n"/>
      <c r="L204" s="18" t="n"/>
    </row>
    <row r="205" ht="96.39999999999999" customHeight="1">
      <c r="A205" s="10" t="n">
        <v>201</v>
      </c>
      <c r="B205" s="11" t="inlineStr">
        <is>
          <t>MB-FORM-03</t>
        </is>
      </c>
      <c r="C205" s="5" t="inlineStr">
        <is>
          <t>Slot waktu harus menaik dan tidak boleh kembar</t>
        </is>
      </c>
      <c r="D205" s="12" t="inlineStr">
        <is>
          <t>Effluent Plant</t>
        </is>
      </c>
      <c r="E205" s="5" t="inlineStr">
        <is>
          <t>OPR-A</t>
        </is>
      </c>
      <c r="F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G205" s="13" t="inlineStr">
        <is>
          <t>Tinggi</t>
        </is>
      </c>
      <c r="H205" s="18" t="n"/>
      <c r="I205" s="18" t="n"/>
      <c r="J205" s="18" t="n"/>
      <c r="K205" s="18" t="n"/>
      <c r="L205" s="18" t="n"/>
    </row>
    <row r="206" ht="96.39999999999999" customHeight="1">
      <c r="A206" s="14" t="n">
        <v>202</v>
      </c>
      <c r="B206" s="16" t="inlineStr">
        <is>
          <t>MB-FORM-03</t>
        </is>
      </c>
      <c r="C206" s="15" t="inlineStr">
        <is>
          <t>Slot waktu harus menaik dan tidak boleh kembar</t>
        </is>
      </c>
      <c r="D206" s="17" t="inlineStr">
        <is>
          <t>Depricarping</t>
        </is>
      </c>
      <c r="E206" s="15" t="inlineStr">
        <is>
          <t>OPR-A</t>
        </is>
      </c>
      <c r="F206" s="15" t="inlineStr">
        <is>
          <t>- Langkah 4: pemilih baris kedua tidak lagi menawarkan slot yang sudah dipakai, dan tidak menawarkan slot yang lebih awal.
- Langkah 5 dan 6: tidak dapat dipilih — atau bila terpilih, Simpan ditolak dengan pesan yang menyebut urutan slot.
- Langkah 7: berhasil.</t>
        </is>
      </c>
      <c r="G206" s="13" t="inlineStr">
        <is>
          <t>Tinggi</t>
        </is>
      </c>
      <c r="H206" s="18" t="n"/>
      <c r="I206" s="18" t="n"/>
      <c r="J206" s="18" t="n"/>
      <c r="K206" s="18" t="n"/>
      <c r="L206" s="18" t="n"/>
    </row>
    <row r="207" ht="96.39999999999999" customHeight="1">
      <c r="A207" s="10" t="n">
        <v>203</v>
      </c>
      <c r="B207" s="11" t="inlineStr">
        <is>
          <t>MB-FORM-03</t>
        </is>
      </c>
      <c r="C207" s="5" t="inlineStr">
        <is>
          <t>Slot waktu harus menaik dan tidak boleh kembar</t>
        </is>
      </c>
      <c r="D207" s="12" t="inlineStr">
        <is>
          <t>Engine Room</t>
        </is>
      </c>
      <c r="E207" s="5" t="inlineStr">
        <is>
          <t>OPR-A</t>
        </is>
      </c>
      <c r="F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G207" s="13" t="inlineStr">
        <is>
          <t>Tinggi</t>
        </is>
      </c>
      <c r="H207" s="18" t="n"/>
      <c r="I207" s="18" t="n"/>
      <c r="J207" s="18" t="n"/>
      <c r="K207" s="18" t="n"/>
      <c r="L207" s="18" t="n"/>
    </row>
    <row r="208" ht="96.39999999999999" customHeight="1">
      <c r="A208" s="14" t="n">
        <v>204</v>
      </c>
      <c r="B208" s="16" t="inlineStr">
        <is>
          <t>MB-FORM-03</t>
        </is>
      </c>
      <c r="C208" s="15" t="inlineStr">
        <is>
          <t>Slot waktu harus menaik dan tidak boleh kembar</t>
        </is>
      </c>
      <c r="D208" s="17" t="inlineStr">
        <is>
          <t>Process Water</t>
        </is>
      </c>
      <c r="E208" s="15" t="inlineStr">
        <is>
          <t>OPR-A</t>
        </is>
      </c>
      <c r="F208" s="15" t="inlineStr">
        <is>
          <t>- Langkah 4: pemilih baris kedua tidak lagi menawarkan slot yang sudah dipakai, dan tidak menawarkan slot yang lebih awal.
- Langkah 5 dan 6: tidak dapat dipilih — atau bila terpilih, Simpan ditolak dengan pesan yang menyebut urutan slot.
- Langkah 7: berhasil.</t>
        </is>
      </c>
      <c r="G208" s="13" t="inlineStr">
        <is>
          <t>Tinggi</t>
        </is>
      </c>
      <c r="H208" s="18" t="n"/>
      <c r="I208" s="18" t="n"/>
      <c r="J208" s="18" t="n"/>
      <c r="K208" s="18" t="n"/>
      <c r="L208" s="18" t="n"/>
    </row>
    <row r="209" ht="96.39999999999999" customHeight="1">
      <c r="A209" s="10" t="n">
        <v>205</v>
      </c>
      <c r="B209" s="11" t="inlineStr">
        <is>
          <t>MB-FORM-03</t>
        </is>
      </c>
      <c r="C209" s="5" t="inlineStr">
        <is>
          <t>Slot waktu harus menaik dan tidak boleh kembar</t>
        </is>
      </c>
      <c r="D209" s="12" t="inlineStr">
        <is>
          <t>Storage Tank</t>
        </is>
      </c>
      <c r="E209" s="5" t="inlineStr">
        <is>
          <t>OPR-A</t>
        </is>
      </c>
      <c r="F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G209" s="13" t="inlineStr">
        <is>
          <t>Tinggi</t>
        </is>
      </c>
      <c r="H209" s="18" t="n"/>
      <c r="I209" s="18" t="n"/>
      <c r="J209" s="18" t="n"/>
      <c r="K209" s="18" t="n"/>
      <c r="L209" s="18" t="n"/>
    </row>
    <row r="210" ht="96.39999999999999" customHeight="1">
      <c r="A210" s="14" t="n">
        <v>206</v>
      </c>
      <c r="B210" s="16" t="inlineStr">
        <is>
          <t>MB-FORM-03</t>
        </is>
      </c>
      <c r="C210" s="15" t="inlineStr">
        <is>
          <t>Slot waktu harus menaik dan tidak boleh kembar</t>
        </is>
      </c>
      <c r="D210" s="17" t="inlineStr">
        <is>
          <t>Solid Waste Disposal</t>
        </is>
      </c>
      <c r="E210" s="15" t="inlineStr">
        <is>
          <t>OPR-A</t>
        </is>
      </c>
      <c r="F210" s="15" t="inlineStr">
        <is>
          <t>- Langkah 4: pemilih baris kedua tidak lagi menawarkan slot yang sudah dipakai, dan tidak menawarkan slot yang lebih awal.
- Langkah 5 dan 6: tidak dapat dipilih — atau bila terpilih, Simpan ditolak dengan pesan yang menyebut urutan slot.
- Langkah 7: berhasil.</t>
        </is>
      </c>
      <c r="G210" s="13" t="inlineStr">
        <is>
          <t>Tinggi</t>
        </is>
      </c>
      <c r="H210" s="18" t="n"/>
      <c r="I210" s="18" t="n"/>
      <c r="J210" s="18" t="n"/>
      <c r="K210" s="18" t="n"/>
      <c r="L210" s="18" t="n"/>
    </row>
    <row r="211" ht="17.2" customHeight="1">
      <c r="A211" s="10" t="n">
        <v>207</v>
      </c>
      <c r="B211" s="11" t="inlineStr">
        <is>
          <t>MB-FORM-03</t>
        </is>
      </c>
      <c r="C211" s="5" t="inlineStr">
        <is>
          <t>Slot waktu harus menaik dan tidak boleh kembar</t>
        </is>
      </c>
      <c r="D211" s="12" t="inlineStr">
        <is>
          <t>Kernel Dispatch</t>
        </is>
      </c>
      <c r="E211" s="5" t="inlineStr">
        <is>
          <t>OPR-A</t>
        </is>
      </c>
      <c r="F211" s="19" t="inlineStr">
        <is>
          <t>Tidak berlaku — stasiun per-transaksi, pakai MB-FORM-11</t>
        </is>
      </c>
      <c r="G211" s="13" t="inlineStr">
        <is>
          <t>Tinggi</t>
        </is>
      </c>
      <c r="H211" s="20" t="n"/>
      <c r="I211" s="20" t="n"/>
      <c r="J211" s="20" t="n"/>
      <c r="K211" s="20" t="n"/>
      <c r="L211" s="20" t="n"/>
    </row>
    <row r="212" ht="17.2" customHeight="1">
      <c r="A212" s="14" t="n">
        <v>208</v>
      </c>
      <c r="B212" s="16" t="inlineStr">
        <is>
          <t>MB-FORM-03</t>
        </is>
      </c>
      <c r="C212" s="15" t="inlineStr">
        <is>
          <t>Slot waktu harus menaik dan tidak boleh kembar</t>
        </is>
      </c>
      <c r="D212" s="17" t="inlineStr">
        <is>
          <t>CPO Dispatch</t>
        </is>
      </c>
      <c r="E212" s="15" t="inlineStr">
        <is>
          <t>OPR-A</t>
        </is>
      </c>
      <c r="F212" s="19" t="inlineStr">
        <is>
          <t>Tidak berlaku — stasiun per-transaksi, pakai MB-FORM-11</t>
        </is>
      </c>
      <c r="G212" s="13" t="inlineStr">
        <is>
          <t>Tinggi</t>
        </is>
      </c>
      <c r="H212" s="20" t="n"/>
      <c r="I212" s="20" t="n"/>
      <c r="J212" s="20" t="n"/>
      <c r="K212" s="20" t="n"/>
      <c r="L212" s="20" t="n"/>
    </row>
    <row r="213" ht="96.39999999999999" customHeight="1">
      <c r="A213" s="10" t="n">
        <v>209</v>
      </c>
      <c r="B213" s="11" t="inlineStr">
        <is>
          <t>MB-FORM-03</t>
        </is>
      </c>
      <c r="C213" s="5" t="inlineStr">
        <is>
          <t>Slot waktu harus menaik dan tidak boleh kembar</t>
        </is>
      </c>
      <c r="D213" s="12" t="inlineStr">
        <is>
          <t>Process Quality Control</t>
        </is>
      </c>
      <c r="E213" s="5" t="inlineStr">
        <is>
          <t>OPR-A</t>
        </is>
      </c>
      <c r="F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G213" s="13" t="inlineStr">
        <is>
          <t>Tinggi</t>
        </is>
      </c>
      <c r="H213" s="18" t="n"/>
      <c r="I213" s="18" t="n"/>
      <c r="J213" s="18" t="n"/>
      <c r="K213" s="18" t="n"/>
      <c r="L213" s="18" t="n"/>
    </row>
    <row r="214" ht="17.2" customHeight="1">
      <c r="A214" s="14" t="n">
        <v>210</v>
      </c>
      <c r="B214" s="16" t="inlineStr">
        <is>
          <t>MB-FORM-04</t>
        </is>
      </c>
      <c r="C214" s="15" t="inlineStr">
        <is>
          <t>Urutan slot mengikuti 07:00 → 06:00, bukan 00:00 → 23:00</t>
        </is>
      </c>
      <c r="D214" s="17" t="inlineStr">
        <is>
          <t>Weighbridge</t>
        </is>
      </c>
      <c r="E214" s="15" t="inlineStr">
        <is>
          <t>OPR-A</t>
        </is>
      </c>
      <c r="F214" s="19" t="inlineStr">
        <is>
          <t>Tidak berlaku — stasiun per-transaksi, pakai MB-FORM-11</t>
        </is>
      </c>
      <c r="G214" s="13" t="inlineStr">
        <is>
          <t>Tinggi</t>
        </is>
      </c>
      <c r="H214" s="20" t="n"/>
      <c r="I214" s="20" t="n"/>
      <c r="J214" s="20" t="n"/>
      <c r="K214" s="20" t="n"/>
      <c r="L214" s="20" t="n"/>
    </row>
    <row r="215" ht="17.2" customHeight="1">
      <c r="A215" s="10" t="n">
        <v>211</v>
      </c>
      <c r="B215" s="11" t="inlineStr">
        <is>
          <t>MB-FORM-04</t>
        </is>
      </c>
      <c r="C215" s="5" t="inlineStr">
        <is>
          <t>Urutan slot mengikuti 07:00 → 06:00, bukan 00:00 → 23:00</t>
        </is>
      </c>
      <c r="D215" s="12" t="inlineStr">
        <is>
          <t>Grading</t>
        </is>
      </c>
      <c r="E215" s="5" t="inlineStr">
        <is>
          <t>OPR-A</t>
        </is>
      </c>
      <c r="F215" s="19" t="inlineStr">
        <is>
          <t>Tidak berlaku — stasiun per-transaksi, pakai MB-FORM-11</t>
        </is>
      </c>
      <c r="G215" s="13" t="inlineStr">
        <is>
          <t>Tinggi</t>
        </is>
      </c>
      <c r="H215" s="20" t="n"/>
      <c r="I215" s="20" t="n"/>
      <c r="J215" s="20" t="n"/>
      <c r="K215" s="20" t="n"/>
      <c r="L215" s="20" t="n"/>
    </row>
    <row r="216" ht="83.19999999999999" customHeight="1">
      <c r="A216" s="14" t="n">
        <v>212</v>
      </c>
      <c r="B216" s="16" t="inlineStr">
        <is>
          <t>MB-FORM-04</t>
        </is>
      </c>
      <c r="C216" s="15" t="inlineStr">
        <is>
          <t>Urutan slot mengikuti 07:00 → 06:00, bukan 00:00 → 23:00</t>
        </is>
      </c>
      <c r="D216" s="17" t="inlineStr">
        <is>
          <t>Cages Track</t>
        </is>
      </c>
      <c r="E216" s="15" t="inlineStr">
        <is>
          <t>OPR-A</t>
        </is>
      </c>
      <c r="F216" s="15" t="inlineStr">
        <is>
          <t>- Pilihan pertama adalah 07:00, bukan 00:00.
- Sesudah 23:00 menyusul 00:00, bukan selesai.
- Pilihan terakhir adalah 06:00.
- Jumlah pilihannya 24.
- Jadi 01:00 berada sesudah 23:00 — itu benar, bukan bug (lihat bagian 11.4).</t>
        </is>
      </c>
      <c r="G216" s="13" t="inlineStr">
        <is>
          <t>Tinggi</t>
        </is>
      </c>
      <c r="H216" s="18" t="n"/>
      <c r="I216" s="18" t="n"/>
      <c r="J216" s="18" t="n"/>
      <c r="K216" s="18" t="n"/>
      <c r="L216" s="18" t="n"/>
    </row>
    <row r="217" ht="83.19999999999999" customHeight="1">
      <c r="A217" s="10" t="n">
        <v>213</v>
      </c>
      <c r="B217" s="11" t="inlineStr">
        <is>
          <t>MB-FORM-04</t>
        </is>
      </c>
      <c r="C217" s="5" t="inlineStr">
        <is>
          <t>Urutan slot mengikuti 07:00 → 06:00, bukan 00:00 → 23:00</t>
        </is>
      </c>
      <c r="D217" s="12" t="inlineStr">
        <is>
          <t>Sterilizer</t>
        </is>
      </c>
      <c r="E217" s="5" t="inlineStr">
        <is>
          <t>OPR-A</t>
        </is>
      </c>
      <c r="F217" s="5" t="inlineStr">
        <is>
          <t>- Pilihan pertama adalah 07:00, bukan 00:00.
- Sesudah 23:00 menyusul 00:00, bukan selesai.
- Pilihan terakhir adalah 06:00.
- Jumlah pilihannya 24.
- Jadi 01:00 berada sesudah 23:00 — itu benar, bukan bug (lihat bagian 11.4).</t>
        </is>
      </c>
      <c r="G217" s="13" t="inlineStr">
        <is>
          <t>Tinggi</t>
        </is>
      </c>
      <c r="H217" s="18" t="n"/>
      <c r="I217" s="18" t="n"/>
      <c r="J217" s="18" t="n"/>
      <c r="K217" s="18" t="n"/>
      <c r="L217" s="18" t="n"/>
    </row>
    <row r="218" ht="83.19999999999999" customHeight="1">
      <c r="A218" s="14" t="n">
        <v>214</v>
      </c>
      <c r="B218" s="16" t="inlineStr">
        <is>
          <t>MB-FORM-04</t>
        </is>
      </c>
      <c r="C218" s="15" t="inlineStr">
        <is>
          <t>Urutan slot mengikuti 07:00 → 06:00, bukan 00:00 → 23:00</t>
        </is>
      </c>
      <c r="D218" s="17" t="inlineStr">
        <is>
          <t>Threshing</t>
        </is>
      </c>
      <c r="E218" s="15" t="inlineStr">
        <is>
          <t>OPR-A</t>
        </is>
      </c>
      <c r="F218" s="15" t="inlineStr">
        <is>
          <t>- Pilihan pertama adalah 07:00, bukan 00:00.
- Sesudah 23:00 menyusul 00:00, bukan selesai.
- Pilihan terakhir adalah 06:00.
- Jumlah pilihannya 24.
- Jadi 01:00 berada sesudah 23:00 — itu benar, bukan bug (lihat bagian 11.4).</t>
        </is>
      </c>
      <c r="G218" s="13" t="inlineStr">
        <is>
          <t>Tinggi</t>
        </is>
      </c>
      <c r="H218" s="18" t="n"/>
      <c r="I218" s="18" t="n"/>
      <c r="J218" s="18" t="n"/>
      <c r="K218" s="18" t="n"/>
      <c r="L218" s="18" t="n"/>
    </row>
    <row r="219" ht="83.19999999999999" customHeight="1">
      <c r="A219" s="10" t="n">
        <v>215</v>
      </c>
      <c r="B219" s="11" t="inlineStr">
        <is>
          <t>MB-FORM-04</t>
        </is>
      </c>
      <c r="C219" s="5" t="inlineStr">
        <is>
          <t>Urutan slot mengikuti 07:00 → 06:00, bukan 00:00 → 23:00</t>
        </is>
      </c>
      <c r="D219" s="12" t="inlineStr">
        <is>
          <t>Pressing</t>
        </is>
      </c>
      <c r="E219" s="5" t="inlineStr">
        <is>
          <t>OPR-A</t>
        </is>
      </c>
      <c r="F219" s="5" t="inlineStr">
        <is>
          <t>- Pilihan pertama adalah 07:00, bukan 00:00.
- Sesudah 23:00 menyusul 00:00, bukan selesai.
- Pilihan terakhir adalah 06:00.
- Jumlah pilihannya 24.
- Jadi 01:00 berada sesudah 23:00 — itu benar, bukan bug (lihat bagian 11.4).</t>
        </is>
      </c>
      <c r="G219" s="13" t="inlineStr">
        <is>
          <t>Tinggi</t>
        </is>
      </c>
      <c r="H219" s="18" t="n"/>
      <c r="I219" s="18" t="n"/>
      <c r="J219" s="18" t="n"/>
      <c r="K219" s="18" t="n"/>
      <c r="L219" s="18" t="n"/>
    </row>
    <row r="220" ht="83.19999999999999" customHeight="1">
      <c r="A220" s="14" t="n">
        <v>216</v>
      </c>
      <c r="B220" s="16" t="inlineStr">
        <is>
          <t>MB-FORM-04</t>
        </is>
      </c>
      <c r="C220" s="15" t="inlineStr">
        <is>
          <t>Urutan slot mengikuti 07:00 → 06:00, bukan 00:00 → 23:00</t>
        </is>
      </c>
      <c r="D220" s="17" t="inlineStr">
        <is>
          <t>Clarification</t>
        </is>
      </c>
      <c r="E220" s="15" t="inlineStr">
        <is>
          <t>OPR-A</t>
        </is>
      </c>
      <c r="F220" s="15" t="inlineStr">
        <is>
          <t>- Pilihan pertama adalah 07:00, bukan 00:00.
- Sesudah 23:00 menyusul 00:00, bukan selesai.
- Pilihan terakhir adalah 06:00.
- Jumlah pilihannya 24.
- Jadi 01:00 berada sesudah 23:00 — itu benar, bukan bug (lihat bagian 11.4).</t>
        </is>
      </c>
      <c r="G220" s="13" t="inlineStr">
        <is>
          <t>Tinggi</t>
        </is>
      </c>
      <c r="H220" s="18" t="n"/>
      <c r="I220" s="18" t="n"/>
      <c r="J220" s="18" t="n"/>
      <c r="K220" s="18" t="n"/>
      <c r="L220" s="18" t="n"/>
    </row>
    <row r="221" ht="83.19999999999999" customHeight="1">
      <c r="A221" s="10" t="n">
        <v>217</v>
      </c>
      <c r="B221" s="11" t="inlineStr">
        <is>
          <t>MB-FORM-04</t>
        </is>
      </c>
      <c r="C221" s="5" t="inlineStr">
        <is>
          <t>Urutan slot mengikuti 07:00 → 06:00, bukan 00:00 → 23:00</t>
        </is>
      </c>
      <c r="D221" s="12" t="inlineStr">
        <is>
          <t>Kernel Plant</t>
        </is>
      </c>
      <c r="E221" s="5" t="inlineStr">
        <is>
          <t>OPR-A</t>
        </is>
      </c>
      <c r="F221" s="5" t="inlineStr">
        <is>
          <t>- Pilihan pertama adalah 07:00, bukan 00:00.
- Sesudah 23:00 menyusul 00:00, bukan selesai.
- Pilihan terakhir adalah 06:00.
- Jumlah pilihannya 24.
- Jadi 01:00 berada sesudah 23:00 — itu benar, bukan bug (lihat bagian 11.4).</t>
        </is>
      </c>
      <c r="G221" s="13" t="inlineStr">
        <is>
          <t>Tinggi</t>
        </is>
      </c>
      <c r="H221" s="18" t="n"/>
      <c r="I221" s="18" t="n"/>
      <c r="J221" s="18" t="n"/>
      <c r="K221" s="18" t="n"/>
      <c r="L221" s="18" t="n"/>
    </row>
    <row r="222" ht="83.19999999999999" customHeight="1">
      <c r="A222" s="14" t="n">
        <v>218</v>
      </c>
      <c r="B222" s="16" t="inlineStr">
        <is>
          <t>MB-FORM-04</t>
        </is>
      </c>
      <c r="C222" s="15" t="inlineStr">
        <is>
          <t>Urutan slot mengikuti 07:00 → 06:00, bukan 00:00 → 23:00</t>
        </is>
      </c>
      <c r="D222" s="17" t="inlineStr">
        <is>
          <t>Boiler Room</t>
        </is>
      </c>
      <c r="E222" s="15" t="inlineStr">
        <is>
          <t>OPR-A</t>
        </is>
      </c>
      <c r="F222" s="15" t="inlineStr">
        <is>
          <t>- Pilihan pertama adalah 07:00, bukan 00:00.
- Sesudah 23:00 menyusul 00:00, bukan selesai.
- Pilihan terakhir adalah 06:00.
- Jumlah pilihannya 24.
- Jadi 01:00 berada sesudah 23:00 — itu benar, bukan bug (lihat bagian 11.4).</t>
        </is>
      </c>
      <c r="G222" s="13" t="inlineStr">
        <is>
          <t>Tinggi</t>
        </is>
      </c>
      <c r="H222" s="18" t="n"/>
      <c r="I222" s="18" t="n"/>
      <c r="J222" s="18" t="n"/>
      <c r="K222" s="18" t="n"/>
      <c r="L222" s="18" t="n"/>
    </row>
    <row r="223" ht="83.19999999999999" customHeight="1">
      <c r="A223" s="10" t="n">
        <v>219</v>
      </c>
      <c r="B223" s="11" t="inlineStr">
        <is>
          <t>MB-FORM-04</t>
        </is>
      </c>
      <c r="C223" s="5" t="inlineStr">
        <is>
          <t>Urutan slot mengikuti 07:00 → 06:00, bukan 00:00 → 23:00</t>
        </is>
      </c>
      <c r="D223" s="12" t="inlineStr">
        <is>
          <t>Effluent Plant</t>
        </is>
      </c>
      <c r="E223" s="5" t="inlineStr">
        <is>
          <t>OPR-A</t>
        </is>
      </c>
      <c r="F223" s="5" t="inlineStr">
        <is>
          <t>- Pilihan pertama adalah 07:00, bukan 00:00.
- Sesudah 23:00 menyusul 00:00, bukan selesai.
- Pilihan terakhir adalah 06:00.
- Jumlah pilihannya 24.
- Jadi 01:00 berada sesudah 23:00 — itu benar, bukan bug (lihat bagian 11.4).</t>
        </is>
      </c>
      <c r="G223" s="13" t="inlineStr">
        <is>
          <t>Tinggi</t>
        </is>
      </c>
      <c r="H223" s="18" t="n"/>
      <c r="I223" s="18" t="n"/>
      <c r="J223" s="18" t="n"/>
      <c r="K223" s="18" t="n"/>
      <c r="L223" s="18" t="n"/>
    </row>
    <row r="224" ht="83.19999999999999" customHeight="1">
      <c r="A224" s="14" t="n">
        <v>220</v>
      </c>
      <c r="B224" s="16" t="inlineStr">
        <is>
          <t>MB-FORM-04</t>
        </is>
      </c>
      <c r="C224" s="15" t="inlineStr">
        <is>
          <t>Urutan slot mengikuti 07:00 → 06:00, bukan 00:00 → 23:00</t>
        </is>
      </c>
      <c r="D224" s="17" t="inlineStr">
        <is>
          <t>Depricarping</t>
        </is>
      </c>
      <c r="E224" s="15" t="inlineStr">
        <is>
          <t>OPR-A</t>
        </is>
      </c>
      <c r="F224" s="15" t="inlineStr">
        <is>
          <t>- Pilihan pertama adalah 07:00, bukan 00:00.
- Sesudah 23:00 menyusul 00:00, bukan selesai.
- Pilihan terakhir adalah 06:00.
- Jumlah pilihannya 24.
- Jadi 01:00 berada sesudah 23:00 — itu benar, bukan bug (lihat bagian 11.4).</t>
        </is>
      </c>
      <c r="G224" s="13" t="inlineStr">
        <is>
          <t>Tinggi</t>
        </is>
      </c>
      <c r="H224" s="18" t="n"/>
      <c r="I224" s="18" t="n"/>
      <c r="J224" s="18" t="n"/>
      <c r="K224" s="18" t="n"/>
      <c r="L224" s="18" t="n"/>
    </row>
    <row r="225" ht="83.19999999999999" customHeight="1">
      <c r="A225" s="10" t="n">
        <v>221</v>
      </c>
      <c r="B225" s="11" t="inlineStr">
        <is>
          <t>MB-FORM-04</t>
        </is>
      </c>
      <c r="C225" s="5" t="inlineStr">
        <is>
          <t>Urutan slot mengikuti 07:00 → 06:00, bukan 00:00 → 23:00</t>
        </is>
      </c>
      <c r="D225" s="12" t="inlineStr">
        <is>
          <t>Engine Room</t>
        </is>
      </c>
      <c r="E225" s="5" t="inlineStr">
        <is>
          <t>OPR-A</t>
        </is>
      </c>
      <c r="F225" s="5" t="inlineStr">
        <is>
          <t>- Pilihan pertama adalah 07:00, bukan 00:00.
- Sesudah 23:00 menyusul 00:00, bukan selesai.
- Pilihan terakhir adalah 06:00.
- Jumlah pilihannya 24.
- Jadi 01:00 berada sesudah 23:00 — itu benar, bukan bug (lihat bagian 11.4).</t>
        </is>
      </c>
      <c r="G225" s="13" t="inlineStr">
        <is>
          <t>Tinggi</t>
        </is>
      </c>
      <c r="H225" s="18" t="n"/>
      <c r="I225" s="18" t="n"/>
      <c r="J225" s="18" t="n"/>
      <c r="K225" s="18" t="n"/>
      <c r="L225" s="18" t="n"/>
    </row>
    <row r="226" ht="83.19999999999999" customHeight="1">
      <c r="A226" s="14" t="n">
        <v>222</v>
      </c>
      <c r="B226" s="16" t="inlineStr">
        <is>
          <t>MB-FORM-04</t>
        </is>
      </c>
      <c r="C226" s="15" t="inlineStr">
        <is>
          <t>Urutan slot mengikuti 07:00 → 06:00, bukan 00:00 → 23:00</t>
        </is>
      </c>
      <c r="D226" s="17" t="inlineStr">
        <is>
          <t>Process Water</t>
        </is>
      </c>
      <c r="E226" s="15" t="inlineStr">
        <is>
          <t>OPR-A</t>
        </is>
      </c>
      <c r="F226" s="15" t="inlineStr">
        <is>
          <t>- Pilihan pertama adalah 07:00, bukan 00:00.
- Sesudah 23:00 menyusul 00:00, bukan selesai.
- Pilihan terakhir adalah 06:00.
- Jumlah pilihannya 24.
- Jadi 01:00 berada sesudah 23:00 — itu benar, bukan bug (lihat bagian 11.4).</t>
        </is>
      </c>
      <c r="G226" s="13" t="inlineStr">
        <is>
          <t>Tinggi</t>
        </is>
      </c>
      <c r="H226" s="18" t="n"/>
      <c r="I226" s="18" t="n"/>
      <c r="J226" s="18" t="n"/>
      <c r="K226" s="18" t="n"/>
      <c r="L226" s="18" t="n"/>
    </row>
    <row r="227" ht="83.19999999999999" customHeight="1">
      <c r="A227" s="10" t="n">
        <v>223</v>
      </c>
      <c r="B227" s="11" t="inlineStr">
        <is>
          <t>MB-FORM-04</t>
        </is>
      </c>
      <c r="C227" s="5" t="inlineStr">
        <is>
          <t>Urutan slot mengikuti 07:00 → 06:00, bukan 00:00 → 23:00</t>
        </is>
      </c>
      <c r="D227" s="12" t="inlineStr">
        <is>
          <t>Storage Tank</t>
        </is>
      </c>
      <c r="E227" s="5" t="inlineStr">
        <is>
          <t>OPR-A</t>
        </is>
      </c>
      <c r="F227" s="5" t="inlineStr">
        <is>
          <t>- Pilihan pertama adalah 07:00, bukan 00:00.
- Sesudah 23:00 menyusul 00:00, bukan selesai.
- Pilihan terakhir adalah 06:00.
- Jumlah pilihannya 24.
- Jadi 01:00 berada sesudah 23:00 — itu benar, bukan bug (lihat bagian 11.4).</t>
        </is>
      </c>
      <c r="G227" s="13" t="inlineStr">
        <is>
          <t>Tinggi</t>
        </is>
      </c>
      <c r="H227" s="18" t="n"/>
      <c r="I227" s="18" t="n"/>
      <c r="J227" s="18" t="n"/>
      <c r="K227" s="18" t="n"/>
      <c r="L227" s="18" t="n"/>
    </row>
    <row r="228" ht="83.19999999999999" customHeight="1">
      <c r="A228" s="14" t="n">
        <v>224</v>
      </c>
      <c r="B228" s="16" t="inlineStr">
        <is>
          <t>MB-FORM-04</t>
        </is>
      </c>
      <c r="C228" s="15" t="inlineStr">
        <is>
          <t>Urutan slot mengikuti 07:00 → 06:00, bukan 00:00 → 23:00</t>
        </is>
      </c>
      <c r="D228" s="17" t="inlineStr">
        <is>
          <t>Solid Waste Disposal</t>
        </is>
      </c>
      <c r="E228" s="15" t="inlineStr">
        <is>
          <t>OPR-A</t>
        </is>
      </c>
      <c r="F228" s="15" t="inlineStr">
        <is>
          <t>- Pilihan pertama adalah 07:00, bukan 00:00.
- Sesudah 23:00 menyusul 00:00, bukan selesai.
- Pilihan terakhir adalah 06:00.
- Jumlah pilihannya 24.
- Jadi 01:00 berada sesudah 23:00 — itu benar, bukan bug (lihat bagian 11.4).</t>
        </is>
      </c>
      <c r="G228" s="13" t="inlineStr">
        <is>
          <t>Tinggi</t>
        </is>
      </c>
      <c r="H228" s="18" t="n"/>
      <c r="I228" s="18" t="n"/>
      <c r="J228" s="18" t="n"/>
      <c r="K228" s="18" t="n"/>
      <c r="L228" s="18" t="n"/>
    </row>
    <row r="229" ht="17.2" customHeight="1">
      <c r="A229" s="10" t="n">
        <v>225</v>
      </c>
      <c r="B229" s="11" t="inlineStr">
        <is>
          <t>MB-FORM-04</t>
        </is>
      </c>
      <c r="C229" s="5" t="inlineStr">
        <is>
          <t>Urutan slot mengikuti 07:00 → 06:00, bukan 00:00 → 23:00</t>
        </is>
      </c>
      <c r="D229" s="12" t="inlineStr">
        <is>
          <t>Kernel Dispatch</t>
        </is>
      </c>
      <c r="E229" s="5" t="inlineStr">
        <is>
          <t>OPR-A</t>
        </is>
      </c>
      <c r="F229" s="19" t="inlineStr">
        <is>
          <t>Tidak berlaku — stasiun per-transaksi, pakai MB-FORM-11</t>
        </is>
      </c>
      <c r="G229" s="13" t="inlineStr">
        <is>
          <t>Tinggi</t>
        </is>
      </c>
      <c r="H229" s="20" t="n"/>
      <c r="I229" s="20" t="n"/>
      <c r="J229" s="20" t="n"/>
      <c r="K229" s="20" t="n"/>
      <c r="L229" s="20" t="n"/>
    </row>
    <row r="230" ht="17.2" customHeight="1">
      <c r="A230" s="14" t="n">
        <v>226</v>
      </c>
      <c r="B230" s="16" t="inlineStr">
        <is>
          <t>MB-FORM-04</t>
        </is>
      </c>
      <c r="C230" s="15" t="inlineStr">
        <is>
          <t>Urutan slot mengikuti 07:00 → 06:00, bukan 00:00 → 23:00</t>
        </is>
      </c>
      <c r="D230" s="17" t="inlineStr">
        <is>
          <t>CPO Dispatch</t>
        </is>
      </c>
      <c r="E230" s="15" t="inlineStr">
        <is>
          <t>OPR-A</t>
        </is>
      </c>
      <c r="F230" s="19" t="inlineStr">
        <is>
          <t>Tidak berlaku — stasiun per-transaksi, pakai MB-FORM-11</t>
        </is>
      </c>
      <c r="G230" s="13" t="inlineStr">
        <is>
          <t>Tinggi</t>
        </is>
      </c>
      <c r="H230" s="20" t="n"/>
      <c r="I230" s="20" t="n"/>
      <c r="J230" s="20" t="n"/>
      <c r="K230" s="20" t="n"/>
      <c r="L230" s="20" t="n"/>
    </row>
    <row r="231" ht="83.19999999999999" customHeight="1">
      <c r="A231" s="10" t="n">
        <v>227</v>
      </c>
      <c r="B231" s="11" t="inlineStr">
        <is>
          <t>MB-FORM-04</t>
        </is>
      </c>
      <c r="C231" s="5" t="inlineStr">
        <is>
          <t>Urutan slot mengikuti 07:00 → 06:00, bukan 00:00 → 23:00</t>
        </is>
      </c>
      <c r="D231" s="12" t="inlineStr">
        <is>
          <t>Process Quality Control</t>
        </is>
      </c>
      <c r="E231" s="5" t="inlineStr">
        <is>
          <t>OPR-A</t>
        </is>
      </c>
      <c r="F231" s="5" t="inlineStr">
        <is>
          <t>- Pilihan pertama adalah 07:00, bukan 00:00.
- Sesudah 23:00 menyusul 00:00, bukan selesai.
- Pilihan terakhir adalah 06:00.
- Jumlah pilihannya 24.
- Jadi 01:00 berada sesudah 23:00 — itu benar, bukan bug (lihat bagian 11.4).</t>
        </is>
      </c>
      <c r="G231" s="13" t="inlineStr">
        <is>
          <t>Tinggi</t>
        </is>
      </c>
      <c r="H231" s="18" t="n"/>
      <c r="I231" s="18" t="n"/>
      <c r="J231" s="18" t="n"/>
      <c r="K231" s="18" t="n"/>
      <c r="L231" s="18" t="n"/>
    </row>
    <row r="232" ht="70" customHeight="1">
      <c r="A232" s="14" t="n">
        <v>228</v>
      </c>
      <c r="B232" s="16" t="inlineStr">
        <is>
          <t>MB-FORM-05</t>
        </is>
      </c>
      <c r="C232" s="15" t="inlineStr">
        <is>
          <t>Simpan ditolak bila tidak ada satu pun baris terisi</t>
        </is>
      </c>
      <c r="D232" s="17" t="inlineStr">
        <is>
          <t>Weighbridge</t>
        </is>
      </c>
      <c r="E232" s="15" t="inlineStr">
        <is>
          <t>OPR-A</t>
        </is>
      </c>
      <c r="F232" s="15" t="inlineStr">
        <is>
          <t>- Ditolak — record tidak tersimpan.
- Pesannya menyebut bahwa minimal satu baris harus punya slot waktu dan minimal satu kolom bacaan terisi.
- Pesannya muncul di bagian grid, bukan hanya di atas form.</t>
        </is>
      </c>
      <c r="G232" s="13" t="inlineStr">
        <is>
          <t>Tinggi</t>
        </is>
      </c>
      <c r="H232" s="18" t="n"/>
      <c r="I232" s="18" t="n"/>
      <c r="J232" s="18" t="n"/>
      <c r="K232" s="18" t="n"/>
      <c r="L232" s="18" t="n"/>
    </row>
    <row r="233" ht="70" customHeight="1">
      <c r="A233" s="10" t="n">
        <v>229</v>
      </c>
      <c r="B233" s="11" t="inlineStr">
        <is>
          <t>MB-FORM-05</t>
        </is>
      </c>
      <c r="C233" s="5" t="inlineStr">
        <is>
          <t>Simpan ditolak bila tidak ada satu pun baris terisi</t>
        </is>
      </c>
      <c r="D233" s="12" t="inlineStr">
        <is>
          <t>Grading</t>
        </is>
      </c>
      <c r="E233" s="5" t="inlineStr">
        <is>
          <t>OPR-A</t>
        </is>
      </c>
      <c r="F233" s="5" t="inlineStr">
        <is>
          <t>- Ditolak — record tidak tersimpan.
- Pesannya menyebut bahwa minimal satu baris harus punya slot waktu dan minimal satu kolom bacaan terisi.
- Pesannya muncul di bagian grid, bukan hanya di atas form.</t>
        </is>
      </c>
      <c r="G233" s="13" t="inlineStr">
        <is>
          <t>Tinggi</t>
        </is>
      </c>
      <c r="H233" s="18" t="n"/>
      <c r="I233" s="18" t="n"/>
      <c r="J233" s="18" t="n"/>
      <c r="K233" s="18" t="n"/>
      <c r="L233" s="18" t="n"/>
    </row>
    <row r="234" ht="70" customHeight="1">
      <c r="A234" s="14" t="n">
        <v>230</v>
      </c>
      <c r="B234" s="16" t="inlineStr">
        <is>
          <t>MB-FORM-05</t>
        </is>
      </c>
      <c r="C234" s="15" t="inlineStr">
        <is>
          <t>Simpan ditolak bila tidak ada satu pun baris terisi</t>
        </is>
      </c>
      <c r="D234" s="17" t="inlineStr">
        <is>
          <t>Cages Track</t>
        </is>
      </c>
      <c r="E234" s="15" t="inlineStr">
        <is>
          <t>OPR-A</t>
        </is>
      </c>
      <c r="F234" s="15" t="inlineStr">
        <is>
          <t>- Ditolak — record tidak tersimpan.
- Pesannya menyebut bahwa minimal satu baris harus punya slot waktu dan minimal satu kolom bacaan terisi.
- Pesannya muncul di bagian grid, bukan hanya di atas form.</t>
        </is>
      </c>
      <c r="G234" s="13" t="inlineStr">
        <is>
          <t>Tinggi</t>
        </is>
      </c>
      <c r="H234" s="18" t="n"/>
      <c r="I234" s="18" t="n"/>
      <c r="J234" s="18" t="n"/>
      <c r="K234" s="18" t="n"/>
      <c r="L234" s="18" t="n"/>
    </row>
    <row r="235" ht="70" customHeight="1">
      <c r="A235" s="10" t="n">
        <v>231</v>
      </c>
      <c r="B235" s="11" t="inlineStr">
        <is>
          <t>MB-FORM-05</t>
        </is>
      </c>
      <c r="C235" s="5" t="inlineStr">
        <is>
          <t>Simpan ditolak bila tidak ada satu pun baris terisi</t>
        </is>
      </c>
      <c r="D235" s="12" t="inlineStr">
        <is>
          <t>Sterilizer</t>
        </is>
      </c>
      <c r="E235" s="5" t="inlineStr">
        <is>
          <t>OPR-A</t>
        </is>
      </c>
      <c r="F235" s="5" t="inlineStr">
        <is>
          <t>- Ditolak — record tidak tersimpan.
- Pesannya menyebut bahwa minimal satu baris harus punya slot waktu dan minimal satu kolom bacaan terisi.
- Pesannya muncul di bagian grid, bukan hanya di atas form.</t>
        </is>
      </c>
      <c r="G235" s="13" t="inlineStr">
        <is>
          <t>Tinggi</t>
        </is>
      </c>
      <c r="H235" s="18" t="n"/>
      <c r="I235" s="18" t="n"/>
      <c r="J235" s="18" t="n"/>
      <c r="K235" s="18" t="n"/>
      <c r="L235" s="18" t="n"/>
    </row>
    <row r="236" ht="70" customHeight="1">
      <c r="A236" s="14" t="n">
        <v>232</v>
      </c>
      <c r="B236" s="16" t="inlineStr">
        <is>
          <t>MB-FORM-05</t>
        </is>
      </c>
      <c r="C236" s="15" t="inlineStr">
        <is>
          <t>Simpan ditolak bila tidak ada satu pun baris terisi</t>
        </is>
      </c>
      <c r="D236" s="17" t="inlineStr">
        <is>
          <t>Threshing</t>
        </is>
      </c>
      <c r="E236" s="15" t="inlineStr">
        <is>
          <t>OPR-A</t>
        </is>
      </c>
      <c r="F236" s="15" t="inlineStr">
        <is>
          <t>- Ditolak — record tidak tersimpan.
- Pesannya menyebut bahwa minimal satu baris harus punya slot waktu dan minimal satu kolom bacaan terisi.
- Pesannya muncul di bagian grid, bukan hanya di atas form.</t>
        </is>
      </c>
      <c r="G236" s="13" t="inlineStr">
        <is>
          <t>Tinggi</t>
        </is>
      </c>
      <c r="H236" s="18" t="n"/>
      <c r="I236" s="18" t="n"/>
      <c r="J236" s="18" t="n"/>
      <c r="K236" s="18" t="n"/>
      <c r="L236" s="18" t="n"/>
    </row>
    <row r="237" ht="70" customHeight="1">
      <c r="A237" s="10" t="n">
        <v>233</v>
      </c>
      <c r="B237" s="11" t="inlineStr">
        <is>
          <t>MB-FORM-05</t>
        </is>
      </c>
      <c r="C237" s="5" t="inlineStr">
        <is>
          <t>Simpan ditolak bila tidak ada satu pun baris terisi</t>
        </is>
      </c>
      <c r="D237" s="12" t="inlineStr">
        <is>
          <t>Pressing</t>
        </is>
      </c>
      <c r="E237" s="5" t="inlineStr">
        <is>
          <t>OPR-A</t>
        </is>
      </c>
      <c r="F237" s="5" t="inlineStr">
        <is>
          <t>- Ditolak — record tidak tersimpan.
- Pesannya menyebut bahwa minimal satu baris harus punya slot waktu dan minimal satu kolom bacaan terisi.
- Pesannya muncul di bagian grid, bukan hanya di atas form.</t>
        </is>
      </c>
      <c r="G237" s="13" t="inlineStr">
        <is>
          <t>Tinggi</t>
        </is>
      </c>
      <c r="H237" s="18" t="n"/>
      <c r="I237" s="18" t="n"/>
      <c r="J237" s="18" t="n"/>
      <c r="K237" s="18" t="n"/>
      <c r="L237" s="18" t="n"/>
    </row>
    <row r="238" ht="70" customHeight="1">
      <c r="A238" s="14" t="n">
        <v>234</v>
      </c>
      <c r="B238" s="16" t="inlineStr">
        <is>
          <t>MB-FORM-05</t>
        </is>
      </c>
      <c r="C238" s="15" t="inlineStr">
        <is>
          <t>Simpan ditolak bila tidak ada satu pun baris terisi</t>
        </is>
      </c>
      <c r="D238" s="17" t="inlineStr">
        <is>
          <t>Clarification</t>
        </is>
      </c>
      <c r="E238" s="15" t="inlineStr">
        <is>
          <t>OPR-A</t>
        </is>
      </c>
      <c r="F238" s="15" t="inlineStr">
        <is>
          <t>- Ditolak — record tidak tersimpan.
- Pesannya menyebut bahwa minimal satu baris harus punya slot waktu dan minimal satu kolom bacaan terisi.
- Pesannya muncul di bagian grid, bukan hanya di atas form.</t>
        </is>
      </c>
      <c r="G238" s="13" t="inlineStr">
        <is>
          <t>Tinggi</t>
        </is>
      </c>
      <c r="H238" s="18" t="n"/>
      <c r="I238" s="18" t="n"/>
      <c r="J238" s="18" t="n"/>
      <c r="K238" s="18" t="n"/>
      <c r="L238" s="18" t="n"/>
    </row>
    <row r="239" ht="70" customHeight="1">
      <c r="A239" s="10" t="n">
        <v>235</v>
      </c>
      <c r="B239" s="11" t="inlineStr">
        <is>
          <t>MB-FORM-05</t>
        </is>
      </c>
      <c r="C239" s="5" t="inlineStr">
        <is>
          <t>Simpan ditolak bila tidak ada satu pun baris terisi</t>
        </is>
      </c>
      <c r="D239" s="12" t="inlineStr">
        <is>
          <t>Kernel Plant</t>
        </is>
      </c>
      <c r="E239" s="5" t="inlineStr">
        <is>
          <t>OPR-A</t>
        </is>
      </c>
      <c r="F239" s="5" t="inlineStr">
        <is>
          <t>- Ditolak — record tidak tersimpan.
- Pesannya menyebut bahwa minimal satu baris harus punya slot waktu dan minimal satu kolom bacaan terisi.
- Pesannya muncul di bagian grid, bukan hanya di atas form.</t>
        </is>
      </c>
      <c r="G239" s="13" t="inlineStr">
        <is>
          <t>Tinggi</t>
        </is>
      </c>
      <c r="H239" s="18" t="n"/>
      <c r="I239" s="18" t="n"/>
      <c r="J239" s="18" t="n"/>
      <c r="K239" s="18" t="n"/>
      <c r="L239" s="18" t="n"/>
    </row>
    <row r="240" ht="70" customHeight="1">
      <c r="A240" s="14" t="n">
        <v>236</v>
      </c>
      <c r="B240" s="16" t="inlineStr">
        <is>
          <t>MB-FORM-05</t>
        </is>
      </c>
      <c r="C240" s="15" t="inlineStr">
        <is>
          <t>Simpan ditolak bila tidak ada satu pun baris terisi</t>
        </is>
      </c>
      <c r="D240" s="17" t="inlineStr">
        <is>
          <t>Boiler Room</t>
        </is>
      </c>
      <c r="E240" s="15" t="inlineStr">
        <is>
          <t>OPR-A</t>
        </is>
      </c>
      <c r="F240" s="15" t="inlineStr">
        <is>
          <t>- Ditolak — record tidak tersimpan.
- Pesannya menyebut bahwa minimal satu baris harus punya slot waktu dan minimal satu kolom bacaan terisi.
- Pesannya muncul di bagian grid, bukan hanya di atas form.</t>
        </is>
      </c>
      <c r="G240" s="13" t="inlineStr">
        <is>
          <t>Tinggi</t>
        </is>
      </c>
      <c r="H240" s="18" t="n"/>
      <c r="I240" s="18" t="n"/>
      <c r="J240" s="18" t="n"/>
      <c r="K240" s="18" t="n"/>
      <c r="L240" s="18" t="n"/>
    </row>
    <row r="241" ht="70" customHeight="1">
      <c r="A241" s="10" t="n">
        <v>237</v>
      </c>
      <c r="B241" s="11" t="inlineStr">
        <is>
          <t>MB-FORM-05</t>
        </is>
      </c>
      <c r="C241" s="5" t="inlineStr">
        <is>
          <t>Simpan ditolak bila tidak ada satu pun baris terisi</t>
        </is>
      </c>
      <c r="D241" s="12" t="inlineStr">
        <is>
          <t>Effluent Plant</t>
        </is>
      </c>
      <c r="E241" s="5" t="inlineStr">
        <is>
          <t>OPR-A</t>
        </is>
      </c>
      <c r="F241" s="5" t="inlineStr">
        <is>
          <t>- Ditolak — record tidak tersimpan.
- Pesannya menyebut bahwa minimal satu baris harus punya slot waktu dan minimal satu kolom bacaan terisi.
- Pesannya muncul di bagian grid, bukan hanya di atas form.</t>
        </is>
      </c>
      <c r="G241" s="13" t="inlineStr">
        <is>
          <t>Tinggi</t>
        </is>
      </c>
      <c r="H241" s="18" t="n"/>
      <c r="I241" s="18" t="n"/>
      <c r="J241" s="18" t="n"/>
      <c r="K241" s="18" t="n"/>
      <c r="L241" s="18" t="n"/>
    </row>
    <row r="242" ht="70" customHeight="1">
      <c r="A242" s="14" t="n">
        <v>238</v>
      </c>
      <c r="B242" s="16" t="inlineStr">
        <is>
          <t>MB-FORM-05</t>
        </is>
      </c>
      <c r="C242" s="15" t="inlineStr">
        <is>
          <t>Simpan ditolak bila tidak ada satu pun baris terisi</t>
        </is>
      </c>
      <c r="D242" s="17" t="inlineStr">
        <is>
          <t>Depricarping</t>
        </is>
      </c>
      <c r="E242" s="15" t="inlineStr">
        <is>
          <t>OPR-A</t>
        </is>
      </c>
      <c r="F242" s="15" t="inlineStr">
        <is>
          <t>- Ditolak — record tidak tersimpan.
- Pesannya menyebut bahwa minimal satu baris harus punya slot waktu dan minimal satu kolom bacaan terisi.
- Pesannya muncul di bagian grid, bukan hanya di atas form.</t>
        </is>
      </c>
      <c r="G242" s="13" t="inlineStr">
        <is>
          <t>Tinggi</t>
        </is>
      </c>
      <c r="H242" s="18" t="n"/>
      <c r="I242" s="18" t="n"/>
      <c r="J242" s="18" t="n"/>
      <c r="K242" s="18" t="n"/>
      <c r="L242" s="18" t="n"/>
    </row>
    <row r="243" ht="70" customHeight="1">
      <c r="A243" s="10" t="n">
        <v>239</v>
      </c>
      <c r="B243" s="11" t="inlineStr">
        <is>
          <t>MB-FORM-05</t>
        </is>
      </c>
      <c r="C243" s="5" t="inlineStr">
        <is>
          <t>Simpan ditolak bila tidak ada satu pun baris terisi</t>
        </is>
      </c>
      <c r="D243" s="12" t="inlineStr">
        <is>
          <t>Engine Room</t>
        </is>
      </c>
      <c r="E243" s="5" t="inlineStr">
        <is>
          <t>OPR-A</t>
        </is>
      </c>
      <c r="F243" s="5" t="inlineStr">
        <is>
          <t>- Ditolak — record tidak tersimpan.
- Pesannya menyebut bahwa minimal satu baris harus punya slot waktu dan minimal satu kolom bacaan terisi.
- Pesannya muncul di bagian grid, bukan hanya di atas form.</t>
        </is>
      </c>
      <c r="G243" s="13" t="inlineStr">
        <is>
          <t>Tinggi</t>
        </is>
      </c>
      <c r="H243" s="18" t="n"/>
      <c r="I243" s="18" t="n"/>
      <c r="J243" s="18" t="n"/>
      <c r="K243" s="18" t="n"/>
      <c r="L243" s="18" t="n"/>
    </row>
    <row r="244" ht="70" customHeight="1">
      <c r="A244" s="14" t="n">
        <v>240</v>
      </c>
      <c r="B244" s="16" t="inlineStr">
        <is>
          <t>MB-FORM-05</t>
        </is>
      </c>
      <c r="C244" s="15" t="inlineStr">
        <is>
          <t>Simpan ditolak bila tidak ada satu pun baris terisi</t>
        </is>
      </c>
      <c r="D244" s="17" t="inlineStr">
        <is>
          <t>Process Water</t>
        </is>
      </c>
      <c r="E244" s="15" t="inlineStr">
        <is>
          <t>OPR-A</t>
        </is>
      </c>
      <c r="F244" s="15" t="inlineStr">
        <is>
          <t>- Ditolak — record tidak tersimpan.
- Pesannya menyebut bahwa minimal satu baris harus punya slot waktu dan minimal satu kolom bacaan terisi.
- Pesannya muncul di bagian grid, bukan hanya di atas form.</t>
        </is>
      </c>
      <c r="G244" s="13" t="inlineStr">
        <is>
          <t>Tinggi</t>
        </is>
      </c>
      <c r="H244" s="18" t="n"/>
      <c r="I244" s="18" t="n"/>
      <c r="J244" s="18" t="n"/>
      <c r="K244" s="18" t="n"/>
      <c r="L244" s="18" t="n"/>
    </row>
    <row r="245" ht="70" customHeight="1">
      <c r="A245" s="10" t="n">
        <v>241</v>
      </c>
      <c r="B245" s="11" t="inlineStr">
        <is>
          <t>MB-FORM-05</t>
        </is>
      </c>
      <c r="C245" s="5" t="inlineStr">
        <is>
          <t>Simpan ditolak bila tidak ada satu pun baris terisi</t>
        </is>
      </c>
      <c r="D245" s="12" t="inlineStr">
        <is>
          <t>Storage Tank</t>
        </is>
      </c>
      <c r="E245" s="5" t="inlineStr">
        <is>
          <t>OPR-A</t>
        </is>
      </c>
      <c r="F245" s="5" t="inlineStr">
        <is>
          <t>- Ditolak — record tidak tersimpan.
- Pesannya menyebut bahwa minimal satu baris harus punya slot waktu dan minimal satu kolom bacaan terisi.
- Pesannya muncul di bagian grid, bukan hanya di atas form.</t>
        </is>
      </c>
      <c r="G245" s="13" t="inlineStr">
        <is>
          <t>Tinggi</t>
        </is>
      </c>
      <c r="H245" s="18" t="n"/>
      <c r="I245" s="18" t="n"/>
      <c r="J245" s="18" t="n"/>
      <c r="K245" s="18" t="n"/>
      <c r="L245" s="18" t="n"/>
    </row>
    <row r="246" ht="70" customHeight="1">
      <c r="A246" s="14" t="n">
        <v>242</v>
      </c>
      <c r="B246" s="16" t="inlineStr">
        <is>
          <t>MB-FORM-05</t>
        </is>
      </c>
      <c r="C246" s="15" t="inlineStr">
        <is>
          <t>Simpan ditolak bila tidak ada satu pun baris terisi</t>
        </is>
      </c>
      <c r="D246" s="17" t="inlineStr">
        <is>
          <t>Solid Waste Disposal</t>
        </is>
      </c>
      <c r="E246" s="15" t="inlineStr">
        <is>
          <t>OPR-A</t>
        </is>
      </c>
      <c r="F246" s="15" t="inlineStr">
        <is>
          <t>- Ditolak — record tidak tersimpan.
- Pesannya menyebut bahwa minimal satu baris harus punya slot waktu dan minimal satu kolom bacaan terisi.
- Pesannya muncul di bagian grid, bukan hanya di atas form.</t>
        </is>
      </c>
      <c r="G246" s="13" t="inlineStr">
        <is>
          <t>Tinggi</t>
        </is>
      </c>
      <c r="H246" s="18" t="n"/>
      <c r="I246" s="18" t="n"/>
      <c r="J246" s="18" t="n"/>
      <c r="K246" s="18" t="n"/>
      <c r="L246" s="18" t="n"/>
    </row>
    <row r="247" ht="70" customHeight="1">
      <c r="A247" s="10" t="n">
        <v>243</v>
      </c>
      <c r="B247" s="11" t="inlineStr">
        <is>
          <t>MB-FORM-05</t>
        </is>
      </c>
      <c r="C247" s="5" t="inlineStr">
        <is>
          <t>Simpan ditolak bila tidak ada satu pun baris terisi</t>
        </is>
      </c>
      <c r="D247" s="12" t="inlineStr">
        <is>
          <t>Kernel Dispatch</t>
        </is>
      </c>
      <c r="E247" s="5" t="inlineStr">
        <is>
          <t>OPR-A</t>
        </is>
      </c>
      <c r="F247" s="5" t="inlineStr">
        <is>
          <t>- Ditolak — record tidak tersimpan.
- Pesannya menyebut bahwa minimal satu baris harus punya slot waktu dan minimal satu kolom bacaan terisi.
- Pesannya muncul di bagian grid, bukan hanya di atas form.</t>
        </is>
      </c>
      <c r="G247" s="13" t="inlineStr">
        <is>
          <t>Tinggi</t>
        </is>
      </c>
      <c r="H247" s="18" t="n"/>
      <c r="I247" s="18" t="n"/>
      <c r="J247" s="18" t="n"/>
      <c r="K247" s="18" t="n"/>
      <c r="L247" s="18" t="n"/>
    </row>
    <row r="248" ht="70" customHeight="1">
      <c r="A248" s="14" t="n">
        <v>244</v>
      </c>
      <c r="B248" s="16" t="inlineStr">
        <is>
          <t>MB-FORM-05</t>
        </is>
      </c>
      <c r="C248" s="15" t="inlineStr">
        <is>
          <t>Simpan ditolak bila tidak ada satu pun baris terisi</t>
        </is>
      </c>
      <c r="D248" s="17" t="inlineStr">
        <is>
          <t>CPO Dispatch</t>
        </is>
      </c>
      <c r="E248" s="15" t="inlineStr">
        <is>
          <t>OPR-A</t>
        </is>
      </c>
      <c r="F248" s="15" t="inlineStr">
        <is>
          <t>- Ditolak — record tidak tersimpan.
- Pesannya menyebut bahwa minimal satu baris harus punya slot waktu dan minimal satu kolom bacaan terisi.
- Pesannya muncul di bagian grid, bukan hanya di atas form.</t>
        </is>
      </c>
      <c r="G248" s="13" t="inlineStr">
        <is>
          <t>Tinggi</t>
        </is>
      </c>
      <c r="H248" s="18" t="n"/>
      <c r="I248" s="18" t="n"/>
      <c r="J248" s="18" t="n"/>
      <c r="K248" s="18" t="n"/>
      <c r="L248" s="18" t="n"/>
    </row>
    <row r="249" ht="70" customHeight="1">
      <c r="A249" s="10" t="n">
        <v>245</v>
      </c>
      <c r="B249" s="11" t="inlineStr">
        <is>
          <t>MB-FORM-05</t>
        </is>
      </c>
      <c r="C249" s="5" t="inlineStr">
        <is>
          <t>Simpan ditolak bila tidak ada satu pun baris terisi</t>
        </is>
      </c>
      <c r="D249" s="12" t="inlineStr">
        <is>
          <t>Process Quality Control</t>
        </is>
      </c>
      <c r="E249" s="5" t="inlineStr">
        <is>
          <t>OPR-A</t>
        </is>
      </c>
      <c r="F249" s="5" t="inlineStr">
        <is>
          <t>- Ditolak — record tidak tersimpan.
- Pesannya menyebut bahwa minimal satu baris harus punya slot waktu dan minimal satu kolom bacaan terisi.
- Pesannya muncul di bagian grid, bukan hanya di atas form.</t>
        </is>
      </c>
      <c r="G249" s="13" t="inlineStr">
        <is>
          <t>Tinggi</t>
        </is>
      </c>
      <c r="H249" s="18" t="n"/>
      <c r="I249" s="18" t="n"/>
      <c r="J249" s="18" t="n"/>
      <c r="K249" s="18" t="n"/>
      <c r="L249" s="18" t="n"/>
    </row>
    <row r="250" ht="70" customHeight="1">
      <c r="A250" s="14" t="n">
        <v>246</v>
      </c>
      <c r="B250" s="16" t="inlineStr">
        <is>
          <t>MB-FORM-06</t>
        </is>
      </c>
      <c r="C250" s="15" t="inlineStr">
        <is>
          <t>Baris yang sebagian terisi tetap sah</t>
        </is>
      </c>
      <c r="D250" s="17" t="inlineStr">
        <is>
          <t>Weighbridge</t>
        </is>
      </c>
      <c r="E250" s="15" t="inlineStr">
        <is>
          <t>OPR-A</t>
        </is>
      </c>
      <c r="F250" s="15" t="inlineStr">
        <is>
          <t>- Berhasil tersimpan.
- Kolom yang dibiarkan kosong tersimpan sebagai kosong — bukan diisi 0.
- Pada detail, kolom kosong itu tampil sebagai tanda pisah atau kosong, bukan angka 0.</t>
        </is>
      </c>
      <c r="G250" s="13" t="inlineStr">
        <is>
          <t>Tinggi</t>
        </is>
      </c>
      <c r="H250" s="18" t="n"/>
      <c r="I250" s="18" t="n"/>
      <c r="J250" s="18" t="n"/>
      <c r="K250" s="18" t="n"/>
      <c r="L250" s="18" t="n"/>
    </row>
    <row r="251" ht="70" customHeight="1">
      <c r="A251" s="10" t="n">
        <v>247</v>
      </c>
      <c r="B251" s="11" t="inlineStr">
        <is>
          <t>MB-FORM-06</t>
        </is>
      </c>
      <c r="C251" s="5" t="inlineStr">
        <is>
          <t>Baris yang sebagian terisi tetap sah</t>
        </is>
      </c>
      <c r="D251" s="12" t="inlineStr">
        <is>
          <t>Grading</t>
        </is>
      </c>
      <c r="E251" s="5" t="inlineStr">
        <is>
          <t>OPR-A</t>
        </is>
      </c>
      <c r="F251" s="5" t="inlineStr">
        <is>
          <t>- Berhasil tersimpan.
- Kolom yang dibiarkan kosong tersimpan sebagai kosong — bukan diisi 0.
- Pada detail, kolom kosong itu tampil sebagai tanda pisah atau kosong, bukan angka 0.</t>
        </is>
      </c>
      <c r="G251" s="13" t="inlineStr">
        <is>
          <t>Tinggi</t>
        </is>
      </c>
      <c r="H251" s="18" t="n"/>
      <c r="I251" s="18" t="n"/>
      <c r="J251" s="18" t="n"/>
      <c r="K251" s="18" t="n"/>
      <c r="L251" s="18" t="n"/>
    </row>
    <row r="252" ht="70" customHeight="1">
      <c r="A252" s="14" t="n">
        <v>248</v>
      </c>
      <c r="B252" s="16" t="inlineStr">
        <is>
          <t>MB-FORM-06</t>
        </is>
      </c>
      <c r="C252" s="15" t="inlineStr">
        <is>
          <t>Baris yang sebagian terisi tetap sah</t>
        </is>
      </c>
      <c r="D252" s="17" t="inlineStr">
        <is>
          <t>Cages Track</t>
        </is>
      </c>
      <c r="E252" s="15" t="inlineStr">
        <is>
          <t>OPR-A</t>
        </is>
      </c>
      <c r="F252" s="15" t="inlineStr">
        <is>
          <t>- Berhasil tersimpan.
- Kolom yang dibiarkan kosong tersimpan sebagai kosong — bukan diisi 0.
- Pada detail, kolom kosong itu tampil sebagai tanda pisah atau kosong, bukan angka 0.</t>
        </is>
      </c>
      <c r="G252" s="13" t="inlineStr">
        <is>
          <t>Tinggi</t>
        </is>
      </c>
      <c r="H252" s="18" t="n"/>
      <c r="I252" s="18" t="n"/>
      <c r="J252" s="18" t="n"/>
      <c r="K252" s="18" t="n"/>
      <c r="L252" s="18" t="n"/>
    </row>
    <row r="253" ht="70" customHeight="1">
      <c r="A253" s="10" t="n">
        <v>249</v>
      </c>
      <c r="B253" s="11" t="inlineStr">
        <is>
          <t>MB-FORM-06</t>
        </is>
      </c>
      <c r="C253" s="5" t="inlineStr">
        <is>
          <t>Baris yang sebagian terisi tetap sah</t>
        </is>
      </c>
      <c r="D253" s="12" t="inlineStr">
        <is>
          <t>Sterilizer</t>
        </is>
      </c>
      <c r="E253" s="5" t="inlineStr">
        <is>
          <t>OPR-A</t>
        </is>
      </c>
      <c r="F253" s="5" t="inlineStr">
        <is>
          <t>- Berhasil tersimpan.
- Kolom yang dibiarkan kosong tersimpan sebagai kosong — bukan diisi 0.
- Pada detail, kolom kosong itu tampil sebagai tanda pisah atau kosong, bukan angka 0.</t>
        </is>
      </c>
      <c r="G253" s="13" t="inlineStr">
        <is>
          <t>Tinggi</t>
        </is>
      </c>
      <c r="H253" s="18" t="n"/>
      <c r="I253" s="18" t="n"/>
      <c r="J253" s="18" t="n"/>
      <c r="K253" s="18" t="n"/>
      <c r="L253" s="18" t="n"/>
    </row>
    <row r="254" ht="70" customHeight="1">
      <c r="A254" s="14" t="n">
        <v>250</v>
      </c>
      <c r="B254" s="16" t="inlineStr">
        <is>
          <t>MB-FORM-06</t>
        </is>
      </c>
      <c r="C254" s="15" t="inlineStr">
        <is>
          <t>Baris yang sebagian terisi tetap sah</t>
        </is>
      </c>
      <c r="D254" s="17" t="inlineStr">
        <is>
          <t>Threshing</t>
        </is>
      </c>
      <c r="E254" s="15" t="inlineStr">
        <is>
          <t>OPR-A</t>
        </is>
      </c>
      <c r="F254" s="15" t="inlineStr">
        <is>
          <t>- Berhasil tersimpan.
- Kolom yang dibiarkan kosong tersimpan sebagai kosong — bukan diisi 0.
- Pada detail, kolom kosong itu tampil sebagai tanda pisah atau kosong, bukan angka 0.</t>
        </is>
      </c>
      <c r="G254" s="13" t="inlineStr">
        <is>
          <t>Tinggi</t>
        </is>
      </c>
      <c r="H254" s="18" t="n"/>
      <c r="I254" s="18" t="n"/>
      <c r="J254" s="18" t="n"/>
      <c r="K254" s="18" t="n"/>
      <c r="L254" s="18" t="n"/>
    </row>
    <row r="255" ht="70" customHeight="1">
      <c r="A255" s="10" t="n">
        <v>251</v>
      </c>
      <c r="B255" s="11" t="inlineStr">
        <is>
          <t>MB-FORM-06</t>
        </is>
      </c>
      <c r="C255" s="5" t="inlineStr">
        <is>
          <t>Baris yang sebagian terisi tetap sah</t>
        </is>
      </c>
      <c r="D255" s="12" t="inlineStr">
        <is>
          <t>Pressing</t>
        </is>
      </c>
      <c r="E255" s="5" t="inlineStr">
        <is>
          <t>OPR-A</t>
        </is>
      </c>
      <c r="F255" s="5" t="inlineStr">
        <is>
          <t>- Berhasil tersimpan.
- Kolom yang dibiarkan kosong tersimpan sebagai kosong — bukan diisi 0.
- Pada detail, kolom kosong itu tampil sebagai tanda pisah atau kosong, bukan angka 0.</t>
        </is>
      </c>
      <c r="G255" s="13" t="inlineStr">
        <is>
          <t>Tinggi</t>
        </is>
      </c>
      <c r="H255" s="18" t="n"/>
      <c r="I255" s="18" t="n"/>
      <c r="J255" s="18" t="n"/>
      <c r="K255" s="18" t="n"/>
      <c r="L255" s="18" t="n"/>
    </row>
    <row r="256" ht="70" customHeight="1">
      <c r="A256" s="14" t="n">
        <v>252</v>
      </c>
      <c r="B256" s="16" t="inlineStr">
        <is>
          <t>MB-FORM-06</t>
        </is>
      </c>
      <c r="C256" s="15" t="inlineStr">
        <is>
          <t>Baris yang sebagian terisi tetap sah</t>
        </is>
      </c>
      <c r="D256" s="17" t="inlineStr">
        <is>
          <t>Clarification</t>
        </is>
      </c>
      <c r="E256" s="15" t="inlineStr">
        <is>
          <t>OPR-A</t>
        </is>
      </c>
      <c r="F256" s="15" t="inlineStr">
        <is>
          <t>- Berhasil tersimpan.
- Kolom yang dibiarkan kosong tersimpan sebagai kosong — bukan diisi 0.
- Pada detail, kolom kosong itu tampil sebagai tanda pisah atau kosong, bukan angka 0.</t>
        </is>
      </c>
      <c r="G256" s="13" t="inlineStr">
        <is>
          <t>Tinggi</t>
        </is>
      </c>
      <c r="H256" s="18" t="n"/>
      <c r="I256" s="18" t="n"/>
      <c r="J256" s="18" t="n"/>
      <c r="K256" s="18" t="n"/>
      <c r="L256" s="18" t="n"/>
    </row>
    <row r="257" ht="70" customHeight="1">
      <c r="A257" s="10" t="n">
        <v>253</v>
      </c>
      <c r="B257" s="11" t="inlineStr">
        <is>
          <t>MB-FORM-06</t>
        </is>
      </c>
      <c r="C257" s="5" t="inlineStr">
        <is>
          <t>Baris yang sebagian terisi tetap sah</t>
        </is>
      </c>
      <c r="D257" s="12" t="inlineStr">
        <is>
          <t>Kernel Plant</t>
        </is>
      </c>
      <c r="E257" s="5" t="inlineStr">
        <is>
          <t>OPR-A</t>
        </is>
      </c>
      <c r="F257" s="5" t="inlineStr">
        <is>
          <t>- Berhasil tersimpan.
- Kolom yang dibiarkan kosong tersimpan sebagai kosong — bukan diisi 0.
- Pada detail, kolom kosong itu tampil sebagai tanda pisah atau kosong, bukan angka 0.</t>
        </is>
      </c>
      <c r="G257" s="13" t="inlineStr">
        <is>
          <t>Tinggi</t>
        </is>
      </c>
      <c r="H257" s="18" t="n"/>
      <c r="I257" s="18" t="n"/>
      <c r="J257" s="18" t="n"/>
      <c r="K257" s="18" t="n"/>
      <c r="L257" s="18" t="n"/>
    </row>
    <row r="258" ht="70" customHeight="1">
      <c r="A258" s="14" t="n">
        <v>254</v>
      </c>
      <c r="B258" s="16" t="inlineStr">
        <is>
          <t>MB-FORM-06</t>
        </is>
      </c>
      <c r="C258" s="15" t="inlineStr">
        <is>
          <t>Baris yang sebagian terisi tetap sah</t>
        </is>
      </c>
      <c r="D258" s="17" t="inlineStr">
        <is>
          <t>Boiler Room</t>
        </is>
      </c>
      <c r="E258" s="15" t="inlineStr">
        <is>
          <t>OPR-A</t>
        </is>
      </c>
      <c r="F258" s="15" t="inlineStr">
        <is>
          <t>- Berhasil tersimpan.
- Kolom yang dibiarkan kosong tersimpan sebagai kosong — bukan diisi 0.
- Pada detail, kolom kosong itu tampil sebagai tanda pisah atau kosong, bukan angka 0.</t>
        </is>
      </c>
      <c r="G258" s="13" t="inlineStr">
        <is>
          <t>Tinggi</t>
        </is>
      </c>
      <c r="H258" s="18" t="n"/>
      <c r="I258" s="18" t="n"/>
      <c r="J258" s="18" t="n"/>
      <c r="K258" s="18" t="n"/>
      <c r="L258" s="18" t="n"/>
    </row>
    <row r="259" ht="70" customHeight="1">
      <c r="A259" s="10" t="n">
        <v>255</v>
      </c>
      <c r="B259" s="11" t="inlineStr">
        <is>
          <t>MB-FORM-06</t>
        </is>
      </c>
      <c r="C259" s="5" t="inlineStr">
        <is>
          <t>Baris yang sebagian terisi tetap sah</t>
        </is>
      </c>
      <c r="D259" s="12" t="inlineStr">
        <is>
          <t>Effluent Plant</t>
        </is>
      </c>
      <c r="E259" s="5" t="inlineStr">
        <is>
          <t>OPR-A</t>
        </is>
      </c>
      <c r="F259" s="5" t="inlineStr">
        <is>
          <t>- Berhasil tersimpan.
- Kolom yang dibiarkan kosong tersimpan sebagai kosong — bukan diisi 0.
- Pada detail, kolom kosong itu tampil sebagai tanda pisah atau kosong, bukan angka 0.</t>
        </is>
      </c>
      <c r="G259" s="13" t="inlineStr">
        <is>
          <t>Tinggi</t>
        </is>
      </c>
      <c r="H259" s="18" t="n"/>
      <c r="I259" s="18" t="n"/>
      <c r="J259" s="18" t="n"/>
      <c r="K259" s="18" t="n"/>
      <c r="L259" s="18" t="n"/>
    </row>
    <row r="260" ht="70" customHeight="1">
      <c r="A260" s="14" t="n">
        <v>256</v>
      </c>
      <c r="B260" s="16" t="inlineStr">
        <is>
          <t>MB-FORM-06</t>
        </is>
      </c>
      <c r="C260" s="15" t="inlineStr">
        <is>
          <t>Baris yang sebagian terisi tetap sah</t>
        </is>
      </c>
      <c r="D260" s="17" t="inlineStr">
        <is>
          <t>Depricarping</t>
        </is>
      </c>
      <c r="E260" s="15" t="inlineStr">
        <is>
          <t>OPR-A</t>
        </is>
      </c>
      <c r="F260" s="15" t="inlineStr">
        <is>
          <t>- Berhasil tersimpan.
- Kolom yang dibiarkan kosong tersimpan sebagai kosong — bukan diisi 0.
- Pada detail, kolom kosong itu tampil sebagai tanda pisah atau kosong, bukan angka 0.</t>
        </is>
      </c>
      <c r="G260" s="13" t="inlineStr">
        <is>
          <t>Tinggi</t>
        </is>
      </c>
      <c r="H260" s="18" t="n"/>
      <c r="I260" s="18" t="n"/>
      <c r="J260" s="18" t="n"/>
      <c r="K260" s="18" t="n"/>
      <c r="L260" s="18" t="n"/>
    </row>
    <row r="261" ht="70" customHeight="1">
      <c r="A261" s="10" t="n">
        <v>257</v>
      </c>
      <c r="B261" s="11" t="inlineStr">
        <is>
          <t>MB-FORM-06</t>
        </is>
      </c>
      <c r="C261" s="5" t="inlineStr">
        <is>
          <t>Baris yang sebagian terisi tetap sah</t>
        </is>
      </c>
      <c r="D261" s="12" t="inlineStr">
        <is>
          <t>Engine Room</t>
        </is>
      </c>
      <c r="E261" s="5" t="inlineStr">
        <is>
          <t>OPR-A</t>
        </is>
      </c>
      <c r="F261" s="5" t="inlineStr">
        <is>
          <t>- Berhasil tersimpan.
- Kolom yang dibiarkan kosong tersimpan sebagai kosong — bukan diisi 0.
- Pada detail, kolom kosong itu tampil sebagai tanda pisah atau kosong, bukan angka 0.</t>
        </is>
      </c>
      <c r="G261" s="13" t="inlineStr">
        <is>
          <t>Tinggi</t>
        </is>
      </c>
      <c r="H261" s="18" t="n"/>
      <c r="I261" s="18" t="n"/>
      <c r="J261" s="18" t="n"/>
      <c r="K261" s="18" t="n"/>
      <c r="L261" s="18" t="n"/>
    </row>
    <row r="262" ht="70" customHeight="1">
      <c r="A262" s="14" t="n">
        <v>258</v>
      </c>
      <c r="B262" s="16" t="inlineStr">
        <is>
          <t>MB-FORM-06</t>
        </is>
      </c>
      <c r="C262" s="15" t="inlineStr">
        <is>
          <t>Baris yang sebagian terisi tetap sah</t>
        </is>
      </c>
      <c r="D262" s="17" t="inlineStr">
        <is>
          <t>Process Water</t>
        </is>
      </c>
      <c r="E262" s="15" t="inlineStr">
        <is>
          <t>OPR-A</t>
        </is>
      </c>
      <c r="F262" s="15" t="inlineStr">
        <is>
          <t>- Berhasil tersimpan.
- Kolom yang dibiarkan kosong tersimpan sebagai kosong — bukan diisi 0.
- Pada detail, kolom kosong itu tampil sebagai tanda pisah atau kosong, bukan angka 0.</t>
        </is>
      </c>
      <c r="G262" s="13" t="inlineStr">
        <is>
          <t>Tinggi</t>
        </is>
      </c>
      <c r="H262" s="18" t="n"/>
      <c r="I262" s="18" t="n"/>
      <c r="J262" s="18" t="n"/>
      <c r="K262" s="18" t="n"/>
      <c r="L262" s="18" t="n"/>
    </row>
    <row r="263" ht="70" customHeight="1">
      <c r="A263" s="10" t="n">
        <v>259</v>
      </c>
      <c r="B263" s="11" t="inlineStr">
        <is>
          <t>MB-FORM-06</t>
        </is>
      </c>
      <c r="C263" s="5" t="inlineStr">
        <is>
          <t>Baris yang sebagian terisi tetap sah</t>
        </is>
      </c>
      <c r="D263" s="12" t="inlineStr">
        <is>
          <t>Storage Tank</t>
        </is>
      </c>
      <c r="E263" s="5" t="inlineStr">
        <is>
          <t>OPR-A</t>
        </is>
      </c>
      <c r="F263" s="5" t="inlineStr">
        <is>
          <t>- Berhasil tersimpan.
- Kolom yang dibiarkan kosong tersimpan sebagai kosong — bukan diisi 0.
- Pada detail, kolom kosong itu tampil sebagai tanda pisah atau kosong, bukan angka 0.</t>
        </is>
      </c>
      <c r="G263" s="13" t="inlineStr">
        <is>
          <t>Tinggi</t>
        </is>
      </c>
      <c r="H263" s="18" t="n"/>
      <c r="I263" s="18" t="n"/>
      <c r="J263" s="18" t="n"/>
      <c r="K263" s="18" t="n"/>
      <c r="L263" s="18" t="n"/>
    </row>
    <row r="264" ht="70" customHeight="1">
      <c r="A264" s="14" t="n">
        <v>260</v>
      </c>
      <c r="B264" s="16" t="inlineStr">
        <is>
          <t>MB-FORM-06</t>
        </is>
      </c>
      <c r="C264" s="15" t="inlineStr">
        <is>
          <t>Baris yang sebagian terisi tetap sah</t>
        </is>
      </c>
      <c r="D264" s="17" t="inlineStr">
        <is>
          <t>Solid Waste Disposal</t>
        </is>
      </c>
      <c r="E264" s="15" t="inlineStr">
        <is>
          <t>OPR-A</t>
        </is>
      </c>
      <c r="F264" s="15" t="inlineStr">
        <is>
          <t>- Berhasil tersimpan.
- Kolom yang dibiarkan kosong tersimpan sebagai kosong — bukan diisi 0.
- Pada detail, kolom kosong itu tampil sebagai tanda pisah atau kosong, bukan angka 0.</t>
        </is>
      </c>
      <c r="G264" s="13" t="inlineStr">
        <is>
          <t>Tinggi</t>
        </is>
      </c>
      <c r="H264" s="18" t="n"/>
      <c r="I264" s="18" t="n"/>
      <c r="J264" s="18" t="n"/>
      <c r="K264" s="18" t="n"/>
      <c r="L264" s="18" t="n"/>
    </row>
    <row r="265" ht="70" customHeight="1">
      <c r="A265" s="10" t="n">
        <v>261</v>
      </c>
      <c r="B265" s="11" t="inlineStr">
        <is>
          <t>MB-FORM-06</t>
        </is>
      </c>
      <c r="C265" s="5" t="inlineStr">
        <is>
          <t>Baris yang sebagian terisi tetap sah</t>
        </is>
      </c>
      <c r="D265" s="12" t="inlineStr">
        <is>
          <t>Kernel Dispatch</t>
        </is>
      </c>
      <c r="E265" s="5" t="inlineStr">
        <is>
          <t>OPR-A</t>
        </is>
      </c>
      <c r="F265" s="5" t="inlineStr">
        <is>
          <t>- Berhasil tersimpan.
- Kolom yang dibiarkan kosong tersimpan sebagai kosong — bukan diisi 0.
- Pada detail, kolom kosong itu tampil sebagai tanda pisah atau kosong, bukan angka 0.</t>
        </is>
      </c>
      <c r="G265" s="13" t="inlineStr">
        <is>
          <t>Tinggi</t>
        </is>
      </c>
      <c r="H265" s="18" t="n"/>
      <c r="I265" s="18" t="n"/>
      <c r="J265" s="18" t="n"/>
      <c r="K265" s="18" t="n"/>
      <c r="L265" s="18" t="n"/>
    </row>
    <row r="266" ht="70" customHeight="1">
      <c r="A266" s="14" t="n">
        <v>262</v>
      </c>
      <c r="B266" s="16" t="inlineStr">
        <is>
          <t>MB-FORM-06</t>
        </is>
      </c>
      <c r="C266" s="15" t="inlineStr">
        <is>
          <t>Baris yang sebagian terisi tetap sah</t>
        </is>
      </c>
      <c r="D266" s="17" t="inlineStr">
        <is>
          <t>CPO Dispatch</t>
        </is>
      </c>
      <c r="E266" s="15" t="inlineStr">
        <is>
          <t>OPR-A</t>
        </is>
      </c>
      <c r="F266" s="15" t="inlineStr">
        <is>
          <t>- Berhasil tersimpan.
- Kolom yang dibiarkan kosong tersimpan sebagai kosong — bukan diisi 0.
- Pada detail, kolom kosong itu tampil sebagai tanda pisah atau kosong, bukan angka 0.</t>
        </is>
      </c>
      <c r="G266" s="13" t="inlineStr">
        <is>
          <t>Tinggi</t>
        </is>
      </c>
      <c r="H266" s="18" t="n"/>
      <c r="I266" s="18" t="n"/>
      <c r="J266" s="18" t="n"/>
      <c r="K266" s="18" t="n"/>
      <c r="L266" s="18" t="n"/>
    </row>
    <row r="267" ht="70" customHeight="1">
      <c r="A267" s="10" t="n">
        <v>263</v>
      </c>
      <c r="B267" s="11" t="inlineStr">
        <is>
          <t>MB-FORM-06</t>
        </is>
      </c>
      <c r="C267" s="5" t="inlineStr">
        <is>
          <t>Baris yang sebagian terisi tetap sah</t>
        </is>
      </c>
      <c r="D267" s="12" t="inlineStr">
        <is>
          <t>Process Quality Control</t>
        </is>
      </c>
      <c r="E267" s="5" t="inlineStr">
        <is>
          <t>OPR-A</t>
        </is>
      </c>
      <c r="F267" s="5" t="inlineStr">
        <is>
          <t>- Berhasil tersimpan.
- Kolom yang dibiarkan kosong tersimpan sebagai kosong — bukan diisi 0.
- Pada detail, kolom kosong itu tampil sebagai tanda pisah atau kosong, bukan angka 0.</t>
        </is>
      </c>
      <c r="G267" s="13" t="inlineStr">
        <is>
          <t>Tinggi</t>
        </is>
      </c>
      <c r="H267" s="18" t="n"/>
      <c r="I267" s="18" t="n"/>
      <c r="J267" s="18" t="n"/>
      <c r="K267" s="18" t="n"/>
      <c r="L267" s="18" t="n"/>
    </row>
    <row r="268" ht="70" customHeight="1">
      <c r="A268" s="14" t="n">
        <v>264</v>
      </c>
      <c r="B268" s="16" t="inlineStr">
        <is>
          <t>MB-FORM-07</t>
        </is>
      </c>
      <c r="C268" s="15" t="inlineStr">
        <is>
          <t>Pause menyimpan apa adanya tanpa memvalidasi</t>
        </is>
      </c>
      <c r="D268" s="17" t="inlineStr">
        <is>
          <t>Weighbridge</t>
        </is>
      </c>
      <c r="E268" s="15" t="inlineStr">
        <is>
          <t>OPR-A</t>
        </is>
      </c>
      <c r="F268" s="15" t="inlineStr">
        <is>
          <t>- Pause berhasil — tidak ada satu pun validasi yang menolaknya.
- Draft muncul di Monitor berlabel Pause.
- Saat dibuka kembali, isinya apa adanya seperti saat dijeda, termasuk kolom yang kosong.</t>
        </is>
      </c>
      <c r="G268" s="13" t="inlineStr">
        <is>
          <t>Tinggi</t>
        </is>
      </c>
      <c r="H268" s="18" t="n"/>
      <c r="I268" s="18" t="n"/>
      <c r="J268" s="18" t="n"/>
      <c r="K268" s="18" t="n"/>
      <c r="L268" s="18" t="n"/>
    </row>
    <row r="269" ht="70" customHeight="1">
      <c r="A269" s="10" t="n">
        <v>265</v>
      </c>
      <c r="B269" s="11" t="inlineStr">
        <is>
          <t>MB-FORM-07</t>
        </is>
      </c>
      <c r="C269" s="5" t="inlineStr">
        <is>
          <t>Pause menyimpan apa adanya tanpa memvalidasi</t>
        </is>
      </c>
      <c r="D269" s="12" t="inlineStr">
        <is>
          <t>Grading</t>
        </is>
      </c>
      <c r="E269" s="5" t="inlineStr">
        <is>
          <t>OPR-A</t>
        </is>
      </c>
      <c r="F269" s="5" t="inlineStr">
        <is>
          <t>- Pause berhasil — tidak ada satu pun validasi yang menolaknya.
- Draft muncul di Monitor berlabel Pause.
- Saat dibuka kembali, isinya apa adanya seperti saat dijeda, termasuk kolom yang kosong.</t>
        </is>
      </c>
      <c r="G269" s="13" t="inlineStr">
        <is>
          <t>Tinggi</t>
        </is>
      </c>
      <c r="H269" s="18" t="n"/>
      <c r="I269" s="18" t="n"/>
      <c r="J269" s="18" t="n"/>
      <c r="K269" s="18" t="n"/>
      <c r="L269" s="18" t="n"/>
    </row>
    <row r="270" ht="70" customHeight="1">
      <c r="A270" s="14" t="n">
        <v>266</v>
      </c>
      <c r="B270" s="16" t="inlineStr">
        <is>
          <t>MB-FORM-07</t>
        </is>
      </c>
      <c r="C270" s="15" t="inlineStr">
        <is>
          <t>Pause menyimpan apa adanya tanpa memvalidasi</t>
        </is>
      </c>
      <c r="D270" s="17" t="inlineStr">
        <is>
          <t>Cages Track</t>
        </is>
      </c>
      <c r="E270" s="15" t="inlineStr">
        <is>
          <t>OPR-A</t>
        </is>
      </c>
      <c r="F270" s="15" t="inlineStr">
        <is>
          <t>- Pause berhasil — tidak ada satu pun validasi yang menolaknya.
- Draft muncul di Monitor berlabel Pause.
- Saat dibuka kembali, isinya apa adanya seperti saat dijeda, termasuk kolom yang kosong.</t>
        </is>
      </c>
      <c r="G270" s="13" t="inlineStr">
        <is>
          <t>Tinggi</t>
        </is>
      </c>
      <c r="H270" s="18" t="n"/>
      <c r="I270" s="18" t="n"/>
      <c r="J270" s="18" t="n"/>
      <c r="K270" s="18" t="n"/>
      <c r="L270" s="18" t="n"/>
    </row>
    <row r="271" ht="70" customHeight="1">
      <c r="A271" s="10" t="n">
        <v>267</v>
      </c>
      <c r="B271" s="11" t="inlineStr">
        <is>
          <t>MB-FORM-07</t>
        </is>
      </c>
      <c r="C271" s="5" t="inlineStr">
        <is>
          <t>Pause menyimpan apa adanya tanpa memvalidasi</t>
        </is>
      </c>
      <c r="D271" s="12" t="inlineStr">
        <is>
          <t>Sterilizer</t>
        </is>
      </c>
      <c r="E271" s="5" t="inlineStr">
        <is>
          <t>OPR-A</t>
        </is>
      </c>
      <c r="F271" s="5" t="inlineStr">
        <is>
          <t>- Pause berhasil — tidak ada satu pun validasi yang menolaknya.
- Draft muncul di Monitor berlabel Pause.
- Saat dibuka kembali, isinya apa adanya seperti saat dijeda, termasuk kolom yang kosong.</t>
        </is>
      </c>
      <c r="G271" s="13" t="inlineStr">
        <is>
          <t>Tinggi</t>
        </is>
      </c>
      <c r="H271" s="18" t="n"/>
      <c r="I271" s="18" t="n"/>
      <c r="J271" s="18" t="n"/>
      <c r="K271" s="18" t="n"/>
      <c r="L271" s="18" t="n"/>
    </row>
    <row r="272" ht="70" customHeight="1">
      <c r="A272" s="14" t="n">
        <v>268</v>
      </c>
      <c r="B272" s="16" t="inlineStr">
        <is>
          <t>MB-FORM-07</t>
        </is>
      </c>
      <c r="C272" s="15" t="inlineStr">
        <is>
          <t>Pause menyimpan apa adanya tanpa memvalidasi</t>
        </is>
      </c>
      <c r="D272" s="17" t="inlineStr">
        <is>
          <t>Threshing</t>
        </is>
      </c>
      <c r="E272" s="15" t="inlineStr">
        <is>
          <t>OPR-A</t>
        </is>
      </c>
      <c r="F272" s="15" t="inlineStr">
        <is>
          <t>- Pause berhasil — tidak ada satu pun validasi yang menolaknya.
- Draft muncul di Monitor berlabel Pause.
- Saat dibuka kembali, isinya apa adanya seperti saat dijeda, termasuk kolom yang kosong.</t>
        </is>
      </c>
      <c r="G272" s="13" t="inlineStr">
        <is>
          <t>Tinggi</t>
        </is>
      </c>
      <c r="H272" s="18" t="n"/>
      <c r="I272" s="18" t="n"/>
      <c r="J272" s="18" t="n"/>
      <c r="K272" s="18" t="n"/>
      <c r="L272" s="18" t="n"/>
    </row>
    <row r="273" ht="70" customHeight="1">
      <c r="A273" s="10" t="n">
        <v>269</v>
      </c>
      <c r="B273" s="11" t="inlineStr">
        <is>
          <t>MB-FORM-07</t>
        </is>
      </c>
      <c r="C273" s="5" t="inlineStr">
        <is>
          <t>Pause menyimpan apa adanya tanpa memvalidasi</t>
        </is>
      </c>
      <c r="D273" s="12" t="inlineStr">
        <is>
          <t>Pressing</t>
        </is>
      </c>
      <c r="E273" s="5" t="inlineStr">
        <is>
          <t>OPR-A</t>
        </is>
      </c>
      <c r="F273" s="5" t="inlineStr">
        <is>
          <t>- Pause berhasil — tidak ada satu pun validasi yang menolaknya.
- Draft muncul di Monitor berlabel Pause.
- Saat dibuka kembali, isinya apa adanya seperti saat dijeda, termasuk kolom yang kosong.</t>
        </is>
      </c>
      <c r="G273" s="13" t="inlineStr">
        <is>
          <t>Tinggi</t>
        </is>
      </c>
      <c r="H273" s="18" t="n"/>
      <c r="I273" s="18" t="n"/>
      <c r="J273" s="18" t="n"/>
      <c r="K273" s="18" t="n"/>
      <c r="L273" s="18" t="n"/>
    </row>
    <row r="274" ht="70" customHeight="1">
      <c r="A274" s="14" t="n">
        <v>270</v>
      </c>
      <c r="B274" s="16" t="inlineStr">
        <is>
          <t>MB-FORM-07</t>
        </is>
      </c>
      <c r="C274" s="15" t="inlineStr">
        <is>
          <t>Pause menyimpan apa adanya tanpa memvalidasi</t>
        </is>
      </c>
      <c r="D274" s="17" t="inlineStr">
        <is>
          <t>Clarification</t>
        </is>
      </c>
      <c r="E274" s="15" t="inlineStr">
        <is>
          <t>OPR-A</t>
        </is>
      </c>
      <c r="F274" s="15" t="inlineStr">
        <is>
          <t>- Pause berhasil — tidak ada satu pun validasi yang menolaknya.
- Draft muncul di Monitor berlabel Pause.
- Saat dibuka kembali, isinya apa adanya seperti saat dijeda, termasuk kolom yang kosong.</t>
        </is>
      </c>
      <c r="G274" s="13" t="inlineStr">
        <is>
          <t>Tinggi</t>
        </is>
      </c>
      <c r="H274" s="18" t="n"/>
      <c r="I274" s="18" t="n"/>
      <c r="J274" s="18" t="n"/>
      <c r="K274" s="18" t="n"/>
      <c r="L274" s="18" t="n"/>
    </row>
    <row r="275" ht="70" customHeight="1">
      <c r="A275" s="10" t="n">
        <v>271</v>
      </c>
      <c r="B275" s="11" t="inlineStr">
        <is>
          <t>MB-FORM-07</t>
        </is>
      </c>
      <c r="C275" s="5" t="inlineStr">
        <is>
          <t>Pause menyimpan apa adanya tanpa memvalidasi</t>
        </is>
      </c>
      <c r="D275" s="12" t="inlineStr">
        <is>
          <t>Kernel Plant</t>
        </is>
      </c>
      <c r="E275" s="5" t="inlineStr">
        <is>
          <t>OPR-A</t>
        </is>
      </c>
      <c r="F275" s="5" t="inlineStr">
        <is>
          <t>- Pause berhasil — tidak ada satu pun validasi yang menolaknya.
- Draft muncul di Monitor berlabel Pause.
- Saat dibuka kembali, isinya apa adanya seperti saat dijeda, termasuk kolom yang kosong.</t>
        </is>
      </c>
      <c r="G275" s="13" t="inlineStr">
        <is>
          <t>Tinggi</t>
        </is>
      </c>
      <c r="H275" s="18" t="n"/>
      <c r="I275" s="18" t="n"/>
      <c r="J275" s="18" t="n"/>
      <c r="K275" s="18" t="n"/>
      <c r="L275" s="18" t="n"/>
    </row>
    <row r="276" ht="70" customHeight="1">
      <c r="A276" s="14" t="n">
        <v>272</v>
      </c>
      <c r="B276" s="16" t="inlineStr">
        <is>
          <t>MB-FORM-07</t>
        </is>
      </c>
      <c r="C276" s="15" t="inlineStr">
        <is>
          <t>Pause menyimpan apa adanya tanpa memvalidasi</t>
        </is>
      </c>
      <c r="D276" s="17" t="inlineStr">
        <is>
          <t>Boiler Room</t>
        </is>
      </c>
      <c r="E276" s="15" t="inlineStr">
        <is>
          <t>OPR-A</t>
        </is>
      </c>
      <c r="F276" s="15" t="inlineStr">
        <is>
          <t>- Pause berhasil — tidak ada satu pun validasi yang menolaknya.
- Draft muncul di Monitor berlabel Pause.
- Saat dibuka kembali, isinya apa adanya seperti saat dijeda, termasuk kolom yang kosong.</t>
        </is>
      </c>
      <c r="G276" s="13" t="inlineStr">
        <is>
          <t>Tinggi</t>
        </is>
      </c>
      <c r="H276" s="18" t="n"/>
      <c r="I276" s="18" t="n"/>
      <c r="J276" s="18" t="n"/>
      <c r="K276" s="18" t="n"/>
      <c r="L276" s="18" t="n"/>
    </row>
    <row r="277" ht="70" customHeight="1">
      <c r="A277" s="10" t="n">
        <v>273</v>
      </c>
      <c r="B277" s="11" t="inlineStr">
        <is>
          <t>MB-FORM-07</t>
        </is>
      </c>
      <c r="C277" s="5" t="inlineStr">
        <is>
          <t>Pause menyimpan apa adanya tanpa memvalidasi</t>
        </is>
      </c>
      <c r="D277" s="12" t="inlineStr">
        <is>
          <t>Effluent Plant</t>
        </is>
      </c>
      <c r="E277" s="5" t="inlineStr">
        <is>
          <t>OPR-A</t>
        </is>
      </c>
      <c r="F277" s="5" t="inlineStr">
        <is>
          <t>- Pause berhasil — tidak ada satu pun validasi yang menolaknya.
- Draft muncul di Monitor berlabel Pause.
- Saat dibuka kembali, isinya apa adanya seperti saat dijeda, termasuk kolom yang kosong.</t>
        </is>
      </c>
      <c r="G277" s="13" t="inlineStr">
        <is>
          <t>Tinggi</t>
        </is>
      </c>
      <c r="H277" s="18" t="n"/>
      <c r="I277" s="18" t="n"/>
      <c r="J277" s="18" t="n"/>
      <c r="K277" s="18" t="n"/>
      <c r="L277" s="18" t="n"/>
    </row>
    <row r="278" ht="70" customHeight="1">
      <c r="A278" s="14" t="n">
        <v>274</v>
      </c>
      <c r="B278" s="16" t="inlineStr">
        <is>
          <t>MB-FORM-07</t>
        </is>
      </c>
      <c r="C278" s="15" t="inlineStr">
        <is>
          <t>Pause menyimpan apa adanya tanpa memvalidasi</t>
        </is>
      </c>
      <c r="D278" s="17" t="inlineStr">
        <is>
          <t>Depricarping</t>
        </is>
      </c>
      <c r="E278" s="15" t="inlineStr">
        <is>
          <t>OPR-A</t>
        </is>
      </c>
      <c r="F278" s="15" t="inlineStr">
        <is>
          <t>- Pause berhasil — tidak ada satu pun validasi yang menolaknya.
- Draft muncul di Monitor berlabel Pause.
- Saat dibuka kembali, isinya apa adanya seperti saat dijeda, termasuk kolom yang kosong.</t>
        </is>
      </c>
      <c r="G278" s="13" t="inlineStr">
        <is>
          <t>Tinggi</t>
        </is>
      </c>
      <c r="H278" s="18" t="n"/>
      <c r="I278" s="18" t="n"/>
      <c r="J278" s="18" t="n"/>
      <c r="K278" s="18" t="n"/>
      <c r="L278" s="18" t="n"/>
    </row>
    <row r="279" ht="70" customHeight="1">
      <c r="A279" s="10" t="n">
        <v>275</v>
      </c>
      <c r="B279" s="11" t="inlineStr">
        <is>
          <t>MB-FORM-07</t>
        </is>
      </c>
      <c r="C279" s="5" t="inlineStr">
        <is>
          <t>Pause menyimpan apa adanya tanpa memvalidasi</t>
        </is>
      </c>
      <c r="D279" s="12" t="inlineStr">
        <is>
          <t>Engine Room</t>
        </is>
      </c>
      <c r="E279" s="5" t="inlineStr">
        <is>
          <t>OPR-A</t>
        </is>
      </c>
      <c r="F279" s="5" t="inlineStr">
        <is>
          <t>- Pause berhasil — tidak ada satu pun validasi yang menolaknya.
- Draft muncul di Monitor berlabel Pause.
- Saat dibuka kembali, isinya apa adanya seperti saat dijeda, termasuk kolom yang kosong.</t>
        </is>
      </c>
      <c r="G279" s="13" t="inlineStr">
        <is>
          <t>Tinggi</t>
        </is>
      </c>
      <c r="H279" s="18" t="n"/>
      <c r="I279" s="18" t="n"/>
      <c r="J279" s="18" t="n"/>
      <c r="K279" s="18" t="n"/>
      <c r="L279" s="18" t="n"/>
    </row>
    <row r="280" ht="70" customHeight="1">
      <c r="A280" s="14" t="n">
        <v>276</v>
      </c>
      <c r="B280" s="16" t="inlineStr">
        <is>
          <t>MB-FORM-07</t>
        </is>
      </c>
      <c r="C280" s="15" t="inlineStr">
        <is>
          <t>Pause menyimpan apa adanya tanpa memvalidasi</t>
        </is>
      </c>
      <c r="D280" s="17" t="inlineStr">
        <is>
          <t>Process Water</t>
        </is>
      </c>
      <c r="E280" s="15" t="inlineStr">
        <is>
          <t>OPR-A</t>
        </is>
      </c>
      <c r="F280" s="15" t="inlineStr">
        <is>
          <t>- Pause berhasil — tidak ada satu pun validasi yang menolaknya.
- Draft muncul di Monitor berlabel Pause.
- Saat dibuka kembali, isinya apa adanya seperti saat dijeda, termasuk kolom yang kosong.</t>
        </is>
      </c>
      <c r="G280" s="13" t="inlineStr">
        <is>
          <t>Tinggi</t>
        </is>
      </c>
      <c r="H280" s="18" t="n"/>
      <c r="I280" s="18" t="n"/>
      <c r="J280" s="18" t="n"/>
      <c r="K280" s="18" t="n"/>
      <c r="L280" s="18" t="n"/>
    </row>
    <row r="281" ht="70" customHeight="1">
      <c r="A281" s="10" t="n">
        <v>277</v>
      </c>
      <c r="B281" s="11" t="inlineStr">
        <is>
          <t>MB-FORM-07</t>
        </is>
      </c>
      <c r="C281" s="5" t="inlineStr">
        <is>
          <t>Pause menyimpan apa adanya tanpa memvalidasi</t>
        </is>
      </c>
      <c r="D281" s="12" t="inlineStr">
        <is>
          <t>Storage Tank</t>
        </is>
      </c>
      <c r="E281" s="5" t="inlineStr">
        <is>
          <t>OPR-A</t>
        </is>
      </c>
      <c r="F281" s="5" t="inlineStr">
        <is>
          <t>- Pause berhasil — tidak ada satu pun validasi yang menolaknya.
- Draft muncul di Monitor berlabel Pause.
- Saat dibuka kembali, isinya apa adanya seperti saat dijeda, termasuk kolom yang kosong.</t>
        </is>
      </c>
      <c r="G281" s="13" t="inlineStr">
        <is>
          <t>Tinggi</t>
        </is>
      </c>
      <c r="H281" s="18" t="n"/>
      <c r="I281" s="18" t="n"/>
      <c r="J281" s="18" t="n"/>
      <c r="K281" s="18" t="n"/>
      <c r="L281" s="18" t="n"/>
    </row>
    <row r="282" ht="70" customHeight="1">
      <c r="A282" s="14" t="n">
        <v>278</v>
      </c>
      <c r="B282" s="16" t="inlineStr">
        <is>
          <t>MB-FORM-07</t>
        </is>
      </c>
      <c r="C282" s="15" t="inlineStr">
        <is>
          <t>Pause menyimpan apa adanya tanpa memvalidasi</t>
        </is>
      </c>
      <c r="D282" s="17" t="inlineStr">
        <is>
          <t>Solid Waste Disposal</t>
        </is>
      </c>
      <c r="E282" s="15" t="inlineStr">
        <is>
          <t>OPR-A</t>
        </is>
      </c>
      <c r="F282" s="15" t="inlineStr">
        <is>
          <t>- Pause berhasil — tidak ada satu pun validasi yang menolaknya.
- Draft muncul di Monitor berlabel Pause.
- Saat dibuka kembali, isinya apa adanya seperti saat dijeda, termasuk kolom yang kosong.</t>
        </is>
      </c>
      <c r="G282" s="13" t="inlineStr">
        <is>
          <t>Tinggi</t>
        </is>
      </c>
      <c r="H282" s="18" t="n"/>
      <c r="I282" s="18" t="n"/>
      <c r="J282" s="18" t="n"/>
      <c r="K282" s="18" t="n"/>
      <c r="L282" s="18" t="n"/>
    </row>
    <row r="283" ht="70" customHeight="1">
      <c r="A283" s="10" t="n">
        <v>279</v>
      </c>
      <c r="B283" s="11" t="inlineStr">
        <is>
          <t>MB-FORM-07</t>
        </is>
      </c>
      <c r="C283" s="5" t="inlineStr">
        <is>
          <t>Pause menyimpan apa adanya tanpa memvalidasi</t>
        </is>
      </c>
      <c r="D283" s="12" t="inlineStr">
        <is>
          <t>Kernel Dispatch</t>
        </is>
      </c>
      <c r="E283" s="5" t="inlineStr">
        <is>
          <t>OPR-A</t>
        </is>
      </c>
      <c r="F283" s="5" t="inlineStr">
        <is>
          <t>- Pause berhasil — tidak ada satu pun validasi yang menolaknya.
- Draft muncul di Monitor berlabel Pause.
- Saat dibuka kembali, isinya apa adanya seperti saat dijeda, termasuk kolom yang kosong.</t>
        </is>
      </c>
      <c r="G283" s="13" t="inlineStr">
        <is>
          <t>Tinggi</t>
        </is>
      </c>
      <c r="H283" s="18" t="n"/>
      <c r="I283" s="18" t="n"/>
      <c r="J283" s="18" t="n"/>
      <c r="K283" s="18" t="n"/>
      <c r="L283" s="18" t="n"/>
    </row>
    <row r="284" ht="70" customHeight="1">
      <c r="A284" s="14" t="n">
        <v>280</v>
      </c>
      <c r="B284" s="16" t="inlineStr">
        <is>
          <t>MB-FORM-07</t>
        </is>
      </c>
      <c r="C284" s="15" t="inlineStr">
        <is>
          <t>Pause menyimpan apa adanya tanpa memvalidasi</t>
        </is>
      </c>
      <c r="D284" s="17" t="inlineStr">
        <is>
          <t>CPO Dispatch</t>
        </is>
      </c>
      <c r="E284" s="15" t="inlineStr">
        <is>
          <t>OPR-A</t>
        </is>
      </c>
      <c r="F284" s="15" t="inlineStr">
        <is>
          <t>- Pause berhasil — tidak ada satu pun validasi yang menolaknya.
- Draft muncul di Monitor berlabel Pause.
- Saat dibuka kembali, isinya apa adanya seperti saat dijeda, termasuk kolom yang kosong.</t>
        </is>
      </c>
      <c r="G284" s="13" t="inlineStr">
        <is>
          <t>Tinggi</t>
        </is>
      </c>
      <c r="H284" s="18" t="n"/>
      <c r="I284" s="18" t="n"/>
      <c r="J284" s="18" t="n"/>
      <c r="K284" s="18" t="n"/>
      <c r="L284" s="18" t="n"/>
    </row>
    <row r="285" ht="70" customHeight="1">
      <c r="A285" s="10" t="n">
        <v>281</v>
      </c>
      <c r="B285" s="11" t="inlineStr">
        <is>
          <t>MB-FORM-07</t>
        </is>
      </c>
      <c r="C285" s="5" t="inlineStr">
        <is>
          <t>Pause menyimpan apa adanya tanpa memvalidasi</t>
        </is>
      </c>
      <c r="D285" s="12" t="inlineStr">
        <is>
          <t>Process Quality Control</t>
        </is>
      </c>
      <c r="E285" s="5" t="inlineStr">
        <is>
          <t>OPR-A</t>
        </is>
      </c>
      <c r="F285" s="5" t="inlineStr">
        <is>
          <t>- Pause berhasil — tidak ada satu pun validasi yang menolaknya.
- Draft muncul di Monitor berlabel Pause.
- Saat dibuka kembali, isinya apa adanya seperti saat dijeda, termasuk kolom yang kosong.</t>
        </is>
      </c>
      <c r="G285" s="13" t="inlineStr">
        <is>
          <t>Tinggi</t>
        </is>
      </c>
      <c r="H285" s="18" t="n"/>
      <c r="I285" s="18" t="n"/>
      <c r="J285" s="18" t="n"/>
      <c r="K285" s="18" t="n"/>
      <c r="L285" s="18" t="n"/>
    </row>
    <row r="286" ht="70" customHeight="1">
      <c r="A286" s="14" t="n">
        <v>282</v>
      </c>
      <c r="B286" s="16" t="inlineStr">
        <is>
          <t>MB-FORM-08</t>
        </is>
      </c>
      <c r="C286" s="15" t="inlineStr">
        <is>
          <t>Melanjutkan draft memuat kembali isinya</t>
        </is>
      </c>
      <c r="D286" s="17" t="inlineStr">
        <is>
          <t>Weighbridge</t>
        </is>
      </c>
      <c r="E286" s="15" t="inlineStr">
        <is>
          <t>OPR-A</t>
        </is>
      </c>
      <c r="F286" s="15" t="inlineStr">
        <is>
          <t>- Kolom identitas dan Tanggal sama seperti saat dijeda.
- Kedua baris muncul lengkap dengan nilainya, pada slot waktu yang sama.
- Baris ketiga hanya menawarkan slot sesudah slot terakhir yang sudah dipakai.</t>
        </is>
      </c>
      <c r="G286" s="13" t="inlineStr">
        <is>
          <t>Tinggi</t>
        </is>
      </c>
      <c r="H286" s="18" t="n"/>
      <c r="I286" s="18" t="n"/>
      <c r="J286" s="18" t="n"/>
      <c r="K286" s="18" t="n"/>
      <c r="L286" s="18" t="n"/>
    </row>
    <row r="287" ht="70" customHeight="1">
      <c r="A287" s="10" t="n">
        <v>283</v>
      </c>
      <c r="B287" s="11" t="inlineStr">
        <is>
          <t>MB-FORM-08</t>
        </is>
      </c>
      <c r="C287" s="5" t="inlineStr">
        <is>
          <t>Melanjutkan draft memuat kembali isinya</t>
        </is>
      </c>
      <c r="D287" s="12" t="inlineStr">
        <is>
          <t>Grading</t>
        </is>
      </c>
      <c r="E287" s="5" t="inlineStr">
        <is>
          <t>OPR-A</t>
        </is>
      </c>
      <c r="F287" s="5" t="inlineStr">
        <is>
          <t>- Kolom identitas dan Tanggal sama seperti saat dijeda.
- Kedua baris muncul lengkap dengan nilainya, pada slot waktu yang sama.
- Baris ketiga hanya menawarkan slot sesudah slot terakhir yang sudah dipakai.</t>
        </is>
      </c>
      <c r="G287" s="13" t="inlineStr">
        <is>
          <t>Tinggi</t>
        </is>
      </c>
      <c r="H287" s="18" t="n"/>
      <c r="I287" s="18" t="n"/>
      <c r="J287" s="18" t="n"/>
      <c r="K287" s="18" t="n"/>
      <c r="L287" s="18" t="n"/>
    </row>
    <row r="288" ht="70" customHeight="1">
      <c r="A288" s="14" t="n">
        <v>284</v>
      </c>
      <c r="B288" s="16" t="inlineStr">
        <is>
          <t>MB-FORM-08</t>
        </is>
      </c>
      <c r="C288" s="15" t="inlineStr">
        <is>
          <t>Melanjutkan draft memuat kembali isinya</t>
        </is>
      </c>
      <c r="D288" s="17" t="inlineStr">
        <is>
          <t>Cages Track</t>
        </is>
      </c>
      <c r="E288" s="15" t="inlineStr">
        <is>
          <t>OPR-A</t>
        </is>
      </c>
      <c r="F288" s="15" t="inlineStr">
        <is>
          <t>- Kolom identitas dan Tanggal sama seperti saat dijeda.
- Kedua baris muncul lengkap dengan nilainya, pada slot waktu yang sama.
- Baris ketiga hanya menawarkan slot sesudah slot terakhir yang sudah dipakai.</t>
        </is>
      </c>
      <c r="G288" s="13" t="inlineStr">
        <is>
          <t>Tinggi</t>
        </is>
      </c>
      <c r="H288" s="18" t="n"/>
      <c r="I288" s="18" t="n"/>
      <c r="J288" s="18" t="n"/>
      <c r="K288" s="18" t="n"/>
      <c r="L288" s="18" t="n"/>
    </row>
    <row r="289" ht="70" customHeight="1">
      <c r="A289" s="10" t="n">
        <v>285</v>
      </c>
      <c r="B289" s="11" t="inlineStr">
        <is>
          <t>MB-FORM-08</t>
        </is>
      </c>
      <c r="C289" s="5" t="inlineStr">
        <is>
          <t>Melanjutkan draft memuat kembali isinya</t>
        </is>
      </c>
      <c r="D289" s="12" t="inlineStr">
        <is>
          <t>Sterilizer</t>
        </is>
      </c>
      <c r="E289" s="5" t="inlineStr">
        <is>
          <t>OPR-A</t>
        </is>
      </c>
      <c r="F289" s="5" t="inlineStr">
        <is>
          <t>- Kolom identitas dan Tanggal sama seperti saat dijeda.
- Kedua baris muncul lengkap dengan nilainya, pada slot waktu yang sama.
- Baris ketiga hanya menawarkan slot sesudah slot terakhir yang sudah dipakai.</t>
        </is>
      </c>
      <c r="G289" s="13" t="inlineStr">
        <is>
          <t>Tinggi</t>
        </is>
      </c>
      <c r="H289" s="18" t="n"/>
      <c r="I289" s="18" t="n"/>
      <c r="J289" s="18" t="n"/>
      <c r="K289" s="18" t="n"/>
      <c r="L289" s="18" t="n"/>
    </row>
    <row r="290" ht="70" customHeight="1">
      <c r="A290" s="14" t="n">
        <v>286</v>
      </c>
      <c r="B290" s="16" t="inlineStr">
        <is>
          <t>MB-FORM-08</t>
        </is>
      </c>
      <c r="C290" s="15" t="inlineStr">
        <is>
          <t>Melanjutkan draft memuat kembali isinya</t>
        </is>
      </c>
      <c r="D290" s="17" t="inlineStr">
        <is>
          <t>Threshing</t>
        </is>
      </c>
      <c r="E290" s="15" t="inlineStr">
        <is>
          <t>OPR-A</t>
        </is>
      </c>
      <c r="F290" s="15" t="inlineStr">
        <is>
          <t>- Kolom identitas dan Tanggal sama seperti saat dijeda.
- Kedua baris muncul lengkap dengan nilainya, pada slot waktu yang sama.
- Baris ketiga hanya menawarkan slot sesudah slot terakhir yang sudah dipakai.</t>
        </is>
      </c>
      <c r="G290" s="13" t="inlineStr">
        <is>
          <t>Tinggi</t>
        </is>
      </c>
      <c r="H290" s="18" t="n"/>
      <c r="I290" s="18" t="n"/>
      <c r="J290" s="18" t="n"/>
      <c r="K290" s="18" t="n"/>
      <c r="L290" s="18" t="n"/>
    </row>
    <row r="291" ht="70" customHeight="1">
      <c r="A291" s="10" t="n">
        <v>287</v>
      </c>
      <c r="B291" s="11" t="inlineStr">
        <is>
          <t>MB-FORM-08</t>
        </is>
      </c>
      <c r="C291" s="5" t="inlineStr">
        <is>
          <t>Melanjutkan draft memuat kembali isinya</t>
        </is>
      </c>
      <c r="D291" s="12" t="inlineStr">
        <is>
          <t>Pressing</t>
        </is>
      </c>
      <c r="E291" s="5" t="inlineStr">
        <is>
          <t>OPR-A</t>
        </is>
      </c>
      <c r="F291" s="5" t="inlineStr">
        <is>
          <t>- Kolom identitas dan Tanggal sama seperti saat dijeda.
- Kedua baris muncul lengkap dengan nilainya, pada slot waktu yang sama.
- Baris ketiga hanya menawarkan slot sesudah slot terakhir yang sudah dipakai.</t>
        </is>
      </c>
      <c r="G291" s="13" t="inlineStr">
        <is>
          <t>Tinggi</t>
        </is>
      </c>
      <c r="H291" s="18" t="n"/>
      <c r="I291" s="18" t="n"/>
      <c r="J291" s="18" t="n"/>
      <c r="K291" s="18" t="n"/>
      <c r="L291" s="18" t="n"/>
    </row>
    <row r="292" ht="70" customHeight="1">
      <c r="A292" s="14" t="n">
        <v>288</v>
      </c>
      <c r="B292" s="16" t="inlineStr">
        <is>
          <t>MB-FORM-08</t>
        </is>
      </c>
      <c r="C292" s="15" t="inlineStr">
        <is>
          <t>Melanjutkan draft memuat kembali isinya</t>
        </is>
      </c>
      <c r="D292" s="17" t="inlineStr">
        <is>
          <t>Clarification</t>
        </is>
      </c>
      <c r="E292" s="15" t="inlineStr">
        <is>
          <t>OPR-A</t>
        </is>
      </c>
      <c r="F292" s="15" t="inlineStr">
        <is>
          <t>- Kolom identitas dan Tanggal sama seperti saat dijeda.
- Kedua baris muncul lengkap dengan nilainya, pada slot waktu yang sama.
- Baris ketiga hanya menawarkan slot sesudah slot terakhir yang sudah dipakai.</t>
        </is>
      </c>
      <c r="G292" s="13" t="inlineStr">
        <is>
          <t>Tinggi</t>
        </is>
      </c>
      <c r="H292" s="18" t="n"/>
      <c r="I292" s="18" t="n"/>
      <c r="J292" s="18" t="n"/>
      <c r="K292" s="18" t="n"/>
      <c r="L292" s="18" t="n"/>
    </row>
    <row r="293" ht="70" customHeight="1">
      <c r="A293" s="10" t="n">
        <v>289</v>
      </c>
      <c r="B293" s="11" t="inlineStr">
        <is>
          <t>MB-FORM-08</t>
        </is>
      </c>
      <c r="C293" s="5" t="inlineStr">
        <is>
          <t>Melanjutkan draft memuat kembali isinya</t>
        </is>
      </c>
      <c r="D293" s="12" t="inlineStr">
        <is>
          <t>Kernel Plant</t>
        </is>
      </c>
      <c r="E293" s="5" t="inlineStr">
        <is>
          <t>OPR-A</t>
        </is>
      </c>
      <c r="F293" s="5" t="inlineStr">
        <is>
          <t>- Kolom identitas dan Tanggal sama seperti saat dijeda.
- Kedua baris muncul lengkap dengan nilainya, pada slot waktu yang sama.
- Baris ketiga hanya menawarkan slot sesudah slot terakhir yang sudah dipakai.</t>
        </is>
      </c>
      <c r="G293" s="13" t="inlineStr">
        <is>
          <t>Tinggi</t>
        </is>
      </c>
      <c r="H293" s="18" t="n"/>
      <c r="I293" s="18" t="n"/>
      <c r="J293" s="18" t="n"/>
      <c r="K293" s="18" t="n"/>
      <c r="L293" s="18" t="n"/>
    </row>
    <row r="294" ht="70" customHeight="1">
      <c r="A294" s="14" t="n">
        <v>290</v>
      </c>
      <c r="B294" s="16" t="inlineStr">
        <is>
          <t>MB-FORM-08</t>
        </is>
      </c>
      <c r="C294" s="15" t="inlineStr">
        <is>
          <t>Melanjutkan draft memuat kembali isinya</t>
        </is>
      </c>
      <c r="D294" s="17" t="inlineStr">
        <is>
          <t>Boiler Room</t>
        </is>
      </c>
      <c r="E294" s="15" t="inlineStr">
        <is>
          <t>OPR-A</t>
        </is>
      </c>
      <c r="F294" s="15" t="inlineStr">
        <is>
          <t>- Kolom identitas dan Tanggal sama seperti saat dijeda.
- Kedua baris muncul lengkap dengan nilainya, pada slot waktu yang sama.
- Baris ketiga hanya menawarkan slot sesudah slot terakhir yang sudah dipakai.</t>
        </is>
      </c>
      <c r="G294" s="13" t="inlineStr">
        <is>
          <t>Tinggi</t>
        </is>
      </c>
      <c r="H294" s="18" t="n"/>
      <c r="I294" s="18" t="n"/>
      <c r="J294" s="18" t="n"/>
      <c r="K294" s="18" t="n"/>
      <c r="L294" s="18" t="n"/>
    </row>
    <row r="295" ht="70" customHeight="1">
      <c r="A295" s="10" t="n">
        <v>291</v>
      </c>
      <c r="B295" s="11" t="inlineStr">
        <is>
          <t>MB-FORM-08</t>
        </is>
      </c>
      <c r="C295" s="5" t="inlineStr">
        <is>
          <t>Melanjutkan draft memuat kembali isinya</t>
        </is>
      </c>
      <c r="D295" s="12" t="inlineStr">
        <is>
          <t>Effluent Plant</t>
        </is>
      </c>
      <c r="E295" s="5" t="inlineStr">
        <is>
          <t>OPR-A</t>
        </is>
      </c>
      <c r="F295" s="5" t="inlineStr">
        <is>
          <t>- Kolom identitas dan Tanggal sama seperti saat dijeda.
- Kedua baris muncul lengkap dengan nilainya, pada slot waktu yang sama.
- Baris ketiga hanya menawarkan slot sesudah slot terakhir yang sudah dipakai.</t>
        </is>
      </c>
      <c r="G295" s="13" t="inlineStr">
        <is>
          <t>Tinggi</t>
        </is>
      </c>
      <c r="H295" s="18" t="n"/>
      <c r="I295" s="18" t="n"/>
      <c r="J295" s="18" t="n"/>
      <c r="K295" s="18" t="n"/>
      <c r="L295" s="18" t="n"/>
    </row>
    <row r="296" ht="70" customHeight="1">
      <c r="A296" s="14" t="n">
        <v>292</v>
      </c>
      <c r="B296" s="16" t="inlineStr">
        <is>
          <t>MB-FORM-08</t>
        </is>
      </c>
      <c r="C296" s="15" t="inlineStr">
        <is>
          <t>Melanjutkan draft memuat kembali isinya</t>
        </is>
      </c>
      <c r="D296" s="17" t="inlineStr">
        <is>
          <t>Depricarping</t>
        </is>
      </c>
      <c r="E296" s="15" t="inlineStr">
        <is>
          <t>OPR-A</t>
        </is>
      </c>
      <c r="F296" s="15" t="inlineStr">
        <is>
          <t>- Kolom identitas dan Tanggal sama seperti saat dijeda.
- Kedua baris muncul lengkap dengan nilainya, pada slot waktu yang sama.
- Baris ketiga hanya menawarkan slot sesudah slot terakhir yang sudah dipakai.</t>
        </is>
      </c>
      <c r="G296" s="13" t="inlineStr">
        <is>
          <t>Tinggi</t>
        </is>
      </c>
      <c r="H296" s="18" t="n"/>
      <c r="I296" s="18" t="n"/>
      <c r="J296" s="18" t="n"/>
      <c r="K296" s="18" t="n"/>
      <c r="L296" s="18" t="n"/>
    </row>
    <row r="297" ht="70" customHeight="1">
      <c r="A297" s="10" t="n">
        <v>293</v>
      </c>
      <c r="B297" s="11" t="inlineStr">
        <is>
          <t>MB-FORM-08</t>
        </is>
      </c>
      <c r="C297" s="5" t="inlineStr">
        <is>
          <t>Melanjutkan draft memuat kembali isinya</t>
        </is>
      </c>
      <c r="D297" s="12" t="inlineStr">
        <is>
          <t>Engine Room</t>
        </is>
      </c>
      <c r="E297" s="5" t="inlineStr">
        <is>
          <t>OPR-A</t>
        </is>
      </c>
      <c r="F297" s="5" t="inlineStr">
        <is>
          <t>- Kolom identitas dan Tanggal sama seperti saat dijeda.
- Kedua baris muncul lengkap dengan nilainya, pada slot waktu yang sama.
- Baris ketiga hanya menawarkan slot sesudah slot terakhir yang sudah dipakai.</t>
        </is>
      </c>
      <c r="G297" s="13" t="inlineStr">
        <is>
          <t>Tinggi</t>
        </is>
      </c>
      <c r="H297" s="18" t="n"/>
      <c r="I297" s="18" t="n"/>
      <c r="J297" s="18" t="n"/>
      <c r="K297" s="18" t="n"/>
      <c r="L297" s="18" t="n"/>
    </row>
    <row r="298" ht="70" customHeight="1">
      <c r="A298" s="14" t="n">
        <v>294</v>
      </c>
      <c r="B298" s="16" t="inlineStr">
        <is>
          <t>MB-FORM-08</t>
        </is>
      </c>
      <c r="C298" s="15" t="inlineStr">
        <is>
          <t>Melanjutkan draft memuat kembali isinya</t>
        </is>
      </c>
      <c r="D298" s="17" t="inlineStr">
        <is>
          <t>Process Water</t>
        </is>
      </c>
      <c r="E298" s="15" t="inlineStr">
        <is>
          <t>OPR-A</t>
        </is>
      </c>
      <c r="F298" s="15" t="inlineStr">
        <is>
          <t>- Kolom identitas dan Tanggal sama seperti saat dijeda.
- Kedua baris muncul lengkap dengan nilainya, pada slot waktu yang sama.
- Baris ketiga hanya menawarkan slot sesudah slot terakhir yang sudah dipakai.</t>
        </is>
      </c>
      <c r="G298" s="13" t="inlineStr">
        <is>
          <t>Tinggi</t>
        </is>
      </c>
      <c r="H298" s="18" t="n"/>
      <c r="I298" s="18" t="n"/>
      <c r="J298" s="18" t="n"/>
      <c r="K298" s="18" t="n"/>
      <c r="L298" s="18" t="n"/>
    </row>
    <row r="299" ht="70" customHeight="1">
      <c r="A299" s="10" t="n">
        <v>295</v>
      </c>
      <c r="B299" s="11" t="inlineStr">
        <is>
          <t>MB-FORM-08</t>
        </is>
      </c>
      <c r="C299" s="5" t="inlineStr">
        <is>
          <t>Melanjutkan draft memuat kembali isinya</t>
        </is>
      </c>
      <c r="D299" s="12" t="inlineStr">
        <is>
          <t>Storage Tank</t>
        </is>
      </c>
      <c r="E299" s="5" t="inlineStr">
        <is>
          <t>OPR-A</t>
        </is>
      </c>
      <c r="F299" s="5" t="inlineStr">
        <is>
          <t>- Kolom identitas dan Tanggal sama seperti saat dijeda.
- Kedua baris muncul lengkap dengan nilainya, pada slot waktu yang sama.
- Baris ketiga hanya menawarkan slot sesudah slot terakhir yang sudah dipakai.</t>
        </is>
      </c>
      <c r="G299" s="13" t="inlineStr">
        <is>
          <t>Tinggi</t>
        </is>
      </c>
      <c r="H299" s="18" t="n"/>
      <c r="I299" s="18" t="n"/>
      <c r="J299" s="18" t="n"/>
      <c r="K299" s="18" t="n"/>
      <c r="L299" s="18" t="n"/>
    </row>
    <row r="300" ht="70" customHeight="1">
      <c r="A300" s="14" t="n">
        <v>296</v>
      </c>
      <c r="B300" s="16" t="inlineStr">
        <is>
          <t>MB-FORM-08</t>
        </is>
      </c>
      <c r="C300" s="15" t="inlineStr">
        <is>
          <t>Melanjutkan draft memuat kembali isinya</t>
        </is>
      </c>
      <c r="D300" s="17" t="inlineStr">
        <is>
          <t>Solid Waste Disposal</t>
        </is>
      </c>
      <c r="E300" s="15" t="inlineStr">
        <is>
          <t>OPR-A</t>
        </is>
      </c>
      <c r="F300" s="15" t="inlineStr">
        <is>
          <t>- Kolom identitas dan Tanggal sama seperti saat dijeda.
- Kedua baris muncul lengkap dengan nilainya, pada slot waktu yang sama.
- Baris ketiga hanya menawarkan slot sesudah slot terakhir yang sudah dipakai.</t>
        </is>
      </c>
      <c r="G300" s="13" t="inlineStr">
        <is>
          <t>Tinggi</t>
        </is>
      </c>
      <c r="H300" s="18" t="n"/>
      <c r="I300" s="18" t="n"/>
      <c r="J300" s="18" t="n"/>
      <c r="K300" s="18" t="n"/>
      <c r="L300" s="18" t="n"/>
    </row>
    <row r="301" ht="70" customHeight="1">
      <c r="A301" s="10" t="n">
        <v>297</v>
      </c>
      <c r="B301" s="11" t="inlineStr">
        <is>
          <t>MB-FORM-08</t>
        </is>
      </c>
      <c r="C301" s="5" t="inlineStr">
        <is>
          <t>Melanjutkan draft memuat kembali isinya</t>
        </is>
      </c>
      <c r="D301" s="12" t="inlineStr">
        <is>
          <t>Kernel Dispatch</t>
        </is>
      </c>
      <c r="E301" s="5" t="inlineStr">
        <is>
          <t>OPR-A</t>
        </is>
      </c>
      <c r="F301" s="5" t="inlineStr">
        <is>
          <t>- Kolom identitas dan Tanggal sama seperti saat dijeda.
- Kedua baris muncul lengkap dengan nilainya, pada slot waktu yang sama.
- Baris ketiga hanya menawarkan slot sesudah slot terakhir yang sudah dipakai.</t>
        </is>
      </c>
      <c r="G301" s="13" t="inlineStr">
        <is>
          <t>Tinggi</t>
        </is>
      </c>
      <c r="H301" s="18" t="n"/>
      <c r="I301" s="18" t="n"/>
      <c r="J301" s="18" t="n"/>
      <c r="K301" s="18" t="n"/>
      <c r="L301" s="18" t="n"/>
    </row>
    <row r="302" ht="70" customHeight="1">
      <c r="A302" s="14" t="n">
        <v>298</v>
      </c>
      <c r="B302" s="16" t="inlineStr">
        <is>
          <t>MB-FORM-08</t>
        </is>
      </c>
      <c r="C302" s="15" t="inlineStr">
        <is>
          <t>Melanjutkan draft memuat kembali isinya</t>
        </is>
      </c>
      <c r="D302" s="17" t="inlineStr">
        <is>
          <t>CPO Dispatch</t>
        </is>
      </c>
      <c r="E302" s="15" t="inlineStr">
        <is>
          <t>OPR-A</t>
        </is>
      </c>
      <c r="F302" s="15" t="inlineStr">
        <is>
          <t>- Kolom identitas dan Tanggal sama seperti saat dijeda.
- Kedua baris muncul lengkap dengan nilainya, pada slot waktu yang sama.
- Baris ketiga hanya menawarkan slot sesudah slot terakhir yang sudah dipakai.</t>
        </is>
      </c>
      <c r="G302" s="13" t="inlineStr">
        <is>
          <t>Tinggi</t>
        </is>
      </c>
      <c r="H302" s="18" t="n"/>
      <c r="I302" s="18" t="n"/>
      <c r="J302" s="18" t="n"/>
      <c r="K302" s="18" t="n"/>
      <c r="L302" s="18" t="n"/>
    </row>
    <row r="303" ht="70" customHeight="1">
      <c r="A303" s="10" t="n">
        <v>299</v>
      </c>
      <c r="B303" s="11" t="inlineStr">
        <is>
          <t>MB-FORM-08</t>
        </is>
      </c>
      <c r="C303" s="5" t="inlineStr">
        <is>
          <t>Melanjutkan draft memuat kembali isinya</t>
        </is>
      </c>
      <c r="D303" s="12" t="inlineStr">
        <is>
          <t>Process Quality Control</t>
        </is>
      </c>
      <c r="E303" s="5" t="inlineStr">
        <is>
          <t>OPR-A</t>
        </is>
      </c>
      <c r="F303" s="5" t="inlineStr">
        <is>
          <t>- Kolom identitas dan Tanggal sama seperti saat dijeda.
- Kedua baris muncul lengkap dengan nilainya, pada slot waktu yang sama.
- Baris ketiga hanya menawarkan slot sesudah slot terakhir yang sudah dipakai.</t>
        </is>
      </c>
      <c r="G303" s="13" t="inlineStr">
        <is>
          <t>Tinggi</t>
        </is>
      </c>
      <c r="H303" s="18" t="n"/>
      <c r="I303" s="18" t="n"/>
      <c r="J303" s="18" t="n"/>
      <c r="K303" s="18" t="n"/>
      <c r="L303" s="18" t="n"/>
    </row>
    <row r="304" ht="70" customHeight="1">
      <c r="A304" s="14" t="n">
        <v>300</v>
      </c>
      <c r="B304" s="16" t="inlineStr">
        <is>
          <t>MB-FORM-09</t>
        </is>
      </c>
      <c r="C304" s="15" t="inlineStr">
        <is>
          <t>Clear meminta konfirmasi, lalu menghapus permanen</t>
        </is>
      </c>
      <c r="D304" s="17" t="inlineStr">
        <is>
          <t>Weighbridge</t>
        </is>
      </c>
      <c r="E304" s="15" t="inlineStr">
        <is>
          <t>OPR-A</t>
        </is>
      </c>
      <c r="F304" s="15" t="inlineStr">
        <is>
          <t>- Langkah 2 memunculkan dialog konfirmasi, bukan langsung menghapus.
- Langkah 3: isi form masih utuh sesudah Batal.
- Langkah 5: draft hilang dari daftar — terhapus permanen.</t>
        </is>
      </c>
      <c r="G304" s="13" t="inlineStr">
        <is>
          <t>Tinggi</t>
        </is>
      </c>
      <c r="H304" s="18" t="n"/>
      <c r="I304" s="18" t="n"/>
      <c r="J304" s="18" t="n"/>
      <c r="K304" s="18" t="n"/>
      <c r="L304" s="18" t="n"/>
    </row>
    <row r="305" ht="70" customHeight="1">
      <c r="A305" s="10" t="n">
        <v>301</v>
      </c>
      <c r="B305" s="11" t="inlineStr">
        <is>
          <t>MB-FORM-09</t>
        </is>
      </c>
      <c r="C305" s="5" t="inlineStr">
        <is>
          <t>Clear meminta konfirmasi, lalu menghapus permanen</t>
        </is>
      </c>
      <c r="D305" s="12" t="inlineStr">
        <is>
          <t>Grading</t>
        </is>
      </c>
      <c r="E305" s="5" t="inlineStr">
        <is>
          <t>OPR-A</t>
        </is>
      </c>
      <c r="F305" s="5" t="inlineStr">
        <is>
          <t>- Langkah 2 memunculkan dialog konfirmasi, bukan langsung menghapus.
- Langkah 3: isi form masih utuh sesudah Batal.
- Langkah 5: draft hilang dari daftar — terhapus permanen.</t>
        </is>
      </c>
      <c r="G305" s="13" t="inlineStr">
        <is>
          <t>Tinggi</t>
        </is>
      </c>
      <c r="H305" s="18" t="n"/>
      <c r="I305" s="18" t="n"/>
      <c r="J305" s="18" t="n"/>
      <c r="K305" s="18" t="n"/>
      <c r="L305" s="18" t="n"/>
    </row>
    <row r="306" ht="70" customHeight="1">
      <c r="A306" s="14" t="n">
        <v>302</v>
      </c>
      <c r="B306" s="16" t="inlineStr">
        <is>
          <t>MB-FORM-09</t>
        </is>
      </c>
      <c r="C306" s="15" t="inlineStr">
        <is>
          <t>Clear meminta konfirmasi, lalu menghapus permanen</t>
        </is>
      </c>
      <c r="D306" s="17" t="inlineStr">
        <is>
          <t>Cages Track</t>
        </is>
      </c>
      <c r="E306" s="15" t="inlineStr">
        <is>
          <t>OPR-A</t>
        </is>
      </c>
      <c r="F306" s="15" t="inlineStr">
        <is>
          <t>- Langkah 2 memunculkan dialog konfirmasi, bukan langsung menghapus.
- Langkah 3: isi form masih utuh sesudah Batal.
- Langkah 5: draft hilang dari daftar — terhapus permanen.</t>
        </is>
      </c>
      <c r="G306" s="13" t="inlineStr">
        <is>
          <t>Tinggi</t>
        </is>
      </c>
      <c r="H306" s="18" t="n"/>
      <c r="I306" s="18" t="n"/>
      <c r="J306" s="18" t="n"/>
      <c r="K306" s="18" t="n"/>
      <c r="L306" s="18" t="n"/>
    </row>
    <row r="307" ht="70" customHeight="1">
      <c r="A307" s="10" t="n">
        <v>303</v>
      </c>
      <c r="B307" s="11" t="inlineStr">
        <is>
          <t>MB-FORM-09</t>
        </is>
      </c>
      <c r="C307" s="5" t="inlineStr">
        <is>
          <t>Clear meminta konfirmasi, lalu menghapus permanen</t>
        </is>
      </c>
      <c r="D307" s="12" t="inlineStr">
        <is>
          <t>Sterilizer</t>
        </is>
      </c>
      <c r="E307" s="5" t="inlineStr">
        <is>
          <t>OPR-A</t>
        </is>
      </c>
      <c r="F307" s="5" t="inlineStr">
        <is>
          <t>- Langkah 2 memunculkan dialog konfirmasi, bukan langsung menghapus.
- Langkah 3: isi form masih utuh sesudah Batal.
- Langkah 5: draft hilang dari daftar — terhapus permanen.</t>
        </is>
      </c>
      <c r="G307" s="13" t="inlineStr">
        <is>
          <t>Tinggi</t>
        </is>
      </c>
      <c r="H307" s="18" t="n"/>
      <c r="I307" s="18" t="n"/>
      <c r="J307" s="18" t="n"/>
      <c r="K307" s="18" t="n"/>
      <c r="L307" s="18" t="n"/>
    </row>
    <row r="308" ht="70" customHeight="1">
      <c r="A308" s="14" t="n">
        <v>304</v>
      </c>
      <c r="B308" s="16" t="inlineStr">
        <is>
          <t>MB-FORM-09</t>
        </is>
      </c>
      <c r="C308" s="15" t="inlineStr">
        <is>
          <t>Clear meminta konfirmasi, lalu menghapus permanen</t>
        </is>
      </c>
      <c r="D308" s="17" t="inlineStr">
        <is>
          <t>Threshing</t>
        </is>
      </c>
      <c r="E308" s="15" t="inlineStr">
        <is>
          <t>OPR-A</t>
        </is>
      </c>
      <c r="F308" s="15" t="inlineStr">
        <is>
          <t>- Langkah 2 memunculkan dialog konfirmasi, bukan langsung menghapus.
- Langkah 3: isi form masih utuh sesudah Batal.
- Langkah 5: draft hilang dari daftar — terhapus permanen.</t>
        </is>
      </c>
      <c r="G308" s="13" t="inlineStr">
        <is>
          <t>Tinggi</t>
        </is>
      </c>
      <c r="H308" s="18" t="n"/>
      <c r="I308" s="18" t="n"/>
      <c r="J308" s="18" t="n"/>
      <c r="K308" s="18" t="n"/>
      <c r="L308" s="18" t="n"/>
    </row>
    <row r="309" ht="70" customHeight="1">
      <c r="A309" s="10" t="n">
        <v>305</v>
      </c>
      <c r="B309" s="11" t="inlineStr">
        <is>
          <t>MB-FORM-09</t>
        </is>
      </c>
      <c r="C309" s="5" t="inlineStr">
        <is>
          <t>Clear meminta konfirmasi, lalu menghapus permanen</t>
        </is>
      </c>
      <c r="D309" s="12" t="inlineStr">
        <is>
          <t>Pressing</t>
        </is>
      </c>
      <c r="E309" s="5" t="inlineStr">
        <is>
          <t>OPR-A</t>
        </is>
      </c>
      <c r="F309" s="5" t="inlineStr">
        <is>
          <t>- Langkah 2 memunculkan dialog konfirmasi, bukan langsung menghapus.
- Langkah 3: isi form masih utuh sesudah Batal.
- Langkah 5: draft hilang dari daftar — terhapus permanen.</t>
        </is>
      </c>
      <c r="G309" s="13" t="inlineStr">
        <is>
          <t>Tinggi</t>
        </is>
      </c>
      <c r="H309" s="18" t="n"/>
      <c r="I309" s="18" t="n"/>
      <c r="J309" s="18" t="n"/>
      <c r="K309" s="18" t="n"/>
      <c r="L309" s="18" t="n"/>
    </row>
    <row r="310" ht="70" customHeight="1">
      <c r="A310" s="14" t="n">
        <v>306</v>
      </c>
      <c r="B310" s="16" t="inlineStr">
        <is>
          <t>MB-FORM-09</t>
        </is>
      </c>
      <c r="C310" s="15" t="inlineStr">
        <is>
          <t>Clear meminta konfirmasi, lalu menghapus permanen</t>
        </is>
      </c>
      <c r="D310" s="17" t="inlineStr">
        <is>
          <t>Clarification</t>
        </is>
      </c>
      <c r="E310" s="15" t="inlineStr">
        <is>
          <t>OPR-A</t>
        </is>
      </c>
      <c r="F310" s="15" t="inlineStr">
        <is>
          <t>- Langkah 2 memunculkan dialog konfirmasi, bukan langsung menghapus.
- Langkah 3: isi form masih utuh sesudah Batal.
- Langkah 5: draft hilang dari daftar — terhapus permanen.</t>
        </is>
      </c>
      <c r="G310" s="13" t="inlineStr">
        <is>
          <t>Tinggi</t>
        </is>
      </c>
      <c r="H310" s="18" t="n"/>
      <c r="I310" s="18" t="n"/>
      <c r="J310" s="18" t="n"/>
      <c r="K310" s="18" t="n"/>
      <c r="L310" s="18" t="n"/>
    </row>
    <row r="311" ht="70" customHeight="1">
      <c r="A311" s="10" t="n">
        <v>307</v>
      </c>
      <c r="B311" s="11" t="inlineStr">
        <is>
          <t>MB-FORM-09</t>
        </is>
      </c>
      <c r="C311" s="5" t="inlineStr">
        <is>
          <t>Clear meminta konfirmasi, lalu menghapus permanen</t>
        </is>
      </c>
      <c r="D311" s="12" t="inlineStr">
        <is>
          <t>Kernel Plant</t>
        </is>
      </c>
      <c r="E311" s="5" t="inlineStr">
        <is>
          <t>OPR-A</t>
        </is>
      </c>
      <c r="F311" s="5" t="inlineStr">
        <is>
          <t>- Langkah 2 memunculkan dialog konfirmasi, bukan langsung menghapus.
- Langkah 3: isi form masih utuh sesudah Batal.
- Langkah 5: draft hilang dari daftar — terhapus permanen.</t>
        </is>
      </c>
      <c r="G311" s="13" t="inlineStr">
        <is>
          <t>Tinggi</t>
        </is>
      </c>
      <c r="H311" s="18" t="n"/>
      <c r="I311" s="18" t="n"/>
      <c r="J311" s="18" t="n"/>
      <c r="K311" s="18" t="n"/>
      <c r="L311" s="18" t="n"/>
    </row>
    <row r="312" ht="70" customHeight="1">
      <c r="A312" s="14" t="n">
        <v>308</v>
      </c>
      <c r="B312" s="16" t="inlineStr">
        <is>
          <t>MB-FORM-09</t>
        </is>
      </c>
      <c r="C312" s="15" t="inlineStr">
        <is>
          <t>Clear meminta konfirmasi, lalu menghapus permanen</t>
        </is>
      </c>
      <c r="D312" s="17" t="inlineStr">
        <is>
          <t>Boiler Room</t>
        </is>
      </c>
      <c r="E312" s="15" t="inlineStr">
        <is>
          <t>OPR-A</t>
        </is>
      </c>
      <c r="F312" s="15" t="inlineStr">
        <is>
          <t>- Langkah 2 memunculkan dialog konfirmasi, bukan langsung menghapus.
- Langkah 3: isi form masih utuh sesudah Batal.
- Langkah 5: draft hilang dari daftar — terhapus permanen.</t>
        </is>
      </c>
      <c r="G312" s="13" t="inlineStr">
        <is>
          <t>Tinggi</t>
        </is>
      </c>
      <c r="H312" s="18" t="n"/>
      <c r="I312" s="18" t="n"/>
      <c r="J312" s="18" t="n"/>
      <c r="K312" s="18" t="n"/>
      <c r="L312" s="18" t="n"/>
    </row>
    <row r="313" ht="70" customHeight="1">
      <c r="A313" s="10" t="n">
        <v>309</v>
      </c>
      <c r="B313" s="11" t="inlineStr">
        <is>
          <t>MB-FORM-09</t>
        </is>
      </c>
      <c r="C313" s="5" t="inlineStr">
        <is>
          <t>Clear meminta konfirmasi, lalu menghapus permanen</t>
        </is>
      </c>
      <c r="D313" s="12" t="inlineStr">
        <is>
          <t>Effluent Plant</t>
        </is>
      </c>
      <c r="E313" s="5" t="inlineStr">
        <is>
          <t>OPR-A</t>
        </is>
      </c>
      <c r="F313" s="5" t="inlineStr">
        <is>
          <t>- Langkah 2 memunculkan dialog konfirmasi, bukan langsung menghapus.
- Langkah 3: isi form masih utuh sesudah Batal.
- Langkah 5: draft hilang dari daftar — terhapus permanen.</t>
        </is>
      </c>
      <c r="G313" s="13" t="inlineStr">
        <is>
          <t>Tinggi</t>
        </is>
      </c>
      <c r="H313" s="18" t="n"/>
      <c r="I313" s="18" t="n"/>
      <c r="J313" s="18" t="n"/>
      <c r="K313" s="18" t="n"/>
      <c r="L313" s="18" t="n"/>
    </row>
    <row r="314" ht="70" customHeight="1">
      <c r="A314" s="14" t="n">
        <v>310</v>
      </c>
      <c r="B314" s="16" t="inlineStr">
        <is>
          <t>MB-FORM-09</t>
        </is>
      </c>
      <c r="C314" s="15" t="inlineStr">
        <is>
          <t>Clear meminta konfirmasi, lalu menghapus permanen</t>
        </is>
      </c>
      <c r="D314" s="17" t="inlineStr">
        <is>
          <t>Depricarping</t>
        </is>
      </c>
      <c r="E314" s="15" t="inlineStr">
        <is>
          <t>OPR-A</t>
        </is>
      </c>
      <c r="F314" s="15" t="inlineStr">
        <is>
          <t>- Langkah 2 memunculkan dialog konfirmasi, bukan langsung menghapus.
- Langkah 3: isi form masih utuh sesudah Batal.
- Langkah 5: draft hilang dari daftar — terhapus permanen.</t>
        </is>
      </c>
      <c r="G314" s="13" t="inlineStr">
        <is>
          <t>Tinggi</t>
        </is>
      </c>
      <c r="H314" s="18" t="n"/>
      <c r="I314" s="18" t="n"/>
      <c r="J314" s="18" t="n"/>
      <c r="K314" s="18" t="n"/>
      <c r="L314" s="18" t="n"/>
    </row>
    <row r="315" ht="70" customHeight="1">
      <c r="A315" s="10" t="n">
        <v>311</v>
      </c>
      <c r="B315" s="11" t="inlineStr">
        <is>
          <t>MB-FORM-09</t>
        </is>
      </c>
      <c r="C315" s="5" t="inlineStr">
        <is>
          <t>Clear meminta konfirmasi, lalu menghapus permanen</t>
        </is>
      </c>
      <c r="D315" s="12" t="inlineStr">
        <is>
          <t>Engine Room</t>
        </is>
      </c>
      <c r="E315" s="5" t="inlineStr">
        <is>
          <t>OPR-A</t>
        </is>
      </c>
      <c r="F315" s="5" t="inlineStr">
        <is>
          <t>- Langkah 2 memunculkan dialog konfirmasi, bukan langsung menghapus.
- Langkah 3: isi form masih utuh sesudah Batal.
- Langkah 5: draft hilang dari daftar — terhapus permanen.</t>
        </is>
      </c>
      <c r="G315" s="13" t="inlineStr">
        <is>
          <t>Tinggi</t>
        </is>
      </c>
      <c r="H315" s="18" t="n"/>
      <c r="I315" s="18" t="n"/>
      <c r="J315" s="18" t="n"/>
      <c r="K315" s="18" t="n"/>
      <c r="L315" s="18" t="n"/>
    </row>
    <row r="316" ht="70" customHeight="1">
      <c r="A316" s="14" t="n">
        <v>312</v>
      </c>
      <c r="B316" s="16" t="inlineStr">
        <is>
          <t>MB-FORM-09</t>
        </is>
      </c>
      <c r="C316" s="15" t="inlineStr">
        <is>
          <t>Clear meminta konfirmasi, lalu menghapus permanen</t>
        </is>
      </c>
      <c r="D316" s="17" t="inlineStr">
        <is>
          <t>Process Water</t>
        </is>
      </c>
      <c r="E316" s="15" t="inlineStr">
        <is>
          <t>OPR-A</t>
        </is>
      </c>
      <c r="F316" s="15" t="inlineStr">
        <is>
          <t>- Langkah 2 memunculkan dialog konfirmasi, bukan langsung menghapus.
- Langkah 3: isi form masih utuh sesudah Batal.
- Langkah 5: draft hilang dari daftar — terhapus permanen.</t>
        </is>
      </c>
      <c r="G316" s="13" t="inlineStr">
        <is>
          <t>Tinggi</t>
        </is>
      </c>
      <c r="H316" s="18" t="n"/>
      <c r="I316" s="18" t="n"/>
      <c r="J316" s="18" t="n"/>
      <c r="K316" s="18" t="n"/>
      <c r="L316" s="18" t="n"/>
    </row>
    <row r="317" ht="70" customHeight="1">
      <c r="A317" s="10" t="n">
        <v>313</v>
      </c>
      <c r="B317" s="11" t="inlineStr">
        <is>
          <t>MB-FORM-09</t>
        </is>
      </c>
      <c r="C317" s="5" t="inlineStr">
        <is>
          <t>Clear meminta konfirmasi, lalu menghapus permanen</t>
        </is>
      </c>
      <c r="D317" s="12" t="inlineStr">
        <is>
          <t>Storage Tank</t>
        </is>
      </c>
      <c r="E317" s="5" t="inlineStr">
        <is>
          <t>OPR-A</t>
        </is>
      </c>
      <c r="F317" s="5" t="inlineStr">
        <is>
          <t>- Langkah 2 memunculkan dialog konfirmasi, bukan langsung menghapus.
- Langkah 3: isi form masih utuh sesudah Batal.
- Langkah 5: draft hilang dari daftar — terhapus permanen.</t>
        </is>
      </c>
      <c r="G317" s="13" t="inlineStr">
        <is>
          <t>Tinggi</t>
        </is>
      </c>
      <c r="H317" s="18" t="n"/>
      <c r="I317" s="18" t="n"/>
      <c r="J317" s="18" t="n"/>
      <c r="K317" s="18" t="n"/>
      <c r="L317" s="18" t="n"/>
    </row>
    <row r="318" ht="70" customHeight="1">
      <c r="A318" s="14" t="n">
        <v>314</v>
      </c>
      <c r="B318" s="16" t="inlineStr">
        <is>
          <t>MB-FORM-09</t>
        </is>
      </c>
      <c r="C318" s="15" t="inlineStr">
        <is>
          <t>Clear meminta konfirmasi, lalu menghapus permanen</t>
        </is>
      </c>
      <c r="D318" s="17" t="inlineStr">
        <is>
          <t>Solid Waste Disposal</t>
        </is>
      </c>
      <c r="E318" s="15" t="inlineStr">
        <is>
          <t>OPR-A</t>
        </is>
      </c>
      <c r="F318" s="15" t="inlineStr">
        <is>
          <t>- Langkah 2 memunculkan dialog konfirmasi, bukan langsung menghapus.
- Langkah 3: isi form masih utuh sesudah Batal.
- Langkah 5: draft hilang dari daftar — terhapus permanen.</t>
        </is>
      </c>
      <c r="G318" s="13" t="inlineStr">
        <is>
          <t>Tinggi</t>
        </is>
      </c>
      <c r="H318" s="18" t="n"/>
      <c r="I318" s="18" t="n"/>
      <c r="J318" s="18" t="n"/>
      <c r="K318" s="18" t="n"/>
      <c r="L318" s="18" t="n"/>
    </row>
    <row r="319" ht="70" customHeight="1">
      <c r="A319" s="10" t="n">
        <v>315</v>
      </c>
      <c r="B319" s="11" t="inlineStr">
        <is>
          <t>MB-FORM-09</t>
        </is>
      </c>
      <c r="C319" s="5" t="inlineStr">
        <is>
          <t>Clear meminta konfirmasi, lalu menghapus permanen</t>
        </is>
      </c>
      <c r="D319" s="12" t="inlineStr">
        <is>
          <t>Kernel Dispatch</t>
        </is>
      </c>
      <c r="E319" s="5" t="inlineStr">
        <is>
          <t>OPR-A</t>
        </is>
      </c>
      <c r="F319" s="5" t="inlineStr">
        <is>
          <t>- Langkah 2 memunculkan dialog konfirmasi, bukan langsung menghapus.
- Langkah 3: isi form masih utuh sesudah Batal.
- Langkah 5: draft hilang dari daftar — terhapus permanen.</t>
        </is>
      </c>
      <c r="G319" s="13" t="inlineStr">
        <is>
          <t>Tinggi</t>
        </is>
      </c>
      <c r="H319" s="18" t="n"/>
      <c r="I319" s="18" t="n"/>
      <c r="J319" s="18" t="n"/>
      <c r="K319" s="18" t="n"/>
      <c r="L319" s="18" t="n"/>
    </row>
    <row r="320" ht="70" customHeight="1">
      <c r="A320" s="14" t="n">
        <v>316</v>
      </c>
      <c r="B320" s="16" t="inlineStr">
        <is>
          <t>MB-FORM-09</t>
        </is>
      </c>
      <c r="C320" s="15" t="inlineStr">
        <is>
          <t>Clear meminta konfirmasi, lalu menghapus permanen</t>
        </is>
      </c>
      <c r="D320" s="17" t="inlineStr">
        <is>
          <t>CPO Dispatch</t>
        </is>
      </c>
      <c r="E320" s="15" t="inlineStr">
        <is>
          <t>OPR-A</t>
        </is>
      </c>
      <c r="F320" s="15" t="inlineStr">
        <is>
          <t>- Langkah 2 memunculkan dialog konfirmasi, bukan langsung menghapus.
- Langkah 3: isi form masih utuh sesudah Batal.
- Langkah 5: draft hilang dari daftar — terhapus permanen.</t>
        </is>
      </c>
      <c r="G320" s="13" t="inlineStr">
        <is>
          <t>Tinggi</t>
        </is>
      </c>
      <c r="H320" s="18" t="n"/>
      <c r="I320" s="18" t="n"/>
      <c r="J320" s="18" t="n"/>
      <c r="K320" s="18" t="n"/>
      <c r="L320" s="18" t="n"/>
    </row>
    <row r="321" ht="70" customHeight="1">
      <c r="A321" s="10" t="n">
        <v>317</v>
      </c>
      <c r="B321" s="11" t="inlineStr">
        <is>
          <t>MB-FORM-09</t>
        </is>
      </c>
      <c r="C321" s="5" t="inlineStr">
        <is>
          <t>Clear meminta konfirmasi, lalu menghapus permanen</t>
        </is>
      </c>
      <c r="D321" s="12" t="inlineStr">
        <is>
          <t>Process Quality Control</t>
        </is>
      </c>
      <c r="E321" s="5" t="inlineStr">
        <is>
          <t>OPR-A</t>
        </is>
      </c>
      <c r="F321" s="5" t="inlineStr">
        <is>
          <t>- Langkah 2 memunculkan dialog konfirmasi, bukan langsung menghapus.
- Langkah 3: isi form masih utuh sesudah Batal.
- Langkah 5: draft hilang dari daftar — terhapus permanen.</t>
        </is>
      </c>
      <c r="G321" s="13" t="inlineStr">
        <is>
          <t>Tinggi</t>
        </is>
      </c>
      <c r="H321" s="18" t="n"/>
      <c r="I321" s="18" t="n"/>
      <c r="J321" s="18" t="n"/>
      <c r="K321" s="18" t="n"/>
      <c r="L321" s="18" t="n"/>
    </row>
    <row r="322" ht="70" customHeight="1">
      <c r="A322" s="14" t="n">
        <v>318</v>
      </c>
      <c r="B322" s="16" t="inlineStr">
        <is>
          <t>MB-FORM-10</t>
        </is>
      </c>
      <c r="C322" s="15" t="inlineStr">
        <is>
          <t>Back dengan perubahan belum tersimpan meminta konfirmasi</t>
        </is>
      </c>
      <c r="D322" s="17" t="inlineStr">
        <is>
          <t>Weighbridge</t>
        </is>
      </c>
      <c r="E322" s="15" t="inlineStr">
        <is>
          <t>OPR-A</t>
        </is>
      </c>
      <c r="F322" s="15" t="inlineStr">
        <is>
          <t>- Langkah 3 memunculkan dialog konfirmasi karena ada perubahan belum tersimpan.
- Langkah 4: tetap di Form, isi tidak hilang.
- Langkah 6: tidak ada dialog — form yang belum disentuh tidak perlu konfirmasi.</t>
        </is>
      </c>
      <c r="G322" s="14" t="inlineStr">
        <is>
          <t>Sedang</t>
        </is>
      </c>
      <c r="H322" s="18" t="n"/>
      <c r="I322" s="18" t="n"/>
      <c r="J322" s="18" t="n"/>
      <c r="K322" s="18" t="n"/>
      <c r="L322" s="18" t="n"/>
    </row>
    <row r="323" ht="70" customHeight="1">
      <c r="A323" s="10" t="n">
        <v>319</v>
      </c>
      <c r="B323" s="11" t="inlineStr">
        <is>
          <t>MB-FORM-10</t>
        </is>
      </c>
      <c r="C323" s="5" t="inlineStr">
        <is>
          <t>Back dengan perubahan belum tersimpan meminta konfirmasi</t>
        </is>
      </c>
      <c r="D323" s="12" t="inlineStr">
        <is>
          <t>Grading</t>
        </is>
      </c>
      <c r="E323" s="5" t="inlineStr">
        <is>
          <t>OPR-A</t>
        </is>
      </c>
      <c r="F323" s="5" t="inlineStr">
        <is>
          <t>- Langkah 3 memunculkan dialog konfirmasi karena ada perubahan belum tersimpan.
- Langkah 4: tetap di Form, isi tidak hilang.
- Langkah 6: tidak ada dialog — form yang belum disentuh tidak perlu konfirmasi.</t>
        </is>
      </c>
      <c r="G323" s="10" t="inlineStr">
        <is>
          <t>Sedang</t>
        </is>
      </c>
      <c r="H323" s="18" t="n"/>
      <c r="I323" s="18" t="n"/>
      <c r="J323" s="18" t="n"/>
      <c r="K323" s="18" t="n"/>
      <c r="L323" s="18" t="n"/>
    </row>
    <row r="324" ht="70" customHeight="1">
      <c r="A324" s="14" t="n">
        <v>320</v>
      </c>
      <c r="B324" s="16" t="inlineStr">
        <is>
          <t>MB-FORM-10</t>
        </is>
      </c>
      <c r="C324" s="15" t="inlineStr">
        <is>
          <t>Back dengan perubahan belum tersimpan meminta konfirmasi</t>
        </is>
      </c>
      <c r="D324" s="17" t="inlineStr">
        <is>
          <t>Cages Track</t>
        </is>
      </c>
      <c r="E324" s="15" t="inlineStr">
        <is>
          <t>OPR-A</t>
        </is>
      </c>
      <c r="F324" s="15" t="inlineStr">
        <is>
          <t>- Langkah 3 memunculkan dialog konfirmasi karena ada perubahan belum tersimpan.
- Langkah 4: tetap di Form, isi tidak hilang.
- Langkah 6: tidak ada dialog — form yang belum disentuh tidak perlu konfirmasi.</t>
        </is>
      </c>
      <c r="G324" s="14" t="inlineStr">
        <is>
          <t>Sedang</t>
        </is>
      </c>
      <c r="H324" s="18" t="n"/>
      <c r="I324" s="18" t="n"/>
      <c r="J324" s="18" t="n"/>
      <c r="K324" s="18" t="n"/>
      <c r="L324" s="18" t="n"/>
    </row>
    <row r="325" ht="70" customHeight="1">
      <c r="A325" s="10" t="n">
        <v>321</v>
      </c>
      <c r="B325" s="11" t="inlineStr">
        <is>
          <t>MB-FORM-10</t>
        </is>
      </c>
      <c r="C325" s="5" t="inlineStr">
        <is>
          <t>Back dengan perubahan belum tersimpan meminta konfirmasi</t>
        </is>
      </c>
      <c r="D325" s="12" t="inlineStr">
        <is>
          <t>Sterilizer</t>
        </is>
      </c>
      <c r="E325" s="5" t="inlineStr">
        <is>
          <t>OPR-A</t>
        </is>
      </c>
      <c r="F325" s="5" t="inlineStr">
        <is>
          <t>- Langkah 3 memunculkan dialog konfirmasi karena ada perubahan belum tersimpan.
- Langkah 4: tetap di Form, isi tidak hilang.
- Langkah 6: tidak ada dialog — form yang belum disentuh tidak perlu konfirmasi.</t>
        </is>
      </c>
      <c r="G325" s="10" t="inlineStr">
        <is>
          <t>Sedang</t>
        </is>
      </c>
      <c r="H325" s="18" t="n"/>
      <c r="I325" s="18" t="n"/>
      <c r="J325" s="18" t="n"/>
      <c r="K325" s="18" t="n"/>
      <c r="L325" s="18" t="n"/>
    </row>
    <row r="326" ht="70" customHeight="1">
      <c r="A326" s="14" t="n">
        <v>322</v>
      </c>
      <c r="B326" s="16" t="inlineStr">
        <is>
          <t>MB-FORM-10</t>
        </is>
      </c>
      <c r="C326" s="15" t="inlineStr">
        <is>
          <t>Back dengan perubahan belum tersimpan meminta konfirmasi</t>
        </is>
      </c>
      <c r="D326" s="17" t="inlineStr">
        <is>
          <t>Threshing</t>
        </is>
      </c>
      <c r="E326" s="15" t="inlineStr">
        <is>
          <t>OPR-A</t>
        </is>
      </c>
      <c r="F326" s="15" t="inlineStr">
        <is>
          <t>- Langkah 3 memunculkan dialog konfirmasi karena ada perubahan belum tersimpan.
- Langkah 4: tetap di Form, isi tidak hilang.
- Langkah 6: tidak ada dialog — form yang belum disentuh tidak perlu konfirmasi.</t>
        </is>
      </c>
      <c r="G326" s="14" t="inlineStr">
        <is>
          <t>Sedang</t>
        </is>
      </c>
      <c r="H326" s="18" t="n"/>
      <c r="I326" s="18" t="n"/>
      <c r="J326" s="18" t="n"/>
      <c r="K326" s="18" t="n"/>
      <c r="L326" s="18" t="n"/>
    </row>
    <row r="327" ht="70" customHeight="1">
      <c r="A327" s="10" t="n">
        <v>323</v>
      </c>
      <c r="B327" s="11" t="inlineStr">
        <is>
          <t>MB-FORM-10</t>
        </is>
      </c>
      <c r="C327" s="5" t="inlineStr">
        <is>
          <t>Back dengan perubahan belum tersimpan meminta konfirmasi</t>
        </is>
      </c>
      <c r="D327" s="12" t="inlineStr">
        <is>
          <t>Pressing</t>
        </is>
      </c>
      <c r="E327" s="5" t="inlineStr">
        <is>
          <t>OPR-A</t>
        </is>
      </c>
      <c r="F327" s="5" t="inlineStr">
        <is>
          <t>- Langkah 3 memunculkan dialog konfirmasi karena ada perubahan belum tersimpan.
- Langkah 4: tetap di Form, isi tidak hilang.
- Langkah 6: tidak ada dialog — form yang belum disentuh tidak perlu konfirmasi.</t>
        </is>
      </c>
      <c r="G327" s="10" t="inlineStr">
        <is>
          <t>Sedang</t>
        </is>
      </c>
      <c r="H327" s="18" t="n"/>
      <c r="I327" s="18" t="n"/>
      <c r="J327" s="18" t="n"/>
      <c r="K327" s="18" t="n"/>
      <c r="L327" s="18" t="n"/>
    </row>
    <row r="328" ht="70" customHeight="1">
      <c r="A328" s="14" t="n">
        <v>324</v>
      </c>
      <c r="B328" s="16" t="inlineStr">
        <is>
          <t>MB-FORM-10</t>
        </is>
      </c>
      <c r="C328" s="15" t="inlineStr">
        <is>
          <t>Back dengan perubahan belum tersimpan meminta konfirmasi</t>
        </is>
      </c>
      <c r="D328" s="17" t="inlineStr">
        <is>
          <t>Clarification</t>
        </is>
      </c>
      <c r="E328" s="15" t="inlineStr">
        <is>
          <t>OPR-A</t>
        </is>
      </c>
      <c r="F328" s="15" t="inlineStr">
        <is>
          <t>- Langkah 3 memunculkan dialog konfirmasi karena ada perubahan belum tersimpan.
- Langkah 4: tetap di Form, isi tidak hilang.
- Langkah 6: tidak ada dialog — form yang belum disentuh tidak perlu konfirmasi.</t>
        </is>
      </c>
      <c r="G328" s="14" t="inlineStr">
        <is>
          <t>Sedang</t>
        </is>
      </c>
      <c r="H328" s="18" t="n"/>
      <c r="I328" s="18" t="n"/>
      <c r="J328" s="18" t="n"/>
      <c r="K328" s="18" t="n"/>
      <c r="L328" s="18" t="n"/>
    </row>
    <row r="329" ht="70" customHeight="1">
      <c r="A329" s="10" t="n">
        <v>325</v>
      </c>
      <c r="B329" s="11" t="inlineStr">
        <is>
          <t>MB-FORM-10</t>
        </is>
      </c>
      <c r="C329" s="5" t="inlineStr">
        <is>
          <t>Back dengan perubahan belum tersimpan meminta konfirmasi</t>
        </is>
      </c>
      <c r="D329" s="12" t="inlineStr">
        <is>
          <t>Kernel Plant</t>
        </is>
      </c>
      <c r="E329" s="5" t="inlineStr">
        <is>
          <t>OPR-A</t>
        </is>
      </c>
      <c r="F329" s="5" t="inlineStr">
        <is>
          <t>- Langkah 3 memunculkan dialog konfirmasi karena ada perubahan belum tersimpan.
- Langkah 4: tetap di Form, isi tidak hilang.
- Langkah 6: tidak ada dialog — form yang belum disentuh tidak perlu konfirmasi.</t>
        </is>
      </c>
      <c r="G329" s="10" t="inlineStr">
        <is>
          <t>Sedang</t>
        </is>
      </c>
      <c r="H329" s="18" t="n"/>
      <c r="I329" s="18" t="n"/>
      <c r="J329" s="18" t="n"/>
      <c r="K329" s="18" t="n"/>
      <c r="L329" s="18" t="n"/>
    </row>
    <row r="330" ht="70" customHeight="1">
      <c r="A330" s="14" t="n">
        <v>326</v>
      </c>
      <c r="B330" s="16" t="inlineStr">
        <is>
          <t>MB-FORM-10</t>
        </is>
      </c>
      <c r="C330" s="15" t="inlineStr">
        <is>
          <t>Back dengan perubahan belum tersimpan meminta konfirmasi</t>
        </is>
      </c>
      <c r="D330" s="17" t="inlineStr">
        <is>
          <t>Boiler Room</t>
        </is>
      </c>
      <c r="E330" s="15" t="inlineStr">
        <is>
          <t>OPR-A</t>
        </is>
      </c>
      <c r="F330" s="15" t="inlineStr">
        <is>
          <t>- Langkah 3 memunculkan dialog konfirmasi karena ada perubahan belum tersimpan.
- Langkah 4: tetap di Form, isi tidak hilang.
- Langkah 6: tidak ada dialog — form yang belum disentuh tidak perlu konfirmasi.</t>
        </is>
      </c>
      <c r="G330" s="14" t="inlineStr">
        <is>
          <t>Sedang</t>
        </is>
      </c>
      <c r="H330" s="18" t="n"/>
      <c r="I330" s="18" t="n"/>
      <c r="J330" s="18" t="n"/>
      <c r="K330" s="18" t="n"/>
      <c r="L330" s="18" t="n"/>
    </row>
    <row r="331" ht="70" customHeight="1">
      <c r="A331" s="10" t="n">
        <v>327</v>
      </c>
      <c r="B331" s="11" t="inlineStr">
        <is>
          <t>MB-FORM-10</t>
        </is>
      </c>
      <c r="C331" s="5" t="inlineStr">
        <is>
          <t>Back dengan perubahan belum tersimpan meminta konfirmasi</t>
        </is>
      </c>
      <c r="D331" s="12" t="inlineStr">
        <is>
          <t>Effluent Plant</t>
        </is>
      </c>
      <c r="E331" s="5" t="inlineStr">
        <is>
          <t>OPR-A</t>
        </is>
      </c>
      <c r="F331" s="5" t="inlineStr">
        <is>
          <t>- Langkah 3 memunculkan dialog konfirmasi karena ada perubahan belum tersimpan.
- Langkah 4: tetap di Form, isi tidak hilang.
- Langkah 6: tidak ada dialog — form yang belum disentuh tidak perlu konfirmasi.</t>
        </is>
      </c>
      <c r="G331" s="10" t="inlineStr">
        <is>
          <t>Sedang</t>
        </is>
      </c>
      <c r="H331" s="18" t="n"/>
      <c r="I331" s="18" t="n"/>
      <c r="J331" s="18" t="n"/>
      <c r="K331" s="18" t="n"/>
      <c r="L331" s="18" t="n"/>
    </row>
    <row r="332" ht="70" customHeight="1">
      <c r="A332" s="14" t="n">
        <v>328</v>
      </c>
      <c r="B332" s="16" t="inlineStr">
        <is>
          <t>MB-FORM-10</t>
        </is>
      </c>
      <c r="C332" s="15" t="inlineStr">
        <is>
          <t>Back dengan perubahan belum tersimpan meminta konfirmasi</t>
        </is>
      </c>
      <c r="D332" s="17" t="inlineStr">
        <is>
          <t>Depricarping</t>
        </is>
      </c>
      <c r="E332" s="15" t="inlineStr">
        <is>
          <t>OPR-A</t>
        </is>
      </c>
      <c r="F332" s="15" t="inlineStr">
        <is>
          <t>- Langkah 3 memunculkan dialog konfirmasi karena ada perubahan belum tersimpan.
- Langkah 4: tetap di Form, isi tidak hilang.
- Langkah 6: tidak ada dialog — form yang belum disentuh tidak perlu konfirmasi.</t>
        </is>
      </c>
      <c r="G332" s="14" t="inlineStr">
        <is>
          <t>Sedang</t>
        </is>
      </c>
      <c r="H332" s="18" t="n"/>
      <c r="I332" s="18" t="n"/>
      <c r="J332" s="18" t="n"/>
      <c r="K332" s="18" t="n"/>
      <c r="L332" s="18" t="n"/>
    </row>
    <row r="333" ht="70" customHeight="1">
      <c r="A333" s="10" t="n">
        <v>329</v>
      </c>
      <c r="B333" s="11" t="inlineStr">
        <is>
          <t>MB-FORM-10</t>
        </is>
      </c>
      <c r="C333" s="5" t="inlineStr">
        <is>
          <t>Back dengan perubahan belum tersimpan meminta konfirmasi</t>
        </is>
      </c>
      <c r="D333" s="12" t="inlineStr">
        <is>
          <t>Engine Room</t>
        </is>
      </c>
      <c r="E333" s="5" t="inlineStr">
        <is>
          <t>OPR-A</t>
        </is>
      </c>
      <c r="F333" s="5" t="inlineStr">
        <is>
          <t>- Langkah 3 memunculkan dialog konfirmasi karena ada perubahan belum tersimpan.
- Langkah 4: tetap di Form, isi tidak hilang.
- Langkah 6: tidak ada dialog — form yang belum disentuh tidak perlu konfirmasi.</t>
        </is>
      </c>
      <c r="G333" s="10" t="inlineStr">
        <is>
          <t>Sedang</t>
        </is>
      </c>
      <c r="H333" s="18" t="n"/>
      <c r="I333" s="18" t="n"/>
      <c r="J333" s="18" t="n"/>
      <c r="K333" s="18" t="n"/>
      <c r="L333" s="18" t="n"/>
    </row>
    <row r="334" ht="70" customHeight="1">
      <c r="A334" s="14" t="n">
        <v>330</v>
      </c>
      <c r="B334" s="16" t="inlineStr">
        <is>
          <t>MB-FORM-10</t>
        </is>
      </c>
      <c r="C334" s="15" t="inlineStr">
        <is>
          <t>Back dengan perubahan belum tersimpan meminta konfirmasi</t>
        </is>
      </c>
      <c r="D334" s="17" t="inlineStr">
        <is>
          <t>Process Water</t>
        </is>
      </c>
      <c r="E334" s="15" t="inlineStr">
        <is>
          <t>OPR-A</t>
        </is>
      </c>
      <c r="F334" s="15" t="inlineStr">
        <is>
          <t>- Langkah 3 memunculkan dialog konfirmasi karena ada perubahan belum tersimpan.
- Langkah 4: tetap di Form, isi tidak hilang.
- Langkah 6: tidak ada dialog — form yang belum disentuh tidak perlu konfirmasi.</t>
        </is>
      </c>
      <c r="G334" s="14" t="inlineStr">
        <is>
          <t>Sedang</t>
        </is>
      </c>
      <c r="H334" s="18" t="n"/>
      <c r="I334" s="18" t="n"/>
      <c r="J334" s="18" t="n"/>
      <c r="K334" s="18" t="n"/>
      <c r="L334" s="18" t="n"/>
    </row>
    <row r="335" ht="70" customHeight="1">
      <c r="A335" s="10" t="n">
        <v>331</v>
      </c>
      <c r="B335" s="11" t="inlineStr">
        <is>
          <t>MB-FORM-10</t>
        </is>
      </c>
      <c r="C335" s="5" t="inlineStr">
        <is>
          <t>Back dengan perubahan belum tersimpan meminta konfirmasi</t>
        </is>
      </c>
      <c r="D335" s="12" t="inlineStr">
        <is>
          <t>Storage Tank</t>
        </is>
      </c>
      <c r="E335" s="5" t="inlineStr">
        <is>
          <t>OPR-A</t>
        </is>
      </c>
      <c r="F335" s="5" t="inlineStr">
        <is>
          <t>- Langkah 3 memunculkan dialog konfirmasi karena ada perubahan belum tersimpan.
- Langkah 4: tetap di Form, isi tidak hilang.
- Langkah 6: tidak ada dialog — form yang belum disentuh tidak perlu konfirmasi.</t>
        </is>
      </c>
      <c r="G335" s="10" t="inlineStr">
        <is>
          <t>Sedang</t>
        </is>
      </c>
      <c r="H335" s="18" t="n"/>
      <c r="I335" s="18" t="n"/>
      <c r="J335" s="18" t="n"/>
      <c r="K335" s="18" t="n"/>
      <c r="L335" s="18" t="n"/>
    </row>
    <row r="336" ht="70" customHeight="1">
      <c r="A336" s="14" t="n">
        <v>332</v>
      </c>
      <c r="B336" s="16" t="inlineStr">
        <is>
          <t>MB-FORM-10</t>
        </is>
      </c>
      <c r="C336" s="15" t="inlineStr">
        <is>
          <t>Back dengan perubahan belum tersimpan meminta konfirmasi</t>
        </is>
      </c>
      <c r="D336" s="17" t="inlineStr">
        <is>
          <t>Solid Waste Disposal</t>
        </is>
      </c>
      <c r="E336" s="15" t="inlineStr">
        <is>
          <t>OPR-A</t>
        </is>
      </c>
      <c r="F336" s="15" t="inlineStr">
        <is>
          <t>- Langkah 3 memunculkan dialog konfirmasi karena ada perubahan belum tersimpan.
- Langkah 4: tetap di Form, isi tidak hilang.
- Langkah 6: tidak ada dialog — form yang belum disentuh tidak perlu konfirmasi.</t>
        </is>
      </c>
      <c r="G336" s="14" t="inlineStr">
        <is>
          <t>Sedang</t>
        </is>
      </c>
      <c r="H336" s="18" t="n"/>
      <c r="I336" s="18" t="n"/>
      <c r="J336" s="18" t="n"/>
      <c r="K336" s="18" t="n"/>
      <c r="L336" s="18" t="n"/>
    </row>
    <row r="337" ht="70" customHeight="1">
      <c r="A337" s="10" t="n">
        <v>333</v>
      </c>
      <c r="B337" s="11" t="inlineStr">
        <is>
          <t>MB-FORM-10</t>
        </is>
      </c>
      <c r="C337" s="5" t="inlineStr">
        <is>
          <t>Back dengan perubahan belum tersimpan meminta konfirmasi</t>
        </is>
      </c>
      <c r="D337" s="12" t="inlineStr">
        <is>
          <t>Kernel Dispatch</t>
        </is>
      </c>
      <c r="E337" s="5" t="inlineStr">
        <is>
          <t>OPR-A</t>
        </is>
      </c>
      <c r="F337" s="5" t="inlineStr">
        <is>
          <t>- Langkah 3 memunculkan dialog konfirmasi karena ada perubahan belum tersimpan.
- Langkah 4: tetap di Form, isi tidak hilang.
- Langkah 6: tidak ada dialog — form yang belum disentuh tidak perlu konfirmasi.</t>
        </is>
      </c>
      <c r="G337" s="10" t="inlineStr">
        <is>
          <t>Sedang</t>
        </is>
      </c>
      <c r="H337" s="18" t="n"/>
      <c r="I337" s="18" t="n"/>
      <c r="J337" s="18" t="n"/>
      <c r="K337" s="18" t="n"/>
      <c r="L337" s="18" t="n"/>
    </row>
    <row r="338" ht="70" customHeight="1">
      <c r="A338" s="14" t="n">
        <v>334</v>
      </c>
      <c r="B338" s="16" t="inlineStr">
        <is>
          <t>MB-FORM-10</t>
        </is>
      </c>
      <c r="C338" s="15" t="inlineStr">
        <is>
          <t>Back dengan perubahan belum tersimpan meminta konfirmasi</t>
        </is>
      </c>
      <c r="D338" s="17" t="inlineStr">
        <is>
          <t>CPO Dispatch</t>
        </is>
      </c>
      <c r="E338" s="15" t="inlineStr">
        <is>
          <t>OPR-A</t>
        </is>
      </c>
      <c r="F338" s="15" t="inlineStr">
        <is>
          <t>- Langkah 3 memunculkan dialog konfirmasi karena ada perubahan belum tersimpan.
- Langkah 4: tetap di Form, isi tidak hilang.
- Langkah 6: tidak ada dialog — form yang belum disentuh tidak perlu konfirmasi.</t>
        </is>
      </c>
      <c r="G338" s="14" t="inlineStr">
        <is>
          <t>Sedang</t>
        </is>
      </c>
      <c r="H338" s="18" t="n"/>
      <c r="I338" s="18" t="n"/>
      <c r="J338" s="18" t="n"/>
      <c r="K338" s="18" t="n"/>
      <c r="L338" s="18" t="n"/>
    </row>
    <row r="339" ht="70" customHeight="1">
      <c r="A339" s="10" t="n">
        <v>335</v>
      </c>
      <c r="B339" s="11" t="inlineStr">
        <is>
          <t>MB-FORM-10</t>
        </is>
      </c>
      <c r="C339" s="5" t="inlineStr">
        <is>
          <t>Back dengan perubahan belum tersimpan meminta konfirmasi</t>
        </is>
      </c>
      <c r="D339" s="12" t="inlineStr">
        <is>
          <t>Process Quality Control</t>
        </is>
      </c>
      <c r="E339" s="5" t="inlineStr">
        <is>
          <t>OPR-A</t>
        </is>
      </c>
      <c r="F339" s="5" t="inlineStr">
        <is>
          <t>- Langkah 3 memunculkan dialog konfirmasi karena ada perubahan belum tersimpan.
- Langkah 4: tetap di Form, isi tidak hilang.
- Langkah 6: tidak ada dialog — form yang belum disentuh tidak perlu konfirmasi.</t>
        </is>
      </c>
      <c r="G339" s="10" t="inlineStr">
        <is>
          <t>Sedang</t>
        </is>
      </c>
      <c r="H339" s="18" t="n"/>
      <c r="I339" s="18" t="n"/>
      <c r="J339" s="18" t="n"/>
      <c r="K339" s="18" t="n"/>
      <c r="L339" s="18" t="n"/>
    </row>
    <row r="340" ht="96.39999999999999" customHeight="1">
      <c r="A340" s="14" t="n">
        <v>336</v>
      </c>
      <c r="B340" s="16" t="inlineStr">
        <is>
          <t>MB-FORM-11</t>
        </is>
      </c>
      <c r="C340" s="15" t="inlineStr">
        <is>
          <t>Stasiun per-transaksi: satu record per transaksi (Weighbridge, Grading, Kernel Dispatch, CPO Dispatch)</t>
        </is>
      </c>
      <c r="D340" s="17" t="inlineStr">
        <is>
          <t>Weighbridge</t>
        </is>
      </c>
      <c r="E340" s="15" t="inlineStr">
        <is>
          <t>OPR-A</t>
        </is>
      </c>
      <c r="F340" s="1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G340" s="13" t="inlineStr">
        <is>
          <t>Tinggi</t>
        </is>
      </c>
      <c r="H340" s="18" t="n"/>
      <c r="I340" s="18" t="n"/>
      <c r="J340" s="18" t="n"/>
      <c r="K340" s="18" t="n"/>
      <c r="L340" s="18" t="n"/>
    </row>
    <row r="341" ht="96.39999999999999" customHeight="1">
      <c r="A341" s="10" t="n">
        <v>337</v>
      </c>
      <c r="B341" s="11" t="inlineStr">
        <is>
          <t>MB-FORM-11</t>
        </is>
      </c>
      <c r="C341" s="5" t="inlineStr">
        <is>
          <t>Stasiun per-transaksi: satu record per transaksi (Weighbridge, Grading, Kernel Dispatch, CPO Dispatch)</t>
        </is>
      </c>
      <c r="D341" s="12" t="inlineStr">
        <is>
          <t>Grading</t>
        </is>
      </c>
      <c r="E341" s="5" t="inlineStr">
        <is>
          <t>OPR-A</t>
        </is>
      </c>
      <c r="F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G341" s="13" t="inlineStr">
        <is>
          <t>Tinggi</t>
        </is>
      </c>
      <c r="H341" s="18" t="n"/>
      <c r="I341" s="18" t="n"/>
      <c r="J341" s="18" t="n"/>
      <c r="K341" s="18" t="n"/>
      <c r="L341" s="18" t="n"/>
    </row>
    <row r="342" ht="17.2" customHeight="1">
      <c r="A342" s="14" t="n">
        <v>338</v>
      </c>
      <c r="B342" s="16" t="inlineStr">
        <is>
          <t>MB-FORM-11</t>
        </is>
      </c>
      <c r="C342" s="15" t="inlineStr">
        <is>
          <t>Stasiun per-transaksi: satu record per transaksi (Weighbridge, Grading, Kernel Dispatch, CPO Dispatch)</t>
        </is>
      </c>
      <c r="D342" s="17" t="inlineStr">
        <is>
          <t>Cages Track</t>
        </is>
      </c>
      <c r="E342" s="15" t="inlineStr">
        <is>
          <t>OPR-A</t>
        </is>
      </c>
      <c r="F342" s="19" t="inlineStr">
        <is>
          <t>Tidak berlaku — hanya 4 stasiun per-transaksi</t>
        </is>
      </c>
      <c r="G342" s="13" t="inlineStr">
        <is>
          <t>Tinggi</t>
        </is>
      </c>
      <c r="H342" s="20" t="n"/>
      <c r="I342" s="20" t="n"/>
      <c r="J342" s="20" t="n"/>
      <c r="K342" s="20" t="n"/>
      <c r="L342" s="20" t="n"/>
    </row>
    <row r="343" ht="17.2" customHeight="1">
      <c r="A343" s="10" t="n">
        <v>339</v>
      </c>
      <c r="B343" s="11" t="inlineStr">
        <is>
          <t>MB-FORM-11</t>
        </is>
      </c>
      <c r="C343" s="5" t="inlineStr">
        <is>
          <t>Stasiun per-transaksi: satu record per transaksi (Weighbridge, Grading, Kernel Dispatch, CPO Dispatch)</t>
        </is>
      </c>
      <c r="D343" s="12" t="inlineStr">
        <is>
          <t>Sterilizer</t>
        </is>
      </c>
      <c r="E343" s="5" t="inlineStr">
        <is>
          <t>OPR-A</t>
        </is>
      </c>
      <c r="F343" s="19" t="inlineStr">
        <is>
          <t>Tidak berlaku — hanya 4 stasiun per-transaksi</t>
        </is>
      </c>
      <c r="G343" s="13" t="inlineStr">
        <is>
          <t>Tinggi</t>
        </is>
      </c>
      <c r="H343" s="20" t="n"/>
      <c r="I343" s="20" t="n"/>
      <c r="J343" s="20" t="n"/>
      <c r="K343" s="20" t="n"/>
      <c r="L343" s="20" t="n"/>
    </row>
    <row r="344" ht="17.2" customHeight="1">
      <c r="A344" s="14" t="n">
        <v>340</v>
      </c>
      <c r="B344" s="16" t="inlineStr">
        <is>
          <t>MB-FORM-11</t>
        </is>
      </c>
      <c r="C344" s="15" t="inlineStr">
        <is>
          <t>Stasiun per-transaksi: satu record per transaksi (Weighbridge, Grading, Kernel Dispatch, CPO Dispatch)</t>
        </is>
      </c>
      <c r="D344" s="17" t="inlineStr">
        <is>
          <t>Threshing</t>
        </is>
      </c>
      <c r="E344" s="15" t="inlineStr">
        <is>
          <t>OPR-A</t>
        </is>
      </c>
      <c r="F344" s="19" t="inlineStr">
        <is>
          <t>Tidak berlaku — hanya 4 stasiun per-transaksi</t>
        </is>
      </c>
      <c r="G344" s="13" t="inlineStr">
        <is>
          <t>Tinggi</t>
        </is>
      </c>
      <c r="H344" s="20" t="n"/>
      <c r="I344" s="20" t="n"/>
      <c r="J344" s="20" t="n"/>
      <c r="K344" s="20" t="n"/>
      <c r="L344" s="20" t="n"/>
    </row>
    <row r="345" ht="17.2" customHeight="1">
      <c r="A345" s="10" t="n">
        <v>341</v>
      </c>
      <c r="B345" s="11" t="inlineStr">
        <is>
          <t>MB-FORM-11</t>
        </is>
      </c>
      <c r="C345" s="5" t="inlineStr">
        <is>
          <t>Stasiun per-transaksi: satu record per transaksi (Weighbridge, Grading, Kernel Dispatch, CPO Dispatch)</t>
        </is>
      </c>
      <c r="D345" s="12" t="inlineStr">
        <is>
          <t>Pressing</t>
        </is>
      </c>
      <c r="E345" s="5" t="inlineStr">
        <is>
          <t>OPR-A</t>
        </is>
      </c>
      <c r="F345" s="19" t="inlineStr">
        <is>
          <t>Tidak berlaku — hanya 4 stasiun per-transaksi</t>
        </is>
      </c>
      <c r="G345" s="13" t="inlineStr">
        <is>
          <t>Tinggi</t>
        </is>
      </c>
      <c r="H345" s="20" t="n"/>
      <c r="I345" s="20" t="n"/>
      <c r="J345" s="20" t="n"/>
      <c r="K345" s="20" t="n"/>
      <c r="L345" s="20" t="n"/>
    </row>
    <row r="346" ht="17.2" customHeight="1">
      <c r="A346" s="14" t="n">
        <v>342</v>
      </c>
      <c r="B346" s="16" t="inlineStr">
        <is>
          <t>MB-FORM-11</t>
        </is>
      </c>
      <c r="C346" s="15" t="inlineStr">
        <is>
          <t>Stasiun per-transaksi: satu record per transaksi (Weighbridge, Grading, Kernel Dispatch, CPO Dispatch)</t>
        </is>
      </c>
      <c r="D346" s="17" t="inlineStr">
        <is>
          <t>Clarification</t>
        </is>
      </c>
      <c r="E346" s="15" t="inlineStr">
        <is>
          <t>OPR-A</t>
        </is>
      </c>
      <c r="F346" s="19" t="inlineStr">
        <is>
          <t>Tidak berlaku — hanya 4 stasiun per-transaksi</t>
        </is>
      </c>
      <c r="G346" s="13" t="inlineStr">
        <is>
          <t>Tinggi</t>
        </is>
      </c>
      <c r="H346" s="20" t="n"/>
      <c r="I346" s="20" t="n"/>
      <c r="J346" s="20" t="n"/>
      <c r="K346" s="20" t="n"/>
      <c r="L346" s="20" t="n"/>
    </row>
    <row r="347" ht="17.2" customHeight="1">
      <c r="A347" s="10" t="n">
        <v>343</v>
      </c>
      <c r="B347" s="11" t="inlineStr">
        <is>
          <t>MB-FORM-11</t>
        </is>
      </c>
      <c r="C347" s="5" t="inlineStr">
        <is>
          <t>Stasiun per-transaksi: satu record per transaksi (Weighbridge, Grading, Kernel Dispatch, CPO Dispatch)</t>
        </is>
      </c>
      <c r="D347" s="12" t="inlineStr">
        <is>
          <t>Kernel Plant</t>
        </is>
      </c>
      <c r="E347" s="5" t="inlineStr">
        <is>
          <t>OPR-A</t>
        </is>
      </c>
      <c r="F347" s="19" t="inlineStr">
        <is>
          <t>Tidak berlaku — hanya 4 stasiun per-transaksi</t>
        </is>
      </c>
      <c r="G347" s="13" t="inlineStr">
        <is>
          <t>Tinggi</t>
        </is>
      </c>
      <c r="H347" s="20" t="n"/>
      <c r="I347" s="20" t="n"/>
      <c r="J347" s="20" t="n"/>
      <c r="K347" s="20" t="n"/>
      <c r="L347" s="20" t="n"/>
    </row>
    <row r="348" ht="17.2" customHeight="1">
      <c r="A348" s="14" t="n">
        <v>344</v>
      </c>
      <c r="B348" s="16" t="inlineStr">
        <is>
          <t>MB-FORM-11</t>
        </is>
      </c>
      <c r="C348" s="15" t="inlineStr">
        <is>
          <t>Stasiun per-transaksi: satu record per transaksi (Weighbridge, Grading, Kernel Dispatch, CPO Dispatch)</t>
        </is>
      </c>
      <c r="D348" s="17" t="inlineStr">
        <is>
          <t>Boiler Room</t>
        </is>
      </c>
      <c r="E348" s="15" t="inlineStr">
        <is>
          <t>OPR-A</t>
        </is>
      </c>
      <c r="F348" s="19" t="inlineStr">
        <is>
          <t>Tidak berlaku — hanya 4 stasiun per-transaksi</t>
        </is>
      </c>
      <c r="G348" s="13" t="inlineStr">
        <is>
          <t>Tinggi</t>
        </is>
      </c>
      <c r="H348" s="20" t="n"/>
      <c r="I348" s="20" t="n"/>
      <c r="J348" s="20" t="n"/>
      <c r="K348" s="20" t="n"/>
      <c r="L348" s="20" t="n"/>
    </row>
    <row r="349" ht="17.2" customHeight="1">
      <c r="A349" s="10" t="n">
        <v>345</v>
      </c>
      <c r="B349" s="11" t="inlineStr">
        <is>
          <t>MB-FORM-11</t>
        </is>
      </c>
      <c r="C349" s="5" t="inlineStr">
        <is>
          <t>Stasiun per-transaksi: satu record per transaksi (Weighbridge, Grading, Kernel Dispatch, CPO Dispatch)</t>
        </is>
      </c>
      <c r="D349" s="12" t="inlineStr">
        <is>
          <t>Effluent Plant</t>
        </is>
      </c>
      <c r="E349" s="5" t="inlineStr">
        <is>
          <t>OPR-A</t>
        </is>
      </c>
      <c r="F349" s="19" t="inlineStr">
        <is>
          <t>Tidak berlaku — hanya 4 stasiun per-transaksi</t>
        </is>
      </c>
      <c r="G349" s="13" t="inlineStr">
        <is>
          <t>Tinggi</t>
        </is>
      </c>
      <c r="H349" s="20" t="n"/>
      <c r="I349" s="20" t="n"/>
      <c r="J349" s="20" t="n"/>
      <c r="K349" s="20" t="n"/>
      <c r="L349" s="20" t="n"/>
    </row>
    <row r="350" ht="17.2" customHeight="1">
      <c r="A350" s="14" t="n">
        <v>346</v>
      </c>
      <c r="B350" s="16" t="inlineStr">
        <is>
          <t>MB-FORM-11</t>
        </is>
      </c>
      <c r="C350" s="15" t="inlineStr">
        <is>
          <t>Stasiun per-transaksi: satu record per transaksi (Weighbridge, Grading, Kernel Dispatch, CPO Dispatch)</t>
        </is>
      </c>
      <c r="D350" s="17" t="inlineStr">
        <is>
          <t>Depricarping</t>
        </is>
      </c>
      <c r="E350" s="15" t="inlineStr">
        <is>
          <t>OPR-A</t>
        </is>
      </c>
      <c r="F350" s="19" t="inlineStr">
        <is>
          <t>Tidak berlaku — hanya 4 stasiun per-transaksi</t>
        </is>
      </c>
      <c r="G350" s="13" t="inlineStr">
        <is>
          <t>Tinggi</t>
        </is>
      </c>
      <c r="H350" s="20" t="n"/>
      <c r="I350" s="20" t="n"/>
      <c r="J350" s="20" t="n"/>
      <c r="K350" s="20" t="n"/>
      <c r="L350" s="20" t="n"/>
    </row>
    <row r="351" ht="17.2" customHeight="1">
      <c r="A351" s="10" t="n">
        <v>347</v>
      </c>
      <c r="B351" s="11" t="inlineStr">
        <is>
          <t>MB-FORM-11</t>
        </is>
      </c>
      <c r="C351" s="5" t="inlineStr">
        <is>
          <t>Stasiun per-transaksi: satu record per transaksi (Weighbridge, Grading, Kernel Dispatch, CPO Dispatch)</t>
        </is>
      </c>
      <c r="D351" s="12" t="inlineStr">
        <is>
          <t>Engine Room</t>
        </is>
      </c>
      <c r="E351" s="5" t="inlineStr">
        <is>
          <t>OPR-A</t>
        </is>
      </c>
      <c r="F351" s="19" t="inlineStr">
        <is>
          <t>Tidak berlaku — hanya 4 stasiun per-transaksi</t>
        </is>
      </c>
      <c r="G351" s="13" t="inlineStr">
        <is>
          <t>Tinggi</t>
        </is>
      </c>
      <c r="H351" s="20" t="n"/>
      <c r="I351" s="20" t="n"/>
      <c r="J351" s="20" t="n"/>
      <c r="K351" s="20" t="n"/>
      <c r="L351" s="20" t="n"/>
    </row>
    <row r="352" ht="17.2" customHeight="1">
      <c r="A352" s="14" t="n">
        <v>348</v>
      </c>
      <c r="B352" s="16" t="inlineStr">
        <is>
          <t>MB-FORM-11</t>
        </is>
      </c>
      <c r="C352" s="15" t="inlineStr">
        <is>
          <t>Stasiun per-transaksi: satu record per transaksi (Weighbridge, Grading, Kernel Dispatch, CPO Dispatch)</t>
        </is>
      </c>
      <c r="D352" s="17" t="inlineStr">
        <is>
          <t>Process Water</t>
        </is>
      </c>
      <c r="E352" s="15" t="inlineStr">
        <is>
          <t>OPR-A</t>
        </is>
      </c>
      <c r="F352" s="19" t="inlineStr">
        <is>
          <t>Tidak berlaku — hanya 4 stasiun per-transaksi</t>
        </is>
      </c>
      <c r="G352" s="13" t="inlineStr">
        <is>
          <t>Tinggi</t>
        </is>
      </c>
      <c r="H352" s="20" t="n"/>
      <c r="I352" s="20" t="n"/>
      <c r="J352" s="20" t="n"/>
      <c r="K352" s="20" t="n"/>
      <c r="L352" s="20" t="n"/>
    </row>
    <row r="353" ht="17.2" customHeight="1">
      <c r="A353" s="10" t="n">
        <v>349</v>
      </c>
      <c r="B353" s="11" t="inlineStr">
        <is>
          <t>MB-FORM-11</t>
        </is>
      </c>
      <c r="C353" s="5" t="inlineStr">
        <is>
          <t>Stasiun per-transaksi: satu record per transaksi (Weighbridge, Grading, Kernel Dispatch, CPO Dispatch)</t>
        </is>
      </c>
      <c r="D353" s="12" t="inlineStr">
        <is>
          <t>Storage Tank</t>
        </is>
      </c>
      <c r="E353" s="5" t="inlineStr">
        <is>
          <t>OPR-A</t>
        </is>
      </c>
      <c r="F353" s="19" t="inlineStr">
        <is>
          <t>Tidak berlaku — hanya 4 stasiun per-transaksi</t>
        </is>
      </c>
      <c r="G353" s="13" t="inlineStr">
        <is>
          <t>Tinggi</t>
        </is>
      </c>
      <c r="H353" s="20" t="n"/>
      <c r="I353" s="20" t="n"/>
      <c r="J353" s="20" t="n"/>
      <c r="K353" s="20" t="n"/>
      <c r="L353" s="20" t="n"/>
    </row>
    <row r="354" ht="17.2" customHeight="1">
      <c r="A354" s="14" t="n">
        <v>350</v>
      </c>
      <c r="B354" s="16" t="inlineStr">
        <is>
          <t>MB-FORM-11</t>
        </is>
      </c>
      <c r="C354" s="15" t="inlineStr">
        <is>
          <t>Stasiun per-transaksi: satu record per transaksi (Weighbridge, Grading, Kernel Dispatch, CPO Dispatch)</t>
        </is>
      </c>
      <c r="D354" s="17" t="inlineStr">
        <is>
          <t>Solid Waste Disposal</t>
        </is>
      </c>
      <c r="E354" s="15" t="inlineStr">
        <is>
          <t>OPR-A</t>
        </is>
      </c>
      <c r="F354" s="19" t="inlineStr">
        <is>
          <t>Tidak berlaku — hanya 4 stasiun per-transaksi</t>
        </is>
      </c>
      <c r="G354" s="13" t="inlineStr">
        <is>
          <t>Tinggi</t>
        </is>
      </c>
      <c r="H354" s="20" t="n"/>
      <c r="I354" s="20" t="n"/>
      <c r="J354" s="20" t="n"/>
      <c r="K354" s="20" t="n"/>
      <c r="L354" s="20" t="n"/>
    </row>
    <row r="355" ht="96.39999999999999" customHeight="1">
      <c r="A355" s="10" t="n">
        <v>351</v>
      </c>
      <c r="B355" s="11" t="inlineStr">
        <is>
          <t>MB-FORM-11</t>
        </is>
      </c>
      <c r="C355" s="5" t="inlineStr">
        <is>
          <t>Stasiun per-transaksi: satu record per transaksi (Weighbridge, Grading, Kernel Dispatch, CPO Dispatch)</t>
        </is>
      </c>
      <c r="D355" s="12" t="inlineStr">
        <is>
          <t>Kernel Dispatch</t>
        </is>
      </c>
      <c r="E355" s="5" t="inlineStr">
        <is>
          <t>OPR-A</t>
        </is>
      </c>
      <c r="F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G355" s="13" t="inlineStr">
        <is>
          <t>Tinggi</t>
        </is>
      </c>
      <c r="H355" s="18" t="n"/>
      <c r="I355" s="18" t="n"/>
      <c r="J355" s="18" t="n"/>
      <c r="K355" s="18" t="n"/>
      <c r="L355" s="18" t="n"/>
    </row>
    <row r="356" ht="96.39999999999999" customHeight="1">
      <c r="A356" s="14" t="n">
        <v>352</v>
      </c>
      <c r="B356" s="16" t="inlineStr">
        <is>
          <t>MB-FORM-11</t>
        </is>
      </c>
      <c r="C356" s="15" t="inlineStr">
        <is>
          <t>Stasiun per-transaksi: satu record per transaksi (Weighbridge, Grading, Kernel Dispatch, CPO Dispatch)</t>
        </is>
      </c>
      <c r="D356" s="17" t="inlineStr">
        <is>
          <t>CPO Dispatch</t>
        </is>
      </c>
      <c r="E356" s="15" t="inlineStr">
        <is>
          <t>OPR-A</t>
        </is>
      </c>
      <c r="F356" s="1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G356" s="13" t="inlineStr">
        <is>
          <t>Tinggi</t>
        </is>
      </c>
      <c r="H356" s="18" t="n"/>
      <c r="I356" s="18" t="n"/>
      <c r="J356" s="18" t="n"/>
      <c r="K356" s="18" t="n"/>
      <c r="L356" s="18" t="n"/>
    </row>
    <row r="357" ht="17.2" customHeight="1">
      <c r="A357" s="10" t="n">
        <v>353</v>
      </c>
      <c r="B357" s="11" t="inlineStr">
        <is>
          <t>MB-FORM-11</t>
        </is>
      </c>
      <c r="C357" s="5" t="inlineStr">
        <is>
          <t>Stasiun per-transaksi: satu record per transaksi (Weighbridge, Grading, Kernel Dispatch, CPO Dispatch)</t>
        </is>
      </c>
      <c r="D357" s="12" t="inlineStr">
        <is>
          <t>Process Quality Control</t>
        </is>
      </c>
      <c r="E357" s="5" t="inlineStr">
        <is>
          <t>OPR-A</t>
        </is>
      </c>
      <c r="F357" s="19" t="inlineStr">
        <is>
          <t>Tidak berlaku — hanya 4 stasiun per-transaksi</t>
        </is>
      </c>
      <c r="G357" s="13" t="inlineStr">
        <is>
          <t>Tinggi</t>
        </is>
      </c>
      <c r="H357" s="20" t="n"/>
      <c r="I357" s="20" t="n"/>
      <c r="J357" s="20" t="n"/>
      <c r="K357" s="20" t="n"/>
      <c r="L357" s="20" t="n"/>
    </row>
    <row r="358" ht="83.19999999999999" customHeight="1">
      <c r="A358" s="14" t="n">
        <v>354</v>
      </c>
      <c r="B358" s="16" t="inlineStr">
        <is>
          <t>MB-FORM-12</t>
        </is>
      </c>
      <c r="C358" s="15" t="inlineStr">
        <is>
          <t>Operator tidak dapat mengisi Checked By maupun Acknowledged By</t>
        </is>
      </c>
      <c r="D358" s="17" t="inlineStr">
        <is>
          <t>Weighbridge</t>
        </is>
      </c>
      <c r="E358" s="15" t="inlineStr">
        <is>
          <t>OPR-A</t>
        </is>
      </c>
      <c r="F358" s="15" t="inlineStr">
        <is>
          <t>- Keduanya tidak dapat diisi oleh Operator.
- Ada keterangan di layar yang menyebut siapa yang boleh mengisinya — bukan kolom mati tanpa alasan (lihat LS-14).
- Centang "Checked by SPV" per baris pada Sterilizer juga tidak dapat ditekan Operator.</t>
        </is>
      </c>
      <c r="G358" s="13" t="inlineStr">
        <is>
          <t>Tinggi</t>
        </is>
      </c>
      <c r="H358" s="18" t="n"/>
      <c r="I358" s="18" t="n"/>
      <c r="J358" s="18" t="n"/>
      <c r="K358" s="18" t="n"/>
      <c r="L358" s="18" t="n"/>
    </row>
    <row r="359" ht="83.19999999999999" customHeight="1">
      <c r="A359" s="10" t="n">
        <v>355</v>
      </c>
      <c r="B359" s="11" t="inlineStr">
        <is>
          <t>MB-FORM-12</t>
        </is>
      </c>
      <c r="C359" s="5" t="inlineStr">
        <is>
          <t>Operator tidak dapat mengisi Checked By maupun Acknowledged By</t>
        </is>
      </c>
      <c r="D359" s="12" t="inlineStr">
        <is>
          <t>Grading</t>
        </is>
      </c>
      <c r="E359" s="5" t="inlineStr">
        <is>
          <t>OPR-A</t>
        </is>
      </c>
      <c r="F359" s="5" t="inlineStr">
        <is>
          <t>- Keduanya tidak dapat diisi oleh Operator.
- Ada keterangan di layar yang menyebut siapa yang boleh mengisinya — bukan kolom mati tanpa alasan (lihat LS-14).
- Centang "Checked by SPV" per baris pada Sterilizer juga tidak dapat ditekan Operator.</t>
        </is>
      </c>
      <c r="G359" s="13" t="inlineStr">
        <is>
          <t>Tinggi</t>
        </is>
      </c>
      <c r="H359" s="18" t="n"/>
      <c r="I359" s="18" t="n"/>
      <c r="J359" s="18" t="n"/>
      <c r="K359" s="18" t="n"/>
      <c r="L359" s="18" t="n"/>
    </row>
    <row r="360" ht="83.19999999999999" customHeight="1">
      <c r="A360" s="14" t="n">
        <v>356</v>
      </c>
      <c r="B360" s="16" t="inlineStr">
        <is>
          <t>MB-FORM-12</t>
        </is>
      </c>
      <c r="C360" s="15" t="inlineStr">
        <is>
          <t>Operator tidak dapat mengisi Checked By maupun Acknowledged By</t>
        </is>
      </c>
      <c r="D360" s="17" t="inlineStr">
        <is>
          <t>Cages Track</t>
        </is>
      </c>
      <c r="E360" s="15" t="inlineStr">
        <is>
          <t>OPR-A</t>
        </is>
      </c>
      <c r="F360" s="15" t="inlineStr">
        <is>
          <t>- Keduanya tidak dapat diisi oleh Operator.
- Ada keterangan di layar yang menyebut siapa yang boleh mengisinya — bukan kolom mati tanpa alasan (lihat LS-14).
- Centang "Checked by SPV" per baris pada Sterilizer juga tidak dapat ditekan Operator.</t>
        </is>
      </c>
      <c r="G360" s="13" t="inlineStr">
        <is>
          <t>Tinggi</t>
        </is>
      </c>
      <c r="H360" s="18" t="n"/>
      <c r="I360" s="18" t="n"/>
      <c r="J360" s="18" t="n"/>
      <c r="K360" s="18" t="n"/>
      <c r="L360" s="18" t="n"/>
    </row>
    <row r="361" ht="83.19999999999999" customHeight="1">
      <c r="A361" s="10" t="n">
        <v>357</v>
      </c>
      <c r="B361" s="11" t="inlineStr">
        <is>
          <t>MB-FORM-12</t>
        </is>
      </c>
      <c r="C361" s="5" t="inlineStr">
        <is>
          <t>Operator tidak dapat mengisi Checked By maupun Acknowledged By</t>
        </is>
      </c>
      <c r="D361" s="12" t="inlineStr">
        <is>
          <t>Sterilizer</t>
        </is>
      </c>
      <c r="E361" s="5" t="inlineStr">
        <is>
          <t>OPR-A</t>
        </is>
      </c>
      <c r="F361" s="5" t="inlineStr">
        <is>
          <t>- Keduanya tidak dapat diisi oleh Operator.
- Ada keterangan di layar yang menyebut siapa yang boleh mengisinya — bukan kolom mati tanpa alasan (lihat LS-14).
- Centang "Checked by SPV" per baris pada Sterilizer juga tidak dapat ditekan Operator.</t>
        </is>
      </c>
      <c r="G361" s="13" t="inlineStr">
        <is>
          <t>Tinggi</t>
        </is>
      </c>
      <c r="H361" s="18" t="n"/>
      <c r="I361" s="18" t="n"/>
      <c r="J361" s="18" t="n"/>
      <c r="K361" s="18" t="n"/>
      <c r="L361" s="18" t="n"/>
    </row>
    <row r="362" ht="83.19999999999999" customHeight="1">
      <c r="A362" s="14" t="n">
        <v>358</v>
      </c>
      <c r="B362" s="16" t="inlineStr">
        <is>
          <t>MB-FORM-12</t>
        </is>
      </c>
      <c r="C362" s="15" t="inlineStr">
        <is>
          <t>Operator tidak dapat mengisi Checked By maupun Acknowledged By</t>
        </is>
      </c>
      <c r="D362" s="17" t="inlineStr">
        <is>
          <t>Threshing</t>
        </is>
      </c>
      <c r="E362" s="15" t="inlineStr">
        <is>
          <t>OPR-A</t>
        </is>
      </c>
      <c r="F362" s="15" t="inlineStr">
        <is>
          <t>- Keduanya tidak dapat diisi oleh Operator.
- Ada keterangan di layar yang menyebut siapa yang boleh mengisinya — bukan kolom mati tanpa alasan (lihat LS-14).
- Centang "Checked by SPV" per baris pada Sterilizer juga tidak dapat ditekan Operator.</t>
        </is>
      </c>
      <c r="G362" s="13" t="inlineStr">
        <is>
          <t>Tinggi</t>
        </is>
      </c>
      <c r="H362" s="18" t="n"/>
      <c r="I362" s="18" t="n"/>
      <c r="J362" s="18" t="n"/>
      <c r="K362" s="18" t="n"/>
      <c r="L362" s="18" t="n"/>
    </row>
    <row r="363" ht="83.19999999999999" customHeight="1">
      <c r="A363" s="10" t="n">
        <v>359</v>
      </c>
      <c r="B363" s="11" t="inlineStr">
        <is>
          <t>MB-FORM-12</t>
        </is>
      </c>
      <c r="C363" s="5" t="inlineStr">
        <is>
          <t>Operator tidak dapat mengisi Checked By maupun Acknowledged By</t>
        </is>
      </c>
      <c r="D363" s="12" t="inlineStr">
        <is>
          <t>Pressing</t>
        </is>
      </c>
      <c r="E363" s="5" t="inlineStr">
        <is>
          <t>OPR-A</t>
        </is>
      </c>
      <c r="F363" s="5" t="inlineStr">
        <is>
          <t>- Keduanya tidak dapat diisi oleh Operator.
- Ada keterangan di layar yang menyebut siapa yang boleh mengisinya — bukan kolom mati tanpa alasan (lihat LS-14).
- Centang "Checked by SPV" per baris pada Sterilizer juga tidak dapat ditekan Operator.</t>
        </is>
      </c>
      <c r="G363" s="13" t="inlineStr">
        <is>
          <t>Tinggi</t>
        </is>
      </c>
      <c r="H363" s="18" t="n"/>
      <c r="I363" s="18" t="n"/>
      <c r="J363" s="18" t="n"/>
      <c r="K363" s="18" t="n"/>
      <c r="L363" s="18" t="n"/>
    </row>
    <row r="364" ht="83.19999999999999" customHeight="1">
      <c r="A364" s="14" t="n">
        <v>360</v>
      </c>
      <c r="B364" s="16" t="inlineStr">
        <is>
          <t>MB-FORM-12</t>
        </is>
      </c>
      <c r="C364" s="15" t="inlineStr">
        <is>
          <t>Operator tidak dapat mengisi Checked By maupun Acknowledged By</t>
        </is>
      </c>
      <c r="D364" s="17" t="inlineStr">
        <is>
          <t>Clarification</t>
        </is>
      </c>
      <c r="E364" s="15" t="inlineStr">
        <is>
          <t>OPR-A</t>
        </is>
      </c>
      <c r="F364" s="15" t="inlineStr">
        <is>
          <t>- Keduanya tidak dapat diisi oleh Operator.
- Ada keterangan di layar yang menyebut siapa yang boleh mengisinya — bukan kolom mati tanpa alasan (lihat LS-14).
- Centang "Checked by SPV" per baris pada Sterilizer juga tidak dapat ditekan Operator.</t>
        </is>
      </c>
      <c r="G364" s="13" t="inlineStr">
        <is>
          <t>Tinggi</t>
        </is>
      </c>
      <c r="H364" s="18" t="n"/>
      <c r="I364" s="18" t="n"/>
      <c r="J364" s="18" t="n"/>
      <c r="K364" s="18" t="n"/>
      <c r="L364" s="18" t="n"/>
    </row>
    <row r="365" ht="83.19999999999999" customHeight="1">
      <c r="A365" s="10" t="n">
        <v>361</v>
      </c>
      <c r="B365" s="11" t="inlineStr">
        <is>
          <t>MB-FORM-12</t>
        </is>
      </c>
      <c r="C365" s="5" t="inlineStr">
        <is>
          <t>Operator tidak dapat mengisi Checked By maupun Acknowledged By</t>
        </is>
      </c>
      <c r="D365" s="12" t="inlineStr">
        <is>
          <t>Kernel Plant</t>
        </is>
      </c>
      <c r="E365" s="5" t="inlineStr">
        <is>
          <t>OPR-A</t>
        </is>
      </c>
      <c r="F365" s="5" t="inlineStr">
        <is>
          <t>- Keduanya tidak dapat diisi oleh Operator.
- Ada keterangan di layar yang menyebut siapa yang boleh mengisinya — bukan kolom mati tanpa alasan (lihat LS-14).
- Centang "Checked by SPV" per baris pada Sterilizer juga tidak dapat ditekan Operator.</t>
        </is>
      </c>
      <c r="G365" s="13" t="inlineStr">
        <is>
          <t>Tinggi</t>
        </is>
      </c>
      <c r="H365" s="18" t="n"/>
      <c r="I365" s="18" t="n"/>
      <c r="J365" s="18" t="n"/>
      <c r="K365" s="18" t="n"/>
      <c r="L365" s="18" t="n"/>
    </row>
    <row r="366" ht="83.19999999999999" customHeight="1">
      <c r="A366" s="14" t="n">
        <v>362</v>
      </c>
      <c r="B366" s="16" t="inlineStr">
        <is>
          <t>MB-FORM-12</t>
        </is>
      </c>
      <c r="C366" s="15" t="inlineStr">
        <is>
          <t>Operator tidak dapat mengisi Checked By maupun Acknowledged By</t>
        </is>
      </c>
      <c r="D366" s="17" t="inlineStr">
        <is>
          <t>Boiler Room</t>
        </is>
      </c>
      <c r="E366" s="15" t="inlineStr">
        <is>
          <t>OPR-A</t>
        </is>
      </c>
      <c r="F366" s="15" t="inlineStr">
        <is>
          <t>- Keduanya tidak dapat diisi oleh Operator.
- Ada keterangan di layar yang menyebut siapa yang boleh mengisinya — bukan kolom mati tanpa alasan (lihat LS-14).
- Centang "Checked by SPV" per baris pada Sterilizer juga tidak dapat ditekan Operator.</t>
        </is>
      </c>
      <c r="G366" s="13" t="inlineStr">
        <is>
          <t>Tinggi</t>
        </is>
      </c>
      <c r="H366" s="18" t="n"/>
      <c r="I366" s="18" t="n"/>
      <c r="J366" s="18" t="n"/>
      <c r="K366" s="18" t="n"/>
      <c r="L366" s="18" t="n"/>
    </row>
    <row r="367" ht="83.19999999999999" customHeight="1">
      <c r="A367" s="10" t="n">
        <v>363</v>
      </c>
      <c r="B367" s="11" t="inlineStr">
        <is>
          <t>MB-FORM-12</t>
        </is>
      </c>
      <c r="C367" s="5" t="inlineStr">
        <is>
          <t>Operator tidak dapat mengisi Checked By maupun Acknowledged By</t>
        </is>
      </c>
      <c r="D367" s="12" t="inlineStr">
        <is>
          <t>Effluent Plant</t>
        </is>
      </c>
      <c r="E367" s="5" t="inlineStr">
        <is>
          <t>OPR-A</t>
        </is>
      </c>
      <c r="F367" s="5" t="inlineStr">
        <is>
          <t>- Keduanya tidak dapat diisi oleh Operator.
- Ada keterangan di layar yang menyebut siapa yang boleh mengisinya — bukan kolom mati tanpa alasan (lihat LS-14).
- Centang "Checked by SPV" per baris pada Sterilizer juga tidak dapat ditekan Operator.</t>
        </is>
      </c>
      <c r="G367" s="13" t="inlineStr">
        <is>
          <t>Tinggi</t>
        </is>
      </c>
      <c r="H367" s="18" t="n"/>
      <c r="I367" s="18" t="n"/>
      <c r="J367" s="18" t="n"/>
      <c r="K367" s="18" t="n"/>
      <c r="L367" s="18" t="n"/>
    </row>
    <row r="368" ht="83.19999999999999" customHeight="1">
      <c r="A368" s="14" t="n">
        <v>364</v>
      </c>
      <c r="B368" s="16" t="inlineStr">
        <is>
          <t>MB-FORM-12</t>
        </is>
      </c>
      <c r="C368" s="15" t="inlineStr">
        <is>
          <t>Operator tidak dapat mengisi Checked By maupun Acknowledged By</t>
        </is>
      </c>
      <c r="D368" s="17" t="inlineStr">
        <is>
          <t>Depricarping</t>
        </is>
      </c>
      <c r="E368" s="15" t="inlineStr">
        <is>
          <t>OPR-A</t>
        </is>
      </c>
      <c r="F368" s="15" t="inlineStr">
        <is>
          <t>- Keduanya tidak dapat diisi oleh Operator.
- Ada keterangan di layar yang menyebut siapa yang boleh mengisinya — bukan kolom mati tanpa alasan (lihat LS-14).
- Centang "Checked by SPV" per baris pada Sterilizer juga tidak dapat ditekan Operator.</t>
        </is>
      </c>
      <c r="G368" s="13" t="inlineStr">
        <is>
          <t>Tinggi</t>
        </is>
      </c>
      <c r="H368" s="18" t="n"/>
      <c r="I368" s="18" t="n"/>
      <c r="J368" s="18" t="n"/>
      <c r="K368" s="18" t="n"/>
      <c r="L368" s="18" t="n"/>
    </row>
    <row r="369" ht="83.19999999999999" customHeight="1">
      <c r="A369" s="10" t="n">
        <v>365</v>
      </c>
      <c r="B369" s="11" t="inlineStr">
        <is>
          <t>MB-FORM-12</t>
        </is>
      </c>
      <c r="C369" s="5" t="inlineStr">
        <is>
          <t>Operator tidak dapat mengisi Checked By maupun Acknowledged By</t>
        </is>
      </c>
      <c r="D369" s="12" t="inlineStr">
        <is>
          <t>Engine Room</t>
        </is>
      </c>
      <c r="E369" s="5" t="inlineStr">
        <is>
          <t>OPR-A</t>
        </is>
      </c>
      <c r="F369" s="5" t="inlineStr">
        <is>
          <t>- Keduanya tidak dapat diisi oleh Operator.
- Ada keterangan di layar yang menyebut siapa yang boleh mengisinya — bukan kolom mati tanpa alasan (lihat LS-14).
- Centang "Checked by SPV" per baris pada Sterilizer juga tidak dapat ditekan Operator.</t>
        </is>
      </c>
      <c r="G369" s="13" t="inlineStr">
        <is>
          <t>Tinggi</t>
        </is>
      </c>
      <c r="H369" s="18" t="n"/>
      <c r="I369" s="18" t="n"/>
      <c r="J369" s="18" t="n"/>
      <c r="K369" s="18" t="n"/>
      <c r="L369" s="18" t="n"/>
    </row>
    <row r="370" ht="83.19999999999999" customHeight="1">
      <c r="A370" s="14" t="n">
        <v>366</v>
      </c>
      <c r="B370" s="16" t="inlineStr">
        <is>
          <t>MB-FORM-12</t>
        </is>
      </c>
      <c r="C370" s="15" t="inlineStr">
        <is>
          <t>Operator tidak dapat mengisi Checked By maupun Acknowledged By</t>
        </is>
      </c>
      <c r="D370" s="17" t="inlineStr">
        <is>
          <t>Process Water</t>
        </is>
      </c>
      <c r="E370" s="15" t="inlineStr">
        <is>
          <t>OPR-A</t>
        </is>
      </c>
      <c r="F370" s="15" t="inlineStr">
        <is>
          <t>- Keduanya tidak dapat diisi oleh Operator.
- Ada keterangan di layar yang menyebut siapa yang boleh mengisinya — bukan kolom mati tanpa alasan (lihat LS-14).
- Centang "Checked by SPV" per baris pada Sterilizer juga tidak dapat ditekan Operator.</t>
        </is>
      </c>
      <c r="G370" s="13" t="inlineStr">
        <is>
          <t>Tinggi</t>
        </is>
      </c>
      <c r="H370" s="18" t="n"/>
      <c r="I370" s="18" t="n"/>
      <c r="J370" s="18" t="n"/>
      <c r="K370" s="18" t="n"/>
      <c r="L370" s="18" t="n"/>
    </row>
    <row r="371" ht="83.19999999999999" customHeight="1">
      <c r="A371" s="10" t="n">
        <v>367</v>
      </c>
      <c r="B371" s="11" t="inlineStr">
        <is>
          <t>MB-FORM-12</t>
        </is>
      </c>
      <c r="C371" s="5" t="inlineStr">
        <is>
          <t>Operator tidak dapat mengisi Checked By maupun Acknowledged By</t>
        </is>
      </c>
      <c r="D371" s="12" t="inlineStr">
        <is>
          <t>Storage Tank</t>
        </is>
      </c>
      <c r="E371" s="5" t="inlineStr">
        <is>
          <t>OPR-A</t>
        </is>
      </c>
      <c r="F371" s="5" t="inlineStr">
        <is>
          <t>- Keduanya tidak dapat diisi oleh Operator.
- Ada keterangan di layar yang menyebut siapa yang boleh mengisinya — bukan kolom mati tanpa alasan (lihat LS-14).
- Centang "Checked by SPV" per baris pada Sterilizer juga tidak dapat ditekan Operator.</t>
        </is>
      </c>
      <c r="G371" s="13" t="inlineStr">
        <is>
          <t>Tinggi</t>
        </is>
      </c>
      <c r="H371" s="18" t="n"/>
      <c r="I371" s="18" t="n"/>
      <c r="J371" s="18" t="n"/>
      <c r="K371" s="18" t="n"/>
      <c r="L371" s="18" t="n"/>
    </row>
    <row r="372" ht="83.19999999999999" customHeight="1">
      <c r="A372" s="14" t="n">
        <v>368</v>
      </c>
      <c r="B372" s="16" t="inlineStr">
        <is>
          <t>MB-FORM-12</t>
        </is>
      </c>
      <c r="C372" s="15" t="inlineStr">
        <is>
          <t>Operator tidak dapat mengisi Checked By maupun Acknowledged By</t>
        </is>
      </c>
      <c r="D372" s="17" t="inlineStr">
        <is>
          <t>Solid Waste Disposal</t>
        </is>
      </c>
      <c r="E372" s="15" t="inlineStr">
        <is>
          <t>OPR-A</t>
        </is>
      </c>
      <c r="F372" s="15" t="inlineStr">
        <is>
          <t>- Keduanya tidak dapat diisi oleh Operator.
- Ada keterangan di layar yang menyebut siapa yang boleh mengisinya — bukan kolom mati tanpa alasan (lihat LS-14).
- Centang "Checked by SPV" per baris pada Sterilizer juga tidak dapat ditekan Operator.</t>
        </is>
      </c>
      <c r="G372" s="13" t="inlineStr">
        <is>
          <t>Tinggi</t>
        </is>
      </c>
      <c r="H372" s="18" t="n"/>
      <c r="I372" s="18" t="n"/>
      <c r="J372" s="18" t="n"/>
      <c r="K372" s="18" t="n"/>
      <c r="L372" s="18" t="n"/>
    </row>
    <row r="373" ht="83.19999999999999" customHeight="1">
      <c r="A373" s="10" t="n">
        <v>369</v>
      </c>
      <c r="B373" s="11" t="inlineStr">
        <is>
          <t>MB-FORM-12</t>
        </is>
      </c>
      <c r="C373" s="5" t="inlineStr">
        <is>
          <t>Operator tidak dapat mengisi Checked By maupun Acknowledged By</t>
        </is>
      </c>
      <c r="D373" s="12" t="inlineStr">
        <is>
          <t>Kernel Dispatch</t>
        </is>
      </c>
      <c r="E373" s="5" t="inlineStr">
        <is>
          <t>OPR-A</t>
        </is>
      </c>
      <c r="F373" s="5" t="inlineStr">
        <is>
          <t>- Keduanya tidak dapat diisi oleh Operator.
- Ada keterangan di layar yang menyebut siapa yang boleh mengisinya — bukan kolom mati tanpa alasan (lihat LS-14).
- Centang "Checked by SPV" per baris pada Sterilizer juga tidak dapat ditekan Operator.</t>
        </is>
      </c>
      <c r="G373" s="13" t="inlineStr">
        <is>
          <t>Tinggi</t>
        </is>
      </c>
      <c r="H373" s="18" t="n"/>
      <c r="I373" s="18" t="n"/>
      <c r="J373" s="18" t="n"/>
      <c r="K373" s="18" t="n"/>
      <c r="L373" s="18" t="n"/>
    </row>
    <row r="374" ht="83.19999999999999" customHeight="1">
      <c r="A374" s="14" t="n">
        <v>370</v>
      </c>
      <c r="B374" s="16" t="inlineStr">
        <is>
          <t>MB-FORM-12</t>
        </is>
      </c>
      <c r="C374" s="15" t="inlineStr">
        <is>
          <t>Operator tidak dapat mengisi Checked By maupun Acknowledged By</t>
        </is>
      </c>
      <c r="D374" s="17" t="inlineStr">
        <is>
          <t>CPO Dispatch</t>
        </is>
      </c>
      <c r="E374" s="15" t="inlineStr">
        <is>
          <t>OPR-A</t>
        </is>
      </c>
      <c r="F374" s="15" t="inlineStr">
        <is>
          <t>- Keduanya tidak dapat diisi oleh Operator.
- Ada keterangan di layar yang menyebut siapa yang boleh mengisinya — bukan kolom mati tanpa alasan (lihat LS-14).
- Centang "Checked by SPV" per baris pada Sterilizer juga tidak dapat ditekan Operator.</t>
        </is>
      </c>
      <c r="G374" s="13" t="inlineStr">
        <is>
          <t>Tinggi</t>
        </is>
      </c>
      <c r="H374" s="18" t="n"/>
      <c r="I374" s="18" t="n"/>
      <c r="J374" s="18" t="n"/>
      <c r="K374" s="18" t="n"/>
      <c r="L374" s="18" t="n"/>
    </row>
    <row r="375" ht="83.19999999999999" customHeight="1">
      <c r="A375" s="10" t="n">
        <v>371</v>
      </c>
      <c r="B375" s="11" t="inlineStr">
        <is>
          <t>MB-FORM-12</t>
        </is>
      </c>
      <c r="C375" s="5" t="inlineStr">
        <is>
          <t>Operator tidak dapat mengisi Checked By maupun Acknowledged By</t>
        </is>
      </c>
      <c r="D375" s="12" t="inlineStr">
        <is>
          <t>Process Quality Control</t>
        </is>
      </c>
      <c r="E375" s="5" t="inlineStr">
        <is>
          <t>OPR-A</t>
        </is>
      </c>
      <c r="F375" s="5" t="inlineStr">
        <is>
          <t>- Keduanya tidak dapat diisi oleh Operator.
- Ada keterangan di layar yang menyebut siapa yang boleh mengisinya — bukan kolom mati tanpa alasan (lihat LS-14).
- Centang "Checked by SPV" per baris pada Sterilizer juga tidak dapat ditekan Operator.</t>
        </is>
      </c>
      <c r="G375" s="13" t="inlineStr">
        <is>
          <t>Tinggi</t>
        </is>
      </c>
      <c r="H375" s="18" t="n"/>
      <c r="I375" s="18" t="n"/>
      <c r="J375" s="18" t="n"/>
      <c r="K375" s="18" t="n"/>
      <c r="L375" s="18" t="n"/>
    </row>
    <row r="376" ht="83.19999999999999" customHeight="1">
      <c r="A376" s="14" t="n">
        <v>372</v>
      </c>
      <c r="B376" s="16" t="inlineStr">
        <is>
          <t>MB-FORM-13</t>
        </is>
      </c>
      <c r="C376" s="15" t="inlineStr">
        <is>
          <t>Supervisor mengisi Checked, Mill Management mengisi Acknowledged</t>
        </is>
      </c>
      <c r="D376" s="17" t="inlineStr">
        <is>
          <t>Weighbridge</t>
        </is>
      </c>
      <c r="E376" s="15" t="inlineStr">
        <is>
          <t>SPV-A, lalu MGR-A</t>
        </is>
      </c>
      <c r="F376" s="15" t="inlineStr">
        <is>
          <t>- SPV-A dapat mengisi Checked By.
- SPV-A tidak dapat mengisi Acknowledged By.
- MGR-A dapat mengisi Acknowledged By.
- MGR-A tidak dapat mengisi Checked By.
- Nama yang terisi adalah nama pengguna yang mengisinya, bukan diketik bebas.</t>
        </is>
      </c>
      <c r="G376" s="13" t="inlineStr">
        <is>
          <t>Tinggi</t>
        </is>
      </c>
      <c r="H376" s="18" t="n"/>
      <c r="I376" s="18" t="n"/>
      <c r="J376" s="18" t="n"/>
      <c r="K376" s="18" t="n"/>
      <c r="L376" s="18" t="n"/>
    </row>
    <row r="377" ht="83.19999999999999" customHeight="1">
      <c r="A377" s="10" t="n">
        <v>373</v>
      </c>
      <c r="B377" s="11" t="inlineStr">
        <is>
          <t>MB-FORM-13</t>
        </is>
      </c>
      <c r="C377" s="5" t="inlineStr">
        <is>
          <t>Supervisor mengisi Checked, Mill Management mengisi Acknowledged</t>
        </is>
      </c>
      <c r="D377" s="12" t="inlineStr">
        <is>
          <t>Grading</t>
        </is>
      </c>
      <c r="E377" s="5" t="inlineStr">
        <is>
          <t>SPV-A, lalu MGR-A</t>
        </is>
      </c>
      <c r="F377" s="5" t="inlineStr">
        <is>
          <t>- SPV-A dapat mengisi Checked By.
- SPV-A tidak dapat mengisi Acknowledged By.
- MGR-A dapat mengisi Acknowledged By.
- MGR-A tidak dapat mengisi Checked By.
- Nama yang terisi adalah nama pengguna yang mengisinya, bukan diketik bebas.</t>
        </is>
      </c>
      <c r="G377" s="13" t="inlineStr">
        <is>
          <t>Tinggi</t>
        </is>
      </c>
      <c r="H377" s="18" t="n"/>
      <c r="I377" s="18" t="n"/>
      <c r="J377" s="18" t="n"/>
      <c r="K377" s="18" t="n"/>
      <c r="L377" s="18" t="n"/>
    </row>
    <row r="378" ht="83.19999999999999" customHeight="1">
      <c r="A378" s="14" t="n">
        <v>374</v>
      </c>
      <c r="B378" s="16" t="inlineStr">
        <is>
          <t>MB-FORM-13</t>
        </is>
      </c>
      <c r="C378" s="15" t="inlineStr">
        <is>
          <t>Supervisor mengisi Checked, Mill Management mengisi Acknowledged</t>
        </is>
      </c>
      <c r="D378" s="17" t="inlineStr">
        <is>
          <t>Cages Track</t>
        </is>
      </c>
      <c r="E378" s="15" t="inlineStr">
        <is>
          <t>SPV-A, lalu MGR-A</t>
        </is>
      </c>
      <c r="F378" s="15" t="inlineStr">
        <is>
          <t>- SPV-A dapat mengisi Checked By.
- SPV-A tidak dapat mengisi Acknowledged By.
- MGR-A dapat mengisi Acknowledged By.
- MGR-A tidak dapat mengisi Checked By.
- Nama yang terisi adalah nama pengguna yang mengisinya, bukan diketik bebas.</t>
        </is>
      </c>
      <c r="G378" s="13" t="inlineStr">
        <is>
          <t>Tinggi</t>
        </is>
      </c>
      <c r="H378" s="18" t="n"/>
      <c r="I378" s="18" t="n"/>
      <c r="J378" s="18" t="n"/>
      <c r="K378" s="18" t="n"/>
      <c r="L378" s="18" t="n"/>
    </row>
    <row r="379" ht="83.19999999999999" customHeight="1">
      <c r="A379" s="10" t="n">
        <v>375</v>
      </c>
      <c r="B379" s="11" t="inlineStr">
        <is>
          <t>MB-FORM-13</t>
        </is>
      </c>
      <c r="C379" s="5" t="inlineStr">
        <is>
          <t>Supervisor mengisi Checked, Mill Management mengisi Acknowledged</t>
        </is>
      </c>
      <c r="D379" s="12" t="inlineStr">
        <is>
          <t>Sterilizer</t>
        </is>
      </c>
      <c r="E379" s="5" t="inlineStr">
        <is>
          <t>SPV-A, lalu MGR-A</t>
        </is>
      </c>
      <c r="F379" s="5" t="inlineStr">
        <is>
          <t>- SPV-A dapat mengisi Checked By.
- SPV-A tidak dapat mengisi Acknowledged By.
- MGR-A dapat mengisi Acknowledged By.
- MGR-A tidak dapat mengisi Checked By.
- Nama yang terisi adalah nama pengguna yang mengisinya, bukan diketik bebas.</t>
        </is>
      </c>
      <c r="G379" s="13" t="inlineStr">
        <is>
          <t>Tinggi</t>
        </is>
      </c>
      <c r="H379" s="18" t="n"/>
      <c r="I379" s="18" t="n"/>
      <c r="J379" s="18" t="n"/>
      <c r="K379" s="18" t="n"/>
      <c r="L379" s="18" t="n"/>
    </row>
    <row r="380" ht="83.19999999999999" customHeight="1">
      <c r="A380" s="14" t="n">
        <v>376</v>
      </c>
      <c r="B380" s="16" t="inlineStr">
        <is>
          <t>MB-FORM-13</t>
        </is>
      </c>
      <c r="C380" s="15" t="inlineStr">
        <is>
          <t>Supervisor mengisi Checked, Mill Management mengisi Acknowledged</t>
        </is>
      </c>
      <c r="D380" s="17" t="inlineStr">
        <is>
          <t>Threshing</t>
        </is>
      </c>
      <c r="E380" s="15" t="inlineStr">
        <is>
          <t>SPV-A, lalu MGR-A</t>
        </is>
      </c>
      <c r="F380" s="15" t="inlineStr">
        <is>
          <t>- SPV-A dapat mengisi Checked By.
- SPV-A tidak dapat mengisi Acknowledged By.
- MGR-A dapat mengisi Acknowledged By.
- MGR-A tidak dapat mengisi Checked By.
- Nama yang terisi adalah nama pengguna yang mengisinya, bukan diketik bebas.</t>
        </is>
      </c>
      <c r="G380" s="13" t="inlineStr">
        <is>
          <t>Tinggi</t>
        </is>
      </c>
      <c r="H380" s="18" t="n"/>
      <c r="I380" s="18" t="n"/>
      <c r="J380" s="18" t="n"/>
      <c r="K380" s="18" t="n"/>
      <c r="L380" s="18" t="n"/>
    </row>
    <row r="381" ht="83.19999999999999" customHeight="1">
      <c r="A381" s="10" t="n">
        <v>377</v>
      </c>
      <c r="B381" s="11" t="inlineStr">
        <is>
          <t>MB-FORM-13</t>
        </is>
      </c>
      <c r="C381" s="5" t="inlineStr">
        <is>
          <t>Supervisor mengisi Checked, Mill Management mengisi Acknowledged</t>
        </is>
      </c>
      <c r="D381" s="12" t="inlineStr">
        <is>
          <t>Pressing</t>
        </is>
      </c>
      <c r="E381" s="5" t="inlineStr">
        <is>
          <t>SPV-A, lalu MGR-A</t>
        </is>
      </c>
      <c r="F381" s="5" t="inlineStr">
        <is>
          <t>- SPV-A dapat mengisi Checked By.
- SPV-A tidak dapat mengisi Acknowledged By.
- MGR-A dapat mengisi Acknowledged By.
- MGR-A tidak dapat mengisi Checked By.
- Nama yang terisi adalah nama pengguna yang mengisinya, bukan diketik bebas.</t>
        </is>
      </c>
      <c r="G381" s="13" t="inlineStr">
        <is>
          <t>Tinggi</t>
        </is>
      </c>
      <c r="H381" s="18" t="n"/>
      <c r="I381" s="18" t="n"/>
      <c r="J381" s="18" t="n"/>
      <c r="K381" s="18" t="n"/>
      <c r="L381" s="18" t="n"/>
    </row>
    <row r="382" ht="83.19999999999999" customHeight="1">
      <c r="A382" s="14" t="n">
        <v>378</v>
      </c>
      <c r="B382" s="16" t="inlineStr">
        <is>
          <t>MB-FORM-13</t>
        </is>
      </c>
      <c r="C382" s="15" t="inlineStr">
        <is>
          <t>Supervisor mengisi Checked, Mill Management mengisi Acknowledged</t>
        </is>
      </c>
      <c r="D382" s="17" t="inlineStr">
        <is>
          <t>Clarification</t>
        </is>
      </c>
      <c r="E382" s="15" t="inlineStr">
        <is>
          <t>SPV-A, lalu MGR-A</t>
        </is>
      </c>
      <c r="F382" s="15" t="inlineStr">
        <is>
          <t>- SPV-A dapat mengisi Checked By.
- SPV-A tidak dapat mengisi Acknowledged By.
- MGR-A dapat mengisi Acknowledged By.
- MGR-A tidak dapat mengisi Checked By.
- Nama yang terisi adalah nama pengguna yang mengisinya, bukan diketik bebas.</t>
        </is>
      </c>
      <c r="G382" s="13" t="inlineStr">
        <is>
          <t>Tinggi</t>
        </is>
      </c>
      <c r="H382" s="18" t="n"/>
      <c r="I382" s="18" t="n"/>
      <c r="J382" s="18" t="n"/>
      <c r="K382" s="18" t="n"/>
      <c r="L382" s="18" t="n"/>
    </row>
    <row r="383" ht="83.19999999999999" customHeight="1">
      <c r="A383" s="10" t="n">
        <v>379</v>
      </c>
      <c r="B383" s="11" t="inlineStr">
        <is>
          <t>MB-FORM-13</t>
        </is>
      </c>
      <c r="C383" s="5" t="inlineStr">
        <is>
          <t>Supervisor mengisi Checked, Mill Management mengisi Acknowledged</t>
        </is>
      </c>
      <c r="D383" s="12" t="inlineStr">
        <is>
          <t>Kernel Plant</t>
        </is>
      </c>
      <c r="E383" s="5" t="inlineStr">
        <is>
          <t>SPV-A, lalu MGR-A</t>
        </is>
      </c>
      <c r="F383" s="5" t="inlineStr">
        <is>
          <t>- SPV-A dapat mengisi Checked By.
- SPV-A tidak dapat mengisi Acknowledged By.
- MGR-A dapat mengisi Acknowledged By.
- MGR-A tidak dapat mengisi Checked By.
- Nama yang terisi adalah nama pengguna yang mengisinya, bukan diketik bebas.</t>
        </is>
      </c>
      <c r="G383" s="13" t="inlineStr">
        <is>
          <t>Tinggi</t>
        </is>
      </c>
      <c r="H383" s="18" t="n"/>
      <c r="I383" s="18" t="n"/>
      <c r="J383" s="18" t="n"/>
      <c r="K383" s="18" t="n"/>
      <c r="L383" s="18" t="n"/>
    </row>
    <row r="384" ht="83.19999999999999" customHeight="1">
      <c r="A384" s="14" t="n">
        <v>380</v>
      </c>
      <c r="B384" s="16" t="inlineStr">
        <is>
          <t>MB-FORM-13</t>
        </is>
      </c>
      <c r="C384" s="15" t="inlineStr">
        <is>
          <t>Supervisor mengisi Checked, Mill Management mengisi Acknowledged</t>
        </is>
      </c>
      <c r="D384" s="17" t="inlineStr">
        <is>
          <t>Boiler Room</t>
        </is>
      </c>
      <c r="E384" s="15" t="inlineStr">
        <is>
          <t>SPV-A, lalu MGR-A</t>
        </is>
      </c>
      <c r="F384" s="15" t="inlineStr">
        <is>
          <t>- SPV-A dapat mengisi Checked By.
- SPV-A tidak dapat mengisi Acknowledged By.
- MGR-A dapat mengisi Acknowledged By.
- MGR-A tidak dapat mengisi Checked By.
- Nama yang terisi adalah nama pengguna yang mengisinya, bukan diketik bebas.</t>
        </is>
      </c>
      <c r="G384" s="13" t="inlineStr">
        <is>
          <t>Tinggi</t>
        </is>
      </c>
      <c r="H384" s="18" t="n"/>
      <c r="I384" s="18" t="n"/>
      <c r="J384" s="18" t="n"/>
      <c r="K384" s="18" t="n"/>
      <c r="L384" s="18" t="n"/>
    </row>
    <row r="385" ht="83.19999999999999" customHeight="1">
      <c r="A385" s="10" t="n">
        <v>381</v>
      </c>
      <c r="B385" s="11" t="inlineStr">
        <is>
          <t>MB-FORM-13</t>
        </is>
      </c>
      <c r="C385" s="5" t="inlineStr">
        <is>
          <t>Supervisor mengisi Checked, Mill Management mengisi Acknowledged</t>
        </is>
      </c>
      <c r="D385" s="12" t="inlineStr">
        <is>
          <t>Effluent Plant</t>
        </is>
      </c>
      <c r="E385" s="5" t="inlineStr">
        <is>
          <t>SPV-A, lalu MGR-A</t>
        </is>
      </c>
      <c r="F385" s="5" t="inlineStr">
        <is>
          <t>- SPV-A dapat mengisi Checked By.
- SPV-A tidak dapat mengisi Acknowledged By.
- MGR-A dapat mengisi Acknowledged By.
- MGR-A tidak dapat mengisi Checked By.
- Nama yang terisi adalah nama pengguna yang mengisinya, bukan diketik bebas.</t>
        </is>
      </c>
      <c r="G385" s="13" t="inlineStr">
        <is>
          <t>Tinggi</t>
        </is>
      </c>
      <c r="H385" s="18" t="n"/>
      <c r="I385" s="18" t="n"/>
      <c r="J385" s="18" t="n"/>
      <c r="K385" s="18" t="n"/>
      <c r="L385" s="18" t="n"/>
    </row>
    <row r="386" ht="83.19999999999999" customHeight="1">
      <c r="A386" s="14" t="n">
        <v>382</v>
      </c>
      <c r="B386" s="16" t="inlineStr">
        <is>
          <t>MB-FORM-13</t>
        </is>
      </c>
      <c r="C386" s="15" t="inlineStr">
        <is>
          <t>Supervisor mengisi Checked, Mill Management mengisi Acknowledged</t>
        </is>
      </c>
      <c r="D386" s="17" t="inlineStr">
        <is>
          <t>Depricarping</t>
        </is>
      </c>
      <c r="E386" s="15" t="inlineStr">
        <is>
          <t>SPV-A, lalu MGR-A</t>
        </is>
      </c>
      <c r="F386" s="15" t="inlineStr">
        <is>
          <t>- SPV-A dapat mengisi Checked By.
- SPV-A tidak dapat mengisi Acknowledged By.
- MGR-A dapat mengisi Acknowledged By.
- MGR-A tidak dapat mengisi Checked By.
- Nama yang terisi adalah nama pengguna yang mengisinya, bukan diketik bebas.</t>
        </is>
      </c>
      <c r="G386" s="13" t="inlineStr">
        <is>
          <t>Tinggi</t>
        </is>
      </c>
      <c r="H386" s="18" t="n"/>
      <c r="I386" s="18" t="n"/>
      <c r="J386" s="18" t="n"/>
      <c r="K386" s="18" t="n"/>
      <c r="L386" s="18" t="n"/>
    </row>
    <row r="387" ht="83.19999999999999" customHeight="1">
      <c r="A387" s="10" t="n">
        <v>383</v>
      </c>
      <c r="B387" s="11" t="inlineStr">
        <is>
          <t>MB-FORM-13</t>
        </is>
      </c>
      <c r="C387" s="5" t="inlineStr">
        <is>
          <t>Supervisor mengisi Checked, Mill Management mengisi Acknowledged</t>
        </is>
      </c>
      <c r="D387" s="12" t="inlineStr">
        <is>
          <t>Engine Room</t>
        </is>
      </c>
      <c r="E387" s="5" t="inlineStr">
        <is>
          <t>SPV-A, lalu MGR-A</t>
        </is>
      </c>
      <c r="F387" s="5" t="inlineStr">
        <is>
          <t>- SPV-A dapat mengisi Checked By.
- SPV-A tidak dapat mengisi Acknowledged By.
- MGR-A dapat mengisi Acknowledged By.
- MGR-A tidak dapat mengisi Checked By.
- Nama yang terisi adalah nama pengguna yang mengisinya, bukan diketik bebas.</t>
        </is>
      </c>
      <c r="G387" s="13" t="inlineStr">
        <is>
          <t>Tinggi</t>
        </is>
      </c>
      <c r="H387" s="18" t="n"/>
      <c r="I387" s="18" t="n"/>
      <c r="J387" s="18" t="n"/>
      <c r="K387" s="18" t="n"/>
      <c r="L387" s="18" t="n"/>
    </row>
    <row r="388" ht="83.19999999999999" customHeight="1">
      <c r="A388" s="14" t="n">
        <v>384</v>
      </c>
      <c r="B388" s="16" t="inlineStr">
        <is>
          <t>MB-FORM-13</t>
        </is>
      </c>
      <c r="C388" s="15" t="inlineStr">
        <is>
          <t>Supervisor mengisi Checked, Mill Management mengisi Acknowledged</t>
        </is>
      </c>
      <c r="D388" s="17" t="inlineStr">
        <is>
          <t>Process Water</t>
        </is>
      </c>
      <c r="E388" s="15" t="inlineStr">
        <is>
          <t>SPV-A, lalu MGR-A</t>
        </is>
      </c>
      <c r="F388" s="15" t="inlineStr">
        <is>
          <t>- SPV-A dapat mengisi Checked By.
- SPV-A tidak dapat mengisi Acknowledged By.
- MGR-A dapat mengisi Acknowledged By.
- MGR-A tidak dapat mengisi Checked By.
- Nama yang terisi adalah nama pengguna yang mengisinya, bukan diketik bebas.</t>
        </is>
      </c>
      <c r="G388" s="13" t="inlineStr">
        <is>
          <t>Tinggi</t>
        </is>
      </c>
      <c r="H388" s="18" t="n"/>
      <c r="I388" s="18" t="n"/>
      <c r="J388" s="18" t="n"/>
      <c r="K388" s="18" t="n"/>
      <c r="L388" s="18" t="n"/>
    </row>
    <row r="389" ht="83.19999999999999" customHeight="1">
      <c r="A389" s="10" t="n">
        <v>385</v>
      </c>
      <c r="B389" s="11" t="inlineStr">
        <is>
          <t>MB-FORM-13</t>
        </is>
      </c>
      <c r="C389" s="5" t="inlineStr">
        <is>
          <t>Supervisor mengisi Checked, Mill Management mengisi Acknowledged</t>
        </is>
      </c>
      <c r="D389" s="12" t="inlineStr">
        <is>
          <t>Storage Tank</t>
        </is>
      </c>
      <c r="E389" s="5" t="inlineStr">
        <is>
          <t>SPV-A, lalu MGR-A</t>
        </is>
      </c>
      <c r="F389" s="5" t="inlineStr">
        <is>
          <t>- SPV-A dapat mengisi Checked By.
- SPV-A tidak dapat mengisi Acknowledged By.
- MGR-A dapat mengisi Acknowledged By.
- MGR-A tidak dapat mengisi Checked By.
- Nama yang terisi adalah nama pengguna yang mengisinya, bukan diketik bebas.</t>
        </is>
      </c>
      <c r="G389" s="13" t="inlineStr">
        <is>
          <t>Tinggi</t>
        </is>
      </c>
      <c r="H389" s="18" t="n"/>
      <c r="I389" s="18" t="n"/>
      <c r="J389" s="18" t="n"/>
      <c r="K389" s="18" t="n"/>
      <c r="L389" s="18" t="n"/>
    </row>
    <row r="390" ht="83.19999999999999" customHeight="1">
      <c r="A390" s="14" t="n">
        <v>386</v>
      </c>
      <c r="B390" s="16" t="inlineStr">
        <is>
          <t>MB-FORM-13</t>
        </is>
      </c>
      <c r="C390" s="15" t="inlineStr">
        <is>
          <t>Supervisor mengisi Checked, Mill Management mengisi Acknowledged</t>
        </is>
      </c>
      <c r="D390" s="17" t="inlineStr">
        <is>
          <t>Solid Waste Disposal</t>
        </is>
      </c>
      <c r="E390" s="15" t="inlineStr">
        <is>
          <t>SPV-A, lalu MGR-A</t>
        </is>
      </c>
      <c r="F390" s="15" t="inlineStr">
        <is>
          <t>- SPV-A dapat mengisi Checked By.
- SPV-A tidak dapat mengisi Acknowledged By.
- MGR-A dapat mengisi Acknowledged By.
- MGR-A tidak dapat mengisi Checked By.
- Nama yang terisi adalah nama pengguna yang mengisinya, bukan diketik bebas.</t>
        </is>
      </c>
      <c r="G390" s="13" t="inlineStr">
        <is>
          <t>Tinggi</t>
        </is>
      </c>
      <c r="H390" s="18" t="n"/>
      <c r="I390" s="18" t="n"/>
      <c r="J390" s="18" t="n"/>
      <c r="K390" s="18" t="n"/>
      <c r="L390" s="18" t="n"/>
    </row>
    <row r="391" ht="83.19999999999999" customHeight="1">
      <c r="A391" s="10" t="n">
        <v>387</v>
      </c>
      <c r="B391" s="11" t="inlineStr">
        <is>
          <t>MB-FORM-13</t>
        </is>
      </c>
      <c r="C391" s="5" t="inlineStr">
        <is>
          <t>Supervisor mengisi Checked, Mill Management mengisi Acknowledged</t>
        </is>
      </c>
      <c r="D391" s="12" t="inlineStr">
        <is>
          <t>Kernel Dispatch</t>
        </is>
      </c>
      <c r="E391" s="5" t="inlineStr">
        <is>
          <t>SPV-A, lalu MGR-A</t>
        </is>
      </c>
      <c r="F391" s="5" t="inlineStr">
        <is>
          <t>- SPV-A dapat mengisi Checked By.
- SPV-A tidak dapat mengisi Acknowledged By.
- MGR-A dapat mengisi Acknowledged By.
- MGR-A tidak dapat mengisi Checked By.
- Nama yang terisi adalah nama pengguna yang mengisinya, bukan diketik bebas.</t>
        </is>
      </c>
      <c r="G391" s="13" t="inlineStr">
        <is>
          <t>Tinggi</t>
        </is>
      </c>
      <c r="H391" s="18" t="n"/>
      <c r="I391" s="18" t="n"/>
      <c r="J391" s="18" t="n"/>
      <c r="K391" s="18" t="n"/>
      <c r="L391" s="18" t="n"/>
    </row>
    <row r="392" ht="83.19999999999999" customHeight="1">
      <c r="A392" s="14" t="n">
        <v>388</v>
      </c>
      <c r="B392" s="16" t="inlineStr">
        <is>
          <t>MB-FORM-13</t>
        </is>
      </c>
      <c r="C392" s="15" t="inlineStr">
        <is>
          <t>Supervisor mengisi Checked, Mill Management mengisi Acknowledged</t>
        </is>
      </c>
      <c r="D392" s="17" t="inlineStr">
        <is>
          <t>CPO Dispatch</t>
        </is>
      </c>
      <c r="E392" s="15" t="inlineStr">
        <is>
          <t>SPV-A, lalu MGR-A</t>
        </is>
      </c>
      <c r="F392" s="15" t="inlineStr">
        <is>
          <t>- SPV-A dapat mengisi Checked By.
- SPV-A tidak dapat mengisi Acknowledged By.
- MGR-A dapat mengisi Acknowledged By.
- MGR-A tidak dapat mengisi Checked By.
- Nama yang terisi adalah nama pengguna yang mengisinya, bukan diketik bebas.</t>
        </is>
      </c>
      <c r="G392" s="13" t="inlineStr">
        <is>
          <t>Tinggi</t>
        </is>
      </c>
      <c r="H392" s="18" t="n"/>
      <c r="I392" s="18" t="n"/>
      <c r="J392" s="18" t="n"/>
      <c r="K392" s="18" t="n"/>
      <c r="L392" s="18" t="n"/>
    </row>
    <row r="393" ht="83.19999999999999" customHeight="1">
      <c r="A393" s="10" t="n">
        <v>389</v>
      </c>
      <c r="B393" s="11" t="inlineStr">
        <is>
          <t>MB-FORM-13</t>
        </is>
      </c>
      <c r="C393" s="5" t="inlineStr">
        <is>
          <t>Supervisor mengisi Checked, Mill Management mengisi Acknowledged</t>
        </is>
      </c>
      <c r="D393" s="12" t="inlineStr">
        <is>
          <t>Process Quality Control</t>
        </is>
      </c>
      <c r="E393" s="5" t="inlineStr">
        <is>
          <t>SPV-A, lalu MGR-A</t>
        </is>
      </c>
      <c r="F393" s="5" t="inlineStr">
        <is>
          <t>- SPV-A dapat mengisi Checked By.
- SPV-A tidak dapat mengisi Acknowledged By.
- MGR-A dapat mengisi Acknowledged By.
- MGR-A tidak dapat mengisi Checked By.
- Nama yang terisi adalah nama pengguna yang mengisinya, bukan diketik bebas.</t>
        </is>
      </c>
      <c r="G393" s="13" t="inlineStr">
        <is>
          <t>Tinggi</t>
        </is>
      </c>
      <c r="H393" s="18" t="n"/>
      <c r="I393" s="18" t="n"/>
      <c r="J393" s="18" t="n"/>
      <c r="K393" s="18" t="n"/>
      <c r="L393" s="18" t="n"/>
    </row>
    <row r="394" ht="83.19999999999999" customHeight="1">
      <c r="A394" s="14" t="n">
        <v>390</v>
      </c>
      <c r="B394" s="16" t="inlineStr">
        <is>
          <t>MB-FORM-14</t>
        </is>
      </c>
      <c r="C394" s="15" t="inlineStr">
        <is>
          <t>Tabel Target Operasional hanya referensi, tidak tersimpan</t>
        </is>
      </c>
      <c r="D394" s="17" t="inlineStr">
        <is>
          <t>Weighbridge</t>
        </is>
      </c>
      <c r="E394" s="15" t="inlineStr">
        <is>
          <t>OPR-A</t>
        </is>
      </c>
      <c r="F394" s="15" t="inlineStr">
        <is>
          <t>- Tabel target tampil read-only — tidak satu pun selnya dapat diketik.
- Isinya sama di mobile dan di web untuk stasiun yang sama.
- Nilai target tidak menjadi bagian data record — ia hanya acuan yang ditampilkan.</t>
        </is>
      </c>
      <c r="G394" s="14" t="inlineStr">
        <is>
          <t>Rendah</t>
        </is>
      </c>
      <c r="H394" s="18" t="n"/>
      <c r="I394" s="18" t="n"/>
      <c r="J394" s="18" t="n"/>
      <c r="K394" s="18" t="n"/>
      <c r="L394" s="18" t="n"/>
    </row>
    <row r="395" ht="83.19999999999999" customHeight="1">
      <c r="A395" s="10" t="n">
        <v>391</v>
      </c>
      <c r="B395" s="11" t="inlineStr">
        <is>
          <t>MB-FORM-14</t>
        </is>
      </c>
      <c r="C395" s="5" t="inlineStr">
        <is>
          <t>Tabel Target Operasional hanya referensi, tidak tersimpan</t>
        </is>
      </c>
      <c r="D395" s="12" t="inlineStr">
        <is>
          <t>Grading</t>
        </is>
      </c>
      <c r="E395" s="5" t="inlineStr">
        <is>
          <t>OPR-A</t>
        </is>
      </c>
      <c r="F395" s="5" t="inlineStr">
        <is>
          <t>- Tabel target tampil read-only — tidak satu pun selnya dapat diketik.
- Isinya sama di mobile dan di web untuk stasiun yang sama.
- Nilai target tidak menjadi bagian data record — ia hanya acuan yang ditampilkan.</t>
        </is>
      </c>
      <c r="G395" s="10" t="inlineStr">
        <is>
          <t>Rendah</t>
        </is>
      </c>
      <c r="H395" s="18" t="n"/>
      <c r="I395" s="18" t="n"/>
      <c r="J395" s="18" t="n"/>
      <c r="K395" s="18" t="n"/>
      <c r="L395" s="18" t="n"/>
    </row>
    <row r="396" ht="83.19999999999999" customHeight="1">
      <c r="A396" s="14" t="n">
        <v>392</v>
      </c>
      <c r="B396" s="16" t="inlineStr">
        <is>
          <t>MB-FORM-14</t>
        </is>
      </c>
      <c r="C396" s="15" t="inlineStr">
        <is>
          <t>Tabel Target Operasional hanya referensi, tidak tersimpan</t>
        </is>
      </c>
      <c r="D396" s="17" t="inlineStr">
        <is>
          <t>Cages Track</t>
        </is>
      </c>
      <c r="E396" s="15" t="inlineStr">
        <is>
          <t>OPR-A</t>
        </is>
      </c>
      <c r="F396" s="15" t="inlineStr">
        <is>
          <t>- Tabel target tampil read-only — tidak satu pun selnya dapat diketik.
- Isinya sama di mobile dan di web untuk stasiun yang sama.
- Nilai target tidak menjadi bagian data record — ia hanya acuan yang ditampilkan.</t>
        </is>
      </c>
      <c r="G396" s="14" t="inlineStr">
        <is>
          <t>Rendah</t>
        </is>
      </c>
      <c r="H396" s="18" t="n"/>
      <c r="I396" s="18" t="n"/>
      <c r="J396" s="18" t="n"/>
      <c r="K396" s="18" t="n"/>
      <c r="L396" s="18" t="n"/>
    </row>
    <row r="397" ht="83.19999999999999" customHeight="1">
      <c r="A397" s="10" t="n">
        <v>393</v>
      </c>
      <c r="B397" s="11" t="inlineStr">
        <is>
          <t>MB-FORM-14</t>
        </is>
      </c>
      <c r="C397" s="5" t="inlineStr">
        <is>
          <t>Tabel Target Operasional hanya referensi, tidak tersimpan</t>
        </is>
      </c>
      <c r="D397" s="12" t="inlineStr">
        <is>
          <t>Sterilizer</t>
        </is>
      </c>
      <c r="E397" s="5" t="inlineStr">
        <is>
          <t>OPR-A</t>
        </is>
      </c>
      <c r="F397" s="5" t="inlineStr">
        <is>
          <t>- Tabel target tampil read-only — tidak satu pun selnya dapat diketik.
- Isinya sama di mobile dan di web untuk stasiun yang sama.
- Nilai target tidak menjadi bagian data record — ia hanya acuan yang ditampilkan.</t>
        </is>
      </c>
      <c r="G397" s="10" t="inlineStr">
        <is>
          <t>Rendah</t>
        </is>
      </c>
      <c r="H397" s="18" t="n"/>
      <c r="I397" s="18" t="n"/>
      <c r="J397" s="18" t="n"/>
      <c r="K397" s="18" t="n"/>
      <c r="L397" s="18" t="n"/>
    </row>
    <row r="398" ht="83.19999999999999" customHeight="1">
      <c r="A398" s="14" t="n">
        <v>394</v>
      </c>
      <c r="B398" s="16" t="inlineStr">
        <is>
          <t>MB-FORM-14</t>
        </is>
      </c>
      <c r="C398" s="15" t="inlineStr">
        <is>
          <t>Tabel Target Operasional hanya referensi, tidak tersimpan</t>
        </is>
      </c>
      <c r="D398" s="17" t="inlineStr">
        <is>
          <t>Threshing</t>
        </is>
      </c>
      <c r="E398" s="15" t="inlineStr">
        <is>
          <t>OPR-A</t>
        </is>
      </c>
      <c r="F398" s="15" t="inlineStr">
        <is>
          <t>- Tabel target tampil read-only — tidak satu pun selnya dapat diketik.
- Isinya sama di mobile dan di web untuk stasiun yang sama.
- Nilai target tidak menjadi bagian data record — ia hanya acuan yang ditampilkan.</t>
        </is>
      </c>
      <c r="G398" s="14" t="inlineStr">
        <is>
          <t>Rendah</t>
        </is>
      </c>
      <c r="H398" s="18" t="n"/>
      <c r="I398" s="18" t="n"/>
      <c r="J398" s="18" t="n"/>
      <c r="K398" s="18" t="n"/>
      <c r="L398" s="18" t="n"/>
    </row>
    <row r="399" ht="83.19999999999999" customHeight="1">
      <c r="A399" s="10" t="n">
        <v>395</v>
      </c>
      <c r="B399" s="11" t="inlineStr">
        <is>
          <t>MB-FORM-14</t>
        </is>
      </c>
      <c r="C399" s="5" t="inlineStr">
        <is>
          <t>Tabel Target Operasional hanya referensi, tidak tersimpan</t>
        </is>
      </c>
      <c r="D399" s="12" t="inlineStr">
        <is>
          <t>Pressing</t>
        </is>
      </c>
      <c r="E399" s="5" t="inlineStr">
        <is>
          <t>OPR-A</t>
        </is>
      </c>
      <c r="F399" s="5" t="inlineStr">
        <is>
          <t>- Tabel target tampil read-only — tidak satu pun selnya dapat diketik.
- Isinya sama di mobile dan di web untuk stasiun yang sama.
- Nilai target tidak menjadi bagian data record — ia hanya acuan yang ditampilkan.</t>
        </is>
      </c>
      <c r="G399" s="10" t="inlineStr">
        <is>
          <t>Rendah</t>
        </is>
      </c>
      <c r="H399" s="18" t="n"/>
      <c r="I399" s="18" t="n"/>
      <c r="J399" s="18" t="n"/>
      <c r="K399" s="18" t="n"/>
      <c r="L399" s="18" t="n"/>
    </row>
    <row r="400" ht="83.19999999999999" customHeight="1">
      <c r="A400" s="14" t="n">
        <v>396</v>
      </c>
      <c r="B400" s="16" t="inlineStr">
        <is>
          <t>MB-FORM-14</t>
        </is>
      </c>
      <c r="C400" s="15" t="inlineStr">
        <is>
          <t>Tabel Target Operasional hanya referensi, tidak tersimpan</t>
        </is>
      </c>
      <c r="D400" s="17" t="inlineStr">
        <is>
          <t>Clarification</t>
        </is>
      </c>
      <c r="E400" s="15" t="inlineStr">
        <is>
          <t>OPR-A</t>
        </is>
      </c>
      <c r="F400" s="15" t="inlineStr">
        <is>
          <t>- Tabel target tampil read-only — tidak satu pun selnya dapat diketik.
- Isinya sama di mobile dan di web untuk stasiun yang sama.
- Nilai target tidak menjadi bagian data record — ia hanya acuan yang ditampilkan.</t>
        </is>
      </c>
      <c r="G400" s="14" t="inlineStr">
        <is>
          <t>Rendah</t>
        </is>
      </c>
      <c r="H400" s="18" t="n"/>
      <c r="I400" s="18" t="n"/>
      <c r="J400" s="18" t="n"/>
      <c r="K400" s="18" t="n"/>
      <c r="L400" s="18" t="n"/>
    </row>
    <row r="401" ht="83.19999999999999" customHeight="1">
      <c r="A401" s="10" t="n">
        <v>397</v>
      </c>
      <c r="B401" s="11" t="inlineStr">
        <is>
          <t>MB-FORM-14</t>
        </is>
      </c>
      <c r="C401" s="5" t="inlineStr">
        <is>
          <t>Tabel Target Operasional hanya referensi, tidak tersimpan</t>
        </is>
      </c>
      <c r="D401" s="12" t="inlineStr">
        <is>
          <t>Kernel Plant</t>
        </is>
      </c>
      <c r="E401" s="5" t="inlineStr">
        <is>
          <t>OPR-A</t>
        </is>
      </c>
      <c r="F401" s="5" t="inlineStr">
        <is>
          <t>- Tabel target tampil read-only — tidak satu pun selnya dapat diketik.
- Isinya sama di mobile dan di web untuk stasiun yang sama.
- Nilai target tidak menjadi bagian data record — ia hanya acuan yang ditampilkan.</t>
        </is>
      </c>
      <c r="G401" s="10" t="inlineStr">
        <is>
          <t>Rendah</t>
        </is>
      </c>
      <c r="H401" s="18" t="n"/>
      <c r="I401" s="18" t="n"/>
      <c r="J401" s="18" t="n"/>
      <c r="K401" s="18" t="n"/>
      <c r="L401" s="18" t="n"/>
    </row>
    <row r="402" ht="83.19999999999999" customHeight="1">
      <c r="A402" s="14" t="n">
        <v>398</v>
      </c>
      <c r="B402" s="16" t="inlineStr">
        <is>
          <t>MB-FORM-14</t>
        </is>
      </c>
      <c r="C402" s="15" t="inlineStr">
        <is>
          <t>Tabel Target Operasional hanya referensi, tidak tersimpan</t>
        </is>
      </c>
      <c r="D402" s="17" t="inlineStr">
        <is>
          <t>Boiler Room</t>
        </is>
      </c>
      <c r="E402" s="15" t="inlineStr">
        <is>
          <t>OPR-A</t>
        </is>
      </c>
      <c r="F402" s="15" t="inlineStr">
        <is>
          <t>- Tabel target tampil read-only — tidak satu pun selnya dapat diketik.
- Isinya sama di mobile dan di web untuk stasiun yang sama.
- Nilai target tidak menjadi bagian data record — ia hanya acuan yang ditampilkan.</t>
        </is>
      </c>
      <c r="G402" s="14" t="inlineStr">
        <is>
          <t>Rendah</t>
        </is>
      </c>
      <c r="H402" s="18" t="n"/>
      <c r="I402" s="18" t="n"/>
      <c r="J402" s="18" t="n"/>
      <c r="K402" s="18" t="n"/>
      <c r="L402" s="18" t="n"/>
    </row>
    <row r="403" ht="83.19999999999999" customHeight="1">
      <c r="A403" s="10" t="n">
        <v>399</v>
      </c>
      <c r="B403" s="11" t="inlineStr">
        <is>
          <t>MB-FORM-14</t>
        </is>
      </c>
      <c r="C403" s="5" t="inlineStr">
        <is>
          <t>Tabel Target Operasional hanya referensi, tidak tersimpan</t>
        </is>
      </c>
      <c r="D403" s="12" t="inlineStr">
        <is>
          <t>Effluent Plant</t>
        </is>
      </c>
      <c r="E403" s="5" t="inlineStr">
        <is>
          <t>OPR-A</t>
        </is>
      </c>
      <c r="F403" s="5" t="inlineStr">
        <is>
          <t>- Tabel target tampil read-only — tidak satu pun selnya dapat diketik.
- Isinya sama di mobile dan di web untuk stasiun yang sama.
- Nilai target tidak menjadi bagian data record — ia hanya acuan yang ditampilkan.</t>
        </is>
      </c>
      <c r="G403" s="10" t="inlineStr">
        <is>
          <t>Rendah</t>
        </is>
      </c>
      <c r="H403" s="18" t="n"/>
      <c r="I403" s="18" t="n"/>
      <c r="J403" s="18" t="n"/>
      <c r="K403" s="18" t="n"/>
      <c r="L403" s="18" t="n"/>
    </row>
    <row r="404" ht="83.19999999999999" customHeight="1">
      <c r="A404" s="14" t="n">
        <v>400</v>
      </c>
      <c r="B404" s="16" t="inlineStr">
        <is>
          <t>MB-FORM-14</t>
        </is>
      </c>
      <c r="C404" s="15" t="inlineStr">
        <is>
          <t>Tabel Target Operasional hanya referensi, tidak tersimpan</t>
        </is>
      </c>
      <c r="D404" s="17" t="inlineStr">
        <is>
          <t>Depricarping</t>
        </is>
      </c>
      <c r="E404" s="15" t="inlineStr">
        <is>
          <t>OPR-A</t>
        </is>
      </c>
      <c r="F404" s="15" t="inlineStr">
        <is>
          <t>- Tabel target tampil read-only — tidak satu pun selnya dapat diketik.
- Isinya sama di mobile dan di web untuk stasiun yang sama.
- Nilai target tidak menjadi bagian data record — ia hanya acuan yang ditampilkan.</t>
        </is>
      </c>
      <c r="G404" s="14" t="inlineStr">
        <is>
          <t>Rendah</t>
        </is>
      </c>
      <c r="H404" s="18" t="n"/>
      <c r="I404" s="18" t="n"/>
      <c r="J404" s="18" t="n"/>
      <c r="K404" s="18" t="n"/>
      <c r="L404" s="18" t="n"/>
    </row>
    <row r="405" ht="83.19999999999999" customHeight="1">
      <c r="A405" s="10" t="n">
        <v>401</v>
      </c>
      <c r="B405" s="11" t="inlineStr">
        <is>
          <t>MB-FORM-14</t>
        </is>
      </c>
      <c r="C405" s="5" t="inlineStr">
        <is>
          <t>Tabel Target Operasional hanya referensi, tidak tersimpan</t>
        </is>
      </c>
      <c r="D405" s="12" t="inlineStr">
        <is>
          <t>Engine Room</t>
        </is>
      </c>
      <c r="E405" s="5" t="inlineStr">
        <is>
          <t>OPR-A</t>
        </is>
      </c>
      <c r="F405" s="5" t="inlineStr">
        <is>
          <t>- Tabel target tampil read-only — tidak satu pun selnya dapat diketik.
- Isinya sama di mobile dan di web untuk stasiun yang sama.
- Nilai target tidak menjadi bagian data record — ia hanya acuan yang ditampilkan.</t>
        </is>
      </c>
      <c r="G405" s="10" t="inlineStr">
        <is>
          <t>Rendah</t>
        </is>
      </c>
      <c r="H405" s="18" t="n"/>
      <c r="I405" s="18" t="n"/>
      <c r="J405" s="18" t="n"/>
      <c r="K405" s="18" t="n"/>
      <c r="L405" s="18" t="n"/>
    </row>
    <row r="406" ht="83.19999999999999" customHeight="1">
      <c r="A406" s="14" t="n">
        <v>402</v>
      </c>
      <c r="B406" s="16" t="inlineStr">
        <is>
          <t>MB-FORM-14</t>
        </is>
      </c>
      <c r="C406" s="15" t="inlineStr">
        <is>
          <t>Tabel Target Operasional hanya referensi, tidak tersimpan</t>
        </is>
      </c>
      <c r="D406" s="17" t="inlineStr">
        <is>
          <t>Process Water</t>
        </is>
      </c>
      <c r="E406" s="15" t="inlineStr">
        <is>
          <t>OPR-A</t>
        </is>
      </c>
      <c r="F406" s="15" t="inlineStr">
        <is>
          <t>- Tabel target tampil read-only — tidak satu pun selnya dapat diketik.
- Isinya sama di mobile dan di web untuk stasiun yang sama.
- Nilai target tidak menjadi bagian data record — ia hanya acuan yang ditampilkan.</t>
        </is>
      </c>
      <c r="G406" s="14" t="inlineStr">
        <is>
          <t>Rendah</t>
        </is>
      </c>
      <c r="H406" s="18" t="n"/>
      <c r="I406" s="18" t="n"/>
      <c r="J406" s="18" t="n"/>
      <c r="K406" s="18" t="n"/>
      <c r="L406" s="18" t="n"/>
    </row>
    <row r="407" ht="83.19999999999999" customHeight="1">
      <c r="A407" s="10" t="n">
        <v>403</v>
      </c>
      <c r="B407" s="11" t="inlineStr">
        <is>
          <t>MB-FORM-14</t>
        </is>
      </c>
      <c r="C407" s="5" t="inlineStr">
        <is>
          <t>Tabel Target Operasional hanya referensi, tidak tersimpan</t>
        </is>
      </c>
      <c r="D407" s="12" t="inlineStr">
        <is>
          <t>Storage Tank</t>
        </is>
      </c>
      <c r="E407" s="5" t="inlineStr">
        <is>
          <t>OPR-A</t>
        </is>
      </c>
      <c r="F407" s="5" t="inlineStr">
        <is>
          <t>- Tabel target tampil read-only — tidak satu pun selnya dapat diketik.
- Isinya sama di mobile dan di web untuk stasiun yang sama.
- Nilai target tidak menjadi bagian data record — ia hanya acuan yang ditampilkan.</t>
        </is>
      </c>
      <c r="G407" s="10" t="inlineStr">
        <is>
          <t>Rendah</t>
        </is>
      </c>
      <c r="H407" s="18" t="n"/>
      <c r="I407" s="18" t="n"/>
      <c r="J407" s="18" t="n"/>
      <c r="K407" s="18" t="n"/>
      <c r="L407" s="18" t="n"/>
    </row>
    <row r="408" ht="83.19999999999999" customHeight="1">
      <c r="A408" s="14" t="n">
        <v>404</v>
      </c>
      <c r="B408" s="16" t="inlineStr">
        <is>
          <t>MB-FORM-14</t>
        </is>
      </c>
      <c r="C408" s="15" t="inlineStr">
        <is>
          <t>Tabel Target Operasional hanya referensi, tidak tersimpan</t>
        </is>
      </c>
      <c r="D408" s="17" t="inlineStr">
        <is>
          <t>Solid Waste Disposal</t>
        </is>
      </c>
      <c r="E408" s="15" t="inlineStr">
        <is>
          <t>OPR-A</t>
        </is>
      </c>
      <c r="F408" s="15" t="inlineStr">
        <is>
          <t>- Tabel target tampil read-only — tidak satu pun selnya dapat diketik.
- Isinya sama di mobile dan di web untuk stasiun yang sama.
- Nilai target tidak menjadi bagian data record — ia hanya acuan yang ditampilkan.</t>
        </is>
      </c>
      <c r="G408" s="14" t="inlineStr">
        <is>
          <t>Rendah</t>
        </is>
      </c>
      <c r="H408" s="18" t="n"/>
      <c r="I408" s="18" t="n"/>
      <c r="J408" s="18" t="n"/>
      <c r="K408" s="18" t="n"/>
      <c r="L408" s="18" t="n"/>
    </row>
    <row r="409" ht="83.19999999999999" customHeight="1">
      <c r="A409" s="10" t="n">
        <v>405</v>
      </c>
      <c r="B409" s="11" t="inlineStr">
        <is>
          <t>MB-FORM-14</t>
        </is>
      </c>
      <c r="C409" s="5" t="inlineStr">
        <is>
          <t>Tabel Target Operasional hanya referensi, tidak tersimpan</t>
        </is>
      </c>
      <c r="D409" s="12" t="inlineStr">
        <is>
          <t>Kernel Dispatch</t>
        </is>
      </c>
      <c r="E409" s="5" t="inlineStr">
        <is>
          <t>OPR-A</t>
        </is>
      </c>
      <c r="F409" s="5" t="inlineStr">
        <is>
          <t>- Tabel target tampil read-only — tidak satu pun selnya dapat diketik.
- Isinya sama di mobile dan di web untuk stasiun yang sama.
- Nilai target tidak menjadi bagian data record — ia hanya acuan yang ditampilkan.</t>
        </is>
      </c>
      <c r="G409" s="10" t="inlineStr">
        <is>
          <t>Rendah</t>
        </is>
      </c>
      <c r="H409" s="18" t="n"/>
      <c r="I409" s="18" t="n"/>
      <c r="J409" s="18" t="n"/>
      <c r="K409" s="18" t="n"/>
      <c r="L409" s="18" t="n"/>
    </row>
    <row r="410" ht="83.19999999999999" customHeight="1">
      <c r="A410" s="14" t="n">
        <v>406</v>
      </c>
      <c r="B410" s="16" t="inlineStr">
        <is>
          <t>MB-FORM-14</t>
        </is>
      </c>
      <c r="C410" s="15" t="inlineStr">
        <is>
          <t>Tabel Target Operasional hanya referensi, tidak tersimpan</t>
        </is>
      </c>
      <c r="D410" s="17" t="inlineStr">
        <is>
          <t>CPO Dispatch</t>
        </is>
      </c>
      <c r="E410" s="15" t="inlineStr">
        <is>
          <t>OPR-A</t>
        </is>
      </c>
      <c r="F410" s="15" t="inlineStr">
        <is>
          <t>- Tabel target tampil read-only — tidak satu pun selnya dapat diketik.
- Isinya sama di mobile dan di web untuk stasiun yang sama.
- Nilai target tidak menjadi bagian data record — ia hanya acuan yang ditampilkan.</t>
        </is>
      </c>
      <c r="G410" s="14" t="inlineStr">
        <is>
          <t>Rendah</t>
        </is>
      </c>
      <c r="H410" s="18" t="n"/>
      <c r="I410" s="18" t="n"/>
      <c r="J410" s="18" t="n"/>
      <c r="K410" s="18" t="n"/>
      <c r="L410" s="18" t="n"/>
    </row>
    <row r="411" ht="83.19999999999999" customHeight="1">
      <c r="A411" s="10" t="n">
        <v>407</v>
      </c>
      <c r="B411" s="11" t="inlineStr">
        <is>
          <t>MB-FORM-14</t>
        </is>
      </c>
      <c r="C411" s="5" t="inlineStr">
        <is>
          <t>Tabel Target Operasional hanya referensi, tidak tersimpan</t>
        </is>
      </c>
      <c r="D411" s="12" t="inlineStr">
        <is>
          <t>Process Quality Control</t>
        </is>
      </c>
      <c r="E411" s="5" t="inlineStr">
        <is>
          <t>OPR-A</t>
        </is>
      </c>
      <c r="F411" s="5" t="inlineStr">
        <is>
          <t>- Tabel target tampil read-only — tidak satu pun selnya dapat diketik.
- Isinya sama di mobile dan di web untuk stasiun yang sama.
- Nilai target tidak menjadi bagian data record — ia hanya acuan yang ditampilkan.</t>
        </is>
      </c>
      <c r="G411" s="10" t="inlineStr">
        <is>
          <t>Rendah</t>
        </is>
      </c>
      <c r="H411" s="18" t="n"/>
      <c r="I411" s="18" t="n"/>
      <c r="J411" s="18" t="n"/>
      <c r="K411" s="18" t="n"/>
      <c r="L411" s="18" t="n"/>
    </row>
    <row r="412" ht="70" customHeight="1">
      <c r="A412" s="14" t="n">
        <v>408</v>
      </c>
      <c r="B412" s="16" t="inlineStr">
        <is>
          <t>MB-FORM-15</t>
        </is>
      </c>
      <c r="C412" s="15" t="inlineStr">
        <is>
          <t>Simpan ditolak bila Production Line tidak punya stasiun aktif</t>
        </is>
      </c>
      <c r="D412" s="17" t="inlineStr">
        <is>
          <t>Weighbridge</t>
        </is>
      </c>
      <c r="E412" s="15" t="inlineStr">
        <is>
          <t>OPR-A</t>
        </is>
      </c>
      <c r="F412" s="15" t="inlineStr">
        <is>
          <t>- Ditolak — record tidak tersimpan.
- Pesannya menyebut bahwa Production Line itu tidak punya stasiun jenis ini yang aktif.
- BUKAN pesan galat teknis, BUKAN layar yang diam tanpa tanggapan.</t>
        </is>
      </c>
      <c r="G412" s="13" t="inlineStr">
        <is>
          <t>Tinggi</t>
        </is>
      </c>
      <c r="H412" s="18" t="n"/>
      <c r="I412" s="18" t="n"/>
      <c r="J412" s="18" t="n"/>
      <c r="K412" s="18" t="n"/>
      <c r="L412" s="18" t="n"/>
    </row>
    <row r="413" ht="70" customHeight="1">
      <c r="A413" s="10" t="n">
        <v>409</v>
      </c>
      <c r="B413" s="11" t="inlineStr">
        <is>
          <t>MB-FORM-15</t>
        </is>
      </c>
      <c r="C413" s="5" t="inlineStr">
        <is>
          <t>Simpan ditolak bila Production Line tidak punya stasiun aktif</t>
        </is>
      </c>
      <c r="D413" s="12" t="inlineStr">
        <is>
          <t>Grading</t>
        </is>
      </c>
      <c r="E413" s="5" t="inlineStr">
        <is>
          <t>OPR-A</t>
        </is>
      </c>
      <c r="F413" s="5" t="inlineStr">
        <is>
          <t>- Ditolak — record tidak tersimpan.
- Pesannya menyebut bahwa Production Line itu tidak punya stasiun jenis ini yang aktif.
- BUKAN pesan galat teknis, BUKAN layar yang diam tanpa tanggapan.</t>
        </is>
      </c>
      <c r="G413" s="13" t="inlineStr">
        <is>
          <t>Tinggi</t>
        </is>
      </c>
      <c r="H413" s="18" t="n"/>
      <c r="I413" s="18" t="n"/>
      <c r="J413" s="18" t="n"/>
      <c r="K413" s="18" t="n"/>
      <c r="L413" s="18" t="n"/>
    </row>
    <row r="414" ht="70" customHeight="1">
      <c r="A414" s="14" t="n">
        <v>410</v>
      </c>
      <c r="B414" s="16" t="inlineStr">
        <is>
          <t>MB-FORM-15</t>
        </is>
      </c>
      <c r="C414" s="15" t="inlineStr">
        <is>
          <t>Simpan ditolak bila Production Line tidak punya stasiun aktif</t>
        </is>
      </c>
      <c r="D414" s="17" t="inlineStr">
        <is>
          <t>Cages Track</t>
        </is>
      </c>
      <c r="E414" s="15" t="inlineStr">
        <is>
          <t>OPR-A</t>
        </is>
      </c>
      <c r="F414" s="15" t="inlineStr">
        <is>
          <t>- Ditolak — record tidak tersimpan.
- Pesannya menyebut bahwa Production Line itu tidak punya stasiun jenis ini yang aktif.
- BUKAN pesan galat teknis, BUKAN layar yang diam tanpa tanggapan.</t>
        </is>
      </c>
      <c r="G414" s="13" t="inlineStr">
        <is>
          <t>Tinggi</t>
        </is>
      </c>
      <c r="H414" s="18" t="n"/>
      <c r="I414" s="18" t="n"/>
      <c r="J414" s="18" t="n"/>
      <c r="K414" s="18" t="n"/>
      <c r="L414" s="18" t="n"/>
    </row>
    <row r="415" ht="70" customHeight="1">
      <c r="A415" s="10" t="n">
        <v>411</v>
      </c>
      <c r="B415" s="11" t="inlineStr">
        <is>
          <t>MB-FORM-15</t>
        </is>
      </c>
      <c r="C415" s="5" t="inlineStr">
        <is>
          <t>Simpan ditolak bila Production Line tidak punya stasiun aktif</t>
        </is>
      </c>
      <c r="D415" s="12" t="inlineStr">
        <is>
          <t>Sterilizer</t>
        </is>
      </c>
      <c r="E415" s="5" t="inlineStr">
        <is>
          <t>OPR-A</t>
        </is>
      </c>
      <c r="F415" s="5" t="inlineStr">
        <is>
          <t>- Ditolak — record tidak tersimpan.
- Pesannya menyebut bahwa Production Line itu tidak punya stasiun jenis ini yang aktif.
- BUKAN pesan galat teknis, BUKAN layar yang diam tanpa tanggapan.</t>
        </is>
      </c>
      <c r="G415" s="13" t="inlineStr">
        <is>
          <t>Tinggi</t>
        </is>
      </c>
      <c r="H415" s="18" t="n"/>
      <c r="I415" s="18" t="n"/>
      <c r="J415" s="18" t="n"/>
      <c r="K415" s="18" t="n"/>
      <c r="L415" s="18" t="n"/>
    </row>
    <row r="416" ht="70" customHeight="1">
      <c r="A416" s="14" t="n">
        <v>412</v>
      </c>
      <c r="B416" s="16" t="inlineStr">
        <is>
          <t>MB-FORM-15</t>
        </is>
      </c>
      <c r="C416" s="15" t="inlineStr">
        <is>
          <t>Simpan ditolak bila Production Line tidak punya stasiun aktif</t>
        </is>
      </c>
      <c r="D416" s="17" t="inlineStr">
        <is>
          <t>Threshing</t>
        </is>
      </c>
      <c r="E416" s="15" t="inlineStr">
        <is>
          <t>OPR-A</t>
        </is>
      </c>
      <c r="F416" s="15" t="inlineStr">
        <is>
          <t>- Ditolak — record tidak tersimpan.
- Pesannya menyebut bahwa Production Line itu tidak punya stasiun jenis ini yang aktif.
- BUKAN pesan galat teknis, BUKAN layar yang diam tanpa tanggapan.</t>
        </is>
      </c>
      <c r="G416" s="13" t="inlineStr">
        <is>
          <t>Tinggi</t>
        </is>
      </c>
      <c r="H416" s="18" t="n"/>
      <c r="I416" s="18" t="n"/>
      <c r="J416" s="18" t="n"/>
      <c r="K416" s="18" t="n"/>
      <c r="L416" s="18" t="n"/>
    </row>
    <row r="417" ht="70" customHeight="1">
      <c r="A417" s="10" t="n">
        <v>413</v>
      </c>
      <c r="B417" s="11" t="inlineStr">
        <is>
          <t>MB-FORM-15</t>
        </is>
      </c>
      <c r="C417" s="5" t="inlineStr">
        <is>
          <t>Simpan ditolak bila Production Line tidak punya stasiun aktif</t>
        </is>
      </c>
      <c r="D417" s="12" t="inlineStr">
        <is>
          <t>Pressing</t>
        </is>
      </c>
      <c r="E417" s="5" t="inlineStr">
        <is>
          <t>OPR-A</t>
        </is>
      </c>
      <c r="F417" s="5" t="inlineStr">
        <is>
          <t>- Ditolak — record tidak tersimpan.
- Pesannya menyebut bahwa Production Line itu tidak punya stasiun jenis ini yang aktif.
- BUKAN pesan galat teknis, BUKAN layar yang diam tanpa tanggapan.</t>
        </is>
      </c>
      <c r="G417" s="13" t="inlineStr">
        <is>
          <t>Tinggi</t>
        </is>
      </c>
      <c r="H417" s="18" t="n"/>
      <c r="I417" s="18" t="n"/>
      <c r="J417" s="18" t="n"/>
      <c r="K417" s="18" t="n"/>
      <c r="L417" s="18" t="n"/>
    </row>
    <row r="418" ht="70" customHeight="1">
      <c r="A418" s="14" t="n">
        <v>414</v>
      </c>
      <c r="B418" s="16" t="inlineStr">
        <is>
          <t>MB-FORM-15</t>
        </is>
      </c>
      <c r="C418" s="15" t="inlineStr">
        <is>
          <t>Simpan ditolak bila Production Line tidak punya stasiun aktif</t>
        </is>
      </c>
      <c r="D418" s="17" t="inlineStr">
        <is>
          <t>Clarification</t>
        </is>
      </c>
      <c r="E418" s="15" t="inlineStr">
        <is>
          <t>OPR-A</t>
        </is>
      </c>
      <c r="F418" s="15" t="inlineStr">
        <is>
          <t>- Ditolak — record tidak tersimpan.
- Pesannya menyebut bahwa Production Line itu tidak punya stasiun jenis ini yang aktif.
- BUKAN pesan galat teknis, BUKAN layar yang diam tanpa tanggapan.</t>
        </is>
      </c>
      <c r="G418" s="13" t="inlineStr">
        <is>
          <t>Tinggi</t>
        </is>
      </c>
      <c r="H418" s="18" t="n"/>
      <c r="I418" s="18" t="n"/>
      <c r="J418" s="18" t="n"/>
      <c r="K418" s="18" t="n"/>
      <c r="L418" s="18" t="n"/>
    </row>
    <row r="419" ht="70" customHeight="1">
      <c r="A419" s="10" t="n">
        <v>415</v>
      </c>
      <c r="B419" s="11" t="inlineStr">
        <is>
          <t>MB-FORM-15</t>
        </is>
      </c>
      <c r="C419" s="5" t="inlineStr">
        <is>
          <t>Simpan ditolak bila Production Line tidak punya stasiun aktif</t>
        </is>
      </c>
      <c r="D419" s="12" t="inlineStr">
        <is>
          <t>Kernel Plant</t>
        </is>
      </c>
      <c r="E419" s="5" t="inlineStr">
        <is>
          <t>OPR-A</t>
        </is>
      </c>
      <c r="F419" s="5" t="inlineStr">
        <is>
          <t>- Ditolak — record tidak tersimpan.
- Pesannya menyebut bahwa Production Line itu tidak punya stasiun jenis ini yang aktif.
- BUKAN pesan galat teknis, BUKAN layar yang diam tanpa tanggapan.</t>
        </is>
      </c>
      <c r="G419" s="13" t="inlineStr">
        <is>
          <t>Tinggi</t>
        </is>
      </c>
      <c r="H419" s="18" t="n"/>
      <c r="I419" s="18" t="n"/>
      <c r="J419" s="18" t="n"/>
      <c r="K419" s="18" t="n"/>
      <c r="L419" s="18" t="n"/>
    </row>
    <row r="420" ht="70" customHeight="1">
      <c r="A420" s="14" t="n">
        <v>416</v>
      </c>
      <c r="B420" s="16" t="inlineStr">
        <is>
          <t>MB-FORM-15</t>
        </is>
      </c>
      <c r="C420" s="15" t="inlineStr">
        <is>
          <t>Simpan ditolak bila Production Line tidak punya stasiun aktif</t>
        </is>
      </c>
      <c r="D420" s="17" t="inlineStr">
        <is>
          <t>Boiler Room</t>
        </is>
      </c>
      <c r="E420" s="15" t="inlineStr">
        <is>
          <t>OPR-A</t>
        </is>
      </c>
      <c r="F420" s="15" t="inlineStr">
        <is>
          <t>- Ditolak — record tidak tersimpan.
- Pesannya menyebut bahwa Production Line itu tidak punya stasiun jenis ini yang aktif.
- BUKAN pesan galat teknis, BUKAN layar yang diam tanpa tanggapan.</t>
        </is>
      </c>
      <c r="G420" s="13" t="inlineStr">
        <is>
          <t>Tinggi</t>
        </is>
      </c>
      <c r="H420" s="18" t="n"/>
      <c r="I420" s="18" t="n"/>
      <c r="J420" s="18" t="n"/>
      <c r="K420" s="18" t="n"/>
      <c r="L420" s="18" t="n"/>
    </row>
    <row r="421" ht="70" customHeight="1">
      <c r="A421" s="10" t="n">
        <v>417</v>
      </c>
      <c r="B421" s="11" t="inlineStr">
        <is>
          <t>MB-FORM-15</t>
        </is>
      </c>
      <c r="C421" s="5" t="inlineStr">
        <is>
          <t>Simpan ditolak bila Production Line tidak punya stasiun aktif</t>
        </is>
      </c>
      <c r="D421" s="12" t="inlineStr">
        <is>
          <t>Effluent Plant</t>
        </is>
      </c>
      <c r="E421" s="5" t="inlineStr">
        <is>
          <t>OPR-A</t>
        </is>
      </c>
      <c r="F421" s="5" t="inlineStr">
        <is>
          <t>- Ditolak — record tidak tersimpan.
- Pesannya menyebut bahwa Production Line itu tidak punya stasiun jenis ini yang aktif.
- BUKAN pesan galat teknis, BUKAN layar yang diam tanpa tanggapan.</t>
        </is>
      </c>
      <c r="G421" s="13" t="inlineStr">
        <is>
          <t>Tinggi</t>
        </is>
      </c>
      <c r="H421" s="18" t="n"/>
      <c r="I421" s="18" t="n"/>
      <c r="J421" s="18" t="n"/>
      <c r="K421" s="18" t="n"/>
      <c r="L421" s="18" t="n"/>
    </row>
    <row r="422" ht="70" customHeight="1">
      <c r="A422" s="14" t="n">
        <v>418</v>
      </c>
      <c r="B422" s="16" t="inlineStr">
        <is>
          <t>MB-FORM-15</t>
        </is>
      </c>
      <c r="C422" s="15" t="inlineStr">
        <is>
          <t>Simpan ditolak bila Production Line tidak punya stasiun aktif</t>
        </is>
      </c>
      <c r="D422" s="17" t="inlineStr">
        <is>
          <t>Depricarping</t>
        </is>
      </c>
      <c r="E422" s="15" t="inlineStr">
        <is>
          <t>OPR-A</t>
        </is>
      </c>
      <c r="F422" s="15" t="inlineStr">
        <is>
          <t>- Ditolak — record tidak tersimpan.
- Pesannya menyebut bahwa Production Line itu tidak punya stasiun jenis ini yang aktif.
- BUKAN pesan galat teknis, BUKAN layar yang diam tanpa tanggapan.</t>
        </is>
      </c>
      <c r="G422" s="13" t="inlineStr">
        <is>
          <t>Tinggi</t>
        </is>
      </c>
      <c r="H422" s="18" t="n"/>
      <c r="I422" s="18" t="n"/>
      <c r="J422" s="18" t="n"/>
      <c r="K422" s="18" t="n"/>
      <c r="L422" s="18" t="n"/>
    </row>
    <row r="423" ht="70" customHeight="1">
      <c r="A423" s="10" t="n">
        <v>419</v>
      </c>
      <c r="B423" s="11" t="inlineStr">
        <is>
          <t>MB-FORM-15</t>
        </is>
      </c>
      <c r="C423" s="5" t="inlineStr">
        <is>
          <t>Simpan ditolak bila Production Line tidak punya stasiun aktif</t>
        </is>
      </c>
      <c r="D423" s="12" t="inlineStr">
        <is>
          <t>Engine Room</t>
        </is>
      </c>
      <c r="E423" s="5" t="inlineStr">
        <is>
          <t>OPR-A</t>
        </is>
      </c>
      <c r="F423" s="5" t="inlineStr">
        <is>
          <t>- Ditolak — record tidak tersimpan.
- Pesannya menyebut bahwa Production Line itu tidak punya stasiun jenis ini yang aktif.
- BUKAN pesan galat teknis, BUKAN layar yang diam tanpa tanggapan.</t>
        </is>
      </c>
      <c r="G423" s="13" t="inlineStr">
        <is>
          <t>Tinggi</t>
        </is>
      </c>
      <c r="H423" s="18" t="n"/>
      <c r="I423" s="18" t="n"/>
      <c r="J423" s="18" t="n"/>
      <c r="K423" s="18" t="n"/>
      <c r="L423" s="18" t="n"/>
    </row>
    <row r="424" ht="70" customHeight="1">
      <c r="A424" s="14" t="n">
        <v>420</v>
      </c>
      <c r="B424" s="16" t="inlineStr">
        <is>
          <t>MB-FORM-15</t>
        </is>
      </c>
      <c r="C424" s="15" t="inlineStr">
        <is>
          <t>Simpan ditolak bila Production Line tidak punya stasiun aktif</t>
        </is>
      </c>
      <c r="D424" s="17" t="inlineStr">
        <is>
          <t>Process Water</t>
        </is>
      </c>
      <c r="E424" s="15" t="inlineStr">
        <is>
          <t>OPR-A</t>
        </is>
      </c>
      <c r="F424" s="15" t="inlineStr">
        <is>
          <t>- Ditolak — record tidak tersimpan.
- Pesannya menyebut bahwa Production Line itu tidak punya stasiun jenis ini yang aktif.
- BUKAN pesan galat teknis, BUKAN layar yang diam tanpa tanggapan.</t>
        </is>
      </c>
      <c r="G424" s="13" t="inlineStr">
        <is>
          <t>Tinggi</t>
        </is>
      </c>
      <c r="H424" s="18" t="n"/>
      <c r="I424" s="18" t="n"/>
      <c r="J424" s="18" t="n"/>
      <c r="K424" s="18" t="n"/>
      <c r="L424" s="18" t="n"/>
    </row>
    <row r="425" ht="70" customHeight="1">
      <c r="A425" s="10" t="n">
        <v>421</v>
      </c>
      <c r="B425" s="11" t="inlineStr">
        <is>
          <t>MB-FORM-15</t>
        </is>
      </c>
      <c r="C425" s="5" t="inlineStr">
        <is>
          <t>Simpan ditolak bila Production Line tidak punya stasiun aktif</t>
        </is>
      </c>
      <c r="D425" s="12" t="inlineStr">
        <is>
          <t>Storage Tank</t>
        </is>
      </c>
      <c r="E425" s="5" t="inlineStr">
        <is>
          <t>OPR-A</t>
        </is>
      </c>
      <c r="F425" s="5" t="inlineStr">
        <is>
          <t>- Ditolak — record tidak tersimpan.
- Pesannya menyebut bahwa Production Line itu tidak punya stasiun jenis ini yang aktif.
- BUKAN pesan galat teknis, BUKAN layar yang diam tanpa tanggapan.</t>
        </is>
      </c>
      <c r="G425" s="13" t="inlineStr">
        <is>
          <t>Tinggi</t>
        </is>
      </c>
      <c r="H425" s="18" t="n"/>
      <c r="I425" s="18" t="n"/>
      <c r="J425" s="18" t="n"/>
      <c r="K425" s="18" t="n"/>
      <c r="L425" s="18" t="n"/>
    </row>
    <row r="426" ht="70" customHeight="1">
      <c r="A426" s="14" t="n">
        <v>422</v>
      </c>
      <c r="B426" s="16" t="inlineStr">
        <is>
          <t>MB-FORM-15</t>
        </is>
      </c>
      <c r="C426" s="15" t="inlineStr">
        <is>
          <t>Simpan ditolak bila Production Line tidak punya stasiun aktif</t>
        </is>
      </c>
      <c r="D426" s="17" t="inlineStr">
        <is>
          <t>Solid Waste Disposal</t>
        </is>
      </c>
      <c r="E426" s="15" t="inlineStr">
        <is>
          <t>OPR-A</t>
        </is>
      </c>
      <c r="F426" s="15" t="inlineStr">
        <is>
          <t>- Ditolak — record tidak tersimpan.
- Pesannya menyebut bahwa Production Line itu tidak punya stasiun jenis ini yang aktif.
- BUKAN pesan galat teknis, BUKAN layar yang diam tanpa tanggapan.</t>
        </is>
      </c>
      <c r="G426" s="13" t="inlineStr">
        <is>
          <t>Tinggi</t>
        </is>
      </c>
      <c r="H426" s="18" t="n"/>
      <c r="I426" s="18" t="n"/>
      <c r="J426" s="18" t="n"/>
      <c r="K426" s="18" t="n"/>
      <c r="L426" s="18" t="n"/>
    </row>
    <row r="427" ht="70" customHeight="1">
      <c r="A427" s="10" t="n">
        <v>423</v>
      </c>
      <c r="B427" s="11" t="inlineStr">
        <is>
          <t>MB-FORM-15</t>
        </is>
      </c>
      <c r="C427" s="5" t="inlineStr">
        <is>
          <t>Simpan ditolak bila Production Line tidak punya stasiun aktif</t>
        </is>
      </c>
      <c r="D427" s="12" t="inlineStr">
        <is>
          <t>Kernel Dispatch</t>
        </is>
      </c>
      <c r="E427" s="5" t="inlineStr">
        <is>
          <t>OPR-A</t>
        </is>
      </c>
      <c r="F427" s="5" t="inlineStr">
        <is>
          <t>- Ditolak — record tidak tersimpan.
- Pesannya menyebut bahwa Production Line itu tidak punya stasiun jenis ini yang aktif.
- BUKAN pesan galat teknis, BUKAN layar yang diam tanpa tanggapan.</t>
        </is>
      </c>
      <c r="G427" s="13" t="inlineStr">
        <is>
          <t>Tinggi</t>
        </is>
      </c>
      <c r="H427" s="18" t="n"/>
      <c r="I427" s="18" t="n"/>
      <c r="J427" s="18" t="n"/>
      <c r="K427" s="18" t="n"/>
      <c r="L427" s="18" t="n"/>
    </row>
    <row r="428" ht="70" customHeight="1">
      <c r="A428" s="14" t="n">
        <v>424</v>
      </c>
      <c r="B428" s="16" t="inlineStr">
        <is>
          <t>MB-FORM-15</t>
        </is>
      </c>
      <c r="C428" s="15" t="inlineStr">
        <is>
          <t>Simpan ditolak bila Production Line tidak punya stasiun aktif</t>
        </is>
      </c>
      <c r="D428" s="17" t="inlineStr">
        <is>
          <t>CPO Dispatch</t>
        </is>
      </c>
      <c r="E428" s="15" t="inlineStr">
        <is>
          <t>OPR-A</t>
        </is>
      </c>
      <c r="F428" s="15" t="inlineStr">
        <is>
          <t>- Ditolak — record tidak tersimpan.
- Pesannya menyebut bahwa Production Line itu tidak punya stasiun jenis ini yang aktif.
- BUKAN pesan galat teknis, BUKAN layar yang diam tanpa tanggapan.</t>
        </is>
      </c>
      <c r="G428" s="13" t="inlineStr">
        <is>
          <t>Tinggi</t>
        </is>
      </c>
      <c r="H428" s="18" t="n"/>
      <c r="I428" s="18" t="n"/>
      <c r="J428" s="18" t="n"/>
      <c r="K428" s="18" t="n"/>
      <c r="L428" s="18" t="n"/>
    </row>
    <row r="429" ht="70" customHeight="1">
      <c r="A429" s="10" t="n">
        <v>425</v>
      </c>
      <c r="B429" s="11" t="inlineStr">
        <is>
          <t>MB-FORM-15</t>
        </is>
      </c>
      <c r="C429" s="5" t="inlineStr">
        <is>
          <t>Simpan ditolak bila Production Line tidak punya stasiun aktif</t>
        </is>
      </c>
      <c r="D429" s="12" t="inlineStr">
        <is>
          <t>Process Quality Control</t>
        </is>
      </c>
      <c r="E429" s="5" t="inlineStr">
        <is>
          <t>OPR-A</t>
        </is>
      </c>
      <c r="F429" s="5" t="inlineStr">
        <is>
          <t>- Ditolak — record tidak tersimpan.
- Pesannya menyebut bahwa Production Line itu tidak punya stasiun jenis ini yang aktif.
- BUKAN pesan galat teknis, BUKAN layar yang diam tanpa tanggapan.</t>
        </is>
      </c>
      <c r="G429" s="13" t="inlineStr">
        <is>
          <t>Tinggi</t>
        </is>
      </c>
      <c r="H429" s="18" t="n"/>
      <c r="I429" s="18" t="n"/>
      <c r="J429" s="18" t="n"/>
      <c r="K429" s="18" t="n"/>
      <c r="L429" s="18" t="n"/>
    </row>
    <row r="430" ht="109.6" customHeight="1">
      <c r="A430" s="14" t="n">
        <v>426</v>
      </c>
      <c r="B430" s="16" t="inlineStr">
        <is>
          <t>MB-SYNC-01</t>
        </is>
      </c>
      <c r="C430" s="15" t="inlineStr">
        <is>
          <t>Input berhasil sepenuhnya tanpa koneksi</t>
        </is>
      </c>
      <c r="D430" s="17" t="inlineStr">
        <is>
          <t>Depricarping (24 slot)</t>
        </is>
      </c>
      <c r="E430" s="15" t="inlineStr">
        <is>
          <t>OPR-A</t>
        </is>
      </c>
      <c r="F430" s="1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G430" s="13" t="inlineStr">
        <is>
          <t>Tinggi</t>
        </is>
      </c>
      <c r="H430" s="18" t="n"/>
      <c r="I430" s="18" t="n"/>
      <c r="J430" s="18" t="n"/>
      <c r="K430" s="18" t="n"/>
      <c r="L430" s="18" t="n"/>
    </row>
    <row r="431" ht="109.6" customHeight="1">
      <c r="A431" s="10" t="n">
        <v>427</v>
      </c>
      <c r="B431" s="11" t="inlineStr">
        <is>
          <t>MB-SYNC-01</t>
        </is>
      </c>
      <c r="C431" s="5" t="inlineStr">
        <is>
          <t>Input berhasil sepenuhnya tanpa koneksi</t>
        </is>
      </c>
      <c r="D431" s="12" t="inlineStr">
        <is>
          <t>Weighbridge (per-transaksi)</t>
        </is>
      </c>
      <c r="E431" s="5" t="inlineStr">
        <is>
          <t>OPR-A</t>
        </is>
      </c>
      <c r="F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G431" s="13" t="inlineStr">
        <is>
          <t>Tinggi</t>
        </is>
      </c>
      <c r="H431" s="18" t="n"/>
      <c r="I431" s="18" t="n"/>
      <c r="J431" s="18" t="n"/>
      <c r="K431" s="18" t="n"/>
      <c r="L431" s="18" t="n"/>
    </row>
    <row r="432" ht="109.6" customHeight="1">
      <c r="A432" s="14" t="n">
        <v>428</v>
      </c>
      <c r="B432" s="16" t="inlineStr">
        <is>
          <t>MB-SYNC-01</t>
        </is>
      </c>
      <c r="C432" s="15" t="inlineStr">
        <is>
          <t>Input berhasil sepenuhnya tanpa koneksi</t>
        </is>
      </c>
      <c r="D432" s="17" t="inlineStr">
        <is>
          <t>Effluent Plant (kolom status)</t>
        </is>
      </c>
      <c r="E432" s="15" t="inlineStr">
        <is>
          <t>OPR-A</t>
        </is>
      </c>
      <c r="F432" s="1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G432" s="13" t="inlineStr">
        <is>
          <t>Tinggi</t>
        </is>
      </c>
      <c r="H432" s="18" t="n"/>
      <c r="I432" s="18" t="n"/>
      <c r="J432" s="18" t="n"/>
      <c r="K432" s="18" t="n"/>
      <c r="L432" s="18" t="n"/>
    </row>
    <row r="433" ht="56.8" customHeight="1">
      <c r="A433" s="10" t="n">
        <v>429</v>
      </c>
      <c r="B433" s="11" t="inlineStr">
        <is>
          <t>MB-SYNC-02</t>
        </is>
      </c>
      <c r="C433" s="5" t="inlineStr">
        <is>
          <t>Sync manual mengirim record ke server</t>
        </is>
      </c>
      <c r="D433" s="12" t="inlineStr">
        <is>
          <t>Depricarping (24 slot)</t>
        </is>
      </c>
      <c r="E433" s="5" t="inlineStr">
        <is>
          <t>OPR-A + SPV-A</t>
        </is>
      </c>
      <c r="F433" s="5" t="inlineStr">
        <is>
          <t>- Sync melaporkan jumlah record yang terkirim.
- Status record berubah menjadi Tersinkron.
- Record itu muncul di web dengan isi yang sama — identitas, tanggal, dan nilai barisnya cocok.</t>
        </is>
      </c>
      <c r="G433" s="13" t="inlineStr">
        <is>
          <t>Tinggi</t>
        </is>
      </c>
      <c r="H433" s="18" t="n"/>
      <c r="I433" s="18" t="n"/>
      <c r="J433" s="18" t="n"/>
      <c r="K433" s="18" t="n"/>
      <c r="L433" s="18" t="n"/>
    </row>
    <row r="434" ht="56.8" customHeight="1">
      <c r="A434" s="14" t="n">
        <v>430</v>
      </c>
      <c r="B434" s="16" t="inlineStr">
        <is>
          <t>MB-SYNC-02</t>
        </is>
      </c>
      <c r="C434" s="15" t="inlineStr">
        <is>
          <t>Sync manual mengirim record ke server</t>
        </is>
      </c>
      <c r="D434" s="17" t="inlineStr">
        <is>
          <t>Weighbridge (per-transaksi)</t>
        </is>
      </c>
      <c r="E434" s="15" t="inlineStr">
        <is>
          <t>OPR-A + SPV-A</t>
        </is>
      </c>
      <c r="F434" s="15" t="inlineStr">
        <is>
          <t>- Sync melaporkan jumlah record yang terkirim.
- Status record berubah menjadi Tersinkron.
- Record itu muncul di web dengan isi yang sama — identitas, tanggal, dan nilai barisnya cocok.</t>
        </is>
      </c>
      <c r="G434" s="13" t="inlineStr">
        <is>
          <t>Tinggi</t>
        </is>
      </c>
      <c r="H434" s="18" t="n"/>
      <c r="I434" s="18" t="n"/>
      <c r="J434" s="18" t="n"/>
      <c r="K434" s="18" t="n"/>
      <c r="L434" s="18" t="n"/>
    </row>
    <row r="435" ht="56.8" customHeight="1">
      <c r="A435" s="10" t="n">
        <v>431</v>
      </c>
      <c r="B435" s="11" t="inlineStr">
        <is>
          <t>MB-SYNC-02</t>
        </is>
      </c>
      <c r="C435" s="5" t="inlineStr">
        <is>
          <t>Sync manual mengirim record ke server</t>
        </is>
      </c>
      <c r="D435" s="12" t="inlineStr">
        <is>
          <t>Effluent Plant (kolom status)</t>
        </is>
      </c>
      <c r="E435" s="5" t="inlineStr">
        <is>
          <t>OPR-A + SPV-A</t>
        </is>
      </c>
      <c r="F435" s="5" t="inlineStr">
        <is>
          <t>- Sync melaporkan jumlah record yang terkirim.
- Status record berubah menjadi Tersinkron.
- Record itu muncul di web dengan isi yang sama — identitas, tanggal, dan nilai barisnya cocok.</t>
        </is>
      </c>
      <c r="G435" s="13" t="inlineStr">
        <is>
          <t>Tinggi</t>
        </is>
      </c>
      <c r="H435" s="18" t="n"/>
      <c r="I435" s="18" t="n"/>
      <c r="J435" s="18" t="n"/>
      <c r="K435" s="18" t="n"/>
      <c r="L435" s="18" t="n"/>
    </row>
    <row r="436" ht="83.19999999999999" customHeight="1">
      <c r="A436" s="14" t="n">
        <v>432</v>
      </c>
      <c r="B436" s="16" t="inlineStr">
        <is>
          <t>MB-SYNC-03</t>
        </is>
      </c>
      <c r="C436" s="15" t="inlineStr">
        <is>
          <t>Sync tanpa koneksi gagal dengan pesan yang jelas dan tidak merusak data</t>
        </is>
      </c>
      <c r="D436" s="17" t="inlineStr">
        <is>
          <t>Depricarping (24 slot)</t>
        </is>
      </c>
      <c r="E436" s="15" t="inlineStr">
        <is>
          <t>OPR-A</t>
        </is>
      </c>
      <c r="F436" s="15" t="inlineStr">
        <is>
          <t>- Sync gagal dengan pesan yang menyebut koneksi/jaringan — jelas dan berbahasa Indonesia.
- Record tidak hilang dan tidak berubah — statusnya tetap Tersimpan.
- Record tidak ditandai Tersinkron secara keliru.
- Sesudah koneksi kembali, Sync berhasil mengirimnya.</t>
        </is>
      </c>
      <c r="G436" s="13" t="inlineStr">
        <is>
          <t>Tinggi</t>
        </is>
      </c>
      <c r="H436" s="18" t="n"/>
      <c r="I436" s="18" t="n"/>
      <c r="J436" s="18" t="n"/>
      <c r="K436" s="18" t="n"/>
      <c r="L436" s="18" t="n"/>
    </row>
    <row r="437" ht="83.19999999999999" customHeight="1">
      <c r="A437" s="10" t="n">
        <v>433</v>
      </c>
      <c r="B437" s="11" t="inlineStr">
        <is>
          <t>MB-SYNC-03</t>
        </is>
      </c>
      <c r="C437" s="5" t="inlineStr">
        <is>
          <t>Sync tanpa koneksi gagal dengan pesan yang jelas dan tidak merusak data</t>
        </is>
      </c>
      <c r="D437" s="12" t="inlineStr">
        <is>
          <t>Weighbridge (per-transaksi)</t>
        </is>
      </c>
      <c r="E437" s="5" t="inlineStr">
        <is>
          <t>OPR-A</t>
        </is>
      </c>
      <c r="F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G437" s="13" t="inlineStr">
        <is>
          <t>Tinggi</t>
        </is>
      </c>
      <c r="H437" s="18" t="n"/>
      <c r="I437" s="18" t="n"/>
      <c r="J437" s="18" t="n"/>
      <c r="K437" s="18" t="n"/>
      <c r="L437" s="18" t="n"/>
    </row>
    <row r="438" ht="83.19999999999999" customHeight="1">
      <c r="A438" s="14" t="n">
        <v>434</v>
      </c>
      <c r="B438" s="16" t="inlineStr">
        <is>
          <t>MB-SYNC-03</t>
        </is>
      </c>
      <c r="C438" s="15" t="inlineStr">
        <is>
          <t>Sync tanpa koneksi gagal dengan pesan yang jelas dan tidak merusak data</t>
        </is>
      </c>
      <c r="D438" s="17" t="inlineStr">
        <is>
          <t>Effluent Plant (kolom status)</t>
        </is>
      </c>
      <c r="E438" s="15" t="inlineStr">
        <is>
          <t>OPR-A</t>
        </is>
      </c>
      <c r="F438" s="15" t="inlineStr">
        <is>
          <t>- Sync gagal dengan pesan yang menyebut koneksi/jaringan — jelas dan berbahasa Indonesia.
- Record tidak hilang dan tidak berubah — statusnya tetap Tersimpan.
- Record tidak ditandai Tersinkron secara keliru.
- Sesudah koneksi kembali, Sync berhasil mengirimnya.</t>
        </is>
      </c>
      <c r="G438" s="13" t="inlineStr">
        <is>
          <t>Tinggi</t>
        </is>
      </c>
      <c r="H438" s="18" t="n"/>
      <c r="I438" s="18" t="n"/>
      <c r="J438" s="18" t="n"/>
      <c r="K438" s="18" t="n"/>
      <c r="L438" s="18" t="n"/>
    </row>
    <row r="439" ht="70" customHeight="1">
      <c r="A439" s="10" t="n">
        <v>435</v>
      </c>
      <c r="B439" s="11" t="inlineStr">
        <is>
          <t>MB-SYNC-04</t>
        </is>
      </c>
      <c r="C439" s="5" t="inlineStr">
        <is>
          <t>Sync dua kali tidak menggandakan data</t>
        </is>
      </c>
      <c r="D439" s="12" t="inlineStr">
        <is>
          <t>Depricarping (24 slot)</t>
        </is>
      </c>
      <c r="E439" s="5" t="inlineStr">
        <is>
          <t>OPR-A + SPV-A</t>
        </is>
      </c>
      <c r="F439" s="5" t="inlineStr">
        <is>
          <t>- Sync kedua berjalan tanpa galat.
- Di web hanya ada satu record — tidak ada duplikat.
- Jumlah baris detailnya juga tidak berganda.
- Sync kedua melaporkan 0 record terkirim, atau pesan sepadan.</t>
        </is>
      </c>
      <c r="G439" s="13" t="inlineStr">
        <is>
          <t>Tinggi</t>
        </is>
      </c>
      <c r="H439" s="18" t="n"/>
      <c r="I439" s="18" t="n"/>
      <c r="J439" s="18" t="n"/>
      <c r="K439" s="18" t="n"/>
      <c r="L439" s="18" t="n"/>
    </row>
    <row r="440" ht="70" customHeight="1">
      <c r="A440" s="14" t="n">
        <v>436</v>
      </c>
      <c r="B440" s="16" t="inlineStr">
        <is>
          <t>MB-SYNC-04</t>
        </is>
      </c>
      <c r="C440" s="15" t="inlineStr">
        <is>
          <t>Sync dua kali tidak menggandakan data</t>
        </is>
      </c>
      <c r="D440" s="17" t="inlineStr">
        <is>
          <t>Weighbridge (per-transaksi)</t>
        </is>
      </c>
      <c r="E440" s="15" t="inlineStr">
        <is>
          <t>OPR-A + SPV-A</t>
        </is>
      </c>
      <c r="F440" s="15" t="inlineStr">
        <is>
          <t>- Sync kedua berjalan tanpa galat.
- Di web hanya ada satu record — tidak ada duplikat.
- Jumlah baris detailnya juga tidak berganda.
- Sync kedua melaporkan 0 record terkirim, atau pesan sepadan.</t>
        </is>
      </c>
      <c r="G440" s="13" t="inlineStr">
        <is>
          <t>Tinggi</t>
        </is>
      </c>
      <c r="H440" s="18" t="n"/>
      <c r="I440" s="18" t="n"/>
      <c r="J440" s="18" t="n"/>
      <c r="K440" s="18" t="n"/>
      <c r="L440" s="18" t="n"/>
    </row>
    <row r="441" ht="70" customHeight="1">
      <c r="A441" s="10" t="n">
        <v>437</v>
      </c>
      <c r="B441" s="11" t="inlineStr">
        <is>
          <t>MB-SYNC-04</t>
        </is>
      </c>
      <c r="C441" s="5" t="inlineStr">
        <is>
          <t>Sync dua kali tidak menggandakan data</t>
        </is>
      </c>
      <c r="D441" s="12" t="inlineStr">
        <is>
          <t>Effluent Plant (kolom status)</t>
        </is>
      </c>
      <c r="E441" s="5" t="inlineStr">
        <is>
          <t>OPR-A + SPV-A</t>
        </is>
      </c>
      <c r="F441" s="5" t="inlineStr">
        <is>
          <t>- Sync kedua berjalan tanpa galat.
- Di web hanya ada satu record — tidak ada duplikat.
- Jumlah baris detailnya juga tidak berganda.
- Sync kedua melaporkan 0 record terkirim, atau pesan sepadan.</t>
        </is>
      </c>
      <c r="G441" s="13" t="inlineStr">
        <is>
          <t>Tinggi</t>
        </is>
      </c>
      <c r="H441" s="18" t="n"/>
      <c r="I441" s="18" t="n"/>
      <c r="J441" s="18" t="n"/>
      <c r="K441" s="18" t="n"/>
      <c r="L441" s="18" t="n"/>
    </row>
    <row r="442" ht="70" customHeight="1">
      <c r="A442" s="14" t="n">
        <v>438</v>
      </c>
      <c r="B442" s="16" t="inlineStr">
        <is>
          <t>MB-SYNC-05</t>
        </is>
      </c>
      <c r="C442" s="15" t="inlineStr">
        <is>
          <t>Tanpa koneksi saat login: pesan jaringan, bukan "password salah"</t>
        </is>
      </c>
      <c r="D442" s="17" t="inlineStr">
        <is>
          <t>Depricarping (24 slot)</t>
        </is>
      </c>
      <c r="E442" s="15" t="inlineStr">
        <is>
          <t>OPR-A</t>
        </is>
      </c>
      <c r="F442" s="15" t="inlineStr">
        <is>
          <t>- Pesannya menyebut koneksi/jaringan.
- Pesannya tidak menyebut password salah atau akun tidak ditemukan — itu akan mengirim operator mengejar masalah yang tidak ada.
- Tetap di layar Login, tidak masuk.</t>
        </is>
      </c>
      <c r="G442" s="13" t="inlineStr">
        <is>
          <t>Tinggi</t>
        </is>
      </c>
      <c r="H442" s="18" t="n"/>
      <c r="I442" s="18" t="n"/>
      <c r="J442" s="18" t="n"/>
      <c r="K442" s="18" t="n"/>
      <c r="L442" s="18" t="n"/>
    </row>
    <row r="443" ht="70" customHeight="1">
      <c r="A443" s="10" t="n">
        <v>439</v>
      </c>
      <c r="B443" s="11" t="inlineStr">
        <is>
          <t>MB-SYNC-05</t>
        </is>
      </c>
      <c r="C443" s="5" t="inlineStr">
        <is>
          <t>Tanpa koneksi saat login: pesan jaringan, bukan "password salah"</t>
        </is>
      </c>
      <c r="D443" s="12" t="inlineStr">
        <is>
          <t>Weighbridge (per-transaksi)</t>
        </is>
      </c>
      <c r="E443" s="5" t="inlineStr">
        <is>
          <t>OPR-A</t>
        </is>
      </c>
      <c r="F443" s="5" t="inlineStr">
        <is>
          <t>- Pesannya menyebut koneksi/jaringan.
- Pesannya tidak menyebut password salah atau akun tidak ditemukan — itu akan mengirim operator mengejar masalah yang tidak ada.
- Tetap di layar Login, tidak masuk.</t>
        </is>
      </c>
      <c r="G443" s="13" t="inlineStr">
        <is>
          <t>Tinggi</t>
        </is>
      </c>
      <c r="H443" s="18" t="n"/>
      <c r="I443" s="18" t="n"/>
      <c r="J443" s="18" t="n"/>
      <c r="K443" s="18" t="n"/>
      <c r="L443" s="18" t="n"/>
    </row>
    <row r="444" ht="70" customHeight="1">
      <c r="A444" s="14" t="n">
        <v>440</v>
      </c>
      <c r="B444" s="16" t="inlineStr">
        <is>
          <t>MB-SYNC-05</t>
        </is>
      </c>
      <c r="C444" s="15" t="inlineStr">
        <is>
          <t>Tanpa koneksi saat login: pesan jaringan, bukan "password salah"</t>
        </is>
      </c>
      <c r="D444" s="17" t="inlineStr">
        <is>
          <t>Effluent Plant (kolom status)</t>
        </is>
      </c>
      <c r="E444" s="15" t="inlineStr">
        <is>
          <t>OPR-A</t>
        </is>
      </c>
      <c r="F444" s="15" t="inlineStr">
        <is>
          <t>- Pesannya menyebut koneksi/jaringan.
- Pesannya tidak menyebut password salah atau akun tidak ditemukan — itu akan mengirim operator mengejar masalah yang tidak ada.
- Tetap di layar Login, tidak masuk.</t>
        </is>
      </c>
      <c r="G444" s="13" t="inlineStr">
        <is>
          <t>Tinggi</t>
        </is>
      </c>
      <c r="H444" s="18" t="n"/>
      <c r="I444" s="18" t="n"/>
      <c r="J444" s="18" t="n"/>
      <c r="K444" s="18" t="n"/>
      <c r="L444" s="18" t="n"/>
    </row>
    <row r="445" ht="70" customHeight="1">
      <c r="A445" s="10" t="n">
        <v>441</v>
      </c>
      <c r="B445" s="11" t="inlineStr">
        <is>
          <t>MB-PRV-01</t>
        </is>
      </c>
      <c r="C445" s="5" t="inlineStr">
        <is>
          <t>Filter tanggal default ke hari ini</t>
        </is>
      </c>
      <c r="D445" s="12" t="inlineStr">
        <is>
          <t>Weighbridge</t>
        </is>
      </c>
      <c r="E445" s="5" t="inlineStr">
        <is>
          <t>OPR-A</t>
        </is>
      </c>
      <c r="F445" s="5" t="inlineStr">
        <is>
          <t>- Filter Tanggal sudah terisi tanggal hari ini tanpa diisi penguji.
- Daftar hanya memuat record hari ini.
- Record tanggal lain tidak terlihat sampai filternya diubah.</t>
        </is>
      </c>
      <c r="G445" s="10" t="inlineStr">
        <is>
          <t>Sedang</t>
        </is>
      </c>
      <c r="H445" s="18" t="n"/>
      <c r="I445" s="18" t="n"/>
      <c r="J445" s="18" t="n"/>
      <c r="K445" s="18" t="n"/>
      <c r="L445" s="18" t="n"/>
    </row>
    <row r="446" ht="70" customHeight="1">
      <c r="A446" s="14" t="n">
        <v>442</v>
      </c>
      <c r="B446" s="16" t="inlineStr">
        <is>
          <t>MB-PRV-01</t>
        </is>
      </c>
      <c r="C446" s="15" t="inlineStr">
        <is>
          <t>Filter tanggal default ke hari ini</t>
        </is>
      </c>
      <c r="D446" s="17" t="inlineStr">
        <is>
          <t>Grading</t>
        </is>
      </c>
      <c r="E446" s="15" t="inlineStr">
        <is>
          <t>OPR-A</t>
        </is>
      </c>
      <c r="F446" s="15" t="inlineStr">
        <is>
          <t>- Filter Tanggal sudah terisi tanggal hari ini tanpa diisi penguji.
- Daftar hanya memuat record hari ini.
- Record tanggal lain tidak terlihat sampai filternya diubah.</t>
        </is>
      </c>
      <c r="G446" s="14" t="inlineStr">
        <is>
          <t>Sedang</t>
        </is>
      </c>
      <c r="H446" s="18" t="n"/>
      <c r="I446" s="18" t="n"/>
      <c r="J446" s="18" t="n"/>
      <c r="K446" s="18" t="n"/>
      <c r="L446" s="18" t="n"/>
    </row>
    <row r="447" ht="70" customHeight="1">
      <c r="A447" s="10" t="n">
        <v>443</v>
      </c>
      <c r="B447" s="11" t="inlineStr">
        <is>
          <t>MB-PRV-01</t>
        </is>
      </c>
      <c r="C447" s="5" t="inlineStr">
        <is>
          <t>Filter tanggal default ke hari ini</t>
        </is>
      </c>
      <c r="D447" s="12" t="inlineStr">
        <is>
          <t>Cages Track</t>
        </is>
      </c>
      <c r="E447" s="5" t="inlineStr">
        <is>
          <t>OPR-A</t>
        </is>
      </c>
      <c r="F447" s="5" t="inlineStr">
        <is>
          <t>- Filter Tanggal sudah terisi tanggal hari ini tanpa diisi penguji.
- Daftar hanya memuat record hari ini.
- Record tanggal lain tidak terlihat sampai filternya diubah.</t>
        </is>
      </c>
      <c r="G447" s="10" t="inlineStr">
        <is>
          <t>Sedang</t>
        </is>
      </c>
      <c r="H447" s="18" t="n"/>
      <c r="I447" s="18" t="n"/>
      <c r="J447" s="18" t="n"/>
      <c r="K447" s="18" t="n"/>
      <c r="L447" s="18" t="n"/>
    </row>
    <row r="448" ht="70" customHeight="1">
      <c r="A448" s="14" t="n">
        <v>444</v>
      </c>
      <c r="B448" s="16" t="inlineStr">
        <is>
          <t>MB-PRV-01</t>
        </is>
      </c>
      <c r="C448" s="15" t="inlineStr">
        <is>
          <t>Filter tanggal default ke hari ini</t>
        </is>
      </c>
      <c r="D448" s="17" t="inlineStr">
        <is>
          <t>Sterilizer</t>
        </is>
      </c>
      <c r="E448" s="15" t="inlineStr">
        <is>
          <t>OPR-A</t>
        </is>
      </c>
      <c r="F448" s="15" t="inlineStr">
        <is>
          <t>- Filter Tanggal sudah terisi tanggal hari ini tanpa diisi penguji.
- Daftar hanya memuat record hari ini.
- Record tanggal lain tidak terlihat sampai filternya diubah.</t>
        </is>
      </c>
      <c r="G448" s="14" t="inlineStr">
        <is>
          <t>Sedang</t>
        </is>
      </c>
      <c r="H448" s="18" t="n"/>
      <c r="I448" s="18" t="n"/>
      <c r="J448" s="18" t="n"/>
      <c r="K448" s="18" t="n"/>
      <c r="L448" s="18" t="n"/>
    </row>
    <row r="449" ht="70" customHeight="1">
      <c r="A449" s="10" t="n">
        <v>445</v>
      </c>
      <c r="B449" s="11" t="inlineStr">
        <is>
          <t>MB-PRV-01</t>
        </is>
      </c>
      <c r="C449" s="5" t="inlineStr">
        <is>
          <t>Filter tanggal default ke hari ini</t>
        </is>
      </c>
      <c r="D449" s="12" t="inlineStr">
        <is>
          <t>Threshing</t>
        </is>
      </c>
      <c r="E449" s="5" t="inlineStr">
        <is>
          <t>OPR-A</t>
        </is>
      </c>
      <c r="F449" s="5" t="inlineStr">
        <is>
          <t>- Filter Tanggal sudah terisi tanggal hari ini tanpa diisi penguji.
- Daftar hanya memuat record hari ini.
- Record tanggal lain tidak terlihat sampai filternya diubah.</t>
        </is>
      </c>
      <c r="G449" s="10" t="inlineStr">
        <is>
          <t>Sedang</t>
        </is>
      </c>
      <c r="H449" s="18" t="n"/>
      <c r="I449" s="18" t="n"/>
      <c r="J449" s="18" t="n"/>
      <c r="K449" s="18" t="n"/>
      <c r="L449" s="18" t="n"/>
    </row>
    <row r="450" ht="70" customHeight="1">
      <c r="A450" s="14" t="n">
        <v>446</v>
      </c>
      <c r="B450" s="16" t="inlineStr">
        <is>
          <t>MB-PRV-01</t>
        </is>
      </c>
      <c r="C450" s="15" t="inlineStr">
        <is>
          <t>Filter tanggal default ke hari ini</t>
        </is>
      </c>
      <c r="D450" s="17" t="inlineStr">
        <is>
          <t>Pressing</t>
        </is>
      </c>
      <c r="E450" s="15" t="inlineStr">
        <is>
          <t>OPR-A</t>
        </is>
      </c>
      <c r="F450" s="15" t="inlineStr">
        <is>
          <t>- Filter Tanggal sudah terisi tanggal hari ini tanpa diisi penguji.
- Daftar hanya memuat record hari ini.
- Record tanggal lain tidak terlihat sampai filternya diubah.</t>
        </is>
      </c>
      <c r="G450" s="14" t="inlineStr">
        <is>
          <t>Sedang</t>
        </is>
      </c>
      <c r="H450" s="18" t="n"/>
      <c r="I450" s="18" t="n"/>
      <c r="J450" s="18" t="n"/>
      <c r="K450" s="18" t="n"/>
      <c r="L450" s="18" t="n"/>
    </row>
    <row r="451" ht="70" customHeight="1">
      <c r="A451" s="10" t="n">
        <v>447</v>
      </c>
      <c r="B451" s="11" t="inlineStr">
        <is>
          <t>MB-PRV-01</t>
        </is>
      </c>
      <c r="C451" s="5" t="inlineStr">
        <is>
          <t>Filter tanggal default ke hari ini</t>
        </is>
      </c>
      <c r="D451" s="12" t="inlineStr">
        <is>
          <t>Clarification</t>
        </is>
      </c>
      <c r="E451" s="5" t="inlineStr">
        <is>
          <t>OPR-A</t>
        </is>
      </c>
      <c r="F451" s="5" t="inlineStr">
        <is>
          <t>- Filter Tanggal sudah terisi tanggal hari ini tanpa diisi penguji.
- Daftar hanya memuat record hari ini.
- Record tanggal lain tidak terlihat sampai filternya diubah.</t>
        </is>
      </c>
      <c r="G451" s="10" t="inlineStr">
        <is>
          <t>Sedang</t>
        </is>
      </c>
      <c r="H451" s="18" t="n"/>
      <c r="I451" s="18" t="n"/>
      <c r="J451" s="18" t="n"/>
      <c r="K451" s="18" t="n"/>
      <c r="L451" s="18" t="n"/>
    </row>
    <row r="452" ht="70" customHeight="1">
      <c r="A452" s="14" t="n">
        <v>448</v>
      </c>
      <c r="B452" s="16" t="inlineStr">
        <is>
          <t>MB-PRV-01</t>
        </is>
      </c>
      <c r="C452" s="15" t="inlineStr">
        <is>
          <t>Filter tanggal default ke hari ini</t>
        </is>
      </c>
      <c r="D452" s="17" t="inlineStr">
        <is>
          <t>Kernel Plant</t>
        </is>
      </c>
      <c r="E452" s="15" t="inlineStr">
        <is>
          <t>OPR-A</t>
        </is>
      </c>
      <c r="F452" s="15" t="inlineStr">
        <is>
          <t>- Filter Tanggal sudah terisi tanggal hari ini tanpa diisi penguji.
- Daftar hanya memuat record hari ini.
- Record tanggal lain tidak terlihat sampai filternya diubah.</t>
        </is>
      </c>
      <c r="G452" s="14" t="inlineStr">
        <is>
          <t>Sedang</t>
        </is>
      </c>
      <c r="H452" s="18" t="n"/>
      <c r="I452" s="18" t="n"/>
      <c r="J452" s="18" t="n"/>
      <c r="K452" s="18" t="n"/>
      <c r="L452" s="18" t="n"/>
    </row>
    <row r="453" ht="70" customHeight="1">
      <c r="A453" s="10" t="n">
        <v>449</v>
      </c>
      <c r="B453" s="11" t="inlineStr">
        <is>
          <t>MB-PRV-01</t>
        </is>
      </c>
      <c r="C453" s="5" t="inlineStr">
        <is>
          <t>Filter tanggal default ke hari ini</t>
        </is>
      </c>
      <c r="D453" s="12" t="inlineStr">
        <is>
          <t>Boiler Room</t>
        </is>
      </c>
      <c r="E453" s="5" t="inlineStr">
        <is>
          <t>OPR-A</t>
        </is>
      </c>
      <c r="F453" s="5" t="inlineStr">
        <is>
          <t>- Filter Tanggal sudah terisi tanggal hari ini tanpa diisi penguji.
- Daftar hanya memuat record hari ini.
- Record tanggal lain tidak terlihat sampai filternya diubah.</t>
        </is>
      </c>
      <c r="G453" s="10" t="inlineStr">
        <is>
          <t>Sedang</t>
        </is>
      </c>
      <c r="H453" s="18" t="n"/>
      <c r="I453" s="18" t="n"/>
      <c r="J453" s="18" t="n"/>
      <c r="K453" s="18" t="n"/>
      <c r="L453" s="18" t="n"/>
    </row>
    <row r="454" ht="70" customHeight="1">
      <c r="A454" s="14" t="n">
        <v>450</v>
      </c>
      <c r="B454" s="16" t="inlineStr">
        <is>
          <t>MB-PRV-01</t>
        </is>
      </c>
      <c r="C454" s="15" t="inlineStr">
        <is>
          <t>Filter tanggal default ke hari ini</t>
        </is>
      </c>
      <c r="D454" s="17" t="inlineStr">
        <is>
          <t>Effluent Plant</t>
        </is>
      </c>
      <c r="E454" s="15" t="inlineStr">
        <is>
          <t>OPR-A</t>
        </is>
      </c>
      <c r="F454" s="15" t="inlineStr">
        <is>
          <t>- Filter Tanggal sudah terisi tanggal hari ini tanpa diisi penguji.
- Daftar hanya memuat record hari ini.
- Record tanggal lain tidak terlihat sampai filternya diubah.</t>
        </is>
      </c>
      <c r="G454" s="14" t="inlineStr">
        <is>
          <t>Sedang</t>
        </is>
      </c>
      <c r="H454" s="18" t="n"/>
      <c r="I454" s="18" t="n"/>
      <c r="J454" s="18" t="n"/>
      <c r="K454" s="18" t="n"/>
      <c r="L454" s="18" t="n"/>
    </row>
    <row r="455" ht="70" customHeight="1">
      <c r="A455" s="10" t="n">
        <v>451</v>
      </c>
      <c r="B455" s="11" t="inlineStr">
        <is>
          <t>MB-PRV-01</t>
        </is>
      </c>
      <c r="C455" s="5" t="inlineStr">
        <is>
          <t>Filter tanggal default ke hari ini</t>
        </is>
      </c>
      <c r="D455" s="12" t="inlineStr">
        <is>
          <t>Depricarping</t>
        </is>
      </c>
      <c r="E455" s="5" t="inlineStr">
        <is>
          <t>OPR-A</t>
        </is>
      </c>
      <c r="F455" s="5" t="inlineStr">
        <is>
          <t>- Filter Tanggal sudah terisi tanggal hari ini tanpa diisi penguji.
- Daftar hanya memuat record hari ini.
- Record tanggal lain tidak terlihat sampai filternya diubah.</t>
        </is>
      </c>
      <c r="G455" s="10" t="inlineStr">
        <is>
          <t>Sedang</t>
        </is>
      </c>
      <c r="H455" s="18" t="n"/>
      <c r="I455" s="18" t="n"/>
      <c r="J455" s="18" t="n"/>
      <c r="K455" s="18" t="n"/>
      <c r="L455" s="18" t="n"/>
    </row>
    <row r="456" ht="70" customHeight="1">
      <c r="A456" s="14" t="n">
        <v>452</v>
      </c>
      <c r="B456" s="16" t="inlineStr">
        <is>
          <t>MB-PRV-01</t>
        </is>
      </c>
      <c r="C456" s="15" t="inlineStr">
        <is>
          <t>Filter tanggal default ke hari ini</t>
        </is>
      </c>
      <c r="D456" s="17" t="inlineStr">
        <is>
          <t>Engine Room</t>
        </is>
      </c>
      <c r="E456" s="15" t="inlineStr">
        <is>
          <t>OPR-A</t>
        </is>
      </c>
      <c r="F456" s="15" t="inlineStr">
        <is>
          <t>- Filter Tanggal sudah terisi tanggal hari ini tanpa diisi penguji.
- Daftar hanya memuat record hari ini.
- Record tanggal lain tidak terlihat sampai filternya diubah.</t>
        </is>
      </c>
      <c r="G456" s="14" t="inlineStr">
        <is>
          <t>Sedang</t>
        </is>
      </c>
      <c r="H456" s="18" t="n"/>
      <c r="I456" s="18" t="n"/>
      <c r="J456" s="18" t="n"/>
      <c r="K456" s="18" t="n"/>
      <c r="L456" s="18" t="n"/>
    </row>
    <row r="457" ht="70" customHeight="1">
      <c r="A457" s="10" t="n">
        <v>453</v>
      </c>
      <c r="B457" s="11" t="inlineStr">
        <is>
          <t>MB-PRV-01</t>
        </is>
      </c>
      <c r="C457" s="5" t="inlineStr">
        <is>
          <t>Filter tanggal default ke hari ini</t>
        </is>
      </c>
      <c r="D457" s="12" t="inlineStr">
        <is>
          <t>Process Water</t>
        </is>
      </c>
      <c r="E457" s="5" t="inlineStr">
        <is>
          <t>OPR-A</t>
        </is>
      </c>
      <c r="F457" s="5" t="inlineStr">
        <is>
          <t>- Filter Tanggal sudah terisi tanggal hari ini tanpa diisi penguji.
- Daftar hanya memuat record hari ini.
- Record tanggal lain tidak terlihat sampai filternya diubah.</t>
        </is>
      </c>
      <c r="G457" s="10" t="inlineStr">
        <is>
          <t>Sedang</t>
        </is>
      </c>
      <c r="H457" s="18" t="n"/>
      <c r="I457" s="18" t="n"/>
      <c r="J457" s="18" t="n"/>
      <c r="K457" s="18" t="n"/>
      <c r="L457" s="18" t="n"/>
    </row>
    <row r="458" ht="70" customHeight="1">
      <c r="A458" s="14" t="n">
        <v>454</v>
      </c>
      <c r="B458" s="16" t="inlineStr">
        <is>
          <t>MB-PRV-01</t>
        </is>
      </c>
      <c r="C458" s="15" t="inlineStr">
        <is>
          <t>Filter tanggal default ke hari ini</t>
        </is>
      </c>
      <c r="D458" s="17" t="inlineStr">
        <is>
          <t>Storage Tank</t>
        </is>
      </c>
      <c r="E458" s="15" t="inlineStr">
        <is>
          <t>OPR-A</t>
        </is>
      </c>
      <c r="F458" s="15" t="inlineStr">
        <is>
          <t>- Filter Tanggal sudah terisi tanggal hari ini tanpa diisi penguji.
- Daftar hanya memuat record hari ini.
- Record tanggal lain tidak terlihat sampai filternya diubah.</t>
        </is>
      </c>
      <c r="G458" s="14" t="inlineStr">
        <is>
          <t>Sedang</t>
        </is>
      </c>
      <c r="H458" s="18" t="n"/>
      <c r="I458" s="18" t="n"/>
      <c r="J458" s="18" t="n"/>
      <c r="K458" s="18" t="n"/>
      <c r="L458" s="18" t="n"/>
    </row>
    <row r="459" ht="70" customHeight="1">
      <c r="A459" s="10" t="n">
        <v>455</v>
      </c>
      <c r="B459" s="11" t="inlineStr">
        <is>
          <t>MB-PRV-01</t>
        </is>
      </c>
      <c r="C459" s="5" t="inlineStr">
        <is>
          <t>Filter tanggal default ke hari ini</t>
        </is>
      </c>
      <c r="D459" s="12" t="inlineStr">
        <is>
          <t>Solid Waste Disposal</t>
        </is>
      </c>
      <c r="E459" s="5" t="inlineStr">
        <is>
          <t>OPR-A</t>
        </is>
      </c>
      <c r="F459" s="5" t="inlineStr">
        <is>
          <t>- Filter Tanggal sudah terisi tanggal hari ini tanpa diisi penguji.
- Daftar hanya memuat record hari ini.
- Record tanggal lain tidak terlihat sampai filternya diubah.</t>
        </is>
      </c>
      <c r="G459" s="10" t="inlineStr">
        <is>
          <t>Sedang</t>
        </is>
      </c>
      <c r="H459" s="18" t="n"/>
      <c r="I459" s="18" t="n"/>
      <c r="J459" s="18" t="n"/>
      <c r="K459" s="18" t="n"/>
      <c r="L459" s="18" t="n"/>
    </row>
    <row r="460" ht="70" customHeight="1">
      <c r="A460" s="14" t="n">
        <v>456</v>
      </c>
      <c r="B460" s="16" t="inlineStr">
        <is>
          <t>MB-PRV-01</t>
        </is>
      </c>
      <c r="C460" s="15" t="inlineStr">
        <is>
          <t>Filter tanggal default ke hari ini</t>
        </is>
      </c>
      <c r="D460" s="17" t="inlineStr">
        <is>
          <t>Kernel Dispatch</t>
        </is>
      </c>
      <c r="E460" s="15" t="inlineStr">
        <is>
          <t>OPR-A</t>
        </is>
      </c>
      <c r="F460" s="15" t="inlineStr">
        <is>
          <t>- Filter Tanggal sudah terisi tanggal hari ini tanpa diisi penguji.
- Daftar hanya memuat record hari ini.
- Record tanggal lain tidak terlihat sampai filternya diubah.</t>
        </is>
      </c>
      <c r="G460" s="14" t="inlineStr">
        <is>
          <t>Sedang</t>
        </is>
      </c>
      <c r="H460" s="18" t="n"/>
      <c r="I460" s="18" t="n"/>
      <c r="J460" s="18" t="n"/>
      <c r="K460" s="18" t="n"/>
      <c r="L460" s="18" t="n"/>
    </row>
    <row r="461" ht="70" customHeight="1">
      <c r="A461" s="10" t="n">
        <v>457</v>
      </c>
      <c r="B461" s="11" t="inlineStr">
        <is>
          <t>MB-PRV-01</t>
        </is>
      </c>
      <c r="C461" s="5" t="inlineStr">
        <is>
          <t>Filter tanggal default ke hari ini</t>
        </is>
      </c>
      <c r="D461" s="12" t="inlineStr">
        <is>
          <t>CPO Dispatch</t>
        </is>
      </c>
      <c r="E461" s="5" t="inlineStr">
        <is>
          <t>OPR-A</t>
        </is>
      </c>
      <c r="F461" s="5" t="inlineStr">
        <is>
          <t>- Filter Tanggal sudah terisi tanggal hari ini tanpa diisi penguji.
- Daftar hanya memuat record hari ini.
- Record tanggal lain tidak terlihat sampai filternya diubah.</t>
        </is>
      </c>
      <c r="G461" s="10" t="inlineStr">
        <is>
          <t>Sedang</t>
        </is>
      </c>
      <c r="H461" s="18" t="n"/>
      <c r="I461" s="18" t="n"/>
      <c r="J461" s="18" t="n"/>
      <c r="K461" s="18" t="n"/>
      <c r="L461" s="18" t="n"/>
    </row>
    <row r="462" ht="70" customHeight="1">
      <c r="A462" s="14" t="n">
        <v>458</v>
      </c>
      <c r="B462" s="16" t="inlineStr">
        <is>
          <t>MB-PRV-01</t>
        </is>
      </c>
      <c r="C462" s="15" t="inlineStr">
        <is>
          <t>Filter tanggal default ke hari ini</t>
        </is>
      </c>
      <c r="D462" s="17" t="inlineStr">
        <is>
          <t>Process Quality Control</t>
        </is>
      </c>
      <c r="E462" s="15" t="inlineStr">
        <is>
          <t>OPR-A</t>
        </is>
      </c>
      <c r="F462" s="15" t="inlineStr">
        <is>
          <t>- Filter Tanggal sudah terisi tanggal hari ini tanpa diisi penguji.
- Daftar hanya memuat record hari ini.
- Record tanggal lain tidak terlihat sampai filternya diubah.</t>
        </is>
      </c>
      <c r="G462" s="14" t="inlineStr">
        <is>
          <t>Sedang</t>
        </is>
      </c>
      <c r="H462" s="18" t="n"/>
      <c r="I462" s="18" t="n"/>
      <c r="J462" s="18" t="n"/>
      <c r="K462" s="18" t="n"/>
      <c r="L462" s="18" t="n"/>
    </row>
    <row r="463" ht="70" customHeight="1">
      <c r="A463" s="10" t="n">
        <v>459</v>
      </c>
      <c r="B463" s="11" t="inlineStr">
        <is>
          <t>MB-PRV-02</t>
        </is>
      </c>
      <c r="C463" s="5" t="inlineStr">
        <is>
          <t>Pintasan "Semua" dan "Hari ini" bekerja</t>
        </is>
      </c>
      <c r="D463" s="12" t="inlineStr">
        <is>
          <t>Weighbridge</t>
        </is>
      </c>
      <c r="E463" s="5" t="inlineStr">
        <is>
          <t>OPR-A</t>
        </is>
      </c>
      <c r="F463" s="5" t="inlineStr">
        <is>
          <t>- Semua menampilkan record dari seluruh tanggal — jumlahnya lebih banyak.
- Hari ini mengembalikan daftar ke record hari ini saja.
- Ringkasan jumlah hasil cocok dengan jumlah baris yang terlihat.</t>
        </is>
      </c>
      <c r="G463" s="10" t="inlineStr">
        <is>
          <t>Sedang</t>
        </is>
      </c>
      <c r="H463" s="18" t="n"/>
      <c r="I463" s="18" t="n"/>
      <c r="J463" s="18" t="n"/>
      <c r="K463" s="18" t="n"/>
      <c r="L463" s="18" t="n"/>
    </row>
    <row r="464" ht="70" customHeight="1">
      <c r="A464" s="14" t="n">
        <v>460</v>
      </c>
      <c r="B464" s="16" t="inlineStr">
        <is>
          <t>MB-PRV-02</t>
        </is>
      </c>
      <c r="C464" s="15" t="inlineStr">
        <is>
          <t>Pintasan "Semua" dan "Hari ini" bekerja</t>
        </is>
      </c>
      <c r="D464" s="17" t="inlineStr">
        <is>
          <t>Grading</t>
        </is>
      </c>
      <c r="E464" s="15" t="inlineStr">
        <is>
          <t>OPR-A</t>
        </is>
      </c>
      <c r="F464" s="15" t="inlineStr">
        <is>
          <t>- Semua menampilkan record dari seluruh tanggal — jumlahnya lebih banyak.
- Hari ini mengembalikan daftar ke record hari ini saja.
- Ringkasan jumlah hasil cocok dengan jumlah baris yang terlihat.</t>
        </is>
      </c>
      <c r="G464" s="14" t="inlineStr">
        <is>
          <t>Sedang</t>
        </is>
      </c>
      <c r="H464" s="18" t="n"/>
      <c r="I464" s="18" t="n"/>
      <c r="J464" s="18" t="n"/>
      <c r="K464" s="18" t="n"/>
      <c r="L464" s="18" t="n"/>
    </row>
    <row r="465" ht="70" customHeight="1">
      <c r="A465" s="10" t="n">
        <v>461</v>
      </c>
      <c r="B465" s="11" t="inlineStr">
        <is>
          <t>MB-PRV-02</t>
        </is>
      </c>
      <c r="C465" s="5" t="inlineStr">
        <is>
          <t>Pintasan "Semua" dan "Hari ini" bekerja</t>
        </is>
      </c>
      <c r="D465" s="12" t="inlineStr">
        <is>
          <t>Cages Track</t>
        </is>
      </c>
      <c r="E465" s="5" t="inlineStr">
        <is>
          <t>OPR-A</t>
        </is>
      </c>
      <c r="F465" s="5" t="inlineStr">
        <is>
          <t>- Semua menampilkan record dari seluruh tanggal — jumlahnya lebih banyak.
- Hari ini mengembalikan daftar ke record hari ini saja.
- Ringkasan jumlah hasil cocok dengan jumlah baris yang terlihat.</t>
        </is>
      </c>
      <c r="G465" s="10" t="inlineStr">
        <is>
          <t>Sedang</t>
        </is>
      </c>
      <c r="H465" s="18" t="n"/>
      <c r="I465" s="18" t="n"/>
      <c r="J465" s="18" t="n"/>
      <c r="K465" s="18" t="n"/>
      <c r="L465" s="18" t="n"/>
    </row>
    <row r="466" ht="70" customHeight="1">
      <c r="A466" s="14" t="n">
        <v>462</v>
      </c>
      <c r="B466" s="16" t="inlineStr">
        <is>
          <t>MB-PRV-02</t>
        </is>
      </c>
      <c r="C466" s="15" t="inlineStr">
        <is>
          <t>Pintasan "Semua" dan "Hari ini" bekerja</t>
        </is>
      </c>
      <c r="D466" s="17" t="inlineStr">
        <is>
          <t>Sterilizer</t>
        </is>
      </c>
      <c r="E466" s="15" t="inlineStr">
        <is>
          <t>OPR-A</t>
        </is>
      </c>
      <c r="F466" s="15" t="inlineStr">
        <is>
          <t>- Semua menampilkan record dari seluruh tanggal — jumlahnya lebih banyak.
- Hari ini mengembalikan daftar ke record hari ini saja.
- Ringkasan jumlah hasil cocok dengan jumlah baris yang terlihat.</t>
        </is>
      </c>
      <c r="G466" s="14" t="inlineStr">
        <is>
          <t>Sedang</t>
        </is>
      </c>
      <c r="H466" s="18" t="n"/>
      <c r="I466" s="18" t="n"/>
      <c r="J466" s="18" t="n"/>
      <c r="K466" s="18" t="n"/>
      <c r="L466" s="18" t="n"/>
    </row>
    <row r="467" ht="70" customHeight="1">
      <c r="A467" s="10" t="n">
        <v>463</v>
      </c>
      <c r="B467" s="11" t="inlineStr">
        <is>
          <t>MB-PRV-02</t>
        </is>
      </c>
      <c r="C467" s="5" t="inlineStr">
        <is>
          <t>Pintasan "Semua" dan "Hari ini" bekerja</t>
        </is>
      </c>
      <c r="D467" s="12" t="inlineStr">
        <is>
          <t>Threshing</t>
        </is>
      </c>
      <c r="E467" s="5" t="inlineStr">
        <is>
          <t>OPR-A</t>
        </is>
      </c>
      <c r="F467" s="5" t="inlineStr">
        <is>
          <t>- Semua menampilkan record dari seluruh tanggal — jumlahnya lebih banyak.
- Hari ini mengembalikan daftar ke record hari ini saja.
- Ringkasan jumlah hasil cocok dengan jumlah baris yang terlihat.</t>
        </is>
      </c>
      <c r="G467" s="10" t="inlineStr">
        <is>
          <t>Sedang</t>
        </is>
      </c>
      <c r="H467" s="18" t="n"/>
      <c r="I467" s="18" t="n"/>
      <c r="J467" s="18" t="n"/>
      <c r="K467" s="18" t="n"/>
      <c r="L467" s="18" t="n"/>
    </row>
    <row r="468" ht="70" customHeight="1">
      <c r="A468" s="14" t="n">
        <v>464</v>
      </c>
      <c r="B468" s="16" t="inlineStr">
        <is>
          <t>MB-PRV-02</t>
        </is>
      </c>
      <c r="C468" s="15" t="inlineStr">
        <is>
          <t>Pintasan "Semua" dan "Hari ini" bekerja</t>
        </is>
      </c>
      <c r="D468" s="17" t="inlineStr">
        <is>
          <t>Pressing</t>
        </is>
      </c>
      <c r="E468" s="15" t="inlineStr">
        <is>
          <t>OPR-A</t>
        </is>
      </c>
      <c r="F468" s="15" t="inlineStr">
        <is>
          <t>- Semua menampilkan record dari seluruh tanggal — jumlahnya lebih banyak.
- Hari ini mengembalikan daftar ke record hari ini saja.
- Ringkasan jumlah hasil cocok dengan jumlah baris yang terlihat.</t>
        </is>
      </c>
      <c r="G468" s="14" t="inlineStr">
        <is>
          <t>Sedang</t>
        </is>
      </c>
      <c r="H468" s="18" t="n"/>
      <c r="I468" s="18" t="n"/>
      <c r="J468" s="18" t="n"/>
      <c r="K468" s="18" t="n"/>
      <c r="L468" s="18" t="n"/>
    </row>
    <row r="469" ht="70" customHeight="1">
      <c r="A469" s="10" t="n">
        <v>465</v>
      </c>
      <c r="B469" s="11" t="inlineStr">
        <is>
          <t>MB-PRV-02</t>
        </is>
      </c>
      <c r="C469" s="5" t="inlineStr">
        <is>
          <t>Pintasan "Semua" dan "Hari ini" bekerja</t>
        </is>
      </c>
      <c r="D469" s="12" t="inlineStr">
        <is>
          <t>Clarification</t>
        </is>
      </c>
      <c r="E469" s="5" t="inlineStr">
        <is>
          <t>OPR-A</t>
        </is>
      </c>
      <c r="F469" s="5" t="inlineStr">
        <is>
          <t>- Semua menampilkan record dari seluruh tanggal — jumlahnya lebih banyak.
- Hari ini mengembalikan daftar ke record hari ini saja.
- Ringkasan jumlah hasil cocok dengan jumlah baris yang terlihat.</t>
        </is>
      </c>
      <c r="G469" s="10" t="inlineStr">
        <is>
          <t>Sedang</t>
        </is>
      </c>
      <c r="H469" s="18" t="n"/>
      <c r="I469" s="18" t="n"/>
      <c r="J469" s="18" t="n"/>
      <c r="K469" s="18" t="n"/>
      <c r="L469" s="18" t="n"/>
    </row>
    <row r="470" ht="70" customHeight="1">
      <c r="A470" s="14" t="n">
        <v>466</v>
      </c>
      <c r="B470" s="16" t="inlineStr">
        <is>
          <t>MB-PRV-02</t>
        </is>
      </c>
      <c r="C470" s="15" t="inlineStr">
        <is>
          <t>Pintasan "Semua" dan "Hari ini" bekerja</t>
        </is>
      </c>
      <c r="D470" s="17" t="inlineStr">
        <is>
          <t>Kernel Plant</t>
        </is>
      </c>
      <c r="E470" s="15" t="inlineStr">
        <is>
          <t>OPR-A</t>
        </is>
      </c>
      <c r="F470" s="15" t="inlineStr">
        <is>
          <t>- Semua menampilkan record dari seluruh tanggal — jumlahnya lebih banyak.
- Hari ini mengembalikan daftar ke record hari ini saja.
- Ringkasan jumlah hasil cocok dengan jumlah baris yang terlihat.</t>
        </is>
      </c>
      <c r="G470" s="14" t="inlineStr">
        <is>
          <t>Sedang</t>
        </is>
      </c>
      <c r="H470" s="18" t="n"/>
      <c r="I470" s="18" t="n"/>
      <c r="J470" s="18" t="n"/>
      <c r="K470" s="18" t="n"/>
      <c r="L470" s="18" t="n"/>
    </row>
    <row r="471" ht="70" customHeight="1">
      <c r="A471" s="10" t="n">
        <v>467</v>
      </c>
      <c r="B471" s="11" t="inlineStr">
        <is>
          <t>MB-PRV-02</t>
        </is>
      </c>
      <c r="C471" s="5" t="inlineStr">
        <is>
          <t>Pintasan "Semua" dan "Hari ini" bekerja</t>
        </is>
      </c>
      <c r="D471" s="12" t="inlineStr">
        <is>
          <t>Boiler Room</t>
        </is>
      </c>
      <c r="E471" s="5" t="inlineStr">
        <is>
          <t>OPR-A</t>
        </is>
      </c>
      <c r="F471" s="5" t="inlineStr">
        <is>
          <t>- Semua menampilkan record dari seluruh tanggal — jumlahnya lebih banyak.
- Hari ini mengembalikan daftar ke record hari ini saja.
- Ringkasan jumlah hasil cocok dengan jumlah baris yang terlihat.</t>
        </is>
      </c>
      <c r="G471" s="10" t="inlineStr">
        <is>
          <t>Sedang</t>
        </is>
      </c>
      <c r="H471" s="18" t="n"/>
      <c r="I471" s="18" t="n"/>
      <c r="J471" s="18" t="n"/>
      <c r="K471" s="18" t="n"/>
      <c r="L471" s="18" t="n"/>
    </row>
    <row r="472" ht="70" customHeight="1">
      <c r="A472" s="14" t="n">
        <v>468</v>
      </c>
      <c r="B472" s="16" t="inlineStr">
        <is>
          <t>MB-PRV-02</t>
        </is>
      </c>
      <c r="C472" s="15" t="inlineStr">
        <is>
          <t>Pintasan "Semua" dan "Hari ini" bekerja</t>
        </is>
      </c>
      <c r="D472" s="17" t="inlineStr">
        <is>
          <t>Effluent Plant</t>
        </is>
      </c>
      <c r="E472" s="15" t="inlineStr">
        <is>
          <t>OPR-A</t>
        </is>
      </c>
      <c r="F472" s="15" t="inlineStr">
        <is>
          <t>- Semua menampilkan record dari seluruh tanggal — jumlahnya lebih banyak.
- Hari ini mengembalikan daftar ke record hari ini saja.
- Ringkasan jumlah hasil cocok dengan jumlah baris yang terlihat.</t>
        </is>
      </c>
      <c r="G472" s="14" t="inlineStr">
        <is>
          <t>Sedang</t>
        </is>
      </c>
      <c r="H472" s="18" t="n"/>
      <c r="I472" s="18" t="n"/>
      <c r="J472" s="18" t="n"/>
      <c r="K472" s="18" t="n"/>
      <c r="L472" s="18" t="n"/>
    </row>
    <row r="473" ht="70" customHeight="1">
      <c r="A473" s="10" t="n">
        <v>469</v>
      </c>
      <c r="B473" s="11" t="inlineStr">
        <is>
          <t>MB-PRV-02</t>
        </is>
      </c>
      <c r="C473" s="5" t="inlineStr">
        <is>
          <t>Pintasan "Semua" dan "Hari ini" bekerja</t>
        </is>
      </c>
      <c r="D473" s="12" t="inlineStr">
        <is>
          <t>Depricarping</t>
        </is>
      </c>
      <c r="E473" s="5" t="inlineStr">
        <is>
          <t>OPR-A</t>
        </is>
      </c>
      <c r="F473" s="5" t="inlineStr">
        <is>
          <t>- Semua menampilkan record dari seluruh tanggal — jumlahnya lebih banyak.
- Hari ini mengembalikan daftar ke record hari ini saja.
- Ringkasan jumlah hasil cocok dengan jumlah baris yang terlihat.</t>
        </is>
      </c>
      <c r="G473" s="10" t="inlineStr">
        <is>
          <t>Sedang</t>
        </is>
      </c>
      <c r="H473" s="18" t="n"/>
      <c r="I473" s="18" t="n"/>
      <c r="J473" s="18" t="n"/>
      <c r="K473" s="18" t="n"/>
      <c r="L473" s="18" t="n"/>
    </row>
    <row r="474" ht="70" customHeight="1">
      <c r="A474" s="14" t="n">
        <v>470</v>
      </c>
      <c r="B474" s="16" t="inlineStr">
        <is>
          <t>MB-PRV-02</t>
        </is>
      </c>
      <c r="C474" s="15" t="inlineStr">
        <is>
          <t>Pintasan "Semua" dan "Hari ini" bekerja</t>
        </is>
      </c>
      <c r="D474" s="17" t="inlineStr">
        <is>
          <t>Engine Room</t>
        </is>
      </c>
      <c r="E474" s="15" t="inlineStr">
        <is>
          <t>OPR-A</t>
        </is>
      </c>
      <c r="F474" s="15" t="inlineStr">
        <is>
          <t>- Semua menampilkan record dari seluruh tanggal — jumlahnya lebih banyak.
- Hari ini mengembalikan daftar ke record hari ini saja.
- Ringkasan jumlah hasil cocok dengan jumlah baris yang terlihat.</t>
        </is>
      </c>
      <c r="G474" s="14" t="inlineStr">
        <is>
          <t>Sedang</t>
        </is>
      </c>
      <c r="H474" s="18" t="n"/>
      <c r="I474" s="18" t="n"/>
      <c r="J474" s="18" t="n"/>
      <c r="K474" s="18" t="n"/>
      <c r="L474" s="18" t="n"/>
    </row>
    <row r="475" ht="70" customHeight="1">
      <c r="A475" s="10" t="n">
        <v>471</v>
      </c>
      <c r="B475" s="11" t="inlineStr">
        <is>
          <t>MB-PRV-02</t>
        </is>
      </c>
      <c r="C475" s="5" t="inlineStr">
        <is>
          <t>Pintasan "Semua" dan "Hari ini" bekerja</t>
        </is>
      </c>
      <c r="D475" s="12" t="inlineStr">
        <is>
          <t>Process Water</t>
        </is>
      </c>
      <c r="E475" s="5" t="inlineStr">
        <is>
          <t>OPR-A</t>
        </is>
      </c>
      <c r="F475" s="5" t="inlineStr">
        <is>
          <t>- Semua menampilkan record dari seluruh tanggal — jumlahnya lebih banyak.
- Hari ini mengembalikan daftar ke record hari ini saja.
- Ringkasan jumlah hasil cocok dengan jumlah baris yang terlihat.</t>
        </is>
      </c>
      <c r="G475" s="10" t="inlineStr">
        <is>
          <t>Sedang</t>
        </is>
      </c>
      <c r="H475" s="18" t="n"/>
      <c r="I475" s="18" t="n"/>
      <c r="J475" s="18" t="n"/>
      <c r="K475" s="18" t="n"/>
      <c r="L475" s="18" t="n"/>
    </row>
    <row r="476" ht="70" customHeight="1">
      <c r="A476" s="14" t="n">
        <v>472</v>
      </c>
      <c r="B476" s="16" t="inlineStr">
        <is>
          <t>MB-PRV-02</t>
        </is>
      </c>
      <c r="C476" s="15" t="inlineStr">
        <is>
          <t>Pintasan "Semua" dan "Hari ini" bekerja</t>
        </is>
      </c>
      <c r="D476" s="17" t="inlineStr">
        <is>
          <t>Storage Tank</t>
        </is>
      </c>
      <c r="E476" s="15" t="inlineStr">
        <is>
          <t>OPR-A</t>
        </is>
      </c>
      <c r="F476" s="15" t="inlineStr">
        <is>
          <t>- Semua menampilkan record dari seluruh tanggal — jumlahnya lebih banyak.
- Hari ini mengembalikan daftar ke record hari ini saja.
- Ringkasan jumlah hasil cocok dengan jumlah baris yang terlihat.</t>
        </is>
      </c>
      <c r="G476" s="14" t="inlineStr">
        <is>
          <t>Sedang</t>
        </is>
      </c>
      <c r="H476" s="18" t="n"/>
      <c r="I476" s="18" t="n"/>
      <c r="J476" s="18" t="n"/>
      <c r="K476" s="18" t="n"/>
      <c r="L476" s="18" t="n"/>
    </row>
    <row r="477" ht="70" customHeight="1">
      <c r="A477" s="10" t="n">
        <v>473</v>
      </c>
      <c r="B477" s="11" t="inlineStr">
        <is>
          <t>MB-PRV-02</t>
        </is>
      </c>
      <c r="C477" s="5" t="inlineStr">
        <is>
          <t>Pintasan "Semua" dan "Hari ini" bekerja</t>
        </is>
      </c>
      <c r="D477" s="12" t="inlineStr">
        <is>
          <t>Solid Waste Disposal</t>
        </is>
      </c>
      <c r="E477" s="5" t="inlineStr">
        <is>
          <t>OPR-A</t>
        </is>
      </c>
      <c r="F477" s="5" t="inlineStr">
        <is>
          <t>- Semua menampilkan record dari seluruh tanggal — jumlahnya lebih banyak.
- Hari ini mengembalikan daftar ke record hari ini saja.
- Ringkasan jumlah hasil cocok dengan jumlah baris yang terlihat.</t>
        </is>
      </c>
      <c r="G477" s="10" t="inlineStr">
        <is>
          <t>Sedang</t>
        </is>
      </c>
      <c r="H477" s="18" t="n"/>
      <c r="I477" s="18" t="n"/>
      <c r="J477" s="18" t="n"/>
      <c r="K477" s="18" t="n"/>
      <c r="L477" s="18" t="n"/>
    </row>
    <row r="478" ht="70" customHeight="1">
      <c r="A478" s="14" t="n">
        <v>474</v>
      </c>
      <c r="B478" s="16" t="inlineStr">
        <is>
          <t>MB-PRV-02</t>
        </is>
      </c>
      <c r="C478" s="15" t="inlineStr">
        <is>
          <t>Pintasan "Semua" dan "Hari ini" bekerja</t>
        </is>
      </c>
      <c r="D478" s="17" t="inlineStr">
        <is>
          <t>Kernel Dispatch</t>
        </is>
      </c>
      <c r="E478" s="15" t="inlineStr">
        <is>
          <t>OPR-A</t>
        </is>
      </c>
      <c r="F478" s="15" t="inlineStr">
        <is>
          <t>- Semua menampilkan record dari seluruh tanggal — jumlahnya lebih banyak.
- Hari ini mengembalikan daftar ke record hari ini saja.
- Ringkasan jumlah hasil cocok dengan jumlah baris yang terlihat.</t>
        </is>
      </c>
      <c r="G478" s="14" t="inlineStr">
        <is>
          <t>Sedang</t>
        </is>
      </c>
      <c r="H478" s="18" t="n"/>
      <c r="I478" s="18" t="n"/>
      <c r="J478" s="18" t="n"/>
      <c r="K478" s="18" t="n"/>
      <c r="L478" s="18" t="n"/>
    </row>
    <row r="479" ht="70" customHeight="1">
      <c r="A479" s="10" t="n">
        <v>475</v>
      </c>
      <c r="B479" s="11" t="inlineStr">
        <is>
          <t>MB-PRV-02</t>
        </is>
      </c>
      <c r="C479" s="5" t="inlineStr">
        <is>
          <t>Pintasan "Semua" dan "Hari ini" bekerja</t>
        </is>
      </c>
      <c r="D479" s="12" t="inlineStr">
        <is>
          <t>CPO Dispatch</t>
        </is>
      </c>
      <c r="E479" s="5" t="inlineStr">
        <is>
          <t>OPR-A</t>
        </is>
      </c>
      <c r="F479" s="5" t="inlineStr">
        <is>
          <t>- Semua menampilkan record dari seluruh tanggal — jumlahnya lebih banyak.
- Hari ini mengembalikan daftar ke record hari ini saja.
- Ringkasan jumlah hasil cocok dengan jumlah baris yang terlihat.</t>
        </is>
      </c>
      <c r="G479" s="10" t="inlineStr">
        <is>
          <t>Sedang</t>
        </is>
      </c>
      <c r="H479" s="18" t="n"/>
      <c r="I479" s="18" t="n"/>
      <c r="J479" s="18" t="n"/>
      <c r="K479" s="18" t="n"/>
      <c r="L479" s="18" t="n"/>
    </row>
    <row r="480" ht="70" customHeight="1">
      <c r="A480" s="14" t="n">
        <v>476</v>
      </c>
      <c r="B480" s="16" t="inlineStr">
        <is>
          <t>MB-PRV-02</t>
        </is>
      </c>
      <c r="C480" s="15" t="inlineStr">
        <is>
          <t>Pintasan "Semua" dan "Hari ini" bekerja</t>
        </is>
      </c>
      <c r="D480" s="17" t="inlineStr">
        <is>
          <t>Process Quality Control</t>
        </is>
      </c>
      <c r="E480" s="15" t="inlineStr">
        <is>
          <t>OPR-A</t>
        </is>
      </c>
      <c r="F480" s="15" t="inlineStr">
        <is>
          <t>- Semua menampilkan record dari seluruh tanggal — jumlahnya lebih banyak.
- Hari ini mengembalikan daftar ke record hari ini saja.
- Ringkasan jumlah hasil cocok dengan jumlah baris yang terlihat.</t>
        </is>
      </c>
      <c r="G480" s="14" t="inlineStr">
        <is>
          <t>Sedang</t>
        </is>
      </c>
      <c r="H480" s="18" t="n"/>
      <c r="I480" s="18" t="n"/>
      <c r="J480" s="18" t="n"/>
      <c r="K480" s="18" t="n"/>
      <c r="L480" s="18" t="n"/>
    </row>
    <row r="481" ht="43.59999999999999" customHeight="1">
      <c r="A481" s="10" t="n">
        <v>477</v>
      </c>
      <c r="B481" s="11" t="inlineStr">
        <is>
          <t>MB-PRV-03</t>
        </is>
      </c>
      <c r="C481" s="5" t="inlineStr">
        <is>
          <t>Pencarian tidak peduli huruf besar-kecil</t>
        </is>
      </c>
      <c r="D481" s="12" t="inlineStr">
        <is>
          <t>Weighbridge</t>
        </is>
      </c>
      <c r="E481" s="5" t="inlineStr">
        <is>
          <t>OPR-A</t>
        </is>
      </c>
      <c r="F481" s="5" t="inlineStr">
        <is>
          <t>- Ketiga pencarian menemukan record itu.
- Pencarian tidak peduli huruf besar-kecil.
- Potongan di tengah juga cocok — bukan hanya awalan.</t>
        </is>
      </c>
      <c r="G481" s="10" t="inlineStr">
        <is>
          <t>Sedang</t>
        </is>
      </c>
      <c r="H481" s="18" t="n"/>
      <c r="I481" s="18" t="n"/>
      <c r="J481" s="18" t="n"/>
      <c r="K481" s="18" t="n"/>
      <c r="L481" s="18" t="n"/>
    </row>
    <row r="482" ht="43.59999999999999" customHeight="1">
      <c r="A482" s="14" t="n">
        <v>478</v>
      </c>
      <c r="B482" s="16" t="inlineStr">
        <is>
          <t>MB-PRV-03</t>
        </is>
      </c>
      <c r="C482" s="15" t="inlineStr">
        <is>
          <t>Pencarian tidak peduli huruf besar-kecil</t>
        </is>
      </c>
      <c r="D482" s="17" t="inlineStr">
        <is>
          <t>Grading</t>
        </is>
      </c>
      <c r="E482" s="15" t="inlineStr">
        <is>
          <t>OPR-A</t>
        </is>
      </c>
      <c r="F482" s="15" t="inlineStr">
        <is>
          <t>- Ketiga pencarian menemukan record itu.
- Pencarian tidak peduli huruf besar-kecil.
- Potongan di tengah juga cocok — bukan hanya awalan.</t>
        </is>
      </c>
      <c r="G482" s="14" t="inlineStr">
        <is>
          <t>Sedang</t>
        </is>
      </c>
      <c r="H482" s="18" t="n"/>
      <c r="I482" s="18" t="n"/>
      <c r="J482" s="18" t="n"/>
      <c r="K482" s="18" t="n"/>
      <c r="L482" s="18" t="n"/>
    </row>
    <row r="483" ht="43.59999999999999" customHeight="1">
      <c r="A483" s="10" t="n">
        <v>479</v>
      </c>
      <c r="B483" s="11" t="inlineStr">
        <is>
          <t>MB-PRV-03</t>
        </is>
      </c>
      <c r="C483" s="5" t="inlineStr">
        <is>
          <t>Pencarian tidak peduli huruf besar-kecil</t>
        </is>
      </c>
      <c r="D483" s="12" t="inlineStr">
        <is>
          <t>Cages Track</t>
        </is>
      </c>
      <c r="E483" s="5" t="inlineStr">
        <is>
          <t>OPR-A</t>
        </is>
      </c>
      <c r="F483" s="5" t="inlineStr">
        <is>
          <t>- Ketiga pencarian menemukan record itu.
- Pencarian tidak peduli huruf besar-kecil.
- Potongan di tengah juga cocok — bukan hanya awalan.</t>
        </is>
      </c>
      <c r="G483" s="10" t="inlineStr">
        <is>
          <t>Sedang</t>
        </is>
      </c>
      <c r="H483" s="18" t="n"/>
      <c r="I483" s="18" t="n"/>
      <c r="J483" s="18" t="n"/>
      <c r="K483" s="18" t="n"/>
      <c r="L483" s="18" t="n"/>
    </row>
    <row r="484" ht="43.59999999999999" customHeight="1">
      <c r="A484" s="14" t="n">
        <v>480</v>
      </c>
      <c r="B484" s="16" t="inlineStr">
        <is>
          <t>MB-PRV-03</t>
        </is>
      </c>
      <c r="C484" s="15" t="inlineStr">
        <is>
          <t>Pencarian tidak peduli huruf besar-kecil</t>
        </is>
      </c>
      <c r="D484" s="17" t="inlineStr">
        <is>
          <t>Sterilizer</t>
        </is>
      </c>
      <c r="E484" s="15" t="inlineStr">
        <is>
          <t>OPR-A</t>
        </is>
      </c>
      <c r="F484" s="15" t="inlineStr">
        <is>
          <t>- Ketiga pencarian menemukan record itu.
- Pencarian tidak peduli huruf besar-kecil.
- Potongan di tengah juga cocok — bukan hanya awalan.</t>
        </is>
      </c>
      <c r="G484" s="14" t="inlineStr">
        <is>
          <t>Sedang</t>
        </is>
      </c>
      <c r="H484" s="18" t="n"/>
      <c r="I484" s="18" t="n"/>
      <c r="J484" s="18" t="n"/>
      <c r="K484" s="18" t="n"/>
      <c r="L484" s="18" t="n"/>
    </row>
    <row r="485" ht="43.59999999999999" customHeight="1">
      <c r="A485" s="10" t="n">
        <v>481</v>
      </c>
      <c r="B485" s="11" t="inlineStr">
        <is>
          <t>MB-PRV-03</t>
        </is>
      </c>
      <c r="C485" s="5" t="inlineStr">
        <is>
          <t>Pencarian tidak peduli huruf besar-kecil</t>
        </is>
      </c>
      <c r="D485" s="12" t="inlineStr">
        <is>
          <t>Threshing</t>
        </is>
      </c>
      <c r="E485" s="5" t="inlineStr">
        <is>
          <t>OPR-A</t>
        </is>
      </c>
      <c r="F485" s="5" t="inlineStr">
        <is>
          <t>- Ketiga pencarian menemukan record itu.
- Pencarian tidak peduli huruf besar-kecil.
- Potongan di tengah juga cocok — bukan hanya awalan.</t>
        </is>
      </c>
      <c r="G485" s="10" t="inlineStr">
        <is>
          <t>Sedang</t>
        </is>
      </c>
      <c r="H485" s="18" t="n"/>
      <c r="I485" s="18" t="n"/>
      <c r="J485" s="18" t="n"/>
      <c r="K485" s="18" t="n"/>
      <c r="L485" s="18" t="n"/>
    </row>
    <row r="486" ht="43.59999999999999" customHeight="1">
      <c r="A486" s="14" t="n">
        <v>482</v>
      </c>
      <c r="B486" s="16" t="inlineStr">
        <is>
          <t>MB-PRV-03</t>
        </is>
      </c>
      <c r="C486" s="15" t="inlineStr">
        <is>
          <t>Pencarian tidak peduli huruf besar-kecil</t>
        </is>
      </c>
      <c r="D486" s="17" t="inlineStr">
        <is>
          <t>Pressing</t>
        </is>
      </c>
      <c r="E486" s="15" t="inlineStr">
        <is>
          <t>OPR-A</t>
        </is>
      </c>
      <c r="F486" s="15" t="inlineStr">
        <is>
          <t>- Ketiga pencarian menemukan record itu.
- Pencarian tidak peduli huruf besar-kecil.
- Potongan di tengah juga cocok — bukan hanya awalan.</t>
        </is>
      </c>
      <c r="G486" s="14" t="inlineStr">
        <is>
          <t>Sedang</t>
        </is>
      </c>
      <c r="H486" s="18" t="n"/>
      <c r="I486" s="18" t="n"/>
      <c r="J486" s="18" t="n"/>
      <c r="K486" s="18" t="n"/>
      <c r="L486" s="18" t="n"/>
    </row>
    <row r="487" ht="43.59999999999999" customHeight="1">
      <c r="A487" s="10" t="n">
        <v>483</v>
      </c>
      <c r="B487" s="11" t="inlineStr">
        <is>
          <t>MB-PRV-03</t>
        </is>
      </c>
      <c r="C487" s="5" t="inlineStr">
        <is>
          <t>Pencarian tidak peduli huruf besar-kecil</t>
        </is>
      </c>
      <c r="D487" s="12" t="inlineStr">
        <is>
          <t>Clarification</t>
        </is>
      </c>
      <c r="E487" s="5" t="inlineStr">
        <is>
          <t>OPR-A</t>
        </is>
      </c>
      <c r="F487" s="5" t="inlineStr">
        <is>
          <t>- Ketiga pencarian menemukan record itu.
- Pencarian tidak peduli huruf besar-kecil.
- Potongan di tengah juga cocok — bukan hanya awalan.</t>
        </is>
      </c>
      <c r="G487" s="10" t="inlineStr">
        <is>
          <t>Sedang</t>
        </is>
      </c>
      <c r="H487" s="18" t="n"/>
      <c r="I487" s="18" t="n"/>
      <c r="J487" s="18" t="n"/>
      <c r="K487" s="18" t="n"/>
      <c r="L487" s="18" t="n"/>
    </row>
    <row r="488" ht="43.59999999999999" customHeight="1">
      <c r="A488" s="14" t="n">
        <v>484</v>
      </c>
      <c r="B488" s="16" t="inlineStr">
        <is>
          <t>MB-PRV-03</t>
        </is>
      </c>
      <c r="C488" s="15" t="inlineStr">
        <is>
          <t>Pencarian tidak peduli huruf besar-kecil</t>
        </is>
      </c>
      <c r="D488" s="17" t="inlineStr">
        <is>
          <t>Kernel Plant</t>
        </is>
      </c>
      <c r="E488" s="15" t="inlineStr">
        <is>
          <t>OPR-A</t>
        </is>
      </c>
      <c r="F488" s="15" t="inlineStr">
        <is>
          <t>- Ketiga pencarian menemukan record itu.
- Pencarian tidak peduli huruf besar-kecil.
- Potongan di tengah juga cocok — bukan hanya awalan.</t>
        </is>
      </c>
      <c r="G488" s="14" t="inlineStr">
        <is>
          <t>Sedang</t>
        </is>
      </c>
      <c r="H488" s="18" t="n"/>
      <c r="I488" s="18" t="n"/>
      <c r="J488" s="18" t="n"/>
      <c r="K488" s="18" t="n"/>
      <c r="L488" s="18" t="n"/>
    </row>
    <row r="489" ht="43.59999999999999" customHeight="1">
      <c r="A489" s="10" t="n">
        <v>485</v>
      </c>
      <c r="B489" s="11" t="inlineStr">
        <is>
          <t>MB-PRV-03</t>
        </is>
      </c>
      <c r="C489" s="5" t="inlineStr">
        <is>
          <t>Pencarian tidak peduli huruf besar-kecil</t>
        </is>
      </c>
      <c r="D489" s="12" t="inlineStr">
        <is>
          <t>Boiler Room</t>
        </is>
      </c>
      <c r="E489" s="5" t="inlineStr">
        <is>
          <t>OPR-A</t>
        </is>
      </c>
      <c r="F489" s="5" t="inlineStr">
        <is>
          <t>- Ketiga pencarian menemukan record itu.
- Pencarian tidak peduli huruf besar-kecil.
- Potongan di tengah juga cocok — bukan hanya awalan.</t>
        </is>
      </c>
      <c r="G489" s="10" t="inlineStr">
        <is>
          <t>Sedang</t>
        </is>
      </c>
      <c r="H489" s="18" t="n"/>
      <c r="I489" s="18" t="n"/>
      <c r="J489" s="18" t="n"/>
      <c r="K489" s="18" t="n"/>
      <c r="L489" s="18" t="n"/>
    </row>
    <row r="490" ht="43.59999999999999" customHeight="1">
      <c r="A490" s="14" t="n">
        <v>486</v>
      </c>
      <c r="B490" s="16" t="inlineStr">
        <is>
          <t>MB-PRV-03</t>
        </is>
      </c>
      <c r="C490" s="15" t="inlineStr">
        <is>
          <t>Pencarian tidak peduli huruf besar-kecil</t>
        </is>
      </c>
      <c r="D490" s="17" t="inlineStr">
        <is>
          <t>Effluent Plant</t>
        </is>
      </c>
      <c r="E490" s="15" t="inlineStr">
        <is>
          <t>OPR-A</t>
        </is>
      </c>
      <c r="F490" s="15" t="inlineStr">
        <is>
          <t>- Ketiga pencarian menemukan record itu.
- Pencarian tidak peduli huruf besar-kecil.
- Potongan di tengah juga cocok — bukan hanya awalan.</t>
        </is>
      </c>
      <c r="G490" s="14" t="inlineStr">
        <is>
          <t>Sedang</t>
        </is>
      </c>
      <c r="H490" s="18" t="n"/>
      <c r="I490" s="18" t="n"/>
      <c r="J490" s="18" t="n"/>
      <c r="K490" s="18" t="n"/>
      <c r="L490" s="18" t="n"/>
    </row>
    <row r="491" ht="43.59999999999999" customHeight="1">
      <c r="A491" s="10" t="n">
        <v>487</v>
      </c>
      <c r="B491" s="11" t="inlineStr">
        <is>
          <t>MB-PRV-03</t>
        </is>
      </c>
      <c r="C491" s="5" t="inlineStr">
        <is>
          <t>Pencarian tidak peduli huruf besar-kecil</t>
        </is>
      </c>
      <c r="D491" s="12" t="inlineStr">
        <is>
          <t>Depricarping</t>
        </is>
      </c>
      <c r="E491" s="5" t="inlineStr">
        <is>
          <t>OPR-A</t>
        </is>
      </c>
      <c r="F491" s="5" t="inlineStr">
        <is>
          <t>- Ketiga pencarian menemukan record itu.
- Pencarian tidak peduli huruf besar-kecil.
- Potongan di tengah juga cocok — bukan hanya awalan.</t>
        </is>
      </c>
      <c r="G491" s="10" t="inlineStr">
        <is>
          <t>Sedang</t>
        </is>
      </c>
      <c r="H491" s="18" t="n"/>
      <c r="I491" s="18" t="n"/>
      <c r="J491" s="18" t="n"/>
      <c r="K491" s="18" t="n"/>
      <c r="L491" s="18" t="n"/>
    </row>
    <row r="492" ht="43.59999999999999" customHeight="1">
      <c r="A492" s="14" t="n">
        <v>488</v>
      </c>
      <c r="B492" s="16" t="inlineStr">
        <is>
          <t>MB-PRV-03</t>
        </is>
      </c>
      <c r="C492" s="15" t="inlineStr">
        <is>
          <t>Pencarian tidak peduli huruf besar-kecil</t>
        </is>
      </c>
      <c r="D492" s="17" t="inlineStr">
        <is>
          <t>Engine Room</t>
        </is>
      </c>
      <c r="E492" s="15" t="inlineStr">
        <is>
          <t>OPR-A</t>
        </is>
      </c>
      <c r="F492" s="15" t="inlineStr">
        <is>
          <t>- Ketiga pencarian menemukan record itu.
- Pencarian tidak peduli huruf besar-kecil.
- Potongan di tengah juga cocok — bukan hanya awalan.</t>
        </is>
      </c>
      <c r="G492" s="14" t="inlineStr">
        <is>
          <t>Sedang</t>
        </is>
      </c>
      <c r="H492" s="18" t="n"/>
      <c r="I492" s="18" t="n"/>
      <c r="J492" s="18" t="n"/>
      <c r="K492" s="18" t="n"/>
      <c r="L492" s="18" t="n"/>
    </row>
    <row r="493" ht="43.59999999999999" customHeight="1">
      <c r="A493" s="10" t="n">
        <v>489</v>
      </c>
      <c r="B493" s="11" t="inlineStr">
        <is>
          <t>MB-PRV-03</t>
        </is>
      </c>
      <c r="C493" s="5" t="inlineStr">
        <is>
          <t>Pencarian tidak peduli huruf besar-kecil</t>
        </is>
      </c>
      <c r="D493" s="12" t="inlineStr">
        <is>
          <t>Process Water</t>
        </is>
      </c>
      <c r="E493" s="5" t="inlineStr">
        <is>
          <t>OPR-A</t>
        </is>
      </c>
      <c r="F493" s="5" t="inlineStr">
        <is>
          <t>- Ketiga pencarian menemukan record itu.
- Pencarian tidak peduli huruf besar-kecil.
- Potongan di tengah juga cocok — bukan hanya awalan.</t>
        </is>
      </c>
      <c r="G493" s="10" t="inlineStr">
        <is>
          <t>Sedang</t>
        </is>
      </c>
      <c r="H493" s="18" t="n"/>
      <c r="I493" s="18" t="n"/>
      <c r="J493" s="18" t="n"/>
      <c r="K493" s="18" t="n"/>
      <c r="L493" s="18" t="n"/>
    </row>
    <row r="494" ht="43.59999999999999" customHeight="1">
      <c r="A494" s="14" t="n">
        <v>490</v>
      </c>
      <c r="B494" s="16" t="inlineStr">
        <is>
          <t>MB-PRV-03</t>
        </is>
      </c>
      <c r="C494" s="15" t="inlineStr">
        <is>
          <t>Pencarian tidak peduli huruf besar-kecil</t>
        </is>
      </c>
      <c r="D494" s="17" t="inlineStr">
        <is>
          <t>Storage Tank</t>
        </is>
      </c>
      <c r="E494" s="15" t="inlineStr">
        <is>
          <t>OPR-A</t>
        </is>
      </c>
      <c r="F494" s="15" t="inlineStr">
        <is>
          <t>- Ketiga pencarian menemukan record itu.
- Pencarian tidak peduli huruf besar-kecil.
- Potongan di tengah juga cocok — bukan hanya awalan.</t>
        </is>
      </c>
      <c r="G494" s="14" t="inlineStr">
        <is>
          <t>Sedang</t>
        </is>
      </c>
      <c r="H494" s="18" t="n"/>
      <c r="I494" s="18" t="n"/>
      <c r="J494" s="18" t="n"/>
      <c r="K494" s="18" t="n"/>
      <c r="L494" s="18" t="n"/>
    </row>
    <row r="495" ht="43.59999999999999" customHeight="1">
      <c r="A495" s="10" t="n">
        <v>491</v>
      </c>
      <c r="B495" s="11" t="inlineStr">
        <is>
          <t>MB-PRV-03</t>
        </is>
      </c>
      <c r="C495" s="5" t="inlineStr">
        <is>
          <t>Pencarian tidak peduli huruf besar-kecil</t>
        </is>
      </c>
      <c r="D495" s="12" t="inlineStr">
        <is>
          <t>Solid Waste Disposal</t>
        </is>
      </c>
      <c r="E495" s="5" t="inlineStr">
        <is>
          <t>OPR-A</t>
        </is>
      </c>
      <c r="F495" s="5" t="inlineStr">
        <is>
          <t>- Ketiga pencarian menemukan record itu.
- Pencarian tidak peduli huruf besar-kecil.
- Potongan di tengah juga cocok — bukan hanya awalan.</t>
        </is>
      </c>
      <c r="G495" s="10" t="inlineStr">
        <is>
          <t>Sedang</t>
        </is>
      </c>
      <c r="H495" s="18" t="n"/>
      <c r="I495" s="18" t="n"/>
      <c r="J495" s="18" t="n"/>
      <c r="K495" s="18" t="n"/>
      <c r="L495" s="18" t="n"/>
    </row>
    <row r="496" ht="43.59999999999999" customHeight="1">
      <c r="A496" s="14" t="n">
        <v>492</v>
      </c>
      <c r="B496" s="16" t="inlineStr">
        <is>
          <t>MB-PRV-03</t>
        </is>
      </c>
      <c r="C496" s="15" t="inlineStr">
        <is>
          <t>Pencarian tidak peduli huruf besar-kecil</t>
        </is>
      </c>
      <c r="D496" s="17" t="inlineStr">
        <is>
          <t>Kernel Dispatch</t>
        </is>
      </c>
      <c r="E496" s="15" t="inlineStr">
        <is>
          <t>OPR-A</t>
        </is>
      </c>
      <c r="F496" s="15" t="inlineStr">
        <is>
          <t>- Ketiga pencarian menemukan record itu.
- Pencarian tidak peduli huruf besar-kecil.
- Potongan di tengah juga cocok — bukan hanya awalan.</t>
        </is>
      </c>
      <c r="G496" s="14" t="inlineStr">
        <is>
          <t>Sedang</t>
        </is>
      </c>
      <c r="H496" s="18" t="n"/>
      <c r="I496" s="18" t="n"/>
      <c r="J496" s="18" t="n"/>
      <c r="K496" s="18" t="n"/>
      <c r="L496" s="18" t="n"/>
    </row>
    <row r="497" ht="43.59999999999999" customHeight="1">
      <c r="A497" s="10" t="n">
        <v>493</v>
      </c>
      <c r="B497" s="11" t="inlineStr">
        <is>
          <t>MB-PRV-03</t>
        </is>
      </c>
      <c r="C497" s="5" t="inlineStr">
        <is>
          <t>Pencarian tidak peduli huruf besar-kecil</t>
        </is>
      </c>
      <c r="D497" s="12" t="inlineStr">
        <is>
          <t>CPO Dispatch</t>
        </is>
      </c>
      <c r="E497" s="5" t="inlineStr">
        <is>
          <t>OPR-A</t>
        </is>
      </c>
      <c r="F497" s="5" t="inlineStr">
        <is>
          <t>- Ketiga pencarian menemukan record itu.
- Pencarian tidak peduli huruf besar-kecil.
- Potongan di tengah juga cocok — bukan hanya awalan.</t>
        </is>
      </c>
      <c r="G497" s="10" t="inlineStr">
        <is>
          <t>Sedang</t>
        </is>
      </c>
      <c r="H497" s="18" t="n"/>
      <c r="I497" s="18" t="n"/>
      <c r="J497" s="18" t="n"/>
      <c r="K497" s="18" t="n"/>
      <c r="L497" s="18" t="n"/>
    </row>
    <row r="498" ht="43.59999999999999" customHeight="1">
      <c r="A498" s="14" t="n">
        <v>494</v>
      </c>
      <c r="B498" s="16" t="inlineStr">
        <is>
          <t>MB-PRV-03</t>
        </is>
      </c>
      <c r="C498" s="15" t="inlineStr">
        <is>
          <t>Pencarian tidak peduli huruf besar-kecil</t>
        </is>
      </c>
      <c r="D498" s="17" t="inlineStr">
        <is>
          <t>Process Quality Control</t>
        </is>
      </c>
      <c r="E498" s="15" t="inlineStr">
        <is>
          <t>OPR-A</t>
        </is>
      </c>
      <c r="F498" s="15" t="inlineStr">
        <is>
          <t>- Ketiga pencarian menemukan record itu.
- Pencarian tidak peduli huruf besar-kecil.
- Potongan di tengah juga cocok — bukan hanya awalan.</t>
        </is>
      </c>
      <c r="G498" s="14" t="inlineStr">
        <is>
          <t>Sedang</t>
        </is>
      </c>
      <c r="H498" s="18" t="n"/>
      <c r="I498" s="18" t="n"/>
      <c r="J498" s="18" t="n"/>
      <c r="K498" s="18" t="n"/>
      <c r="L498" s="18" t="n"/>
    </row>
    <row r="499" ht="43.59999999999999" customHeight="1">
      <c r="A499" s="10" t="n">
        <v>495</v>
      </c>
      <c r="B499" s="11" t="inlineStr">
        <is>
          <t>MB-PRV-04</t>
        </is>
      </c>
      <c r="C499" s="5" t="inlineStr">
        <is>
          <t>Tombol × menghapus kata kunci dan memulihkan daftar</t>
        </is>
      </c>
      <c r="D499" s="12" t="inlineStr">
        <is>
          <t>Weighbridge</t>
        </is>
      </c>
      <c r="E499" s="5" t="inlineStr">
        <is>
          <t>OPR-A</t>
        </is>
      </c>
      <c r="F499" s="5" t="inlineStr">
        <is>
          <t>- Tombol × muncul hanya ketika kolom Cari terisi.
- Menekan × mengosongkan kata kuncinya.
- Daftar kembali ke jumlah baris langkah 1.</t>
        </is>
      </c>
      <c r="G499" s="10" t="inlineStr">
        <is>
          <t>Rendah</t>
        </is>
      </c>
      <c r="H499" s="18" t="n"/>
      <c r="I499" s="18" t="n"/>
      <c r="J499" s="18" t="n"/>
      <c r="K499" s="18" t="n"/>
      <c r="L499" s="18" t="n"/>
    </row>
    <row r="500" ht="43.59999999999999" customHeight="1">
      <c r="A500" s="14" t="n">
        <v>496</v>
      </c>
      <c r="B500" s="16" t="inlineStr">
        <is>
          <t>MB-PRV-04</t>
        </is>
      </c>
      <c r="C500" s="15" t="inlineStr">
        <is>
          <t>Tombol × menghapus kata kunci dan memulihkan daftar</t>
        </is>
      </c>
      <c r="D500" s="17" t="inlineStr">
        <is>
          <t>Grading</t>
        </is>
      </c>
      <c r="E500" s="15" t="inlineStr">
        <is>
          <t>OPR-A</t>
        </is>
      </c>
      <c r="F500" s="15" t="inlineStr">
        <is>
          <t>- Tombol × muncul hanya ketika kolom Cari terisi.
- Menekan × mengosongkan kata kuncinya.
- Daftar kembali ke jumlah baris langkah 1.</t>
        </is>
      </c>
      <c r="G500" s="14" t="inlineStr">
        <is>
          <t>Rendah</t>
        </is>
      </c>
      <c r="H500" s="18" t="n"/>
      <c r="I500" s="18" t="n"/>
      <c r="J500" s="18" t="n"/>
      <c r="K500" s="18" t="n"/>
      <c r="L500" s="18" t="n"/>
    </row>
    <row r="501" ht="43.59999999999999" customHeight="1">
      <c r="A501" s="10" t="n">
        <v>497</v>
      </c>
      <c r="B501" s="11" t="inlineStr">
        <is>
          <t>MB-PRV-04</t>
        </is>
      </c>
      <c r="C501" s="5" t="inlineStr">
        <is>
          <t>Tombol × menghapus kata kunci dan memulihkan daftar</t>
        </is>
      </c>
      <c r="D501" s="12" t="inlineStr">
        <is>
          <t>Cages Track</t>
        </is>
      </c>
      <c r="E501" s="5" t="inlineStr">
        <is>
          <t>OPR-A</t>
        </is>
      </c>
      <c r="F501" s="5" t="inlineStr">
        <is>
          <t>- Tombol × muncul hanya ketika kolom Cari terisi.
- Menekan × mengosongkan kata kuncinya.
- Daftar kembali ke jumlah baris langkah 1.</t>
        </is>
      </c>
      <c r="G501" s="10" t="inlineStr">
        <is>
          <t>Rendah</t>
        </is>
      </c>
      <c r="H501" s="18" t="n"/>
      <c r="I501" s="18" t="n"/>
      <c r="J501" s="18" t="n"/>
      <c r="K501" s="18" t="n"/>
      <c r="L501" s="18" t="n"/>
    </row>
    <row r="502" ht="43.59999999999999" customHeight="1">
      <c r="A502" s="14" t="n">
        <v>498</v>
      </c>
      <c r="B502" s="16" t="inlineStr">
        <is>
          <t>MB-PRV-04</t>
        </is>
      </c>
      <c r="C502" s="15" t="inlineStr">
        <is>
          <t>Tombol × menghapus kata kunci dan memulihkan daftar</t>
        </is>
      </c>
      <c r="D502" s="17" t="inlineStr">
        <is>
          <t>Sterilizer</t>
        </is>
      </c>
      <c r="E502" s="15" t="inlineStr">
        <is>
          <t>OPR-A</t>
        </is>
      </c>
      <c r="F502" s="15" t="inlineStr">
        <is>
          <t>- Tombol × muncul hanya ketika kolom Cari terisi.
- Menekan × mengosongkan kata kuncinya.
- Daftar kembali ke jumlah baris langkah 1.</t>
        </is>
      </c>
      <c r="G502" s="14" t="inlineStr">
        <is>
          <t>Rendah</t>
        </is>
      </c>
      <c r="H502" s="18" t="n"/>
      <c r="I502" s="18" t="n"/>
      <c r="J502" s="18" t="n"/>
      <c r="K502" s="18" t="n"/>
      <c r="L502" s="18" t="n"/>
    </row>
    <row r="503" ht="43.59999999999999" customHeight="1">
      <c r="A503" s="10" t="n">
        <v>499</v>
      </c>
      <c r="B503" s="11" t="inlineStr">
        <is>
          <t>MB-PRV-04</t>
        </is>
      </c>
      <c r="C503" s="5" t="inlineStr">
        <is>
          <t>Tombol × menghapus kata kunci dan memulihkan daftar</t>
        </is>
      </c>
      <c r="D503" s="12" t="inlineStr">
        <is>
          <t>Threshing</t>
        </is>
      </c>
      <c r="E503" s="5" t="inlineStr">
        <is>
          <t>OPR-A</t>
        </is>
      </c>
      <c r="F503" s="5" t="inlineStr">
        <is>
          <t>- Tombol × muncul hanya ketika kolom Cari terisi.
- Menekan × mengosongkan kata kuncinya.
- Daftar kembali ke jumlah baris langkah 1.</t>
        </is>
      </c>
      <c r="G503" s="10" t="inlineStr">
        <is>
          <t>Rendah</t>
        </is>
      </c>
      <c r="H503" s="18" t="n"/>
      <c r="I503" s="18" t="n"/>
      <c r="J503" s="18" t="n"/>
      <c r="K503" s="18" t="n"/>
      <c r="L503" s="18" t="n"/>
    </row>
    <row r="504" ht="43.59999999999999" customHeight="1">
      <c r="A504" s="14" t="n">
        <v>500</v>
      </c>
      <c r="B504" s="16" t="inlineStr">
        <is>
          <t>MB-PRV-04</t>
        </is>
      </c>
      <c r="C504" s="15" t="inlineStr">
        <is>
          <t>Tombol × menghapus kata kunci dan memulihkan daftar</t>
        </is>
      </c>
      <c r="D504" s="17" t="inlineStr">
        <is>
          <t>Pressing</t>
        </is>
      </c>
      <c r="E504" s="15" t="inlineStr">
        <is>
          <t>OPR-A</t>
        </is>
      </c>
      <c r="F504" s="15" t="inlineStr">
        <is>
          <t>- Tombol × muncul hanya ketika kolom Cari terisi.
- Menekan × mengosongkan kata kuncinya.
- Daftar kembali ke jumlah baris langkah 1.</t>
        </is>
      </c>
      <c r="G504" s="14" t="inlineStr">
        <is>
          <t>Rendah</t>
        </is>
      </c>
      <c r="H504" s="18" t="n"/>
      <c r="I504" s="18" t="n"/>
      <c r="J504" s="18" t="n"/>
      <c r="K504" s="18" t="n"/>
      <c r="L504" s="18" t="n"/>
    </row>
    <row r="505" ht="43.59999999999999" customHeight="1">
      <c r="A505" s="10" t="n">
        <v>501</v>
      </c>
      <c r="B505" s="11" t="inlineStr">
        <is>
          <t>MB-PRV-04</t>
        </is>
      </c>
      <c r="C505" s="5" t="inlineStr">
        <is>
          <t>Tombol × menghapus kata kunci dan memulihkan daftar</t>
        </is>
      </c>
      <c r="D505" s="12" t="inlineStr">
        <is>
          <t>Clarification</t>
        </is>
      </c>
      <c r="E505" s="5" t="inlineStr">
        <is>
          <t>OPR-A</t>
        </is>
      </c>
      <c r="F505" s="5" t="inlineStr">
        <is>
          <t>- Tombol × muncul hanya ketika kolom Cari terisi.
- Menekan × mengosongkan kata kuncinya.
- Daftar kembali ke jumlah baris langkah 1.</t>
        </is>
      </c>
      <c r="G505" s="10" t="inlineStr">
        <is>
          <t>Rendah</t>
        </is>
      </c>
      <c r="H505" s="18" t="n"/>
      <c r="I505" s="18" t="n"/>
      <c r="J505" s="18" t="n"/>
      <c r="K505" s="18" t="n"/>
      <c r="L505" s="18" t="n"/>
    </row>
    <row r="506" ht="43.59999999999999" customHeight="1">
      <c r="A506" s="14" t="n">
        <v>502</v>
      </c>
      <c r="B506" s="16" t="inlineStr">
        <is>
          <t>MB-PRV-04</t>
        </is>
      </c>
      <c r="C506" s="15" t="inlineStr">
        <is>
          <t>Tombol × menghapus kata kunci dan memulihkan daftar</t>
        </is>
      </c>
      <c r="D506" s="17" t="inlineStr">
        <is>
          <t>Kernel Plant</t>
        </is>
      </c>
      <c r="E506" s="15" t="inlineStr">
        <is>
          <t>OPR-A</t>
        </is>
      </c>
      <c r="F506" s="15" t="inlineStr">
        <is>
          <t>- Tombol × muncul hanya ketika kolom Cari terisi.
- Menekan × mengosongkan kata kuncinya.
- Daftar kembali ke jumlah baris langkah 1.</t>
        </is>
      </c>
      <c r="G506" s="14" t="inlineStr">
        <is>
          <t>Rendah</t>
        </is>
      </c>
      <c r="H506" s="18" t="n"/>
      <c r="I506" s="18" t="n"/>
      <c r="J506" s="18" t="n"/>
      <c r="K506" s="18" t="n"/>
      <c r="L506" s="18" t="n"/>
    </row>
    <row r="507" ht="43.59999999999999" customHeight="1">
      <c r="A507" s="10" t="n">
        <v>503</v>
      </c>
      <c r="B507" s="11" t="inlineStr">
        <is>
          <t>MB-PRV-04</t>
        </is>
      </c>
      <c r="C507" s="5" t="inlineStr">
        <is>
          <t>Tombol × menghapus kata kunci dan memulihkan daftar</t>
        </is>
      </c>
      <c r="D507" s="12" t="inlineStr">
        <is>
          <t>Boiler Room</t>
        </is>
      </c>
      <c r="E507" s="5" t="inlineStr">
        <is>
          <t>OPR-A</t>
        </is>
      </c>
      <c r="F507" s="5" t="inlineStr">
        <is>
          <t>- Tombol × muncul hanya ketika kolom Cari terisi.
- Menekan × mengosongkan kata kuncinya.
- Daftar kembali ke jumlah baris langkah 1.</t>
        </is>
      </c>
      <c r="G507" s="10" t="inlineStr">
        <is>
          <t>Rendah</t>
        </is>
      </c>
      <c r="H507" s="18" t="n"/>
      <c r="I507" s="18" t="n"/>
      <c r="J507" s="18" t="n"/>
      <c r="K507" s="18" t="n"/>
      <c r="L507" s="18" t="n"/>
    </row>
    <row r="508" ht="43.59999999999999" customHeight="1">
      <c r="A508" s="14" t="n">
        <v>504</v>
      </c>
      <c r="B508" s="16" t="inlineStr">
        <is>
          <t>MB-PRV-04</t>
        </is>
      </c>
      <c r="C508" s="15" t="inlineStr">
        <is>
          <t>Tombol × menghapus kata kunci dan memulihkan daftar</t>
        </is>
      </c>
      <c r="D508" s="17" t="inlineStr">
        <is>
          <t>Effluent Plant</t>
        </is>
      </c>
      <c r="E508" s="15" t="inlineStr">
        <is>
          <t>OPR-A</t>
        </is>
      </c>
      <c r="F508" s="15" t="inlineStr">
        <is>
          <t>- Tombol × muncul hanya ketika kolom Cari terisi.
- Menekan × mengosongkan kata kuncinya.
- Daftar kembali ke jumlah baris langkah 1.</t>
        </is>
      </c>
      <c r="G508" s="14" t="inlineStr">
        <is>
          <t>Rendah</t>
        </is>
      </c>
      <c r="H508" s="18" t="n"/>
      <c r="I508" s="18" t="n"/>
      <c r="J508" s="18" t="n"/>
      <c r="K508" s="18" t="n"/>
      <c r="L508" s="18" t="n"/>
    </row>
    <row r="509" ht="43.59999999999999" customHeight="1">
      <c r="A509" s="10" t="n">
        <v>505</v>
      </c>
      <c r="B509" s="11" t="inlineStr">
        <is>
          <t>MB-PRV-04</t>
        </is>
      </c>
      <c r="C509" s="5" t="inlineStr">
        <is>
          <t>Tombol × menghapus kata kunci dan memulihkan daftar</t>
        </is>
      </c>
      <c r="D509" s="12" t="inlineStr">
        <is>
          <t>Depricarping</t>
        </is>
      </c>
      <c r="E509" s="5" t="inlineStr">
        <is>
          <t>OPR-A</t>
        </is>
      </c>
      <c r="F509" s="5" t="inlineStr">
        <is>
          <t>- Tombol × muncul hanya ketika kolom Cari terisi.
- Menekan × mengosongkan kata kuncinya.
- Daftar kembali ke jumlah baris langkah 1.</t>
        </is>
      </c>
      <c r="G509" s="10" t="inlineStr">
        <is>
          <t>Rendah</t>
        </is>
      </c>
      <c r="H509" s="18" t="n"/>
      <c r="I509" s="18" t="n"/>
      <c r="J509" s="18" t="n"/>
      <c r="K509" s="18" t="n"/>
      <c r="L509" s="18" t="n"/>
    </row>
    <row r="510" ht="43.59999999999999" customHeight="1">
      <c r="A510" s="14" t="n">
        <v>506</v>
      </c>
      <c r="B510" s="16" t="inlineStr">
        <is>
          <t>MB-PRV-04</t>
        </is>
      </c>
      <c r="C510" s="15" t="inlineStr">
        <is>
          <t>Tombol × menghapus kata kunci dan memulihkan daftar</t>
        </is>
      </c>
      <c r="D510" s="17" t="inlineStr">
        <is>
          <t>Engine Room</t>
        </is>
      </c>
      <c r="E510" s="15" t="inlineStr">
        <is>
          <t>OPR-A</t>
        </is>
      </c>
      <c r="F510" s="15" t="inlineStr">
        <is>
          <t>- Tombol × muncul hanya ketika kolom Cari terisi.
- Menekan × mengosongkan kata kuncinya.
- Daftar kembali ke jumlah baris langkah 1.</t>
        </is>
      </c>
      <c r="G510" s="14" t="inlineStr">
        <is>
          <t>Rendah</t>
        </is>
      </c>
      <c r="H510" s="18" t="n"/>
      <c r="I510" s="18" t="n"/>
      <c r="J510" s="18" t="n"/>
      <c r="K510" s="18" t="n"/>
      <c r="L510" s="18" t="n"/>
    </row>
    <row r="511" ht="43.59999999999999" customHeight="1">
      <c r="A511" s="10" t="n">
        <v>507</v>
      </c>
      <c r="B511" s="11" t="inlineStr">
        <is>
          <t>MB-PRV-04</t>
        </is>
      </c>
      <c r="C511" s="5" t="inlineStr">
        <is>
          <t>Tombol × menghapus kata kunci dan memulihkan daftar</t>
        </is>
      </c>
      <c r="D511" s="12" t="inlineStr">
        <is>
          <t>Process Water</t>
        </is>
      </c>
      <c r="E511" s="5" t="inlineStr">
        <is>
          <t>OPR-A</t>
        </is>
      </c>
      <c r="F511" s="5" t="inlineStr">
        <is>
          <t>- Tombol × muncul hanya ketika kolom Cari terisi.
- Menekan × mengosongkan kata kuncinya.
- Daftar kembali ke jumlah baris langkah 1.</t>
        </is>
      </c>
      <c r="G511" s="10" t="inlineStr">
        <is>
          <t>Rendah</t>
        </is>
      </c>
      <c r="H511" s="18" t="n"/>
      <c r="I511" s="18" t="n"/>
      <c r="J511" s="18" t="n"/>
      <c r="K511" s="18" t="n"/>
      <c r="L511" s="18" t="n"/>
    </row>
    <row r="512" ht="43.59999999999999" customHeight="1">
      <c r="A512" s="14" t="n">
        <v>508</v>
      </c>
      <c r="B512" s="16" t="inlineStr">
        <is>
          <t>MB-PRV-04</t>
        </is>
      </c>
      <c r="C512" s="15" t="inlineStr">
        <is>
          <t>Tombol × menghapus kata kunci dan memulihkan daftar</t>
        </is>
      </c>
      <c r="D512" s="17" t="inlineStr">
        <is>
          <t>Storage Tank</t>
        </is>
      </c>
      <c r="E512" s="15" t="inlineStr">
        <is>
          <t>OPR-A</t>
        </is>
      </c>
      <c r="F512" s="15" t="inlineStr">
        <is>
          <t>- Tombol × muncul hanya ketika kolom Cari terisi.
- Menekan × mengosongkan kata kuncinya.
- Daftar kembali ke jumlah baris langkah 1.</t>
        </is>
      </c>
      <c r="G512" s="14" t="inlineStr">
        <is>
          <t>Rendah</t>
        </is>
      </c>
      <c r="H512" s="18" t="n"/>
      <c r="I512" s="18" t="n"/>
      <c r="J512" s="18" t="n"/>
      <c r="K512" s="18" t="n"/>
      <c r="L512" s="18" t="n"/>
    </row>
    <row r="513" ht="43.59999999999999" customHeight="1">
      <c r="A513" s="10" t="n">
        <v>509</v>
      </c>
      <c r="B513" s="11" t="inlineStr">
        <is>
          <t>MB-PRV-04</t>
        </is>
      </c>
      <c r="C513" s="5" t="inlineStr">
        <is>
          <t>Tombol × menghapus kata kunci dan memulihkan daftar</t>
        </is>
      </c>
      <c r="D513" s="12" t="inlineStr">
        <is>
          <t>Solid Waste Disposal</t>
        </is>
      </c>
      <c r="E513" s="5" t="inlineStr">
        <is>
          <t>OPR-A</t>
        </is>
      </c>
      <c r="F513" s="5" t="inlineStr">
        <is>
          <t>- Tombol × muncul hanya ketika kolom Cari terisi.
- Menekan × mengosongkan kata kuncinya.
- Daftar kembali ke jumlah baris langkah 1.</t>
        </is>
      </c>
      <c r="G513" s="10" t="inlineStr">
        <is>
          <t>Rendah</t>
        </is>
      </c>
      <c r="H513" s="18" t="n"/>
      <c r="I513" s="18" t="n"/>
      <c r="J513" s="18" t="n"/>
      <c r="K513" s="18" t="n"/>
      <c r="L513" s="18" t="n"/>
    </row>
    <row r="514" ht="43.59999999999999" customHeight="1">
      <c r="A514" s="14" t="n">
        <v>510</v>
      </c>
      <c r="B514" s="16" t="inlineStr">
        <is>
          <t>MB-PRV-04</t>
        </is>
      </c>
      <c r="C514" s="15" t="inlineStr">
        <is>
          <t>Tombol × menghapus kata kunci dan memulihkan daftar</t>
        </is>
      </c>
      <c r="D514" s="17" t="inlineStr">
        <is>
          <t>Kernel Dispatch</t>
        </is>
      </c>
      <c r="E514" s="15" t="inlineStr">
        <is>
          <t>OPR-A</t>
        </is>
      </c>
      <c r="F514" s="15" t="inlineStr">
        <is>
          <t>- Tombol × muncul hanya ketika kolom Cari terisi.
- Menekan × mengosongkan kata kuncinya.
- Daftar kembali ke jumlah baris langkah 1.</t>
        </is>
      </c>
      <c r="G514" s="14" t="inlineStr">
        <is>
          <t>Rendah</t>
        </is>
      </c>
      <c r="H514" s="18" t="n"/>
      <c r="I514" s="18" t="n"/>
      <c r="J514" s="18" t="n"/>
      <c r="K514" s="18" t="n"/>
      <c r="L514" s="18" t="n"/>
    </row>
    <row r="515" ht="43.59999999999999" customHeight="1">
      <c r="A515" s="10" t="n">
        <v>511</v>
      </c>
      <c r="B515" s="11" t="inlineStr">
        <is>
          <t>MB-PRV-04</t>
        </is>
      </c>
      <c r="C515" s="5" t="inlineStr">
        <is>
          <t>Tombol × menghapus kata kunci dan memulihkan daftar</t>
        </is>
      </c>
      <c r="D515" s="12" t="inlineStr">
        <is>
          <t>CPO Dispatch</t>
        </is>
      </c>
      <c r="E515" s="5" t="inlineStr">
        <is>
          <t>OPR-A</t>
        </is>
      </c>
      <c r="F515" s="5" t="inlineStr">
        <is>
          <t>- Tombol × muncul hanya ketika kolom Cari terisi.
- Menekan × mengosongkan kata kuncinya.
- Daftar kembali ke jumlah baris langkah 1.</t>
        </is>
      </c>
      <c r="G515" s="10" t="inlineStr">
        <is>
          <t>Rendah</t>
        </is>
      </c>
      <c r="H515" s="18" t="n"/>
      <c r="I515" s="18" t="n"/>
      <c r="J515" s="18" t="n"/>
      <c r="K515" s="18" t="n"/>
      <c r="L515" s="18" t="n"/>
    </row>
    <row r="516" ht="43.59999999999999" customHeight="1">
      <c r="A516" s="14" t="n">
        <v>512</v>
      </c>
      <c r="B516" s="16" t="inlineStr">
        <is>
          <t>MB-PRV-04</t>
        </is>
      </c>
      <c r="C516" s="15" t="inlineStr">
        <is>
          <t>Tombol × menghapus kata kunci dan memulihkan daftar</t>
        </is>
      </c>
      <c r="D516" s="17" t="inlineStr">
        <is>
          <t>Process Quality Control</t>
        </is>
      </c>
      <c r="E516" s="15" t="inlineStr">
        <is>
          <t>OPR-A</t>
        </is>
      </c>
      <c r="F516" s="15" t="inlineStr">
        <is>
          <t>- Tombol × muncul hanya ketika kolom Cari terisi.
- Menekan × mengosongkan kata kuncinya.
- Daftar kembali ke jumlah baris langkah 1.</t>
        </is>
      </c>
      <c r="G516" s="14" t="inlineStr">
        <is>
          <t>Rendah</t>
        </is>
      </c>
      <c r="H516" s="18" t="n"/>
      <c r="I516" s="18" t="n"/>
      <c r="J516" s="18" t="n"/>
      <c r="K516" s="18" t="n"/>
      <c r="L516" s="18" t="n"/>
    </row>
    <row r="517" ht="70" customHeight="1">
      <c r="A517" s="10" t="n">
        <v>513</v>
      </c>
      <c r="B517" s="11" t="inlineStr">
        <is>
          <t>MB-PRV-05</t>
        </is>
      </c>
      <c r="C517" s="5" t="inlineStr">
        <is>
          <t>Draft mengarah ke Form, record final mengarah ke detail read-only</t>
        </is>
      </c>
      <c r="D517" s="12" t="inlineStr">
        <is>
          <t>Weighbridge</t>
        </is>
      </c>
      <c r="E517" s="5" t="inlineStr">
        <is>
          <t>OPR-A</t>
        </is>
      </c>
      <c r="F517" s="5" t="inlineStr">
        <is>
          <t>- Baris draft mendarat di Form — dapat dilanjutkan dan diubah.
- Baris Tersimpan mendarat di detail read-only.
- Pada detail read-only, tidak satu pun nilai dapat diubah.</t>
        </is>
      </c>
      <c r="G517" s="13" t="inlineStr">
        <is>
          <t>Tinggi</t>
        </is>
      </c>
      <c r="H517" s="18" t="n"/>
      <c r="I517" s="18" t="n"/>
      <c r="J517" s="18" t="n"/>
      <c r="K517" s="18" t="n"/>
      <c r="L517" s="18" t="n"/>
    </row>
    <row r="518" ht="70" customHeight="1">
      <c r="A518" s="14" t="n">
        <v>514</v>
      </c>
      <c r="B518" s="16" t="inlineStr">
        <is>
          <t>MB-PRV-05</t>
        </is>
      </c>
      <c r="C518" s="15" t="inlineStr">
        <is>
          <t>Draft mengarah ke Form, record final mengarah ke detail read-only</t>
        </is>
      </c>
      <c r="D518" s="17" t="inlineStr">
        <is>
          <t>Grading</t>
        </is>
      </c>
      <c r="E518" s="15" t="inlineStr">
        <is>
          <t>OPR-A</t>
        </is>
      </c>
      <c r="F518" s="15" t="inlineStr">
        <is>
          <t>- Baris draft mendarat di Form — dapat dilanjutkan dan diubah.
- Baris Tersimpan mendarat di detail read-only.
- Pada detail read-only, tidak satu pun nilai dapat diubah.</t>
        </is>
      </c>
      <c r="G518" s="13" t="inlineStr">
        <is>
          <t>Tinggi</t>
        </is>
      </c>
      <c r="H518" s="18" t="n"/>
      <c r="I518" s="18" t="n"/>
      <c r="J518" s="18" t="n"/>
      <c r="K518" s="18" t="n"/>
      <c r="L518" s="18" t="n"/>
    </row>
    <row r="519" ht="70" customHeight="1">
      <c r="A519" s="10" t="n">
        <v>515</v>
      </c>
      <c r="B519" s="11" t="inlineStr">
        <is>
          <t>MB-PRV-05</t>
        </is>
      </c>
      <c r="C519" s="5" t="inlineStr">
        <is>
          <t>Draft mengarah ke Form, record final mengarah ke detail read-only</t>
        </is>
      </c>
      <c r="D519" s="12" t="inlineStr">
        <is>
          <t>Cages Track</t>
        </is>
      </c>
      <c r="E519" s="5" t="inlineStr">
        <is>
          <t>OPR-A</t>
        </is>
      </c>
      <c r="F519" s="5" t="inlineStr">
        <is>
          <t>- Baris draft mendarat di Form — dapat dilanjutkan dan diubah.
- Baris Tersimpan mendarat di detail read-only.
- Pada detail read-only, tidak satu pun nilai dapat diubah.</t>
        </is>
      </c>
      <c r="G519" s="13" t="inlineStr">
        <is>
          <t>Tinggi</t>
        </is>
      </c>
      <c r="H519" s="18" t="n"/>
      <c r="I519" s="18" t="n"/>
      <c r="J519" s="18" t="n"/>
      <c r="K519" s="18" t="n"/>
      <c r="L519" s="18" t="n"/>
    </row>
    <row r="520" ht="70" customHeight="1">
      <c r="A520" s="14" t="n">
        <v>516</v>
      </c>
      <c r="B520" s="16" t="inlineStr">
        <is>
          <t>MB-PRV-05</t>
        </is>
      </c>
      <c r="C520" s="15" t="inlineStr">
        <is>
          <t>Draft mengarah ke Form, record final mengarah ke detail read-only</t>
        </is>
      </c>
      <c r="D520" s="17" t="inlineStr">
        <is>
          <t>Sterilizer</t>
        </is>
      </c>
      <c r="E520" s="15" t="inlineStr">
        <is>
          <t>OPR-A</t>
        </is>
      </c>
      <c r="F520" s="15" t="inlineStr">
        <is>
          <t>- Baris draft mendarat di Form — dapat dilanjutkan dan diubah.
- Baris Tersimpan mendarat di detail read-only.
- Pada detail read-only, tidak satu pun nilai dapat diubah.</t>
        </is>
      </c>
      <c r="G520" s="13" t="inlineStr">
        <is>
          <t>Tinggi</t>
        </is>
      </c>
      <c r="H520" s="18" t="n"/>
      <c r="I520" s="18" t="n"/>
      <c r="J520" s="18" t="n"/>
      <c r="K520" s="18" t="n"/>
      <c r="L520" s="18" t="n"/>
    </row>
    <row r="521" ht="70" customHeight="1">
      <c r="A521" s="10" t="n">
        <v>517</v>
      </c>
      <c r="B521" s="11" t="inlineStr">
        <is>
          <t>MB-PRV-05</t>
        </is>
      </c>
      <c r="C521" s="5" t="inlineStr">
        <is>
          <t>Draft mengarah ke Form, record final mengarah ke detail read-only</t>
        </is>
      </c>
      <c r="D521" s="12" t="inlineStr">
        <is>
          <t>Threshing</t>
        </is>
      </c>
      <c r="E521" s="5" t="inlineStr">
        <is>
          <t>OPR-A</t>
        </is>
      </c>
      <c r="F521" s="5" t="inlineStr">
        <is>
          <t>- Baris draft mendarat di Form — dapat dilanjutkan dan diubah.
- Baris Tersimpan mendarat di detail read-only.
- Pada detail read-only, tidak satu pun nilai dapat diubah.</t>
        </is>
      </c>
      <c r="G521" s="13" t="inlineStr">
        <is>
          <t>Tinggi</t>
        </is>
      </c>
      <c r="H521" s="18" t="n"/>
      <c r="I521" s="18" t="n"/>
      <c r="J521" s="18" t="n"/>
      <c r="K521" s="18" t="n"/>
      <c r="L521" s="18" t="n"/>
    </row>
    <row r="522" ht="70" customHeight="1">
      <c r="A522" s="14" t="n">
        <v>518</v>
      </c>
      <c r="B522" s="16" t="inlineStr">
        <is>
          <t>MB-PRV-05</t>
        </is>
      </c>
      <c r="C522" s="15" t="inlineStr">
        <is>
          <t>Draft mengarah ke Form, record final mengarah ke detail read-only</t>
        </is>
      </c>
      <c r="D522" s="17" t="inlineStr">
        <is>
          <t>Pressing</t>
        </is>
      </c>
      <c r="E522" s="15" t="inlineStr">
        <is>
          <t>OPR-A</t>
        </is>
      </c>
      <c r="F522" s="15" t="inlineStr">
        <is>
          <t>- Baris draft mendarat di Form — dapat dilanjutkan dan diubah.
- Baris Tersimpan mendarat di detail read-only.
- Pada detail read-only, tidak satu pun nilai dapat diubah.</t>
        </is>
      </c>
      <c r="G522" s="13" t="inlineStr">
        <is>
          <t>Tinggi</t>
        </is>
      </c>
      <c r="H522" s="18" t="n"/>
      <c r="I522" s="18" t="n"/>
      <c r="J522" s="18" t="n"/>
      <c r="K522" s="18" t="n"/>
      <c r="L522" s="18" t="n"/>
    </row>
    <row r="523" ht="70" customHeight="1">
      <c r="A523" s="10" t="n">
        <v>519</v>
      </c>
      <c r="B523" s="11" t="inlineStr">
        <is>
          <t>MB-PRV-05</t>
        </is>
      </c>
      <c r="C523" s="5" t="inlineStr">
        <is>
          <t>Draft mengarah ke Form, record final mengarah ke detail read-only</t>
        </is>
      </c>
      <c r="D523" s="12" t="inlineStr">
        <is>
          <t>Clarification</t>
        </is>
      </c>
      <c r="E523" s="5" t="inlineStr">
        <is>
          <t>OPR-A</t>
        </is>
      </c>
      <c r="F523" s="5" t="inlineStr">
        <is>
          <t>- Baris draft mendarat di Form — dapat dilanjutkan dan diubah.
- Baris Tersimpan mendarat di detail read-only.
- Pada detail read-only, tidak satu pun nilai dapat diubah.</t>
        </is>
      </c>
      <c r="G523" s="13" t="inlineStr">
        <is>
          <t>Tinggi</t>
        </is>
      </c>
      <c r="H523" s="18" t="n"/>
      <c r="I523" s="18" t="n"/>
      <c r="J523" s="18" t="n"/>
      <c r="K523" s="18" t="n"/>
      <c r="L523" s="18" t="n"/>
    </row>
    <row r="524" ht="70" customHeight="1">
      <c r="A524" s="14" t="n">
        <v>520</v>
      </c>
      <c r="B524" s="16" t="inlineStr">
        <is>
          <t>MB-PRV-05</t>
        </is>
      </c>
      <c r="C524" s="15" t="inlineStr">
        <is>
          <t>Draft mengarah ke Form, record final mengarah ke detail read-only</t>
        </is>
      </c>
      <c r="D524" s="17" t="inlineStr">
        <is>
          <t>Kernel Plant</t>
        </is>
      </c>
      <c r="E524" s="15" t="inlineStr">
        <is>
          <t>OPR-A</t>
        </is>
      </c>
      <c r="F524" s="15" t="inlineStr">
        <is>
          <t>- Baris draft mendarat di Form — dapat dilanjutkan dan diubah.
- Baris Tersimpan mendarat di detail read-only.
- Pada detail read-only, tidak satu pun nilai dapat diubah.</t>
        </is>
      </c>
      <c r="G524" s="13" t="inlineStr">
        <is>
          <t>Tinggi</t>
        </is>
      </c>
      <c r="H524" s="18" t="n"/>
      <c r="I524" s="18" t="n"/>
      <c r="J524" s="18" t="n"/>
      <c r="K524" s="18" t="n"/>
      <c r="L524" s="18" t="n"/>
    </row>
    <row r="525" ht="70" customHeight="1">
      <c r="A525" s="10" t="n">
        <v>521</v>
      </c>
      <c r="B525" s="11" t="inlineStr">
        <is>
          <t>MB-PRV-05</t>
        </is>
      </c>
      <c r="C525" s="5" t="inlineStr">
        <is>
          <t>Draft mengarah ke Form, record final mengarah ke detail read-only</t>
        </is>
      </c>
      <c r="D525" s="12" t="inlineStr">
        <is>
          <t>Boiler Room</t>
        </is>
      </c>
      <c r="E525" s="5" t="inlineStr">
        <is>
          <t>OPR-A</t>
        </is>
      </c>
      <c r="F525" s="5" t="inlineStr">
        <is>
          <t>- Baris draft mendarat di Form — dapat dilanjutkan dan diubah.
- Baris Tersimpan mendarat di detail read-only.
- Pada detail read-only, tidak satu pun nilai dapat diubah.</t>
        </is>
      </c>
      <c r="G525" s="13" t="inlineStr">
        <is>
          <t>Tinggi</t>
        </is>
      </c>
      <c r="H525" s="18" t="n"/>
      <c r="I525" s="18" t="n"/>
      <c r="J525" s="18" t="n"/>
      <c r="K525" s="18" t="n"/>
      <c r="L525" s="18" t="n"/>
    </row>
    <row r="526" ht="70" customHeight="1">
      <c r="A526" s="14" t="n">
        <v>522</v>
      </c>
      <c r="B526" s="16" t="inlineStr">
        <is>
          <t>MB-PRV-05</t>
        </is>
      </c>
      <c r="C526" s="15" t="inlineStr">
        <is>
          <t>Draft mengarah ke Form, record final mengarah ke detail read-only</t>
        </is>
      </c>
      <c r="D526" s="17" t="inlineStr">
        <is>
          <t>Effluent Plant</t>
        </is>
      </c>
      <c r="E526" s="15" t="inlineStr">
        <is>
          <t>OPR-A</t>
        </is>
      </c>
      <c r="F526" s="15" t="inlineStr">
        <is>
          <t>- Baris draft mendarat di Form — dapat dilanjutkan dan diubah.
- Baris Tersimpan mendarat di detail read-only.
- Pada detail read-only, tidak satu pun nilai dapat diubah.</t>
        </is>
      </c>
      <c r="G526" s="13" t="inlineStr">
        <is>
          <t>Tinggi</t>
        </is>
      </c>
      <c r="H526" s="18" t="n"/>
      <c r="I526" s="18" t="n"/>
      <c r="J526" s="18" t="n"/>
      <c r="K526" s="18" t="n"/>
      <c r="L526" s="18" t="n"/>
    </row>
    <row r="527" ht="70" customHeight="1">
      <c r="A527" s="10" t="n">
        <v>523</v>
      </c>
      <c r="B527" s="11" t="inlineStr">
        <is>
          <t>MB-PRV-05</t>
        </is>
      </c>
      <c r="C527" s="5" t="inlineStr">
        <is>
          <t>Draft mengarah ke Form, record final mengarah ke detail read-only</t>
        </is>
      </c>
      <c r="D527" s="12" t="inlineStr">
        <is>
          <t>Depricarping</t>
        </is>
      </c>
      <c r="E527" s="5" t="inlineStr">
        <is>
          <t>OPR-A</t>
        </is>
      </c>
      <c r="F527" s="5" t="inlineStr">
        <is>
          <t>- Baris draft mendarat di Form — dapat dilanjutkan dan diubah.
- Baris Tersimpan mendarat di detail read-only.
- Pada detail read-only, tidak satu pun nilai dapat diubah.</t>
        </is>
      </c>
      <c r="G527" s="13" t="inlineStr">
        <is>
          <t>Tinggi</t>
        </is>
      </c>
      <c r="H527" s="18" t="n"/>
      <c r="I527" s="18" t="n"/>
      <c r="J527" s="18" t="n"/>
      <c r="K527" s="18" t="n"/>
      <c r="L527" s="18" t="n"/>
    </row>
    <row r="528" ht="70" customHeight="1">
      <c r="A528" s="14" t="n">
        <v>524</v>
      </c>
      <c r="B528" s="16" t="inlineStr">
        <is>
          <t>MB-PRV-05</t>
        </is>
      </c>
      <c r="C528" s="15" t="inlineStr">
        <is>
          <t>Draft mengarah ke Form, record final mengarah ke detail read-only</t>
        </is>
      </c>
      <c r="D528" s="17" t="inlineStr">
        <is>
          <t>Engine Room</t>
        </is>
      </c>
      <c r="E528" s="15" t="inlineStr">
        <is>
          <t>OPR-A</t>
        </is>
      </c>
      <c r="F528" s="15" t="inlineStr">
        <is>
          <t>- Baris draft mendarat di Form — dapat dilanjutkan dan diubah.
- Baris Tersimpan mendarat di detail read-only.
- Pada detail read-only, tidak satu pun nilai dapat diubah.</t>
        </is>
      </c>
      <c r="G528" s="13" t="inlineStr">
        <is>
          <t>Tinggi</t>
        </is>
      </c>
      <c r="H528" s="18" t="n"/>
      <c r="I528" s="18" t="n"/>
      <c r="J528" s="18" t="n"/>
      <c r="K528" s="18" t="n"/>
      <c r="L528" s="18" t="n"/>
    </row>
    <row r="529" ht="70" customHeight="1">
      <c r="A529" s="10" t="n">
        <v>525</v>
      </c>
      <c r="B529" s="11" t="inlineStr">
        <is>
          <t>MB-PRV-05</t>
        </is>
      </c>
      <c r="C529" s="5" t="inlineStr">
        <is>
          <t>Draft mengarah ke Form, record final mengarah ke detail read-only</t>
        </is>
      </c>
      <c r="D529" s="12" t="inlineStr">
        <is>
          <t>Process Water</t>
        </is>
      </c>
      <c r="E529" s="5" t="inlineStr">
        <is>
          <t>OPR-A</t>
        </is>
      </c>
      <c r="F529" s="5" t="inlineStr">
        <is>
          <t>- Baris draft mendarat di Form — dapat dilanjutkan dan diubah.
- Baris Tersimpan mendarat di detail read-only.
- Pada detail read-only, tidak satu pun nilai dapat diubah.</t>
        </is>
      </c>
      <c r="G529" s="13" t="inlineStr">
        <is>
          <t>Tinggi</t>
        </is>
      </c>
      <c r="H529" s="18" t="n"/>
      <c r="I529" s="18" t="n"/>
      <c r="J529" s="18" t="n"/>
      <c r="K529" s="18" t="n"/>
      <c r="L529" s="18" t="n"/>
    </row>
    <row r="530" ht="70" customHeight="1">
      <c r="A530" s="14" t="n">
        <v>526</v>
      </c>
      <c r="B530" s="16" t="inlineStr">
        <is>
          <t>MB-PRV-05</t>
        </is>
      </c>
      <c r="C530" s="15" t="inlineStr">
        <is>
          <t>Draft mengarah ke Form, record final mengarah ke detail read-only</t>
        </is>
      </c>
      <c r="D530" s="17" t="inlineStr">
        <is>
          <t>Storage Tank</t>
        </is>
      </c>
      <c r="E530" s="15" t="inlineStr">
        <is>
          <t>OPR-A</t>
        </is>
      </c>
      <c r="F530" s="15" t="inlineStr">
        <is>
          <t>- Baris draft mendarat di Form — dapat dilanjutkan dan diubah.
- Baris Tersimpan mendarat di detail read-only.
- Pada detail read-only, tidak satu pun nilai dapat diubah.</t>
        </is>
      </c>
      <c r="G530" s="13" t="inlineStr">
        <is>
          <t>Tinggi</t>
        </is>
      </c>
      <c r="H530" s="18" t="n"/>
      <c r="I530" s="18" t="n"/>
      <c r="J530" s="18" t="n"/>
      <c r="K530" s="18" t="n"/>
      <c r="L530" s="18" t="n"/>
    </row>
    <row r="531" ht="70" customHeight="1">
      <c r="A531" s="10" t="n">
        <v>527</v>
      </c>
      <c r="B531" s="11" t="inlineStr">
        <is>
          <t>MB-PRV-05</t>
        </is>
      </c>
      <c r="C531" s="5" t="inlineStr">
        <is>
          <t>Draft mengarah ke Form, record final mengarah ke detail read-only</t>
        </is>
      </c>
      <c r="D531" s="12" t="inlineStr">
        <is>
          <t>Solid Waste Disposal</t>
        </is>
      </c>
      <c r="E531" s="5" t="inlineStr">
        <is>
          <t>OPR-A</t>
        </is>
      </c>
      <c r="F531" s="5" t="inlineStr">
        <is>
          <t>- Baris draft mendarat di Form — dapat dilanjutkan dan diubah.
- Baris Tersimpan mendarat di detail read-only.
- Pada detail read-only, tidak satu pun nilai dapat diubah.</t>
        </is>
      </c>
      <c r="G531" s="13" t="inlineStr">
        <is>
          <t>Tinggi</t>
        </is>
      </c>
      <c r="H531" s="18" t="n"/>
      <c r="I531" s="18" t="n"/>
      <c r="J531" s="18" t="n"/>
      <c r="K531" s="18" t="n"/>
      <c r="L531" s="18" t="n"/>
    </row>
    <row r="532" ht="70" customHeight="1">
      <c r="A532" s="14" t="n">
        <v>528</v>
      </c>
      <c r="B532" s="16" t="inlineStr">
        <is>
          <t>MB-PRV-05</t>
        </is>
      </c>
      <c r="C532" s="15" t="inlineStr">
        <is>
          <t>Draft mengarah ke Form, record final mengarah ke detail read-only</t>
        </is>
      </c>
      <c r="D532" s="17" t="inlineStr">
        <is>
          <t>Kernel Dispatch</t>
        </is>
      </c>
      <c r="E532" s="15" t="inlineStr">
        <is>
          <t>OPR-A</t>
        </is>
      </c>
      <c r="F532" s="15" t="inlineStr">
        <is>
          <t>- Baris draft mendarat di Form — dapat dilanjutkan dan diubah.
- Baris Tersimpan mendarat di detail read-only.
- Pada detail read-only, tidak satu pun nilai dapat diubah.</t>
        </is>
      </c>
      <c r="G532" s="13" t="inlineStr">
        <is>
          <t>Tinggi</t>
        </is>
      </c>
      <c r="H532" s="18" t="n"/>
      <c r="I532" s="18" t="n"/>
      <c r="J532" s="18" t="n"/>
      <c r="K532" s="18" t="n"/>
      <c r="L532" s="18" t="n"/>
    </row>
    <row r="533" ht="70" customHeight="1">
      <c r="A533" s="10" t="n">
        <v>529</v>
      </c>
      <c r="B533" s="11" t="inlineStr">
        <is>
          <t>MB-PRV-05</t>
        </is>
      </c>
      <c r="C533" s="5" t="inlineStr">
        <is>
          <t>Draft mengarah ke Form, record final mengarah ke detail read-only</t>
        </is>
      </c>
      <c r="D533" s="12" t="inlineStr">
        <is>
          <t>CPO Dispatch</t>
        </is>
      </c>
      <c r="E533" s="5" t="inlineStr">
        <is>
          <t>OPR-A</t>
        </is>
      </c>
      <c r="F533" s="5" t="inlineStr">
        <is>
          <t>- Baris draft mendarat di Form — dapat dilanjutkan dan diubah.
- Baris Tersimpan mendarat di detail read-only.
- Pada detail read-only, tidak satu pun nilai dapat diubah.</t>
        </is>
      </c>
      <c r="G533" s="13" t="inlineStr">
        <is>
          <t>Tinggi</t>
        </is>
      </c>
      <c r="H533" s="18" t="n"/>
      <c r="I533" s="18" t="n"/>
      <c r="J533" s="18" t="n"/>
      <c r="K533" s="18" t="n"/>
      <c r="L533" s="18" t="n"/>
    </row>
    <row r="534" ht="70" customHeight="1">
      <c r="A534" s="14" t="n">
        <v>530</v>
      </c>
      <c r="B534" s="16" t="inlineStr">
        <is>
          <t>MB-PRV-05</t>
        </is>
      </c>
      <c r="C534" s="15" t="inlineStr">
        <is>
          <t>Draft mengarah ke Form, record final mengarah ke detail read-only</t>
        </is>
      </c>
      <c r="D534" s="17" t="inlineStr">
        <is>
          <t>Process Quality Control</t>
        </is>
      </c>
      <c r="E534" s="15" t="inlineStr">
        <is>
          <t>OPR-A</t>
        </is>
      </c>
      <c r="F534" s="15" t="inlineStr">
        <is>
          <t>- Baris draft mendarat di Form — dapat dilanjutkan dan diubah.
- Baris Tersimpan mendarat di detail read-only.
- Pada detail read-only, tidak satu pun nilai dapat diubah.</t>
        </is>
      </c>
      <c r="G534" s="13" t="inlineStr">
        <is>
          <t>Tinggi</t>
        </is>
      </c>
      <c r="H534" s="18" t="n"/>
      <c r="I534" s="18" t="n"/>
      <c r="J534" s="18" t="n"/>
      <c r="K534" s="18" t="n"/>
      <c r="L534" s="18" t="n"/>
    </row>
    <row r="535" ht="70" customHeight="1">
      <c r="A535" s="10" t="n">
        <v>531</v>
      </c>
      <c r="B535" s="11" t="inlineStr">
        <is>
          <t>MB-PRV-06</t>
        </is>
      </c>
      <c r="C535" s="5" t="inlineStr">
        <is>
          <t>Detail menampilkan persis baris yang tersimpan</t>
        </is>
      </c>
      <c r="D535" s="12" t="inlineStr">
        <is>
          <t>Weighbridge</t>
        </is>
      </c>
      <c r="E535" s="5" t="inlineStr">
        <is>
          <t>OPR-A</t>
        </is>
      </c>
      <c r="F535" s="5" t="inlineStr">
        <is>
          <t>- Grid menampilkan tepat 3 baris — bukan 24, bukan dipadatkan menjadi 1.
- Slot waktu dan nilainya sama dengan yang disimpan.
- Tidak ada baris kosong tambahan yang digambar untuk mengisi sampai 24.</t>
        </is>
      </c>
      <c r="G535" s="13" t="inlineStr">
        <is>
          <t>Tinggi</t>
        </is>
      </c>
      <c r="H535" s="18" t="n"/>
      <c r="I535" s="18" t="n"/>
      <c r="J535" s="18" t="n"/>
      <c r="K535" s="18" t="n"/>
      <c r="L535" s="18" t="n"/>
    </row>
    <row r="536" ht="70" customHeight="1">
      <c r="A536" s="14" t="n">
        <v>532</v>
      </c>
      <c r="B536" s="16" t="inlineStr">
        <is>
          <t>MB-PRV-06</t>
        </is>
      </c>
      <c r="C536" s="15" t="inlineStr">
        <is>
          <t>Detail menampilkan persis baris yang tersimpan</t>
        </is>
      </c>
      <c r="D536" s="17" t="inlineStr">
        <is>
          <t>Grading</t>
        </is>
      </c>
      <c r="E536" s="15" t="inlineStr">
        <is>
          <t>OPR-A</t>
        </is>
      </c>
      <c r="F536" s="15" t="inlineStr">
        <is>
          <t>- Grid menampilkan tepat 3 baris — bukan 24, bukan dipadatkan menjadi 1.
- Slot waktu dan nilainya sama dengan yang disimpan.
- Tidak ada baris kosong tambahan yang digambar untuk mengisi sampai 24.</t>
        </is>
      </c>
      <c r="G536" s="13" t="inlineStr">
        <is>
          <t>Tinggi</t>
        </is>
      </c>
      <c r="H536" s="18" t="n"/>
      <c r="I536" s="18" t="n"/>
      <c r="J536" s="18" t="n"/>
      <c r="K536" s="18" t="n"/>
      <c r="L536" s="18" t="n"/>
    </row>
    <row r="537" ht="70" customHeight="1">
      <c r="A537" s="10" t="n">
        <v>533</v>
      </c>
      <c r="B537" s="11" t="inlineStr">
        <is>
          <t>MB-PRV-06</t>
        </is>
      </c>
      <c r="C537" s="5" t="inlineStr">
        <is>
          <t>Detail menampilkan persis baris yang tersimpan</t>
        </is>
      </c>
      <c r="D537" s="12" t="inlineStr">
        <is>
          <t>Cages Track</t>
        </is>
      </c>
      <c r="E537" s="5" t="inlineStr">
        <is>
          <t>OPR-A</t>
        </is>
      </c>
      <c r="F537" s="5" t="inlineStr">
        <is>
          <t>- Grid menampilkan tepat 3 baris — bukan 24, bukan dipadatkan menjadi 1.
- Slot waktu dan nilainya sama dengan yang disimpan.
- Tidak ada baris kosong tambahan yang digambar untuk mengisi sampai 24.</t>
        </is>
      </c>
      <c r="G537" s="13" t="inlineStr">
        <is>
          <t>Tinggi</t>
        </is>
      </c>
      <c r="H537" s="18" t="n"/>
      <c r="I537" s="18" t="n"/>
      <c r="J537" s="18" t="n"/>
      <c r="K537" s="18" t="n"/>
      <c r="L537" s="18" t="n"/>
    </row>
    <row r="538" ht="70" customHeight="1">
      <c r="A538" s="14" t="n">
        <v>534</v>
      </c>
      <c r="B538" s="16" t="inlineStr">
        <is>
          <t>MB-PRV-06</t>
        </is>
      </c>
      <c r="C538" s="15" t="inlineStr">
        <is>
          <t>Detail menampilkan persis baris yang tersimpan</t>
        </is>
      </c>
      <c r="D538" s="17" t="inlineStr">
        <is>
          <t>Sterilizer</t>
        </is>
      </c>
      <c r="E538" s="15" t="inlineStr">
        <is>
          <t>OPR-A</t>
        </is>
      </c>
      <c r="F538" s="15" t="inlineStr">
        <is>
          <t>- Grid menampilkan tepat 3 baris — bukan 24, bukan dipadatkan menjadi 1.
- Slot waktu dan nilainya sama dengan yang disimpan.
- Tidak ada baris kosong tambahan yang digambar untuk mengisi sampai 24.</t>
        </is>
      </c>
      <c r="G538" s="13" t="inlineStr">
        <is>
          <t>Tinggi</t>
        </is>
      </c>
      <c r="H538" s="18" t="n"/>
      <c r="I538" s="18" t="n"/>
      <c r="J538" s="18" t="n"/>
      <c r="K538" s="18" t="n"/>
      <c r="L538" s="18" t="n"/>
    </row>
    <row r="539" ht="70" customHeight="1">
      <c r="A539" s="10" t="n">
        <v>535</v>
      </c>
      <c r="B539" s="11" t="inlineStr">
        <is>
          <t>MB-PRV-06</t>
        </is>
      </c>
      <c r="C539" s="5" t="inlineStr">
        <is>
          <t>Detail menampilkan persis baris yang tersimpan</t>
        </is>
      </c>
      <c r="D539" s="12" t="inlineStr">
        <is>
          <t>Threshing</t>
        </is>
      </c>
      <c r="E539" s="5" t="inlineStr">
        <is>
          <t>OPR-A</t>
        </is>
      </c>
      <c r="F539" s="5" t="inlineStr">
        <is>
          <t>- Grid menampilkan tepat 3 baris — bukan 24, bukan dipadatkan menjadi 1.
- Slot waktu dan nilainya sama dengan yang disimpan.
- Tidak ada baris kosong tambahan yang digambar untuk mengisi sampai 24.</t>
        </is>
      </c>
      <c r="G539" s="13" t="inlineStr">
        <is>
          <t>Tinggi</t>
        </is>
      </c>
      <c r="H539" s="18" t="n"/>
      <c r="I539" s="18" t="n"/>
      <c r="J539" s="18" t="n"/>
      <c r="K539" s="18" t="n"/>
      <c r="L539" s="18" t="n"/>
    </row>
    <row r="540" ht="70" customHeight="1">
      <c r="A540" s="14" t="n">
        <v>536</v>
      </c>
      <c r="B540" s="16" t="inlineStr">
        <is>
          <t>MB-PRV-06</t>
        </is>
      </c>
      <c r="C540" s="15" t="inlineStr">
        <is>
          <t>Detail menampilkan persis baris yang tersimpan</t>
        </is>
      </c>
      <c r="D540" s="17" t="inlineStr">
        <is>
          <t>Pressing</t>
        </is>
      </c>
      <c r="E540" s="15" t="inlineStr">
        <is>
          <t>OPR-A</t>
        </is>
      </c>
      <c r="F540" s="15" t="inlineStr">
        <is>
          <t>- Grid menampilkan tepat 3 baris — bukan 24, bukan dipadatkan menjadi 1.
- Slot waktu dan nilainya sama dengan yang disimpan.
- Tidak ada baris kosong tambahan yang digambar untuk mengisi sampai 24.</t>
        </is>
      </c>
      <c r="G540" s="13" t="inlineStr">
        <is>
          <t>Tinggi</t>
        </is>
      </c>
      <c r="H540" s="18" t="n"/>
      <c r="I540" s="18" t="n"/>
      <c r="J540" s="18" t="n"/>
      <c r="K540" s="18" t="n"/>
      <c r="L540" s="18" t="n"/>
    </row>
    <row r="541" ht="70" customHeight="1">
      <c r="A541" s="10" t="n">
        <v>537</v>
      </c>
      <c r="B541" s="11" t="inlineStr">
        <is>
          <t>MB-PRV-06</t>
        </is>
      </c>
      <c r="C541" s="5" t="inlineStr">
        <is>
          <t>Detail menampilkan persis baris yang tersimpan</t>
        </is>
      </c>
      <c r="D541" s="12" t="inlineStr">
        <is>
          <t>Clarification</t>
        </is>
      </c>
      <c r="E541" s="5" t="inlineStr">
        <is>
          <t>OPR-A</t>
        </is>
      </c>
      <c r="F541" s="5" t="inlineStr">
        <is>
          <t>- Grid menampilkan tepat 3 baris — bukan 24, bukan dipadatkan menjadi 1.
- Slot waktu dan nilainya sama dengan yang disimpan.
- Tidak ada baris kosong tambahan yang digambar untuk mengisi sampai 24.</t>
        </is>
      </c>
      <c r="G541" s="13" t="inlineStr">
        <is>
          <t>Tinggi</t>
        </is>
      </c>
      <c r="H541" s="18" t="n"/>
      <c r="I541" s="18" t="n"/>
      <c r="J541" s="18" t="n"/>
      <c r="K541" s="18" t="n"/>
      <c r="L541" s="18" t="n"/>
    </row>
    <row r="542" ht="70" customHeight="1">
      <c r="A542" s="14" t="n">
        <v>538</v>
      </c>
      <c r="B542" s="16" t="inlineStr">
        <is>
          <t>MB-PRV-06</t>
        </is>
      </c>
      <c r="C542" s="15" t="inlineStr">
        <is>
          <t>Detail menampilkan persis baris yang tersimpan</t>
        </is>
      </c>
      <c r="D542" s="17" t="inlineStr">
        <is>
          <t>Kernel Plant</t>
        </is>
      </c>
      <c r="E542" s="15" t="inlineStr">
        <is>
          <t>OPR-A</t>
        </is>
      </c>
      <c r="F542" s="15" t="inlineStr">
        <is>
          <t>- Grid menampilkan tepat 3 baris — bukan 24, bukan dipadatkan menjadi 1.
- Slot waktu dan nilainya sama dengan yang disimpan.
- Tidak ada baris kosong tambahan yang digambar untuk mengisi sampai 24.</t>
        </is>
      </c>
      <c r="G542" s="13" t="inlineStr">
        <is>
          <t>Tinggi</t>
        </is>
      </c>
      <c r="H542" s="18" t="n"/>
      <c r="I542" s="18" t="n"/>
      <c r="J542" s="18" t="n"/>
      <c r="K542" s="18" t="n"/>
      <c r="L542" s="18" t="n"/>
    </row>
    <row r="543" ht="70" customHeight="1">
      <c r="A543" s="10" t="n">
        <v>539</v>
      </c>
      <c r="B543" s="11" t="inlineStr">
        <is>
          <t>MB-PRV-06</t>
        </is>
      </c>
      <c r="C543" s="5" t="inlineStr">
        <is>
          <t>Detail menampilkan persis baris yang tersimpan</t>
        </is>
      </c>
      <c r="D543" s="12" t="inlineStr">
        <is>
          <t>Boiler Room</t>
        </is>
      </c>
      <c r="E543" s="5" t="inlineStr">
        <is>
          <t>OPR-A</t>
        </is>
      </c>
      <c r="F543" s="5" t="inlineStr">
        <is>
          <t>- Grid menampilkan tepat 3 baris — bukan 24, bukan dipadatkan menjadi 1.
- Slot waktu dan nilainya sama dengan yang disimpan.
- Tidak ada baris kosong tambahan yang digambar untuk mengisi sampai 24.</t>
        </is>
      </c>
      <c r="G543" s="13" t="inlineStr">
        <is>
          <t>Tinggi</t>
        </is>
      </c>
      <c r="H543" s="18" t="n"/>
      <c r="I543" s="18" t="n"/>
      <c r="J543" s="18" t="n"/>
      <c r="K543" s="18" t="n"/>
      <c r="L543" s="18" t="n"/>
    </row>
    <row r="544" ht="70" customHeight="1">
      <c r="A544" s="14" t="n">
        <v>540</v>
      </c>
      <c r="B544" s="16" t="inlineStr">
        <is>
          <t>MB-PRV-06</t>
        </is>
      </c>
      <c r="C544" s="15" t="inlineStr">
        <is>
          <t>Detail menampilkan persis baris yang tersimpan</t>
        </is>
      </c>
      <c r="D544" s="17" t="inlineStr">
        <is>
          <t>Effluent Plant</t>
        </is>
      </c>
      <c r="E544" s="15" t="inlineStr">
        <is>
          <t>OPR-A</t>
        </is>
      </c>
      <c r="F544" s="15" t="inlineStr">
        <is>
          <t>- Grid menampilkan tepat 3 baris — bukan 24, bukan dipadatkan menjadi 1.
- Slot waktu dan nilainya sama dengan yang disimpan.
- Tidak ada baris kosong tambahan yang digambar untuk mengisi sampai 24.</t>
        </is>
      </c>
      <c r="G544" s="13" t="inlineStr">
        <is>
          <t>Tinggi</t>
        </is>
      </c>
      <c r="H544" s="18" t="n"/>
      <c r="I544" s="18" t="n"/>
      <c r="J544" s="18" t="n"/>
      <c r="K544" s="18" t="n"/>
      <c r="L544" s="18" t="n"/>
    </row>
    <row r="545" ht="70" customHeight="1">
      <c r="A545" s="10" t="n">
        <v>541</v>
      </c>
      <c r="B545" s="11" t="inlineStr">
        <is>
          <t>MB-PRV-06</t>
        </is>
      </c>
      <c r="C545" s="5" t="inlineStr">
        <is>
          <t>Detail menampilkan persis baris yang tersimpan</t>
        </is>
      </c>
      <c r="D545" s="12" t="inlineStr">
        <is>
          <t>Depricarping</t>
        </is>
      </c>
      <c r="E545" s="5" t="inlineStr">
        <is>
          <t>OPR-A</t>
        </is>
      </c>
      <c r="F545" s="5" t="inlineStr">
        <is>
          <t>- Grid menampilkan tepat 3 baris — bukan 24, bukan dipadatkan menjadi 1.
- Slot waktu dan nilainya sama dengan yang disimpan.
- Tidak ada baris kosong tambahan yang digambar untuk mengisi sampai 24.</t>
        </is>
      </c>
      <c r="G545" s="13" t="inlineStr">
        <is>
          <t>Tinggi</t>
        </is>
      </c>
      <c r="H545" s="18" t="n"/>
      <c r="I545" s="18" t="n"/>
      <c r="J545" s="18" t="n"/>
      <c r="K545" s="18" t="n"/>
      <c r="L545" s="18" t="n"/>
    </row>
    <row r="546" ht="70" customHeight="1">
      <c r="A546" s="14" t="n">
        <v>542</v>
      </c>
      <c r="B546" s="16" t="inlineStr">
        <is>
          <t>MB-PRV-06</t>
        </is>
      </c>
      <c r="C546" s="15" t="inlineStr">
        <is>
          <t>Detail menampilkan persis baris yang tersimpan</t>
        </is>
      </c>
      <c r="D546" s="17" t="inlineStr">
        <is>
          <t>Engine Room</t>
        </is>
      </c>
      <c r="E546" s="15" t="inlineStr">
        <is>
          <t>OPR-A</t>
        </is>
      </c>
      <c r="F546" s="15" t="inlineStr">
        <is>
          <t>- Grid menampilkan tepat 3 baris — bukan 24, bukan dipadatkan menjadi 1.
- Slot waktu dan nilainya sama dengan yang disimpan.
- Tidak ada baris kosong tambahan yang digambar untuk mengisi sampai 24.</t>
        </is>
      </c>
      <c r="G546" s="13" t="inlineStr">
        <is>
          <t>Tinggi</t>
        </is>
      </c>
      <c r="H546" s="18" t="n"/>
      <c r="I546" s="18" t="n"/>
      <c r="J546" s="18" t="n"/>
      <c r="K546" s="18" t="n"/>
      <c r="L546" s="18" t="n"/>
    </row>
    <row r="547" ht="70" customHeight="1">
      <c r="A547" s="10" t="n">
        <v>543</v>
      </c>
      <c r="B547" s="11" t="inlineStr">
        <is>
          <t>MB-PRV-06</t>
        </is>
      </c>
      <c r="C547" s="5" t="inlineStr">
        <is>
          <t>Detail menampilkan persis baris yang tersimpan</t>
        </is>
      </c>
      <c r="D547" s="12" t="inlineStr">
        <is>
          <t>Process Water</t>
        </is>
      </c>
      <c r="E547" s="5" t="inlineStr">
        <is>
          <t>OPR-A</t>
        </is>
      </c>
      <c r="F547" s="5" t="inlineStr">
        <is>
          <t>- Grid menampilkan tepat 3 baris — bukan 24, bukan dipadatkan menjadi 1.
- Slot waktu dan nilainya sama dengan yang disimpan.
- Tidak ada baris kosong tambahan yang digambar untuk mengisi sampai 24.</t>
        </is>
      </c>
      <c r="G547" s="13" t="inlineStr">
        <is>
          <t>Tinggi</t>
        </is>
      </c>
      <c r="H547" s="18" t="n"/>
      <c r="I547" s="18" t="n"/>
      <c r="J547" s="18" t="n"/>
      <c r="K547" s="18" t="n"/>
      <c r="L547" s="18" t="n"/>
    </row>
    <row r="548" ht="70" customHeight="1">
      <c r="A548" s="14" t="n">
        <v>544</v>
      </c>
      <c r="B548" s="16" t="inlineStr">
        <is>
          <t>MB-PRV-06</t>
        </is>
      </c>
      <c r="C548" s="15" t="inlineStr">
        <is>
          <t>Detail menampilkan persis baris yang tersimpan</t>
        </is>
      </c>
      <c r="D548" s="17" t="inlineStr">
        <is>
          <t>Storage Tank</t>
        </is>
      </c>
      <c r="E548" s="15" t="inlineStr">
        <is>
          <t>OPR-A</t>
        </is>
      </c>
      <c r="F548" s="15" t="inlineStr">
        <is>
          <t>- Grid menampilkan tepat 3 baris — bukan 24, bukan dipadatkan menjadi 1.
- Slot waktu dan nilainya sama dengan yang disimpan.
- Tidak ada baris kosong tambahan yang digambar untuk mengisi sampai 24.</t>
        </is>
      </c>
      <c r="G548" s="13" t="inlineStr">
        <is>
          <t>Tinggi</t>
        </is>
      </c>
      <c r="H548" s="18" t="n"/>
      <c r="I548" s="18" t="n"/>
      <c r="J548" s="18" t="n"/>
      <c r="K548" s="18" t="n"/>
      <c r="L548" s="18" t="n"/>
    </row>
    <row r="549" ht="70" customHeight="1">
      <c r="A549" s="10" t="n">
        <v>545</v>
      </c>
      <c r="B549" s="11" t="inlineStr">
        <is>
          <t>MB-PRV-06</t>
        </is>
      </c>
      <c r="C549" s="5" t="inlineStr">
        <is>
          <t>Detail menampilkan persis baris yang tersimpan</t>
        </is>
      </c>
      <c r="D549" s="12" t="inlineStr">
        <is>
          <t>Solid Waste Disposal</t>
        </is>
      </c>
      <c r="E549" s="5" t="inlineStr">
        <is>
          <t>OPR-A</t>
        </is>
      </c>
      <c r="F549" s="5" t="inlineStr">
        <is>
          <t>- Grid menampilkan tepat 3 baris — bukan 24, bukan dipadatkan menjadi 1.
- Slot waktu dan nilainya sama dengan yang disimpan.
- Tidak ada baris kosong tambahan yang digambar untuk mengisi sampai 24.</t>
        </is>
      </c>
      <c r="G549" s="13" t="inlineStr">
        <is>
          <t>Tinggi</t>
        </is>
      </c>
      <c r="H549" s="18" t="n"/>
      <c r="I549" s="18" t="n"/>
      <c r="J549" s="18" t="n"/>
      <c r="K549" s="18" t="n"/>
      <c r="L549" s="18" t="n"/>
    </row>
    <row r="550" ht="70" customHeight="1">
      <c r="A550" s="14" t="n">
        <v>546</v>
      </c>
      <c r="B550" s="16" t="inlineStr">
        <is>
          <t>MB-PRV-06</t>
        </is>
      </c>
      <c r="C550" s="15" t="inlineStr">
        <is>
          <t>Detail menampilkan persis baris yang tersimpan</t>
        </is>
      </c>
      <c r="D550" s="17" t="inlineStr">
        <is>
          <t>Kernel Dispatch</t>
        </is>
      </c>
      <c r="E550" s="15" t="inlineStr">
        <is>
          <t>OPR-A</t>
        </is>
      </c>
      <c r="F550" s="15" t="inlineStr">
        <is>
          <t>- Grid menampilkan tepat 3 baris — bukan 24, bukan dipadatkan menjadi 1.
- Slot waktu dan nilainya sama dengan yang disimpan.
- Tidak ada baris kosong tambahan yang digambar untuk mengisi sampai 24.</t>
        </is>
      </c>
      <c r="G550" s="13" t="inlineStr">
        <is>
          <t>Tinggi</t>
        </is>
      </c>
      <c r="H550" s="18" t="n"/>
      <c r="I550" s="18" t="n"/>
      <c r="J550" s="18" t="n"/>
      <c r="K550" s="18" t="n"/>
      <c r="L550" s="18" t="n"/>
    </row>
    <row r="551" ht="70" customHeight="1">
      <c r="A551" s="10" t="n">
        <v>547</v>
      </c>
      <c r="B551" s="11" t="inlineStr">
        <is>
          <t>MB-PRV-06</t>
        </is>
      </c>
      <c r="C551" s="5" t="inlineStr">
        <is>
          <t>Detail menampilkan persis baris yang tersimpan</t>
        </is>
      </c>
      <c r="D551" s="12" t="inlineStr">
        <is>
          <t>CPO Dispatch</t>
        </is>
      </c>
      <c r="E551" s="5" t="inlineStr">
        <is>
          <t>OPR-A</t>
        </is>
      </c>
      <c r="F551" s="5" t="inlineStr">
        <is>
          <t>- Grid menampilkan tepat 3 baris — bukan 24, bukan dipadatkan menjadi 1.
- Slot waktu dan nilainya sama dengan yang disimpan.
- Tidak ada baris kosong tambahan yang digambar untuk mengisi sampai 24.</t>
        </is>
      </c>
      <c r="G551" s="13" t="inlineStr">
        <is>
          <t>Tinggi</t>
        </is>
      </c>
      <c r="H551" s="18" t="n"/>
      <c r="I551" s="18" t="n"/>
      <c r="J551" s="18" t="n"/>
      <c r="K551" s="18" t="n"/>
      <c r="L551" s="18" t="n"/>
    </row>
    <row r="552" ht="70" customHeight="1">
      <c r="A552" s="14" t="n">
        <v>548</v>
      </c>
      <c r="B552" s="16" t="inlineStr">
        <is>
          <t>MB-PRV-06</t>
        </is>
      </c>
      <c r="C552" s="15" t="inlineStr">
        <is>
          <t>Detail menampilkan persis baris yang tersimpan</t>
        </is>
      </c>
      <c r="D552" s="17" t="inlineStr">
        <is>
          <t>Process Quality Control</t>
        </is>
      </c>
      <c r="E552" s="15" t="inlineStr">
        <is>
          <t>OPR-A</t>
        </is>
      </c>
      <c r="F552" s="15" t="inlineStr">
        <is>
          <t>- Grid menampilkan tepat 3 baris — bukan 24, bukan dipadatkan menjadi 1.
- Slot waktu dan nilainya sama dengan yang disimpan.
- Tidak ada baris kosong tambahan yang digambar untuk mengisi sampai 24.</t>
        </is>
      </c>
      <c r="G552" s="13" t="inlineStr">
        <is>
          <t>Tinggi</t>
        </is>
      </c>
      <c r="H552" s="18" t="n"/>
      <c r="I552" s="18" t="n"/>
      <c r="J552" s="18" t="n"/>
      <c r="K552" s="18" t="n"/>
      <c r="L552" s="18" t="n"/>
    </row>
    <row r="553" ht="83.19999999999999" customHeight="1">
      <c r="A553" s="10" t="n">
        <v>549</v>
      </c>
      <c r="B553" s="11" t="inlineStr">
        <is>
          <t>MB-PRV-07</t>
        </is>
      </c>
      <c r="C553" s="5" t="inlineStr">
        <is>
          <t>Checked By / Acknowledged By terlihat oleh semua peran</t>
        </is>
      </c>
      <c r="D553" s="12" t="inlineStr">
        <is>
          <t>Weighbridge</t>
        </is>
      </c>
      <c r="E553" s="5" t="inlineStr">
        <is>
          <t>OPR-A</t>
        </is>
      </c>
      <c r="F553" s="5" t="inlineStr">
        <is>
          <t>- Ketiga peran melihat nama pada Checked By.
- Acknowledged By yang belum terisi tampil sebagai tanda pisah atau keterangan, bukan angka 0 dan bukan kosong tanpa label.
- Melihat tidak sama dengan mengisi: Operator tetap tidak dapat mengubahnya.</t>
        </is>
      </c>
      <c r="G553" s="10" t="inlineStr">
        <is>
          <t>Sedang</t>
        </is>
      </c>
      <c r="H553" s="18" t="n"/>
      <c r="I553" s="18" t="n"/>
      <c r="J553" s="18" t="n"/>
      <c r="K553" s="18" t="n"/>
      <c r="L553" s="18" t="n"/>
    </row>
    <row r="554" ht="83.19999999999999" customHeight="1">
      <c r="A554" s="14" t="n">
        <v>550</v>
      </c>
      <c r="B554" s="16" t="inlineStr">
        <is>
          <t>MB-PRV-07</t>
        </is>
      </c>
      <c r="C554" s="15" t="inlineStr">
        <is>
          <t>Checked By / Acknowledged By terlihat oleh semua peran</t>
        </is>
      </c>
      <c r="D554" s="17" t="inlineStr">
        <is>
          <t>Grading</t>
        </is>
      </c>
      <c r="E554" s="15" t="inlineStr">
        <is>
          <t>OPR-A</t>
        </is>
      </c>
      <c r="F554" s="15" t="inlineStr">
        <is>
          <t>- Ketiga peran melihat nama pada Checked By.
- Acknowledged By yang belum terisi tampil sebagai tanda pisah atau keterangan, bukan angka 0 dan bukan kosong tanpa label.
- Melihat tidak sama dengan mengisi: Operator tetap tidak dapat mengubahnya.</t>
        </is>
      </c>
      <c r="G554" s="14" t="inlineStr">
        <is>
          <t>Sedang</t>
        </is>
      </c>
      <c r="H554" s="18" t="n"/>
      <c r="I554" s="18" t="n"/>
      <c r="J554" s="18" t="n"/>
      <c r="K554" s="18" t="n"/>
      <c r="L554" s="18" t="n"/>
    </row>
    <row r="555" ht="83.19999999999999" customHeight="1">
      <c r="A555" s="10" t="n">
        <v>551</v>
      </c>
      <c r="B555" s="11" t="inlineStr">
        <is>
          <t>MB-PRV-07</t>
        </is>
      </c>
      <c r="C555" s="5" t="inlineStr">
        <is>
          <t>Checked By / Acknowledged By terlihat oleh semua peran</t>
        </is>
      </c>
      <c r="D555" s="12" t="inlineStr">
        <is>
          <t>Cages Track</t>
        </is>
      </c>
      <c r="E555" s="5" t="inlineStr">
        <is>
          <t>OPR-A</t>
        </is>
      </c>
      <c r="F555" s="5" t="inlineStr">
        <is>
          <t>- Ketiga peran melihat nama pada Checked By.
- Acknowledged By yang belum terisi tampil sebagai tanda pisah atau keterangan, bukan angka 0 dan bukan kosong tanpa label.
- Melihat tidak sama dengan mengisi: Operator tetap tidak dapat mengubahnya.</t>
        </is>
      </c>
      <c r="G555" s="10" t="inlineStr">
        <is>
          <t>Sedang</t>
        </is>
      </c>
      <c r="H555" s="18" t="n"/>
      <c r="I555" s="18" t="n"/>
      <c r="J555" s="18" t="n"/>
      <c r="K555" s="18" t="n"/>
      <c r="L555" s="18" t="n"/>
    </row>
    <row r="556" ht="83.19999999999999" customHeight="1">
      <c r="A556" s="14" t="n">
        <v>552</v>
      </c>
      <c r="B556" s="16" t="inlineStr">
        <is>
          <t>MB-PRV-07</t>
        </is>
      </c>
      <c r="C556" s="15" t="inlineStr">
        <is>
          <t>Checked By / Acknowledged By terlihat oleh semua peran</t>
        </is>
      </c>
      <c r="D556" s="17" t="inlineStr">
        <is>
          <t>Sterilizer</t>
        </is>
      </c>
      <c r="E556" s="15" t="inlineStr">
        <is>
          <t>OPR-A</t>
        </is>
      </c>
      <c r="F556" s="15" t="inlineStr">
        <is>
          <t>- Ketiga peran melihat nama pada Checked By.
- Acknowledged By yang belum terisi tampil sebagai tanda pisah atau keterangan, bukan angka 0 dan bukan kosong tanpa label.
- Melihat tidak sama dengan mengisi: Operator tetap tidak dapat mengubahnya.</t>
        </is>
      </c>
      <c r="G556" s="14" t="inlineStr">
        <is>
          <t>Sedang</t>
        </is>
      </c>
      <c r="H556" s="18" t="n"/>
      <c r="I556" s="18" t="n"/>
      <c r="J556" s="18" t="n"/>
      <c r="K556" s="18" t="n"/>
      <c r="L556" s="18" t="n"/>
    </row>
    <row r="557" ht="83.19999999999999" customHeight="1">
      <c r="A557" s="10" t="n">
        <v>553</v>
      </c>
      <c r="B557" s="11" t="inlineStr">
        <is>
          <t>MB-PRV-07</t>
        </is>
      </c>
      <c r="C557" s="5" t="inlineStr">
        <is>
          <t>Checked By / Acknowledged By terlihat oleh semua peran</t>
        </is>
      </c>
      <c r="D557" s="12" t="inlineStr">
        <is>
          <t>Threshing</t>
        </is>
      </c>
      <c r="E557" s="5" t="inlineStr">
        <is>
          <t>OPR-A</t>
        </is>
      </c>
      <c r="F557" s="5" t="inlineStr">
        <is>
          <t>- Ketiga peran melihat nama pada Checked By.
- Acknowledged By yang belum terisi tampil sebagai tanda pisah atau keterangan, bukan angka 0 dan bukan kosong tanpa label.
- Melihat tidak sama dengan mengisi: Operator tetap tidak dapat mengubahnya.</t>
        </is>
      </c>
      <c r="G557" s="10" t="inlineStr">
        <is>
          <t>Sedang</t>
        </is>
      </c>
      <c r="H557" s="18" t="n"/>
      <c r="I557" s="18" t="n"/>
      <c r="J557" s="18" t="n"/>
      <c r="K557" s="18" t="n"/>
      <c r="L557" s="18" t="n"/>
    </row>
    <row r="558" ht="83.19999999999999" customHeight="1">
      <c r="A558" s="14" t="n">
        <v>554</v>
      </c>
      <c r="B558" s="16" t="inlineStr">
        <is>
          <t>MB-PRV-07</t>
        </is>
      </c>
      <c r="C558" s="15" t="inlineStr">
        <is>
          <t>Checked By / Acknowledged By terlihat oleh semua peran</t>
        </is>
      </c>
      <c r="D558" s="17" t="inlineStr">
        <is>
          <t>Pressing</t>
        </is>
      </c>
      <c r="E558" s="15" t="inlineStr">
        <is>
          <t>OPR-A</t>
        </is>
      </c>
      <c r="F558" s="15" t="inlineStr">
        <is>
          <t>- Ketiga peran melihat nama pada Checked By.
- Acknowledged By yang belum terisi tampil sebagai tanda pisah atau keterangan, bukan angka 0 dan bukan kosong tanpa label.
- Melihat tidak sama dengan mengisi: Operator tetap tidak dapat mengubahnya.</t>
        </is>
      </c>
      <c r="G558" s="14" t="inlineStr">
        <is>
          <t>Sedang</t>
        </is>
      </c>
      <c r="H558" s="18" t="n"/>
      <c r="I558" s="18" t="n"/>
      <c r="J558" s="18" t="n"/>
      <c r="K558" s="18" t="n"/>
      <c r="L558" s="18" t="n"/>
    </row>
    <row r="559" ht="83.19999999999999" customHeight="1">
      <c r="A559" s="10" t="n">
        <v>555</v>
      </c>
      <c r="B559" s="11" t="inlineStr">
        <is>
          <t>MB-PRV-07</t>
        </is>
      </c>
      <c r="C559" s="5" t="inlineStr">
        <is>
          <t>Checked By / Acknowledged By terlihat oleh semua peran</t>
        </is>
      </c>
      <c r="D559" s="12" t="inlineStr">
        <is>
          <t>Clarification</t>
        </is>
      </c>
      <c r="E559" s="5" t="inlineStr">
        <is>
          <t>OPR-A</t>
        </is>
      </c>
      <c r="F559" s="5" t="inlineStr">
        <is>
          <t>- Ketiga peran melihat nama pada Checked By.
- Acknowledged By yang belum terisi tampil sebagai tanda pisah atau keterangan, bukan angka 0 dan bukan kosong tanpa label.
- Melihat tidak sama dengan mengisi: Operator tetap tidak dapat mengubahnya.</t>
        </is>
      </c>
      <c r="G559" s="10" t="inlineStr">
        <is>
          <t>Sedang</t>
        </is>
      </c>
      <c r="H559" s="18" t="n"/>
      <c r="I559" s="18" t="n"/>
      <c r="J559" s="18" t="n"/>
      <c r="K559" s="18" t="n"/>
      <c r="L559" s="18" t="n"/>
    </row>
    <row r="560" ht="83.19999999999999" customHeight="1">
      <c r="A560" s="14" t="n">
        <v>556</v>
      </c>
      <c r="B560" s="16" t="inlineStr">
        <is>
          <t>MB-PRV-07</t>
        </is>
      </c>
      <c r="C560" s="15" t="inlineStr">
        <is>
          <t>Checked By / Acknowledged By terlihat oleh semua peran</t>
        </is>
      </c>
      <c r="D560" s="17" t="inlineStr">
        <is>
          <t>Kernel Plant</t>
        </is>
      </c>
      <c r="E560" s="15" t="inlineStr">
        <is>
          <t>OPR-A</t>
        </is>
      </c>
      <c r="F560" s="15" t="inlineStr">
        <is>
          <t>- Ketiga peran melihat nama pada Checked By.
- Acknowledged By yang belum terisi tampil sebagai tanda pisah atau keterangan, bukan angka 0 dan bukan kosong tanpa label.
- Melihat tidak sama dengan mengisi: Operator tetap tidak dapat mengubahnya.</t>
        </is>
      </c>
      <c r="G560" s="14" t="inlineStr">
        <is>
          <t>Sedang</t>
        </is>
      </c>
      <c r="H560" s="18" t="n"/>
      <c r="I560" s="18" t="n"/>
      <c r="J560" s="18" t="n"/>
      <c r="K560" s="18" t="n"/>
      <c r="L560" s="18" t="n"/>
    </row>
    <row r="561" ht="83.19999999999999" customHeight="1">
      <c r="A561" s="10" t="n">
        <v>557</v>
      </c>
      <c r="B561" s="11" t="inlineStr">
        <is>
          <t>MB-PRV-07</t>
        </is>
      </c>
      <c r="C561" s="5" t="inlineStr">
        <is>
          <t>Checked By / Acknowledged By terlihat oleh semua peran</t>
        </is>
      </c>
      <c r="D561" s="12" t="inlineStr">
        <is>
          <t>Boiler Room</t>
        </is>
      </c>
      <c r="E561" s="5" t="inlineStr">
        <is>
          <t>OPR-A</t>
        </is>
      </c>
      <c r="F561" s="5" t="inlineStr">
        <is>
          <t>- Ketiga peran melihat nama pada Checked By.
- Acknowledged By yang belum terisi tampil sebagai tanda pisah atau keterangan, bukan angka 0 dan bukan kosong tanpa label.
- Melihat tidak sama dengan mengisi: Operator tetap tidak dapat mengubahnya.</t>
        </is>
      </c>
      <c r="G561" s="10" t="inlineStr">
        <is>
          <t>Sedang</t>
        </is>
      </c>
      <c r="H561" s="18" t="n"/>
      <c r="I561" s="18" t="n"/>
      <c r="J561" s="18" t="n"/>
      <c r="K561" s="18" t="n"/>
      <c r="L561" s="18" t="n"/>
    </row>
    <row r="562" ht="83.19999999999999" customHeight="1">
      <c r="A562" s="14" t="n">
        <v>558</v>
      </c>
      <c r="B562" s="16" t="inlineStr">
        <is>
          <t>MB-PRV-07</t>
        </is>
      </c>
      <c r="C562" s="15" t="inlineStr">
        <is>
          <t>Checked By / Acknowledged By terlihat oleh semua peran</t>
        </is>
      </c>
      <c r="D562" s="17" t="inlineStr">
        <is>
          <t>Effluent Plant</t>
        </is>
      </c>
      <c r="E562" s="15" t="inlineStr">
        <is>
          <t>OPR-A</t>
        </is>
      </c>
      <c r="F562" s="15" t="inlineStr">
        <is>
          <t>- Ketiga peran melihat nama pada Checked By.
- Acknowledged By yang belum terisi tampil sebagai tanda pisah atau keterangan, bukan angka 0 dan bukan kosong tanpa label.
- Melihat tidak sama dengan mengisi: Operator tetap tidak dapat mengubahnya.</t>
        </is>
      </c>
      <c r="G562" s="14" t="inlineStr">
        <is>
          <t>Sedang</t>
        </is>
      </c>
      <c r="H562" s="18" t="n"/>
      <c r="I562" s="18" t="n"/>
      <c r="J562" s="18" t="n"/>
      <c r="K562" s="18" t="n"/>
      <c r="L562" s="18" t="n"/>
    </row>
    <row r="563" ht="83.19999999999999" customHeight="1">
      <c r="A563" s="10" t="n">
        <v>559</v>
      </c>
      <c r="B563" s="11" t="inlineStr">
        <is>
          <t>MB-PRV-07</t>
        </is>
      </c>
      <c r="C563" s="5" t="inlineStr">
        <is>
          <t>Checked By / Acknowledged By terlihat oleh semua peran</t>
        </is>
      </c>
      <c r="D563" s="12" t="inlineStr">
        <is>
          <t>Depricarping</t>
        </is>
      </c>
      <c r="E563" s="5" t="inlineStr">
        <is>
          <t>OPR-A</t>
        </is>
      </c>
      <c r="F563" s="5" t="inlineStr">
        <is>
          <t>- Ketiga peran melihat nama pada Checked By.
- Acknowledged By yang belum terisi tampil sebagai tanda pisah atau keterangan, bukan angka 0 dan bukan kosong tanpa label.
- Melihat tidak sama dengan mengisi: Operator tetap tidak dapat mengubahnya.</t>
        </is>
      </c>
      <c r="G563" s="10" t="inlineStr">
        <is>
          <t>Sedang</t>
        </is>
      </c>
      <c r="H563" s="18" t="n"/>
      <c r="I563" s="18" t="n"/>
      <c r="J563" s="18" t="n"/>
      <c r="K563" s="18" t="n"/>
      <c r="L563" s="18" t="n"/>
    </row>
    <row r="564" ht="83.19999999999999" customHeight="1">
      <c r="A564" s="14" t="n">
        <v>560</v>
      </c>
      <c r="B564" s="16" t="inlineStr">
        <is>
          <t>MB-PRV-07</t>
        </is>
      </c>
      <c r="C564" s="15" t="inlineStr">
        <is>
          <t>Checked By / Acknowledged By terlihat oleh semua peran</t>
        </is>
      </c>
      <c r="D564" s="17" t="inlineStr">
        <is>
          <t>Engine Room</t>
        </is>
      </c>
      <c r="E564" s="15" t="inlineStr">
        <is>
          <t>OPR-A</t>
        </is>
      </c>
      <c r="F564" s="15" t="inlineStr">
        <is>
          <t>- Ketiga peran melihat nama pada Checked By.
- Acknowledged By yang belum terisi tampil sebagai tanda pisah atau keterangan, bukan angka 0 dan bukan kosong tanpa label.
- Melihat tidak sama dengan mengisi: Operator tetap tidak dapat mengubahnya.</t>
        </is>
      </c>
      <c r="G564" s="14" t="inlineStr">
        <is>
          <t>Sedang</t>
        </is>
      </c>
      <c r="H564" s="18" t="n"/>
      <c r="I564" s="18" t="n"/>
      <c r="J564" s="18" t="n"/>
      <c r="K564" s="18" t="n"/>
      <c r="L564" s="18" t="n"/>
    </row>
    <row r="565" ht="83.19999999999999" customHeight="1">
      <c r="A565" s="10" t="n">
        <v>561</v>
      </c>
      <c r="B565" s="11" t="inlineStr">
        <is>
          <t>MB-PRV-07</t>
        </is>
      </c>
      <c r="C565" s="5" t="inlineStr">
        <is>
          <t>Checked By / Acknowledged By terlihat oleh semua peran</t>
        </is>
      </c>
      <c r="D565" s="12" t="inlineStr">
        <is>
          <t>Process Water</t>
        </is>
      </c>
      <c r="E565" s="5" t="inlineStr">
        <is>
          <t>OPR-A</t>
        </is>
      </c>
      <c r="F565" s="5" t="inlineStr">
        <is>
          <t>- Ketiga peran melihat nama pada Checked By.
- Acknowledged By yang belum terisi tampil sebagai tanda pisah atau keterangan, bukan angka 0 dan bukan kosong tanpa label.
- Melihat tidak sama dengan mengisi: Operator tetap tidak dapat mengubahnya.</t>
        </is>
      </c>
      <c r="G565" s="10" t="inlineStr">
        <is>
          <t>Sedang</t>
        </is>
      </c>
      <c r="H565" s="18" t="n"/>
      <c r="I565" s="18" t="n"/>
      <c r="J565" s="18" t="n"/>
      <c r="K565" s="18" t="n"/>
      <c r="L565" s="18" t="n"/>
    </row>
    <row r="566" ht="83.19999999999999" customHeight="1">
      <c r="A566" s="14" t="n">
        <v>562</v>
      </c>
      <c r="B566" s="16" t="inlineStr">
        <is>
          <t>MB-PRV-07</t>
        </is>
      </c>
      <c r="C566" s="15" t="inlineStr">
        <is>
          <t>Checked By / Acknowledged By terlihat oleh semua peran</t>
        </is>
      </c>
      <c r="D566" s="17" t="inlineStr">
        <is>
          <t>Storage Tank</t>
        </is>
      </c>
      <c r="E566" s="15" t="inlineStr">
        <is>
          <t>OPR-A</t>
        </is>
      </c>
      <c r="F566" s="15" t="inlineStr">
        <is>
          <t>- Ketiga peran melihat nama pada Checked By.
- Acknowledged By yang belum terisi tampil sebagai tanda pisah atau keterangan, bukan angka 0 dan bukan kosong tanpa label.
- Melihat tidak sama dengan mengisi: Operator tetap tidak dapat mengubahnya.</t>
        </is>
      </c>
      <c r="G566" s="14" t="inlineStr">
        <is>
          <t>Sedang</t>
        </is>
      </c>
      <c r="H566" s="18" t="n"/>
      <c r="I566" s="18" t="n"/>
      <c r="J566" s="18" t="n"/>
      <c r="K566" s="18" t="n"/>
      <c r="L566" s="18" t="n"/>
    </row>
    <row r="567" ht="83.19999999999999" customHeight="1">
      <c r="A567" s="10" t="n">
        <v>563</v>
      </c>
      <c r="B567" s="11" t="inlineStr">
        <is>
          <t>MB-PRV-07</t>
        </is>
      </c>
      <c r="C567" s="5" t="inlineStr">
        <is>
          <t>Checked By / Acknowledged By terlihat oleh semua peran</t>
        </is>
      </c>
      <c r="D567" s="12" t="inlineStr">
        <is>
          <t>Solid Waste Disposal</t>
        </is>
      </c>
      <c r="E567" s="5" t="inlineStr">
        <is>
          <t>OPR-A</t>
        </is>
      </c>
      <c r="F567" s="5" t="inlineStr">
        <is>
          <t>- Ketiga peran melihat nama pada Checked By.
- Acknowledged By yang belum terisi tampil sebagai tanda pisah atau keterangan, bukan angka 0 dan bukan kosong tanpa label.
- Melihat tidak sama dengan mengisi: Operator tetap tidak dapat mengubahnya.</t>
        </is>
      </c>
      <c r="G567" s="10" t="inlineStr">
        <is>
          <t>Sedang</t>
        </is>
      </c>
      <c r="H567" s="18" t="n"/>
      <c r="I567" s="18" t="n"/>
      <c r="J567" s="18" t="n"/>
      <c r="K567" s="18" t="n"/>
      <c r="L567" s="18" t="n"/>
    </row>
    <row r="568" ht="83.19999999999999" customHeight="1">
      <c r="A568" s="14" t="n">
        <v>564</v>
      </c>
      <c r="B568" s="16" t="inlineStr">
        <is>
          <t>MB-PRV-07</t>
        </is>
      </c>
      <c r="C568" s="15" t="inlineStr">
        <is>
          <t>Checked By / Acknowledged By terlihat oleh semua peran</t>
        </is>
      </c>
      <c r="D568" s="17" t="inlineStr">
        <is>
          <t>Kernel Dispatch</t>
        </is>
      </c>
      <c r="E568" s="15" t="inlineStr">
        <is>
          <t>OPR-A</t>
        </is>
      </c>
      <c r="F568" s="15" t="inlineStr">
        <is>
          <t>- Ketiga peran melihat nama pada Checked By.
- Acknowledged By yang belum terisi tampil sebagai tanda pisah atau keterangan, bukan angka 0 dan bukan kosong tanpa label.
- Melihat tidak sama dengan mengisi: Operator tetap tidak dapat mengubahnya.</t>
        </is>
      </c>
      <c r="G568" s="14" t="inlineStr">
        <is>
          <t>Sedang</t>
        </is>
      </c>
      <c r="H568" s="18" t="n"/>
      <c r="I568" s="18" t="n"/>
      <c r="J568" s="18" t="n"/>
      <c r="K568" s="18" t="n"/>
      <c r="L568" s="18" t="n"/>
    </row>
    <row r="569" ht="83.19999999999999" customHeight="1">
      <c r="A569" s="10" t="n">
        <v>565</v>
      </c>
      <c r="B569" s="11" t="inlineStr">
        <is>
          <t>MB-PRV-07</t>
        </is>
      </c>
      <c r="C569" s="5" t="inlineStr">
        <is>
          <t>Checked By / Acknowledged By terlihat oleh semua peran</t>
        </is>
      </c>
      <c r="D569" s="12" t="inlineStr">
        <is>
          <t>CPO Dispatch</t>
        </is>
      </c>
      <c r="E569" s="5" t="inlineStr">
        <is>
          <t>OPR-A</t>
        </is>
      </c>
      <c r="F569" s="5" t="inlineStr">
        <is>
          <t>- Ketiga peran melihat nama pada Checked By.
- Acknowledged By yang belum terisi tampil sebagai tanda pisah atau keterangan, bukan angka 0 dan bukan kosong tanpa label.
- Melihat tidak sama dengan mengisi: Operator tetap tidak dapat mengubahnya.</t>
        </is>
      </c>
      <c r="G569" s="10" t="inlineStr">
        <is>
          <t>Sedang</t>
        </is>
      </c>
      <c r="H569" s="18" t="n"/>
      <c r="I569" s="18" t="n"/>
      <c r="J569" s="18" t="n"/>
      <c r="K569" s="18" t="n"/>
      <c r="L569" s="18" t="n"/>
    </row>
    <row r="570" ht="83.19999999999999" customHeight="1">
      <c r="A570" s="14" t="n">
        <v>566</v>
      </c>
      <c r="B570" s="16" t="inlineStr">
        <is>
          <t>MB-PRV-07</t>
        </is>
      </c>
      <c r="C570" s="15" t="inlineStr">
        <is>
          <t>Checked By / Acknowledged By terlihat oleh semua peran</t>
        </is>
      </c>
      <c r="D570" s="17" t="inlineStr">
        <is>
          <t>Process Quality Control</t>
        </is>
      </c>
      <c r="E570" s="15" t="inlineStr">
        <is>
          <t>OPR-A</t>
        </is>
      </c>
      <c r="F570" s="15" t="inlineStr">
        <is>
          <t>- Ketiga peran melihat nama pada Checked By.
- Acknowledged By yang belum terisi tampil sebagai tanda pisah atau keterangan, bukan angka 0 dan bukan kosong tanpa label.
- Melihat tidak sama dengan mengisi: Operator tetap tidak dapat mengubahnya.</t>
        </is>
      </c>
      <c r="G570" s="14" t="inlineStr">
        <is>
          <t>Sedang</t>
        </is>
      </c>
      <c r="H570" s="18" t="n"/>
      <c r="I570" s="18" t="n"/>
      <c r="J570" s="18" t="n"/>
      <c r="K570" s="18" t="n"/>
      <c r="L570" s="18" t="n"/>
    </row>
    <row r="571" ht="83.19999999999999" customHeight="1">
      <c r="A571" s="10" t="n">
        <v>567</v>
      </c>
      <c r="B571" s="11" t="inlineStr">
        <is>
          <t>MB-PRV-08</t>
        </is>
      </c>
      <c r="C571" s="5" t="inlineStr">
        <is>
          <t>Reset Filter memulihkan keadaan awal</t>
        </is>
      </c>
      <c r="D571" s="12" t="inlineStr">
        <is>
          <t>Weighbridge</t>
        </is>
      </c>
      <c r="E571" s="5" t="inlineStr">
        <is>
          <t>OPR-A</t>
        </is>
      </c>
      <c r="F571" s="5" t="inlineStr">
        <is>
          <t>- Tombol Reset Filter muncul hanya ketika ada filter aktif.
- Sesudah ditekan: filter Tanggal kembali ke hari ini, kolom Cari kosong.
- Jumlah baris kembali sama dengan keadaan awal langkah 1.</t>
        </is>
      </c>
      <c r="G571" s="10" t="inlineStr">
        <is>
          <t>Rendah ---</t>
        </is>
      </c>
      <c r="H571" s="18" t="n"/>
      <c r="I571" s="18" t="n"/>
      <c r="J571" s="18" t="n"/>
      <c r="K571" s="18" t="n"/>
      <c r="L571" s="18" t="n"/>
    </row>
    <row r="572" ht="83.19999999999999" customHeight="1">
      <c r="A572" s="14" t="n">
        <v>568</v>
      </c>
      <c r="B572" s="16" t="inlineStr">
        <is>
          <t>MB-PRV-08</t>
        </is>
      </c>
      <c r="C572" s="15" t="inlineStr">
        <is>
          <t>Reset Filter memulihkan keadaan awal</t>
        </is>
      </c>
      <c r="D572" s="17" t="inlineStr">
        <is>
          <t>Grading</t>
        </is>
      </c>
      <c r="E572" s="15" t="inlineStr">
        <is>
          <t>OPR-A</t>
        </is>
      </c>
      <c r="F572" s="15" t="inlineStr">
        <is>
          <t>- Tombol Reset Filter muncul hanya ketika ada filter aktif.
- Sesudah ditekan: filter Tanggal kembali ke hari ini, kolom Cari kosong.
- Jumlah baris kembali sama dengan keadaan awal langkah 1.</t>
        </is>
      </c>
      <c r="G572" s="14" t="inlineStr">
        <is>
          <t>Rendah ---</t>
        </is>
      </c>
      <c r="H572" s="18" t="n"/>
      <c r="I572" s="18" t="n"/>
      <c r="J572" s="18" t="n"/>
      <c r="K572" s="18" t="n"/>
      <c r="L572" s="18" t="n"/>
    </row>
    <row r="573" ht="83.19999999999999" customHeight="1">
      <c r="A573" s="10" t="n">
        <v>569</v>
      </c>
      <c r="B573" s="11" t="inlineStr">
        <is>
          <t>MB-PRV-08</t>
        </is>
      </c>
      <c r="C573" s="5" t="inlineStr">
        <is>
          <t>Reset Filter memulihkan keadaan awal</t>
        </is>
      </c>
      <c r="D573" s="12" t="inlineStr">
        <is>
          <t>Cages Track</t>
        </is>
      </c>
      <c r="E573" s="5" t="inlineStr">
        <is>
          <t>OPR-A</t>
        </is>
      </c>
      <c r="F573" s="5" t="inlineStr">
        <is>
          <t>- Tombol Reset Filter muncul hanya ketika ada filter aktif.
- Sesudah ditekan: filter Tanggal kembali ke hari ini, kolom Cari kosong.
- Jumlah baris kembali sama dengan keadaan awal langkah 1.</t>
        </is>
      </c>
      <c r="G573" s="10" t="inlineStr">
        <is>
          <t>Rendah ---</t>
        </is>
      </c>
      <c r="H573" s="18" t="n"/>
      <c r="I573" s="18" t="n"/>
      <c r="J573" s="18" t="n"/>
      <c r="K573" s="18" t="n"/>
      <c r="L573" s="18" t="n"/>
    </row>
    <row r="574" ht="83.19999999999999" customHeight="1">
      <c r="A574" s="14" t="n">
        <v>570</v>
      </c>
      <c r="B574" s="16" t="inlineStr">
        <is>
          <t>MB-PRV-08</t>
        </is>
      </c>
      <c r="C574" s="15" t="inlineStr">
        <is>
          <t>Reset Filter memulihkan keadaan awal</t>
        </is>
      </c>
      <c r="D574" s="17" t="inlineStr">
        <is>
          <t>Sterilizer</t>
        </is>
      </c>
      <c r="E574" s="15" t="inlineStr">
        <is>
          <t>OPR-A</t>
        </is>
      </c>
      <c r="F574" s="15" t="inlineStr">
        <is>
          <t>- Tombol Reset Filter muncul hanya ketika ada filter aktif.
- Sesudah ditekan: filter Tanggal kembali ke hari ini, kolom Cari kosong.
- Jumlah baris kembali sama dengan keadaan awal langkah 1.</t>
        </is>
      </c>
      <c r="G574" s="14" t="inlineStr">
        <is>
          <t>Rendah ---</t>
        </is>
      </c>
      <c r="H574" s="18" t="n"/>
      <c r="I574" s="18" t="n"/>
      <c r="J574" s="18" t="n"/>
      <c r="K574" s="18" t="n"/>
      <c r="L574" s="18" t="n"/>
    </row>
    <row r="575" ht="83.19999999999999" customHeight="1">
      <c r="A575" s="10" t="n">
        <v>571</v>
      </c>
      <c r="B575" s="11" t="inlineStr">
        <is>
          <t>MB-PRV-08</t>
        </is>
      </c>
      <c r="C575" s="5" t="inlineStr">
        <is>
          <t>Reset Filter memulihkan keadaan awal</t>
        </is>
      </c>
      <c r="D575" s="12" t="inlineStr">
        <is>
          <t>Threshing</t>
        </is>
      </c>
      <c r="E575" s="5" t="inlineStr">
        <is>
          <t>OPR-A</t>
        </is>
      </c>
      <c r="F575" s="5" t="inlineStr">
        <is>
          <t>- Tombol Reset Filter muncul hanya ketika ada filter aktif.
- Sesudah ditekan: filter Tanggal kembali ke hari ini, kolom Cari kosong.
- Jumlah baris kembali sama dengan keadaan awal langkah 1.</t>
        </is>
      </c>
      <c r="G575" s="10" t="inlineStr">
        <is>
          <t>Rendah ---</t>
        </is>
      </c>
      <c r="H575" s="18" t="n"/>
      <c r="I575" s="18" t="n"/>
      <c r="J575" s="18" t="n"/>
      <c r="K575" s="18" t="n"/>
      <c r="L575" s="18" t="n"/>
    </row>
    <row r="576" ht="83.19999999999999" customHeight="1">
      <c r="A576" s="14" t="n">
        <v>572</v>
      </c>
      <c r="B576" s="16" t="inlineStr">
        <is>
          <t>MB-PRV-08</t>
        </is>
      </c>
      <c r="C576" s="15" t="inlineStr">
        <is>
          <t>Reset Filter memulihkan keadaan awal</t>
        </is>
      </c>
      <c r="D576" s="17" t="inlineStr">
        <is>
          <t>Pressing</t>
        </is>
      </c>
      <c r="E576" s="15" t="inlineStr">
        <is>
          <t>OPR-A</t>
        </is>
      </c>
      <c r="F576" s="15" t="inlineStr">
        <is>
          <t>- Tombol Reset Filter muncul hanya ketika ada filter aktif.
- Sesudah ditekan: filter Tanggal kembali ke hari ini, kolom Cari kosong.
- Jumlah baris kembali sama dengan keadaan awal langkah 1.</t>
        </is>
      </c>
      <c r="G576" s="14" t="inlineStr">
        <is>
          <t>Rendah ---</t>
        </is>
      </c>
      <c r="H576" s="18" t="n"/>
      <c r="I576" s="18" t="n"/>
      <c r="J576" s="18" t="n"/>
      <c r="K576" s="18" t="n"/>
      <c r="L576" s="18" t="n"/>
    </row>
    <row r="577" ht="83.19999999999999" customHeight="1">
      <c r="A577" s="10" t="n">
        <v>573</v>
      </c>
      <c r="B577" s="11" t="inlineStr">
        <is>
          <t>MB-PRV-08</t>
        </is>
      </c>
      <c r="C577" s="5" t="inlineStr">
        <is>
          <t>Reset Filter memulihkan keadaan awal</t>
        </is>
      </c>
      <c r="D577" s="12" t="inlineStr">
        <is>
          <t>Clarification</t>
        </is>
      </c>
      <c r="E577" s="5" t="inlineStr">
        <is>
          <t>OPR-A</t>
        </is>
      </c>
      <c r="F577" s="5" t="inlineStr">
        <is>
          <t>- Tombol Reset Filter muncul hanya ketika ada filter aktif.
- Sesudah ditekan: filter Tanggal kembali ke hari ini, kolom Cari kosong.
- Jumlah baris kembali sama dengan keadaan awal langkah 1.</t>
        </is>
      </c>
      <c r="G577" s="10" t="inlineStr">
        <is>
          <t>Rendah ---</t>
        </is>
      </c>
      <c r="H577" s="18" t="n"/>
      <c r="I577" s="18" t="n"/>
      <c r="J577" s="18" t="n"/>
      <c r="K577" s="18" t="n"/>
      <c r="L577" s="18" t="n"/>
    </row>
    <row r="578" ht="83.19999999999999" customHeight="1">
      <c r="A578" s="14" t="n">
        <v>574</v>
      </c>
      <c r="B578" s="16" t="inlineStr">
        <is>
          <t>MB-PRV-08</t>
        </is>
      </c>
      <c r="C578" s="15" t="inlineStr">
        <is>
          <t>Reset Filter memulihkan keadaan awal</t>
        </is>
      </c>
      <c r="D578" s="17" t="inlineStr">
        <is>
          <t>Kernel Plant</t>
        </is>
      </c>
      <c r="E578" s="15" t="inlineStr">
        <is>
          <t>OPR-A</t>
        </is>
      </c>
      <c r="F578" s="15" t="inlineStr">
        <is>
          <t>- Tombol Reset Filter muncul hanya ketika ada filter aktif.
- Sesudah ditekan: filter Tanggal kembali ke hari ini, kolom Cari kosong.
- Jumlah baris kembali sama dengan keadaan awal langkah 1.</t>
        </is>
      </c>
      <c r="G578" s="14" t="inlineStr">
        <is>
          <t>Rendah ---</t>
        </is>
      </c>
      <c r="H578" s="18" t="n"/>
      <c r="I578" s="18" t="n"/>
      <c r="J578" s="18" t="n"/>
      <c r="K578" s="18" t="n"/>
      <c r="L578" s="18" t="n"/>
    </row>
    <row r="579" ht="83.19999999999999" customHeight="1">
      <c r="A579" s="10" t="n">
        <v>575</v>
      </c>
      <c r="B579" s="11" t="inlineStr">
        <is>
          <t>MB-PRV-08</t>
        </is>
      </c>
      <c r="C579" s="5" t="inlineStr">
        <is>
          <t>Reset Filter memulihkan keadaan awal</t>
        </is>
      </c>
      <c r="D579" s="12" t="inlineStr">
        <is>
          <t>Boiler Room</t>
        </is>
      </c>
      <c r="E579" s="5" t="inlineStr">
        <is>
          <t>OPR-A</t>
        </is>
      </c>
      <c r="F579" s="5" t="inlineStr">
        <is>
          <t>- Tombol Reset Filter muncul hanya ketika ada filter aktif.
- Sesudah ditekan: filter Tanggal kembali ke hari ini, kolom Cari kosong.
- Jumlah baris kembali sama dengan keadaan awal langkah 1.</t>
        </is>
      </c>
      <c r="G579" s="10" t="inlineStr">
        <is>
          <t>Rendah ---</t>
        </is>
      </c>
      <c r="H579" s="18" t="n"/>
      <c r="I579" s="18" t="n"/>
      <c r="J579" s="18" t="n"/>
      <c r="K579" s="18" t="n"/>
      <c r="L579" s="18" t="n"/>
    </row>
    <row r="580" ht="83.19999999999999" customHeight="1">
      <c r="A580" s="14" t="n">
        <v>576</v>
      </c>
      <c r="B580" s="16" t="inlineStr">
        <is>
          <t>MB-PRV-08</t>
        </is>
      </c>
      <c r="C580" s="15" t="inlineStr">
        <is>
          <t>Reset Filter memulihkan keadaan awal</t>
        </is>
      </c>
      <c r="D580" s="17" t="inlineStr">
        <is>
          <t>Effluent Plant</t>
        </is>
      </c>
      <c r="E580" s="15" t="inlineStr">
        <is>
          <t>OPR-A</t>
        </is>
      </c>
      <c r="F580" s="15" t="inlineStr">
        <is>
          <t>- Tombol Reset Filter muncul hanya ketika ada filter aktif.
- Sesudah ditekan: filter Tanggal kembali ke hari ini, kolom Cari kosong.
- Jumlah baris kembali sama dengan keadaan awal langkah 1.</t>
        </is>
      </c>
      <c r="G580" s="14" t="inlineStr">
        <is>
          <t>Rendah ---</t>
        </is>
      </c>
      <c r="H580" s="18" t="n"/>
      <c r="I580" s="18" t="n"/>
      <c r="J580" s="18" t="n"/>
      <c r="K580" s="18" t="n"/>
      <c r="L580" s="18" t="n"/>
    </row>
    <row r="581" ht="83.19999999999999" customHeight="1">
      <c r="A581" s="10" t="n">
        <v>577</v>
      </c>
      <c r="B581" s="11" t="inlineStr">
        <is>
          <t>MB-PRV-08</t>
        </is>
      </c>
      <c r="C581" s="5" t="inlineStr">
        <is>
          <t>Reset Filter memulihkan keadaan awal</t>
        </is>
      </c>
      <c r="D581" s="12" t="inlineStr">
        <is>
          <t>Depricarping</t>
        </is>
      </c>
      <c r="E581" s="5" t="inlineStr">
        <is>
          <t>OPR-A</t>
        </is>
      </c>
      <c r="F581" s="5" t="inlineStr">
        <is>
          <t>- Tombol Reset Filter muncul hanya ketika ada filter aktif.
- Sesudah ditekan: filter Tanggal kembali ke hari ini, kolom Cari kosong.
- Jumlah baris kembali sama dengan keadaan awal langkah 1.</t>
        </is>
      </c>
      <c r="G581" s="10" t="inlineStr">
        <is>
          <t>Rendah ---</t>
        </is>
      </c>
      <c r="H581" s="18" t="n"/>
      <c r="I581" s="18" t="n"/>
      <c r="J581" s="18" t="n"/>
      <c r="K581" s="18" t="n"/>
      <c r="L581" s="18" t="n"/>
    </row>
    <row r="582" ht="83.19999999999999" customHeight="1">
      <c r="A582" s="14" t="n">
        <v>578</v>
      </c>
      <c r="B582" s="16" t="inlineStr">
        <is>
          <t>MB-PRV-08</t>
        </is>
      </c>
      <c r="C582" s="15" t="inlineStr">
        <is>
          <t>Reset Filter memulihkan keadaan awal</t>
        </is>
      </c>
      <c r="D582" s="17" t="inlineStr">
        <is>
          <t>Engine Room</t>
        </is>
      </c>
      <c r="E582" s="15" t="inlineStr">
        <is>
          <t>OPR-A</t>
        </is>
      </c>
      <c r="F582" s="15" t="inlineStr">
        <is>
          <t>- Tombol Reset Filter muncul hanya ketika ada filter aktif.
- Sesudah ditekan: filter Tanggal kembali ke hari ini, kolom Cari kosong.
- Jumlah baris kembali sama dengan keadaan awal langkah 1.</t>
        </is>
      </c>
      <c r="G582" s="14" t="inlineStr">
        <is>
          <t>Rendah ---</t>
        </is>
      </c>
      <c r="H582" s="18" t="n"/>
      <c r="I582" s="18" t="n"/>
      <c r="J582" s="18" t="n"/>
      <c r="K582" s="18" t="n"/>
      <c r="L582" s="18" t="n"/>
    </row>
    <row r="583" ht="83.19999999999999" customHeight="1">
      <c r="A583" s="10" t="n">
        <v>579</v>
      </c>
      <c r="B583" s="11" t="inlineStr">
        <is>
          <t>MB-PRV-08</t>
        </is>
      </c>
      <c r="C583" s="5" t="inlineStr">
        <is>
          <t>Reset Filter memulihkan keadaan awal</t>
        </is>
      </c>
      <c r="D583" s="12" t="inlineStr">
        <is>
          <t>Process Water</t>
        </is>
      </c>
      <c r="E583" s="5" t="inlineStr">
        <is>
          <t>OPR-A</t>
        </is>
      </c>
      <c r="F583" s="5" t="inlineStr">
        <is>
          <t>- Tombol Reset Filter muncul hanya ketika ada filter aktif.
- Sesudah ditekan: filter Tanggal kembali ke hari ini, kolom Cari kosong.
- Jumlah baris kembali sama dengan keadaan awal langkah 1.</t>
        </is>
      </c>
      <c r="G583" s="10" t="inlineStr">
        <is>
          <t>Rendah ---</t>
        </is>
      </c>
      <c r="H583" s="18" t="n"/>
      <c r="I583" s="18" t="n"/>
      <c r="J583" s="18" t="n"/>
      <c r="K583" s="18" t="n"/>
      <c r="L583" s="18" t="n"/>
    </row>
    <row r="584" ht="83.19999999999999" customHeight="1">
      <c r="A584" s="14" t="n">
        <v>580</v>
      </c>
      <c r="B584" s="16" t="inlineStr">
        <is>
          <t>MB-PRV-08</t>
        </is>
      </c>
      <c r="C584" s="15" t="inlineStr">
        <is>
          <t>Reset Filter memulihkan keadaan awal</t>
        </is>
      </c>
      <c r="D584" s="17" t="inlineStr">
        <is>
          <t>Storage Tank</t>
        </is>
      </c>
      <c r="E584" s="15" t="inlineStr">
        <is>
          <t>OPR-A</t>
        </is>
      </c>
      <c r="F584" s="15" t="inlineStr">
        <is>
          <t>- Tombol Reset Filter muncul hanya ketika ada filter aktif.
- Sesudah ditekan: filter Tanggal kembali ke hari ini, kolom Cari kosong.
- Jumlah baris kembali sama dengan keadaan awal langkah 1.</t>
        </is>
      </c>
      <c r="G584" s="14" t="inlineStr">
        <is>
          <t>Rendah ---</t>
        </is>
      </c>
      <c r="H584" s="18" t="n"/>
      <c r="I584" s="18" t="n"/>
      <c r="J584" s="18" t="n"/>
      <c r="K584" s="18" t="n"/>
      <c r="L584" s="18" t="n"/>
    </row>
    <row r="585" ht="83.19999999999999" customHeight="1">
      <c r="A585" s="10" t="n">
        <v>581</v>
      </c>
      <c r="B585" s="11" t="inlineStr">
        <is>
          <t>MB-PRV-08</t>
        </is>
      </c>
      <c r="C585" s="5" t="inlineStr">
        <is>
          <t>Reset Filter memulihkan keadaan awal</t>
        </is>
      </c>
      <c r="D585" s="12" t="inlineStr">
        <is>
          <t>Solid Waste Disposal</t>
        </is>
      </c>
      <c r="E585" s="5" t="inlineStr">
        <is>
          <t>OPR-A</t>
        </is>
      </c>
      <c r="F585" s="5" t="inlineStr">
        <is>
          <t>- Tombol Reset Filter muncul hanya ketika ada filter aktif.
- Sesudah ditekan: filter Tanggal kembali ke hari ini, kolom Cari kosong.
- Jumlah baris kembali sama dengan keadaan awal langkah 1.</t>
        </is>
      </c>
      <c r="G585" s="10" t="inlineStr">
        <is>
          <t>Rendah ---</t>
        </is>
      </c>
      <c r="H585" s="18" t="n"/>
      <c r="I585" s="18" t="n"/>
      <c r="J585" s="18" t="n"/>
      <c r="K585" s="18" t="n"/>
      <c r="L585" s="18" t="n"/>
    </row>
    <row r="586" ht="83.19999999999999" customHeight="1">
      <c r="A586" s="14" t="n">
        <v>582</v>
      </c>
      <c r="B586" s="16" t="inlineStr">
        <is>
          <t>MB-PRV-08</t>
        </is>
      </c>
      <c r="C586" s="15" t="inlineStr">
        <is>
          <t>Reset Filter memulihkan keadaan awal</t>
        </is>
      </c>
      <c r="D586" s="17" t="inlineStr">
        <is>
          <t>Kernel Dispatch</t>
        </is>
      </c>
      <c r="E586" s="15" t="inlineStr">
        <is>
          <t>OPR-A</t>
        </is>
      </c>
      <c r="F586" s="15" t="inlineStr">
        <is>
          <t>- Tombol Reset Filter muncul hanya ketika ada filter aktif.
- Sesudah ditekan: filter Tanggal kembali ke hari ini, kolom Cari kosong.
- Jumlah baris kembali sama dengan keadaan awal langkah 1.</t>
        </is>
      </c>
      <c r="G586" s="14" t="inlineStr">
        <is>
          <t>Rendah ---</t>
        </is>
      </c>
      <c r="H586" s="18" t="n"/>
      <c r="I586" s="18" t="n"/>
      <c r="J586" s="18" t="n"/>
      <c r="K586" s="18" t="n"/>
      <c r="L586" s="18" t="n"/>
    </row>
    <row r="587" ht="83.19999999999999" customHeight="1">
      <c r="A587" s="10" t="n">
        <v>583</v>
      </c>
      <c r="B587" s="11" t="inlineStr">
        <is>
          <t>MB-PRV-08</t>
        </is>
      </c>
      <c r="C587" s="5" t="inlineStr">
        <is>
          <t>Reset Filter memulihkan keadaan awal</t>
        </is>
      </c>
      <c r="D587" s="12" t="inlineStr">
        <is>
          <t>CPO Dispatch</t>
        </is>
      </c>
      <c r="E587" s="5" t="inlineStr">
        <is>
          <t>OPR-A</t>
        </is>
      </c>
      <c r="F587" s="5" t="inlineStr">
        <is>
          <t>- Tombol Reset Filter muncul hanya ketika ada filter aktif.
- Sesudah ditekan: filter Tanggal kembali ke hari ini, kolom Cari kosong.
- Jumlah baris kembali sama dengan keadaan awal langkah 1.</t>
        </is>
      </c>
      <c r="G587" s="10" t="inlineStr">
        <is>
          <t>Rendah ---</t>
        </is>
      </c>
      <c r="H587" s="18" t="n"/>
      <c r="I587" s="18" t="n"/>
      <c r="J587" s="18" t="n"/>
      <c r="K587" s="18" t="n"/>
      <c r="L587" s="18" t="n"/>
    </row>
    <row r="588" ht="83.19999999999999" customHeight="1">
      <c r="A588" s="14" t="n">
        <v>584</v>
      </c>
      <c r="B588" s="16" t="inlineStr">
        <is>
          <t>MB-PRV-08</t>
        </is>
      </c>
      <c r="C588" s="15" t="inlineStr">
        <is>
          <t>Reset Filter memulihkan keadaan awal</t>
        </is>
      </c>
      <c r="D588" s="17" t="inlineStr">
        <is>
          <t>Process Quality Control</t>
        </is>
      </c>
      <c r="E588" s="15" t="inlineStr">
        <is>
          <t>OPR-A</t>
        </is>
      </c>
      <c r="F588" s="15" t="inlineStr">
        <is>
          <t>- Tombol Reset Filter muncul hanya ketika ada filter aktif.
- Sesudah ditekan: filter Tanggal kembali ke hari ini, kolom Cari kosong.
- Jumlah baris kembali sama dengan keadaan awal langkah 1.</t>
        </is>
      </c>
      <c r="G588" s="14" t="inlineStr">
        <is>
          <t>Rendah ---</t>
        </is>
      </c>
      <c r="H588" s="18" t="n"/>
      <c r="I588" s="18" t="n"/>
      <c r="J588" s="18" t="n"/>
      <c r="K588" s="18" t="n"/>
      <c r="L588" s="18" t="n"/>
    </row>
    <row r="589" ht="96.39999999999999" customHeight="1">
      <c r="A589" s="10" t="n">
        <v>585</v>
      </c>
      <c r="B589" s="11" t="inlineStr">
        <is>
          <t>WB-BRW-01</t>
        </is>
      </c>
      <c r="C589" s="5" t="inlineStr">
        <is>
          <t>Daftar tampil dengan filter tanggal dan kolom status berbahasa Indonesia</t>
        </is>
      </c>
      <c r="D589" s="12" t="inlineStr">
        <is>
          <t>Weighbridge</t>
        </is>
      </c>
      <c r="E589" s="5" t="inlineStr">
        <is>
          <t>SPV-A</t>
        </is>
      </c>
      <c r="F58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589" s="13" t="inlineStr">
        <is>
          <t>Tinggi</t>
        </is>
      </c>
      <c r="H589" s="18" t="n"/>
      <c r="I589" s="18" t="n"/>
      <c r="J589" s="18" t="n"/>
      <c r="K589" s="18" t="n"/>
      <c r="L589" s="18" t="n"/>
    </row>
    <row r="590" ht="96.39999999999999" customHeight="1">
      <c r="A590" s="14" t="n">
        <v>586</v>
      </c>
      <c r="B590" s="16" t="inlineStr">
        <is>
          <t>WB-BRW-01</t>
        </is>
      </c>
      <c r="C590" s="15" t="inlineStr">
        <is>
          <t>Daftar tampil dengan filter tanggal dan kolom status berbahasa Indonesia</t>
        </is>
      </c>
      <c r="D590" s="17" t="inlineStr">
        <is>
          <t>Grading</t>
        </is>
      </c>
      <c r="E590" s="15" t="inlineStr">
        <is>
          <t>SPV-A</t>
        </is>
      </c>
      <c r="F590" s="1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590" s="13" t="inlineStr">
        <is>
          <t>Tinggi</t>
        </is>
      </c>
      <c r="H590" s="18" t="n"/>
      <c r="I590" s="18" t="n"/>
      <c r="J590" s="18" t="n"/>
      <c r="K590" s="18" t="n"/>
      <c r="L590" s="18" t="n"/>
    </row>
    <row r="591" ht="96.39999999999999" customHeight="1">
      <c r="A591" s="10" t="n">
        <v>587</v>
      </c>
      <c r="B591" s="11" t="inlineStr">
        <is>
          <t>WB-BRW-01</t>
        </is>
      </c>
      <c r="C591" s="5" t="inlineStr">
        <is>
          <t>Daftar tampil dengan filter tanggal dan kolom status berbahasa Indonesia</t>
        </is>
      </c>
      <c r="D591" s="12" t="inlineStr">
        <is>
          <t>Cages Track</t>
        </is>
      </c>
      <c r="E591" s="5" t="inlineStr">
        <is>
          <t>SPV-A</t>
        </is>
      </c>
      <c r="F59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591" s="13" t="inlineStr">
        <is>
          <t>Tinggi</t>
        </is>
      </c>
      <c r="H591" s="18" t="n"/>
      <c r="I591" s="18" t="n"/>
      <c r="J591" s="18" t="n"/>
      <c r="K591" s="18" t="n"/>
      <c r="L591" s="18" t="n"/>
    </row>
    <row r="592" ht="96.39999999999999" customHeight="1">
      <c r="A592" s="14" t="n">
        <v>588</v>
      </c>
      <c r="B592" s="16" t="inlineStr">
        <is>
          <t>WB-BRW-01</t>
        </is>
      </c>
      <c r="C592" s="15" t="inlineStr">
        <is>
          <t>Daftar tampil dengan filter tanggal dan kolom status berbahasa Indonesia</t>
        </is>
      </c>
      <c r="D592" s="17" t="inlineStr">
        <is>
          <t>Sterilizer</t>
        </is>
      </c>
      <c r="E592" s="15" t="inlineStr">
        <is>
          <t>SPV-A</t>
        </is>
      </c>
      <c r="F592" s="1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592" s="13" t="inlineStr">
        <is>
          <t>Tinggi</t>
        </is>
      </c>
      <c r="H592" s="18" t="n"/>
      <c r="I592" s="18" t="n"/>
      <c r="J592" s="18" t="n"/>
      <c r="K592" s="18" t="n"/>
      <c r="L592" s="18" t="n"/>
    </row>
    <row r="593" ht="96.39999999999999" customHeight="1">
      <c r="A593" s="10" t="n">
        <v>589</v>
      </c>
      <c r="B593" s="11" t="inlineStr">
        <is>
          <t>WB-BRW-01</t>
        </is>
      </c>
      <c r="C593" s="5" t="inlineStr">
        <is>
          <t>Daftar tampil dengan filter tanggal dan kolom status berbahasa Indonesia</t>
        </is>
      </c>
      <c r="D593" s="12" t="inlineStr">
        <is>
          <t>Threshing</t>
        </is>
      </c>
      <c r="E593" s="5" t="inlineStr">
        <is>
          <t>SPV-A</t>
        </is>
      </c>
      <c r="F59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593" s="13" t="inlineStr">
        <is>
          <t>Tinggi</t>
        </is>
      </c>
      <c r="H593" s="18" t="n"/>
      <c r="I593" s="18" t="n"/>
      <c r="J593" s="18" t="n"/>
      <c r="K593" s="18" t="n"/>
      <c r="L593" s="18" t="n"/>
    </row>
    <row r="594" ht="96.39999999999999" customHeight="1">
      <c r="A594" s="14" t="n">
        <v>590</v>
      </c>
      <c r="B594" s="16" t="inlineStr">
        <is>
          <t>WB-BRW-01</t>
        </is>
      </c>
      <c r="C594" s="15" t="inlineStr">
        <is>
          <t>Daftar tampil dengan filter tanggal dan kolom status berbahasa Indonesia</t>
        </is>
      </c>
      <c r="D594" s="17" t="inlineStr">
        <is>
          <t>Pressing</t>
        </is>
      </c>
      <c r="E594" s="15" t="inlineStr">
        <is>
          <t>SPV-A</t>
        </is>
      </c>
      <c r="F594" s="1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594" s="13" t="inlineStr">
        <is>
          <t>Tinggi</t>
        </is>
      </c>
      <c r="H594" s="18" t="n"/>
      <c r="I594" s="18" t="n"/>
      <c r="J594" s="18" t="n"/>
      <c r="K594" s="18" t="n"/>
      <c r="L594" s="18" t="n"/>
    </row>
    <row r="595" ht="96.39999999999999" customHeight="1">
      <c r="A595" s="10" t="n">
        <v>591</v>
      </c>
      <c r="B595" s="11" t="inlineStr">
        <is>
          <t>WB-BRW-01</t>
        </is>
      </c>
      <c r="C595" s="5" t="inlineStr">
        <is>
          <t>Daftar tampil dengan filter tanggal dan kolom status berbahasa Indonesia</t>
        </is>
      </c>
      <c r="D595" s="12" t="inlineStr">
        <is>
          <t>Clarification</t>
        </is>
      </c>
      <c r="E595" s="5" t="inlineStr">
        <is>
          <t>SPV-A</t>
        </is>
      </c>
      <c r="F59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595" s="13" t="inlineStr">
        <is>
          <t>Tinggi</t>
        </is>
      </c>
      <c r="H595" s="18" t="n"/>
      <c r="I595" s="18" t="n"/>
      <c r="J595" s="18" t="n"/>
      <c r="K595" s="18" t="n"/>
      <c r="L595" s="18" t="n"/>
    </row>
    <row r="596" ht="96.39999999999999" customHeight="1">
      <c r="A596" s="14" t="n">
        <v>592</v>
      </c>
      <c r="B596" s="16" t="inlineStr">
        <is>
          <t>WB-BRW-01</t>
        </is>
      </c>
      <c r="C596" s="15" t="inlineStr">
        <is>
          <t>Daftar tampil dengan filter tanggal dan kolom status berbahasa Indonesia</t>
        </is>
      </c>
      <c r="D596" s="17" t="inlineStr">
        <is>
          <t>Kernel Plant</t>
        </is>
      </c>
      <c r="E596" s="15" t="inlineStr">
        <is>
          <t>SPV-A</t>
        </is>
      </c>
      <c r="F596" s="1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596" s="13" t="inlineStr">
        <is>
          <t>Tinggi</t>
        </is>
      </c>
      <c r="H596" s="18" t="n"/>
      <c r="I596" s="18" t="n"/>
      <c r="J596" s="18" t="n"/>
      <c r="K596" s="18" t="n"/>
      <c r="L596" s="18" t="n"/>
    </row>
    <row r="597" ht="96.39999999999999" customHeight="1">
      <c r="A597" s="10" t="n">
        <v>593</v>
      </c>
      <c r="B597" s="11" t="inlineStr">
        <is>
          <t>WB-BRW-01</t>
        </is>
      </c>
      <c r="C597" s="5" t="inlineStr">
        <is>
          <t>Daftar tampil dengan filter tanggal dan kolom status berbahasa Indonesia</t>
        </is>
      </c>
      <c r="D597" s="12" t="inlineStr">
        <is>
          <t>Boiler Room</t>
        </is>
      </c>
      <c r="E597" s="5" t="inlineStr">
        <is>
          <t>SPV-A</t>
        </is>
      </c>
      <c r="F59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597" s="13" t="inlineStr">
        <is>
          <t>Tinggi</t>
        </is>
      </c>
      <c r="H597" s="18" t="n"/>
      <c r="I597" s="18" t="n"/>
      <c r="J597" s="18" t="n"/>
      <c r="K597" s="18" t="n"/>
      <c r="L597" s="18" t="n"/>
    </row>
    <row r="598" ht="96.39999999999999" customHeight="1">
      <c r="A598" s="14" t="n">
        <v>594</v>
      </c>
      <c r="B598" s="16" t="inlineStr">
        <is>
          <t>WB-BRW-01</t>
        </is>
      </c>
      <c r="C598" s="15" t="inlineStr">
        <is>
          <t>Daftar tampil dengan filter tanggal dan kolom status berbahasa Indonesia</t>
        </is>
      </c>
      <c r="D598" s="17" t="inlineStr">
        <is>
          <t>Effluent Plant</t>
        </is>
      </c>
      <c r="E598" s="15" t="inlineStr">
        <is>
          <t>SPV-A</t>
        </is>
      </c>
      <c r="F598" s="1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598" s="13" t="inlineStr">
        <is>
          <t>Tinggi</t>
        </is>
      </c>
      <c r="H598" s="18" t="n"/>
      <c r="I598" s="18" t="n"/>
      <c r="J598" s="18" t="n"/>
      <c r="K598" s="18" t="n"/>
      <c r="L598" s="18" t="n"/>
    </row>
    <row r="599" ht="96.39999999999999" customHeight="1">
      <c r="A599" s="10" t="n">
        <v>595</v>
      </c>
      <c r="B599" s="11" t="inlineStr">
        <is>
          <t>WB-BRW-01</t>
        </is>
      </c>
      <c r="C599" s="5" t="inlineStr">
        <is>
          <t>Daftar tampil dengan filter tanggal dan kolom status berbahasa Indonesia</t>
        </is>
      </c>
      <c r="D599" s="12" t="inlineStr">
        <is>
          <t>Depricarping</t>
        </is>
      </c>
      <c r="E599" s="5" t="inlineStr">
        <is>
          <t>SPV-A</t>
        </is>
      </c>
      <c r="F59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599" s="13" t="inlineStr">
        <is>
          <t>Tinggi</t>
        </is>
      </c>
      <c r="H599" s="18" t="n"/>
      <c r="I599" s="18" t="n"/>
      <c r="J599" s="18" t="n"/>
      <c r="K599" s="18" t="n"/>
      <c r="L599" s="18" t="n"/>
    </row>
    <row r="600" ht="96.39999999999999" customHeight="1">
      <c r="A600" s="14" t="n">
        <v>596</v>
      </c>
      <c r="B600" s="16" t="inlineStr">
        <is>
          <t>WB-BRW-01</t>
        </is>
      </c>
      <c r="C600" s="15" t="inlineStr">
        <is>
          <t>Daftar tampil dengan filter tanggal dan kolom status berbahasa Indonesia</t>
        </is>
      </c>
      <c r="D600" s="17" t="inlineStr">
        <is>
          <t>Engine Room</t>
        </is>
      </c>
      <c r="E600" s="15" t="inlineStr">
        <is>
          <t>SPV-A</t>
        </is>
      </c>
      <c r="F600" s="1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600" s="13" t="inlineStr">
        <is>
          <t>Tinggi</t>
        </is>
      </c>
      <c r="H600" s="18" t="n"/>
      <c r="I600" s="18" t="n"/>
      <c r="J600" s="18" t="n"/>
      <c r="K600" s="18" t="n"/>
      <c r="L600" s="18" t="n"/>
    </row>
    <row r="601" ht="96.39999999999999" customHeight="1">
      <c r="A601" s="10" t="n">
        <v>597</v>
      </c>
      <c r="B601" s="11" t="inlineStr">
        <is>
          <t>WB-BRW-01</t>
        </is>
      </c>
      <c r="C601" s="5" t="inlineStr">
        <is>
          <t>Daftar tampil dengan filter tanggal dan kolom status berbahasa Indonesia</t>
        </is>
      </c>
      <c r="D601" s="12" t="inlineStr">
        <is>
          <t>Process Water</t>
        </is>
      </c>
      <c r="E601" s="5" t="inlineStr">
        <is>
          <t>SPV-A</t>
        </is>
      </c>
      <c r="F60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601" s="13" t="inlineStr">
        <is>
          <t>Tinggi</t>
        </is>
      </c>
      <c r="H601" s="18" t="n"/>
      <c r="I601" s="18" t="n"/>
      <c r="J601" s="18" t="n"/>
      <c r="K601" s="18" t="n"/>
      <c r="L601" s="18" t="n"/>
    </row>
    <row r="602" ht="96.39999999999999" customHeight="1">
      <c r="A602" s="14" t="n">
        <v>598</v>
      </c>
      <c r="B602" s="16" t="inlineStr">
        <is>
          <t>WB-BRW-01</t>
        </is>
      </c>
      <c r="C602" s="15" t="inlineStr">
        <is>
          <t>Daftar tampil dengan filter tanggal dan kolom status berbahasa Indonesia</t>
        </is>
      </c>
      <c r="D602" s="17" t="inlineStr">
        <is>
          <t>Storage Tank</t>
        </is>
      </c>
      <c r="E602" s="15" t="inlineStr">
        <is>
          <t>SPV-A</t>
        </is>
      </c>
      <c r="F602" s="1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602" s="13" t="inlineStr">
        <is>
          <t>Tinggi</t>
        </is>
      </c>
      <c r="H602" s="18" t="n"/>
      <c r="I602" s="18" t="n"/>
      <c r="J602" s="18" t="n"/>
      <c r="K602" s="18" t="n"/>
      <c r="L602" s="18" t="n"/>
    </row>
    <row r="603" ht="96.39999999999999" customHeight="1">
      <c r="A603" s="10" t="n">
        <v>599</v>
      </c>
      <c r="B603" s="11" t="inlineStr">
        <is>
          <t>WB-BRW-01</t>
        </is>
      </c>
      <c r="C603" s="5" t="inlineStr">
        <is>
          <t>Daftar tampil dengan filter tanggal dan kolom status berbahasa Indonesia</t>
        </is>
      </c>
      <c r="D603" s="12" t="inlineStr">
        <is>
          <t>Solid Waste Disposal</t>
        </is>
      </c>
      <c r="E603" s="5" t="inlineStr">
        <is>
          <t>SPV-A</t>
        </is>
      </c>
      <c r="F60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603" s="13" t="inlineStr">
        <is>
          <t>Tinggi</t>
        </is>
      </c>
      <c r="H603" s="18" t="n"/>
      <c r="I603" s="18" t="n"/>
      <c r="J603" s="18" t="n"/>
      <c r="K603" s="18" t="n"/>
      <c r="L603" s="18" t="n"/>
    </row>
    <row r="604" ht="96.39999999999999" customHeight="1">
      <c r="A604" s="14" t="n">
        <v>600</v>
      </c>
      <c r="B604" s="16" t="inlineStr">
        <is>
          <t>WB-BRW-01</t>
        </is>
      </c>
      <c r="C604" s="15" t="inlineStr">
        <is>
          <t>Daftar tampil dengan filter tanggal dan kolom status berbahasa Indonesia</t>
        </is>
      </c>
      <c r="D604" s="17" t="inlineStr">
        <is>
          <t>Kernel Dispatch</t>
        </is>
      </c>
      <c r="E604" s="15" t="inlineStr">
        <is>
          <t>SPV-A</t>
        </is>
      </c>
      <c r="F604" s="1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604" s="13" t="inlineStr">
        <is>
          <t>Tinggi</t>
        </is>
      </c>
      <c r="H604" s="18" t="n"/>
      <c r="I604" s="18" t="n"/>
      <c r="J604" s="18" t="n"/>
      <c r="K604" s="18" t="n"/>
      <c r="L604" s="18" t="n"/>
    </row>
    <row r="605" ht="96.39999999999999" customHeight="1">
      <c r="A605" s="10" t="n">
        <v>601</v>
      </c>
      <c r="B605" s="11" t="inlineStr">
        <is>
          <t>WB-BRW-01</t>
        </is>
      </c>
      <c r="C605" s="5" t="inlineStr">
        <is>
          <t>Daftar tampil dengan filter tanggal dan kolom status berbahasa Indonesia</t>
        </is>
      </c>
      <c r="D605" s="12" t="inlineStr">
        <is>
          <t>CPO Dispatch</t>
        </is>
      </c>
      <c r="E605" s="5" t="inlineStr">
        <is>
          <t>SPV-A</t>
        </is>
      </c>
      <c r="F60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605" s="13" t="inlineStr">
        <is>
          <t>Tinggi</t>
        </is>
      </c>
      <c r="H605" s="18" t="n"/>
      <c r="I605" s="18" t="n"/>
      <c r="J605" s="18" t="n"/>
      <c r="K605" s="18" t="n"/>
      <c r="L605" s="18" t="n"/>
    </row>
    <row r="606" ht="96.39999999999999" customHeight="1">
      <c r="A606" s="14" t="n">
        <v>602</v>
      </c>
      <c r="B606" s="16" t="inlineStr">
        <is>
          <t>WB-BRW-01</t>
        </is>
      </c>
      <c r="C606" s="15" t="inlineStr">
        <is>
          <t>Daftar tampil dengan filter tanggal dan kolom status berbahasa Indonesia</t>
        </is>
      </c>
      <c r="D606" s="17" t="inlineStr">
        <is>
          <t>Process Quality Control</t>
        </is>
      </c>
      <c r="E606" s="15" t="inlineStr">
        <is>
          <t>SPV-A</t>
        </is>
      </c>
      <c r="F606" s="1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G606" s="13" t="inlineStr">
        <is>
          <t>Tinggi</t>
        </is>
      </c>
      <c r="H606" s="18" t="n"/>
      <c r="I606" s="18" t="n"/>
      <c r="J606" s="18" t="n"/>
      <c r="K606" s="18" t="n"/>
      <c r="L606" s="18" t="n"/>
    </row>
    <row r="607" ht="70" customHeight="1">
      <c r="A607" s="10" t="n">
        <v>603</v>
      </c>
      <c r="B607" s="11" t="inlineStr">
        <is>
          <t>WB-BRW-02</t>
        </is>
      </c>
      <c r="C607" s="5" t="inlineStr">
        <is>
          <t>Rentang tanggal terbalik ditolak</t>
        </is>
      </c>
      <c r="D607" s="12" t="inlineStr">
        <is>
          <t>Weighbridge</t>
        </is>
      </c>
      <c r="E607" s="5" t="inlineStr">
        <is>
          <t>SPV-A</t>
        </is>
      </c>
      <c r="F607" s="5" t="inlineStr">
        <is>
          <t>- Ditolak dengan pesan yang menyebut rentang tanggalnya.
- BUKAN tabel kosong tanpa penjelasan — tabel kosong akan terbaca "tidak ada data", padahal filternya yang mustahil.
- BUKAN pesan galat teknis.</t>
        </is>
      </c>
      <c r="G607" s="13" t="inlineStr">
        <is>
          <t>Tinggi</t>
        </is>
      </c>
      <c r="H607" s="18" t="n"/>
      <c r="I607" s="18" t="n"/>
      <c r="J607" s="18" t="n"/>
      <c r="K607" s="18" t="n"/>
      <c r="L607" s="18" t="n"/>
    </row>
    <row r="608" ht="70" customHeight="1">
      <c r="A608" s="14" t="n">
        <v>604</v>
      </c>
      <c r="B608" s="16" t="inlineStr">
        <is>
          <t>WB-BRW-02</t>
        </is>
      </c>
      <c r="C608" s="15" t="inlineStr">
        <is>
          <t>Rentang tanggal terbalik ditolak</t>
        </is>
      </c>
      <c r="D608" s="17" t="inlineStr">
        <is>
          <t>Grading</t>
        </is>
      </c>
      <c r="E608" s="15" t="inlineStr">
        <is>
          <t>SPV-A</t>
        </is>
      </c>
      <c r="F608" s="15" t="inlineStr">
        <is>
          <t>- Ditolak dengan pesan yang menyebut rentang tanggalnya.
- BUKAN tabel kosong tanpa penjelasan — tabel kosong akan terbaca "tidak ada data", padahal filternya yang mustahil.
- BUKAN pesan galat teknis.</t>
        </is>
      </c>
      <c r="G608" s="13" t="inlineStr">
        <is>
          <t>Tinggi</t>
        </is>
      </c>
      <c r="H608" s="18" t="n"/>
      <c r="I608" s="18" t="n"/>
      <c r="J608" s="18" t="n"/>
      <c r="K608" s="18" t="n"/>
      <c r="L608" s="18" t="n"/>
    </row>
    <row r="609" ht="70" customHeight="1">
      <c r="A609" s="10" t="n">
        <v>605</v>
      </c>
      <c r="B609" s="11" t="inlineStr">
        <is>
          <t>WB-BRW-02</t>
        </is>
      </c>
      <c r="C609" s="5" t="inlineStr">
        <is>
          <t>Rentang tanggal terbalik ditolak</t>
        </is>
      </c>
      <c r="D609" s="12" t="inlineStr">
        <is>
          <t>Cages Track</t>
        </is>
      </c>
      <c r="E609" s="5" t="inlineStr">
        <is>
          <t>SPV-A</t>
        </is>
      </c>
      <c r="F609" s="5" t="inlineStr">
        <is>
          <t>- Ditolak dengan pesan yang menyebut rentang tanggalnya.
- BUKAN tabel kosong tanpa penjelasan — tabel kosong akan terbaca "tidak ada data", padahal filternya yang mustahil.
- BUKAN pesan galat teknis.</t>
        </is>
      </c>
      <c r="G609" s="13" t="inlineStr">
        <is>
          <t>Tinggi</t>
        </is>
      </c>
      <c r="H609" s="18" t="n"/>
      <c r="I609" s="18" t="n"/>
      <c r="J609" s="18" t="n"/>
      <c r="K609" s="18" t="n"/>
      <c r="L609" s="18" t="n"/>
    </row>
    <row r="610" ht="70" customHeight="1">
      <c r="A610" s="14" t="n">
        <v>606</v>
      </c>
      <c r="B610" s="16" t="inlineStr">
        <is>
          <t>WB-BRW-02</t>
        </is>
      </c>
      <c r="C610" s="15" t="inlineStr">
        <is>
          <t>Rentang tanggal terbalik ditolak</t>
        </is>
      </c>
      <c r="D610" s="17" t="inlineStr">
        <is>
          <t>Sterilizer</t>
        </is>
      </c>
      <c r="E610" s="15" t="inlineStr">
        <is>
          <t>SPV-A</t>
        </is>
      </c>
      <c r="F610" s="15" t="inlineStr">
        <is>
          <t>- Ditolak dengan pesan yang menyebut rentang tanggalnya.
- BUKAN tabel kosong tanpa penjelasan — tabel kosong akan terbaca "tidak ada data", padahal filternya yang mustahil.
- BUKAN pesan galat teknis.</t>
        </is>
      </c>
      <c r="G610" s="13" t="inlineStr">
        <is>
          <t>Tinggi</t>
        </is>
      </c>
      <c r="H610" s="18" t="n"/>
      <c r="I610" s="18" t="n"/>
      <c r="J610" s="18" t="n"/>
      <c r="K610" s="18" t="n"/>
      <c r="L610" s="18" t="n"/>
    </row>
    <row r="611" ht="70" customHeight="1">
      <c r="A611" s="10" t="n">
        <v>607</v>
      </c>
      <c r="B611" s="11" t="inlineStr">
        <is>
          <t>WB-BRW-02</t>
        </is>
      </c>
      <c r="C611" s="5" t="inlineStr">
        <is>
          <t>Rentang tanggal terbalik ditolak</t>
        </is>
      </c>
      <c r="D611" s="12" t="inlineStr">
        <is>
          <t>Threshing</t>
        </is>
      </c>
      <c r="E611" s="5" t="inlineStr">
        <is>
          <t>SPV-A</t>
        </is>
      </c>
      <c r="F611" s="5" t="inlineStr">
        <is>
          <t>- Ditolak dengan pesan yang menyebut rentang tanggalnya.
- BUKAN tabel kosong tanpa penjelasan — tabel kosong akan terbaca "tidak ada data", padahal filternya yang mustahil.
- BUKAN pesan galat teknis.</t>
        </is>
      </c>
      <c r="G611" s="13" t="inlineStr">
        <is>
          <t>Tinggi</t>
        </is>
      </c>
      <c r="H611" s="18" t="n"/>
      <c r="I611" s="18" t="n"/>
      <c r="J611" s="18" t="n"/>
      <c r="K611" s="18" t="n"/>
      <c r="L611" s="18" t="n"/>
    </row>
    <row r="612" ht="70" customHeight="1">
      <c r="A612" s="14" t="n">
        <v>608</v>
      </c>
      <c r="B612" s="16" t="inlineStr">
        <is>
          <t>WB-BRW-02</t>
        </is>
      </c>
      <c r="C612" s="15" t="inlineStr">
        <is>
          <t>Rentang tanggal terbalik ditolak</t>
        </is>
      </c>
      <c r="D612" s="17" t="inlineStr">
        <is>
          <t>Pressing</t>
        </is>
      </c>
      <c r="E612" s="15" t="inlineStr">
        <is>
          <t>SPV-A</t>
        </is>
      </c>
      <c r="F612" s="15" t="inlineStr">
        <is>
          <t>- Ditolak dengan pesan yang menyebut rentang tanggalnya.
- BUKAN tabel kosong tanpa penjelasan — tabel kosong akan terbaca "tidak ada data", padahal filternya yang mustahil.
- BUKAN pesan galat teknis.</t>
        </is>
      </c>
      <c r="G612" s="13" t="inlineStr">
        <is>
          <t>Tinggi</t>
        </is>
      </c>
      <c r="H612" s="18" t="n"/>
      <c r="I612" s="18" t="n"/>
      <c r="J612" s="18" t="n"/>
      <c r="K612" s="18" t="n"/>
      <c r="L612" s="18" t="n"/>
    </row>
    <row r="613" ht="70" customHeight="1">
      <c r="A613" s="10" t="n">
        <v>609</v>
      </c>
      <c r="B613" s="11" t="inlineStr">
        <is>
          <t>WB-BRW-02</t>
        </is>
      </c>
      <c r="C613" s="5" t="inlineStr">
        <is>
          <t>Rentang tanggal terbalik ditolak</t>
        </is>
      </c>
      <c r="D613" s="12" t="inlineStr">
        <is>
          <t>Clarification</t>
        </is>
      </c>
      <c r="E613" s="5" t="inlineStr">
        <is>
          <t>SPV-A</t>
        </is>
      </c>
      <c r="F613" s="5" t="inlineStr">
        <is>
          <t>- Ditolak dengan pesan yang menyebut rentang tanggalnya.
- BUKAN tabel kosong tanpa penjelasan — tabel kosong akan terbaca "tidak ada data", padahal filternya yang mustahil.
- BUKAN pesan galat teknis.</t>
        </is>
      </c>
      <c r="G613" s="13" t="inlineStr">
        <is>
          <t>Tinggi</t>
        </is>
      </c>
      <c r="H613" s="18" t="n"/>
      <c r="I613" s="18" t="n"/>
      <c r="J613" s="18" t="n"/>
      <c r="K613" s="18" t="n"/>
      <c r="L613" s="18" t="n"/>
    </row>
    <row r="614" ht="70" customHeight="1">
      <c r="A614" s="14" t="n">
        <v>610</v>
      </c>
      <c r="B614" s="16" t="inlineStr">
        <is>
          <t>WB-BRW-02</t>
        </is>
      </c>
      <c r="C614" s="15" t="inlineStr">
        <is>
          <t>Rentang tanggal terbalik ditolak</t>
        </is>
      </c>
      <c r="D614" s="17" t="inlineStr">
        <is>
          <t>Kernel Plant</t>
        </is>
      </c>
      <c r="E614" s="15" t="inlineStr">
        <is>
          <t>SPV-A</t>
        </is>
      </c>
      <c r="F614" s="15" t="inlineStr">
        <is>
          <t>- Ditolak dengan pesan yang menyebut rentang tanggalnya.
- BUKAN tabel kosong tanpa penjelasan — tabel kosong akan terbaca "tidak ada data", padahal filternya yang mustahil.
- BUKAN pesan galat teknis.</t>
        </is>
      </c>
      <c r="G614" s="13" t="inlineStr">
        <is>
          <t>Tinggi</t>
        </is>
      </c>
      <c r="H614" s="18" t="n"/>
      <c r="I614" s="18" t="n"/>
      <c r="J614" s="18" t="n"/>
      <c r="K614" s="18" t="n"/>
      <c r="L614" s="18" t="n"/>
    </row>
    <row r="615" ht="70" customHeight="1">
      <c r="A615" s="10" t="n">
        <v>611</v>
      </c>
      <c r="B615" s="11" t="inlineStr">
        <is>
          <t>WB-BRW-02</t>
        </is>
      </c>
      <c r="C615" s="5" t="inlineStr">
        <is>
          <t>Rentang tanggal terbalik ditolak</t>
        </is>
      </c>
      <c r="D615" s="12" t="inlineStr">
        <is>
          <t>Boiler Room</t>
        </is>
      </c>
      <c r="E615" s="5" t="inlineStr">
        <is>
          <t>SPV-A</t>
        </is>
      </c>
      <c r="F615" s="5" t="inlineStr">
        <is>
          <t>- Ditolak dengan pesan yang menyebut rentang tanggalnya.
- BUKAN tabel kosong tanpa penjelasan — tabel kosong akan terbaca "tidak ada data", padahal filternya yang mustahil.
- BUKAN pesan galat teknis.</t>
        </is>
      </c>
      <c r="G615" s="13" t="inlineStr">
        <is>
          <t>Tinggi</t>
        </is>
      </c>
      <c r="H615" s="18" t="n"/>
      <c r="I615" s="18" t="n"/>
      <c r="J615" s="18" t="n"/>
      <c r="K615" s="18" t="n"/>
      <c r="L615" s="18" t="n"/>
    </row>
    <row r="616" ht="70" customHeight="1">
      <c r="A616" s="14" t="n">
        <v>612</v>
      </c>
      <c r="B616" s="16" t="inlineStr">
        <is>
          <t>WB-BRW-02</t>
        </is>
      </c>
      <c r="C616" s="15" t="inlineStr">
        <is>
          <t>Rentang tanggal terbalik ditolak</t>
        </is>
      </c>
      <c r="D616" s="17" t="inlineStr">
        <is>
          <t>Effluent Plant</t>
        </is>
      </c>
      <c r="E616" s="15" t="inlineStr">
        <is>
          <t>SPV-A</t>
        </is>
      </c>
      <c r="F616" s="15" t="inlineStr">
        <is>
          <t>- Ditolak dengan pesan yang menyebut rentang tanggalnya.
- BUKAN tabel kosong tanpa penjelasan — tabel kosong akan terbaca "tidak ada data", padahal filternya yang mustahil.
- BUKAN pesan galat teknis.</t>
        </is>
      </c>
      <c r="G616" s="13" t="inlineStr">
        <is>
          <t>Tinggi</t>
        </is>
      </c>
      <c r="H616" s="18" t="n"/>
      <c r="I616" s="18" t="n"/>
      <c r="J616" s="18" t="n"/>
      <c r="K616" s="18" t="n"/>
      <c r="L616" s="18" t="n"/>
    </row>
    <row r="617" ht="70" customHeight="1">
      <c r="A617" s="10" t="n">
        <v>613</v>
      </c>
      <c r="B617" s="11" t="inlineStr">
        <is>
          <t>WB-BRW-02</t>
        </is>
      </c>
      <c r="C617" s="5" t="inlineStr">
        <is>
          <t>Rentang tanggal terbalik ditolak</t>
        </is>
      </c>
      <c r="D617" s="12" t="inlineStr">
        <is>
          <t>Depricarping</t>
        </is>
      </c>
      <c r="E617" s="5" t="inlineStr">
        <is>
          <t>SPV-A</t>
        </is>
      </c>
      <c r="F617" s="5" t="inlineStr">
        <is>
          <t>- Ditolak dengan pesan yang menyebut rentang tanggalnya.
- BUKAN tabel kosong tanpa penjelasan — tabel kosong akan terbaca "tidak ada data", padahal filternya yang mustahil.
- BUKAN pesan galat teknis.</t>
        </is>
      </c>
      <c r="G617" s="13" t="inlineStr">
        <is>
          <t>Tinggi</t>
        </is>
      </c>
      <c r="H617" s="18" t="n"/>
      <c r="I617" s="18" t="n"/>
      <c r="J617" s="18" t="n"/>
      <c r="K617" s="18" t="n"/>
      <c r="L617" s="18" t="n"/>
    </row>
    <row r="618" ht="70" customHeight="1">
      <c r="A618" s="14" t="n">
        <v>614</v>
      </c>
      <c r="B618" s="16" t="inlineStr">
        <is>
          <t>WB-BRW-02</t>
        </is>
      </c>
      <c r="C618" s="15" t="inlineStr">
        <is>
          <t>Rentang tanggal terbalik ditolak</t>
        </is>
      </c>
      <c r="D618" s="17" t="inlineStr">
        <is>
          <t>Engine Room</t>
        </is>
      </c>
      <c r="E618" s="15" t="inlineStr">
        <is>
          <t>SPV-A</t>
        </is>
      </c>
      <c r="F618" s="15" t="inlineStr">
        <is>
          <t>- Ditolak dengan pesan yang menyebut rentang tanggalnya.
- BUKAN tabel kosong tanpa penjelasan — tabel kosong akan terbaca "tidak ada data", padahal filternya yang mustahil.
- BUKAN pesan galat teknis.</t>
        </is>
      </c>
      <c r="G618" s="13" t="inlineStr">
        <is>
          <t>Tinggi</t>
        </is>
      </c>
      <c r="H618" s="18" t="n"/>
      <c r="I618" s="18" t="n"/>
      <c r="J618" s="18" t="n"/>
      <c r="K618" s="18" t="n"/>
      <c r="L618" s="18" t="n"/>
    </row>
    <row r="619" ht="70" customHeight="1">
      <c r="A619" s="10" t="n">
        <v>615</v>
      </c>
      <c r="B619" s="11" t="inlineStr">
        <is>
          <t>WB-BRW-02</t>
        </is>
      </c>
      <c r="C619" s="5" t="inlineStr">
        <is>
          <t>Rentang tanggal terbalik ditolak</t>
        </is>
      </c>
      <c r="D619" s="12" t="inlineStr">
        <is>
          <t>Process Water</t>
        </is>
      </c>
      <c r="E619" s="5" t="inlineStr">
        <is>
          <t>SPV-A</t>
        </is>
      </c>
      <c r="F619" s="5" t="inlineStr">
        <is>
          <t>- Ditolak dengan pesan yang menyebut rentang tanggalnya.
- BUKAN tabel kosong tanpa penjelasan — tabel kosong akan terbaca "tidak ada data", padahal filternya yang mustahil.
- BUKAN pesan galat teknis.</t>
        </is>
      </c>
      <c r="G619" s="13" t="inlineStr">
        <is>
          <t>Tinggi</t>
        </is>
      </c>
      <c r="H619" s="18" t="n"/>
      <c r="I619" s="18" t="n"/>
      <c r="J619" s="18" t="n"/>
      <c r="K619" s="18" t="n"/>
      <c r="L619" s="18" t="n"/>
    </row>
    <row r="620" ht="70" customHeight="1">
      <c r="A620" s="14" t="n">
        <v>616</v>
      </c>
      <c r="B620" s="16" t="inlineStr">
        <is>
          <t>WB-BRW-02</t>
        </is>
      </c>
      <c r="C620" s="15" t="inlineStr">
        <is>
          <t>Rentang tanggal terbalik ditolak</t>
        </is>
      </c>
      <c r="D620" s="17" t="inlineStr">
        <is>
          <t>Storage Tank</t>
        </is>
      </c>
      <c r="E620" s="15" t="inlineStr">
        <is>
          <t>SPV-A</t>
        </is>
      </c>
      <c r="F620" s="15" t="inlineStr">
        <is>
          <t>- Ditolak dengan pesan yang menyebut rentang tanggalnya.
- BUKAN tabel kosong tanpa penjelasan — tabel kosong akan terbaca "tidak ada data", padahal filternya yang mustahil.
- BUKAN pesan galat teknis.</t>
        </is>
      </c>
      <c r="G620" s="13" t="inlineStr">
        <is>
          <t>Tinggi</t>
        </is>
      </c>
      <c r="H620" s="18" t="n"/>
      <c r="I620" s="18" t="n"/>
      <c r="J620" s="18" t="n"/>
      <c r="K620" s="18" t="n"/>
      <c r="L620" s="18" t="n"/>
    </row>
    <row r="621" ht="70" customHeight="1">
      <c r="A621" s="10" t="n">
        <v>617</v>
      </c>
      <c r="B621" s="11" t="inlineStr">
        <is>
          <t>WB-BRW-02</t>
        </is>
      </c>
      <c r="C621" s="5" t="inlineStr">
        <is>
          <t>Rentang tanggal terbalik ditolak</t>
        </is>
      </c>
      <c r="D621" s="12" t="inlineStr">
        <is>
          <t>Solid Waste Disposal</t>
        </is>
      </c>
      <c r="E621" s="5" t="inlineStr">
        <is>
          <t>SPV-A</t>
        </is>
      </c>
      <c r="F621" s="5" t="inlineStr">
        <is>
          <t>- Ditolak dengan pesan yang menyebut rentang tanggalnya.
- BUKAN tabel kosong tanpa penjelasan — tabel kosong akan terbaca "tidak ada data", padahal filternya yang mustahil.
- BUKAN pesan galat teknis.</t>
        </is>
      </c>
      <c r="G621" s="13" t="inlineStr">
        <is>
          <t>Tinggi</t>
        </is>
      </c>
      <c r="H621" s="18" t="n"/>
      <c r="I621" s="18" t="n"/>
      <c r="J621" s="18" t="n"/>
      <c r="K621" s="18" t="n"/>
      <c r="L621" s="18" t="n"/>
    </row>
    <row r="622" ht="70" customHeight="1">
      <c r="A622" s="14" t="n">
        <v>618</v>
      </c>
      <c r="B622" s="16" t="inlineStr">
        <is>
          <t>WB-BRW-02</t>
        </is>
      </c>
      <c r="C622" s="15" t="inlineStr">
        <is>
          <t>Rentang tanggal terbalik ditolak</t>
        </is>
      </c>
      <c r="D622" s="17" t="inlineStr">
        <is>
          <t>Kernel Dispatch</t>
        </is>
      </c>
      <c r="E622" s="15" t="inlineStr">
        <is>
          <t>SPV-A</t>
        </is>
      </c>
      <c r="F622" s="15" t="inlineStr">
        <is>
          <t>- Ditolak dengan pesan yang menyebut rentang tanggalnya.
- BUKAN tabel kosong tanpa penjelasan — tabel kosong akan terbaca "tidak ada data", padahal filternya yang mustahil.
- BUKAN pesan galat teknis.</t>
        </is>
      </c>
      <c r="G622" s="13" t="inlineStr">
        <is>
          <t>Tinggi</t>
        </is>
      </c>
      <c r="H622" s="18" t="n"/>
      <c r="I622" s="18" t="n"/>
      <c r="J622" s="18" t="n"/>
      <c r="K622" s="18" t="n"/>
      <c r="L622" s="18" t="n"/>
    </row>
    <row r="623" ht="70" customHeight="1">
      <c r="A623" s="10" t="n">
        <v>619</v>
      </c>
      <c r="B623" s="11" t="inlineStr">
        <is>
          <t>WB-BRW-02</t>
        </is>
      </c>
      <c r="C623" s="5" t="inlineStr">
        <is>
          <t>Rentang tanggal terbalik ditolak</t>
        </is>
      </c>
      <c r="D623" s="12" t="inlineStr">
        <is>
          <t>CPO Dispatch</t>
        </is>
      </c>
      <c r="E623" s="5" t="inlineStr">
        <is>
          <t>SPV-A</t>
        </is>
      </c>
      <c r="F623" s="5" t="inlineStr">
        <is>
          <t>- Ditolak dengan pesan yang menyebut rentang tanggalnya.
- BUKAN tabel kosong tanpa penjelasan — tabel kosong akan terbaca "tidak ada data", padahal filternya yang mustahil.
- BUKAN pesan galat teknis.</t>
        </is>
      </c>
      <c r="G623" s="13" t="inlineStr">
        <is>
          <t>Tinggi</t>
        </is>
      </c>
      <c r="H623" s="18" t="n"/>
      <c r="I623" s="18" t="n"/>
      <c r="J623" s="18" t="n"/>
      <c r="K623" s="18" t="n"/>
      <c r="L623" s="18" t="n"/>
    </row>
    <row r="624" ht="70" customHeight="1">
      <c r="A624" s="14" t="n">
        <v>620</v>
      </c>
      <c r="B624" s="16" t="inlineStr">
        <is>
          <t>WB-BRW-02</t>
        </is>
      </c>
      <c r="C624" s="15" t="inlineStr">
        <is>
          <t>Rentang tanggal terbalik ditolak</t>
        </is>
      </c>
      <c r="D624" s="17" t="inlineStr">
        <is>
          <t>Process Quality Control</t>
        </is>
      </c>
      <c r="E624" s="15" t="inlineStr">
        <is>
          <t>SPV-A</t>
        </is>
      </c>
      <c r="F624" s="15" t="inlineStr">
        <is>
          <t>- Ditolak dengan pesan yang menyebut rentang tanggalnya.
- BUKAN tabel kosong tanpa penjelasan — tabel kosong akan terbaca "tidak ada data", padahal filternya yang mustahil.
- BUKAN pesan galat teknis.</t>
        </is>
      </c>
      <c r="G624" s="13" t="inlineStr">
        <is>
          <t>Tinggi</t>
        </is>
      </c>
      <c r="H624" s="18" t="n"/>
      <c r="I624" s="18" t="n"/>
      <c r="J624" s="18" t="n"/>
      <c r="K624" s="18" t="n"/>
      <c r="L624" s="18" t="n"/>
    </row>
    <row r="625" ht="109.6" customHeight="1">
      <c r="A625" s="10" t="n">
        <v>621</v>
      </c>
      <c r="B625" s="11" t="inlineStr">
        <is>
          <t>WB-BRW-03</t>
        </is>
      </c>
      <c r="C625" s="5" t="inlineStr">
        <is>
          <t>"Jumlah Baris Terisi" tampil sebagai pecahan dari 24</t>
        </is>
      </c>
      <c r="D625" s="12" t="inlineStr">
        <is>
          <t>Weighbridge</t>
        </is>
      </c>
      <c r="E625" s="5" t="inlineStr">
        <is>
          <t>SPV-A</t>
        </is>
      </c>
      <c r="F625"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25" s="10" t="inlineStr">
        <is>
          <t>Sedang</t>
        </is>
      </c>
      <c r="H625" s="18" t="n"/>
      <c r="I625" s="18" t="n"/>
      <c r="J625" s="18" t="n"/>
      <c r="K625" s="18" t="n"/>
      <c r="L625" s="18" t="n"/>
    </row>
    <row r="626" ht="109.6" customHeight="1">
      <c r="A626" s="14" t="n">
        <v>622</v>
      </c>
      <c r="B626" s="16" t="inlineStr">
        <is>
          <t>WB-BRW-03</t>
        </is>
      </c>
      <c r="C626" s="15" t="inlineStr">
        <is>
          <t>"Jumlah Baris Terisi" tampil sebagai pecahan dari 24</t>
        </is>
      </c>
      <c r="D626" s="17" t="inlineStr">
        <is>
          <t>Grading</t>
        </is>
      </c>
      <c r="E626" s="15" t="inlineStr">
        <is>
          <t>SPV-A</t>
        </is>
      </c>
      <c r="F626" s="1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26" s="14" t="inlineStr">
        <is>
          <t>Sedang</t>
        </is>
      </c>
      <c r="H626" s="18" t="n"/>
      <c r="I626" s="18" t="n"/>
      <c r="J626" s="18" t="n"/>
      <c r="K626" s="18" t="n"/>
      <c r="L626" s="18" t="n"/>
    </row>
    <row r="627" ht="109.6" customHeight="1">
      <c r="A627" s="10" t="n">
        <v>623</v>
      </c>
      <c r="B627" s="11" t="inlineStr">
        <is>
          <t>WB-BRW-03</t>
        </is>
      </c>
      <c r="C627" s="5" t="inlineStr">
        <is>
          <t>"Jumlah Baris Terisi" tampil sebagai pecahan dari 24</t>
        </is>
      </c>
      <c r="D627" s="12" t="inlineStr">
        <is>
          <t>Cages Track</t>
        </is>
      </c>
      <c r="E627" s="5" t="inlineStr">
        <is>
          <t>SPV-A</t>
        </is>
      </c>
      <c r="F627"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27" s="10" t="inlineStr">
        <is>
          <t>Sedang</t>
        </is>
      </c>
      <c r="H627" s="18" t="n"/>
      <c r="I627" s="18" t="n"/>
      <c r="J627" s="18" t="n"/>
      <c r="K627" s="18" t="n"/>
      <c r="L627" s="18" t="n"/>
    </row>
    <row r="628" ht="109.6" customHeight="1">
      <c r="A628" s="14" t="n">
        <v>624</v>
      </c>
      <c r="B628" s="16" t="inlineStr">
        <is>
          <t>WB-BRW-03</t>
        </is>
      </c>
      <c r="C628" s="15" t="inlineStr">
        <is>
          <t>"Jumlah Baris Terisi" tampil sebagai pecahan dari 24</t>
        </is>
      </c>
      <c r="D628" s="17" t="inlineStr">
        <is>
          <t>Sterilizer</t>
        </is>
      </c>
      <c r="E628" s="15" t="inlineStr">
        <is>
          <t>SPV-A</t>
        </is>
      </c>
      <c r="F628" s="1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28" s="14" t="inlineStr">
        <is>
          <t>Sedang</t>
        </is>
      </c>
      <c r="H628" s="18" t="n"/>
      <c r="I628" s="18" t="n"/>
      <c r="J628" s="18" t="n"/>
      <c r="K628" s="18" t="n"/>
      <c r="L628" s="18" t="n"/>
    </row>
    <row r="629" ht="109.6" customHeight="1">
      <c r="A629" s="10" t="n">
        <v>625</v>
      </c>
      <c r="B629" s="11" t="inlineStr">
        <is>
          <t>WB-BRW-03</t>
        </is>
      </c>
      <c r="C629" s="5" t="inlineStr">
        <is>
          <t>"Jumlah Baris Terisi" tampil sebagai pecahan dari 24</t>
        </is>
      </c>
      <c r="D629" s="12" t="inlineStr">
        <is>
          <t>Threshing</t>
        </is>
      </c>
      <c r="E629" s="5" t="inlineStr">
        <is>
          <t>SPV-A</t>
        </is>
      </c>
      <c r="F629"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29" s="10" t="inlineStr">
        <is>
          <t>Sedang</t>
        </is>
      </c>
      <c r="H629" s="18" t="n"/>
      <c r="I629" s="18" t="n"/>
      <c r="J629" s="18" t="n"/>
      <c r="K629" s="18" t="n"/>
      <c r="L629" s="18" t="n"/>
    </row>
    <row r="630" ht="109.6" customHeight="1">
      <c r="A630" s="14" t="n">
        <v>626</v>
      </c>
      <c r="B630" s="16" t="inlineStr">
        <is>
          <t>WB-BRW-03</t>
        </is>
      </c>
      <c r="C630" s="15" t="inlineStr">
        <is>
          <t>"Jumlah Baris Terisi" tampil sebagai pecahan dari 24</t>
        </is>
      </c>
      <c r="D630" s="17" t="inlineStr">
        <is>
          <t>Pressing</t>
        </is>
      </c>
      <c r="E630" s="15" t="inlineStr">
        <is>
          <t>SPV-A</t>
        </is>
      </c>
      <c r="F630" s="1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30" s="14" t="inlineStr">
        <is>
          <t>Sedang</t>
        </is>
      </c>
      <c r="H630" s="18" t="n"/>
      <c r="I630" s="18" t="n"/>
      <c r="J630" s="18" t="n"/>
      <c r="K630" s="18" t="n"/>
      <c r="L630" s="18" t="n"/>
    </row>
    <row r="631" ht="109.6" customHeight="1">
      <c r="A631" s="10" t="n">
        <v>627</v>
      </c>
      <c r="B631" s="11" t="inlineStr">
        <is>
          <t>WB-BRW-03</t>
        </is>
      </c>
      <c r="C631" s="5" t="inlineStr">
        <is>
          <t>"Jumlah Baris Terisi" tampil sebagai pecahan dari 24</t>
        </is>
      </c>
      <c r="D631" s="12" t="inlineStr">
        <is>
          <t>Clarification</t>
        </is>
      </c>
      <c r="E631" s="5" t="inlineStr">
        <is>
          <t>SPV-A</t>
        </is>
      </c>
      <c r="F631"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31" s="10" t="inlineStr">
        <is>
          <t>Sedang</t>
        </is>
      </c>
      <c r="H631" s="18" t="n"/>
      <c r="I631" s="18" t="n"/>
      <c r="J631" s="18" t="n"/>
      <c r="K631" s="18" t="n"/>
      <c r="L631" s="18" t="n"/>
    </row>
    <row r="632" ht="109.6" customHeight="1">
      <c r="A632" s="14" t="n">
        <v>628</v>
      </c>
      <c r="B632" s="16" t="inlineStr">
        <is>
          <t>WB-BRW-03</t>
        </is>
      </c>
      <c r="C632" s="15" t="inlineStr">
        <is>
          <t>"Jumlah Baris Terisi" tampil sebagai pecahan dari 24</t>
        </is>
      </c>
      <c r="D632" s="17" t="inlineStr">
        <is>
          <t>Kernel Plant</t>
        </is>
      </c>
      <c r="E632" s="15" t="inlineStr">
        <is>
          <t>SPV-A</t>
        </is>
      </c>
      <c r="F632" s="1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32" s="14" t="inlineStr">
        <is>
          <t>Sedang</t>
        </is>
      </c>
      <c r="H632" s="18" t="n"/>
      <c r="I632" s="18" t="n"/>
      <c r="J632" s="18" t="n"/>
      <c r="K632" s="18" t="n"/>
      <c r="L632" s="18" t="n"/>
    </row>
    <row r="633" ht="109.6" customHeight="1">
      <c r="A633" s="10" t="n">
        <v>629</v>
      </c>
      <c r="B633" s="11" t="inlineStr">
        <is>
          <t>WB-BRW-03</t>
        </is>
      </c>
      <c r="C633" s="5" t="inlineStr">
        <is>
          <t>"Jumlah Baris Terisi" tampil sebagai pecahan dari 24</t>
        </is>
      </c>
      <c r="D633" s="12" t="inlineStr">
        <is>
          <t>Boiler Room</t>
        </is>
      </c>
      <c r="E633" s="5" t="inlineStr">
        <is>
          <t>SPV-A</t>
        </is>
      </c>
      <c r="F633"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33" s="10" t="inlineStr">
        <is>
          <t>Sedang</t>
        </is>
      </c>
      <c r="H633" s="18" t="n"/>
      <c r="I633" s="18" t="n"/>
      <c r="J633" s="18" t="n"/>
      <c r="K633" s="18" t="n"/>
      <c r="L633" s="18" t="n"/>
    </row>
    <row r="634" ht="109.6" customHeight="1">
      <c r="A634" s="14" t="n">
        <v>630</v>
      </c>
      <c r="B634" s="16" t="inlineStr">
        <is>
          <t>WB-BRW-03</t>
        </is>
      </c>
      <c r="C634" s="15" t="inlineStr">
        <is>
          <t>"Jumlah Baris Terisi" tampil sebagai pecahan dari 24</t>
        </is>
      </c>
      <c r="D634" s="17" t="inlineStr">
        <is>
          <t>Effluent Plant</t>
        </is>
      </c>
      <c r="E634" s="15" t="inlineStr">
        <is>
          <t>SPV-A</t>
        </is>
      </c>
      <c r="F634" s="1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34" s="14" t="inlineStr">
        <is>
          <t>Sedang</t>
        </is>
      </c>
      <c r="H634" s="18" t="n"/>
      <c r="I634" s="18" t="n"/>
      <c r="J634" s="18" t="n"/>
      <c r="K634" s="18" t="n"/>
      <c r="L634" s="18" t="n"/>
    </row>
    <row r="635" ht="109.6" customHeight="1">
      <c r="A635" s="10" t="n">
        <v>631</v>
      </c>
      <c r="B635" s="11" t="inlineStr">
        <is>
          <t>WB-BRW-03</t>
        </is>
      </c>
      <c r="C635" s="5" t="inlineStr">
        <is>
          <t>"Jumlah Baris Terisi" tampil sebagai pecahan dari 24</t>
        </is>
      </c>
      <c r="D635" s="12" t="inlineStr">
        <is>
          <t>Depricarping</t>
        </is>
      </c>
      <c r="E635" s="5" t="inlineStr">
        <is>
          <t>SPV-A</t>
        </is>
      </c>
      <c r="F635"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35" s="10" t="inlineStr">
        <is>
          <t>Sedang</t>
        </is>
      </c>
      <c r="H635" s="18" t="n"/>
      <c r="I635" s="18" t="n"/>
      <c r="J635" s="18" t="n"/>
      <c r="K635" s="18" t="n"/>
      <c r="L635" s="18" t="n"/>
    </row>
    <row r="636" ht="109.6" customHeight="1">
      <c r="A636" s="14" t="n">
        <v>632</v>
      </c>
      <c r="B636" s="16" t="inlineStr">
        <is>
          <t>WB-BRW-03</t>
        </is>
      </c>
      <c r="C636" s="15" t="inlineStr">
        <is>
          <t>"Jumlah Baris Terisi" tampil sebagai pecahan dari 24</t>
        </is>
      </c>
      <c r="D636" s="17" t="inlineStr">
        <is>
          <t>Engine Room</t>
        </is>
      </c>
      <c r="E636" s="15" t="inlineStr">
        <is>
          <t>SPV-A</t>
        </is>
      </c>
      <c r="F636" s="1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36" s="14" t="inlineStr">
        <is>
          <t>Sedang</t>
        </is>
      </c>
      <c r="H636" s="18" t="n"/>
      <c r="I636" s="18" t="n"/>
      <c r="J636" s="18" t="n"/>
      <c r="K636" s="18" t="n"/>
      <c r="L636" s="18" t="n"/>
    </row>
    <row r="637" ht="109.6" customHeight="1">
      <c r="A637" s="10" t="n">
        <v>633</v>
      </c>
      <c r="B637" s="11" t="inlineStr">
        <is>
          <t>WB-BRW-03</t>
        </is>
      </c>
      <c r="C637" s="5" t="inlineStr">
        <is>
          <t>"Jumlah Baris Terisi" tampil sebagai pecahan dari 24</t>
        </is>
      </c>
      <c r="D637" s="12" t="inlineStr">
        <is>
          <t>Process Water</t>
        </is>
      </c>
      <c r="E637" s="5" t="inlineStr">
        <is>
          <t>SPV-A</t>
        </is>
      </c>
      <c r="F637"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37" s="10" t="inlineStr">
        <is>
          <t>Sedang</t>
        </is>
      </c>
      <c r="H637" s="18" t="n"/>
      <c r="I637" s="18" t="n"/>
      <c r="J637" s="18" t="n"/>
      <c r="K637" s="18" t="n"/>
      <c r="L637" s="18" t="n"/>
    </row>
    <row r="638" ht="109.6" customHeight="1">
      <c r="A638" s="14" t="n">
        <v>634</v>
      </c>
      <c r="B638" s="16" t="inlineStr">
        <is>
          <t>WB-BRW-03</t>
        </is>
      </c>
      <c r="C638" s="15" t="inlineStr">
        <is>
          <t>"Jumlah Baris Terisi" tampil sebagai pecahan dari 24</t>
        </is>
      </c>
      <c r="D638" s="17" t="inlineStr">
        <is>
          <t>Storage Tank</t>
        </is>
      </c>
      <c r="E638" s="15" t="inlineStr">
        <is>
          <t>SPV-A</t>
        </is>
      </c>
      <c r="F638" s="1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38" s="14" t="inlineStr">
        <is>
          <t>Sedang</t>
        </is>
      </c>
      <c r="H638" s="18" t="n"/>
      <c r="I638" s="18" t="n"/>
      <c r="J638" s="18" t="n"/>
      <c r="K638" s="18" t="n"/>
      <c r="L638" s="18" t="n"/>
    </row>
    <row r="639" ht="109.6" customHeight="1">
      <c r="A639" s="10" t="n">
        <v>635</v>
      </c>
      <c r="B639" s="11" t="inlineStr">
        <is>
          <t>WB-BRW-03</t>
        </is>
      </c>
      <c r="C639" s="5" t="inlineStr">
        <is>
          <t>"Jumlah Baris Terisi" tampil sebagai pecahan dari 24</t>
        </is>
      </c>
      <c r="D639" s="12" t="inlineStr">
        <is>
          <t>Solid Waste Disposal</t>
        </is>
      </c>
      <c r="E639" s="5" t="inlineStr">
        <is>
          <t>SPV-A</t>
        </is>
      </c>
      <c r="F639"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39" s="10" t="inlineStr">
        <is>
          <t>Sedang</t>
        </is>
      </c>
      <c r="H639" s="18" t="n"/>
      <c r="I639" s="18" t="n"/>
      <c r="J639" s="18" t="n"/>
      <c r="K639" s="18" t="n"/>
      <c r="L639" s="18" t="n"/>
    </row>
    <row r="640" ht="109.6" customHeight="1">
      <c r="A640" s="14" t="n">
        <v>636</v>
      </c>
      <c r="B640" s="16" t="inlineStr">
        <is>
          <t>WB-BRW-03</t>
        </is>
      </c>
      <c r="C640" s="15" t="inlineStr">
        <is>
          <t>"Jumlah Baris Terisi" tampil sebagai pecahan dari 24</t>
        </is>
      </c>
      <c r="D640" s="17" t="inlineStr">
        <is>
          <t>Kernel Dispatch</t>
        </is>
      </c>
      <c r="E640" s="15" t="inlineStr">
        <is>
          <t>SPV-A</t>
        </is>
      </c>
      <c r="F640" s="1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40" s="14" t="inlineStr">
        <is>
          <t>Sedang</t>
        </is>
      </c>
      <c r="H640" s="18" t="n"/>
      <c r="I640" s="18" t="n"/>
      <c r="J640" s="18" t="n"/>
      <c r="K640" s="18" t="n"/>
      <c r="L640" s="18" t="n"/>
    </row>
    <row r="641" ht="109.6" customHeight="1">
      <c r="A641" s="10" t="n">
        <v>637</v>
      </c>
      <c r="B641" s="11" t="inlineStr">
        <is>
          <t>WB-BRW-03</t>
        </is>
      </c>
      <c r="C641" s="5" t="inlineStr">
        <is>
          <t>"Jumlah Baris Terisi" tampil sebagai pecahan dari 24</t>
        </is>
      </c>
      <c r="D641" s="12" t="inlineStr">
        <is>
          <t>CPO Dispatch</t>
        </is>
      </c>
      <c r="E641" s="5" t="inlineStr">
        <is>
          <t>SPV-A</t>
        </is>
      </c>
      <c r="F641" s="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41" s="10" t="inlineStr">
        <is>
          <t>Sedang</t>
        </is>
      </c>
      <c r="H641" s="18" t="n"/>
      <c r="I641" s="18" t="n"/>
      <c r="J641" s="18" t="n"/>
      <c r="K641" s="18" t="n"/>
      <c r="L641" s="18" t="n"/>
    </row>
    <row r="642" ht="109.6" customHeight="1">
      <c r="A642" s="14" t="n">
        <v>638</v>
      </c>
      <c r="B642" s="16" t="inlineStr">
        <is>
          <t>WB-BRW-03</t>
        </is>
      </c>
      <c r="C642" s="15" t="inlineStr">
        <is>
          <t>"Jumlah Baris Terisi" tampil sebagai pecahan dari 24</t>
        </is>
      </c>
      <c r="D642" s="17" t="inlineStr">
        <is>
          <t>Process Quality Control</t>
        </is>
      </c>
      <c r="E642" s="15" t="inlineStr">
        <is>
          <t>SPV-A</t>
        </is>
      </c>
      <c r="F642" s="15"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G642" s="14" t="inlineStr">
        <is>
          <t>Sedang</t>
        </is>
      </c>
      <c r="H642" s="18" t="n"/>
      <c r="I642" s="18" t="n"/>
      <c r="J642" s="18" t="n"/>
      <c r="K642" s="18" t="n"/>
      <c r="L642" s="18" t="n"/>
    </row>
    <row r="643" ht="70" customHeight="1">
      <c r="A643" s="10" t="n">
        <v>639</v>
      </c>
      <c r="B643" s="11" t="inlineStr">
        <is>
          <t>WB-BRW-04</t>
        </is>
      </c>
      <c r="C643" s="5" t="inlineStr">
        <is>
          <t>Filter menghasilkan hasil yang konsisten antar halaman</t>
        </is>
      </c>
      <c r="D643" s="12" t="inlineStr">
        <is>
          <t>Weighbridge</t>
        </is>
      </c>
      <c r="E643" s="5" t="inlineStr">
        <is>
          <t>SPV-A</t>
        </is>
      </c>
      <c r="F643" s="5" t="inlineStr">
        <is>
          <t>- Seluruh baris di halaman 2 masih memenuhi filter yang diterapkan.
- Jumlah total hasil tidak berubah saat berpindah halaman.
- Filternya tidak tereset saat pindah halaman.</t>
        </is>
      </c>
      <c r="G643" s="13" t="inlineStr">
        <is>
          <t>Tinggi</t>
        </is>
      </c>
      <c r="H643" s="18" t="n"/>
      <c r="I643" s="18" t="n"/>
      <c r="J643" s="18" t="n"/>
      <c r="K643" s="18" t="n"/>
      <c r="L643" s="18" t="n"/>
    </row>
    <row r="644" ht="70" customHeight="1">
      <c r="A644" s="14" t="n">
        <v>640</v>
      </c>
      <c r="B644" s="16" t="inlineStr">
        <is>
          <t>WB-BRW-04</t>
        </is>
      </c>
      <c r="C644" s="15" t="inlineStr">
        <is>
          <t>Filter menghasilkan hasil yang konsisten antar halaman</t>
        </is>
      </c>
      <c r="D644" s="17" t="inlineStr">
        <is>
          <t>Grading</t>
        </is>
      </c>
      <c r="E644" s="15" t="inlineStr">
        <is>
          <t>SPV-A</t>
        </is>
      </c>
      <c r="F644" s="15" t="inlineStr">
        <is>
          <t>- Seluruh baris di halaman 2 masih memenuhi filter yang diterapkan.
- Jumlah total hasil tidak berubah saat berpindah halaman.
- Filternya tidak tereset saat pindah halaman.</t>
        </is>
      </c>
      <c r="G644" s="13" t="inlineStr">
        <is>
          <t>Tinggi</t>
        </is>
      </c>
      <c r="H644" s="18" t="n"/>
      <c r="I644" s="18" t="n"/>
      <c r="J644" s="18" t="n"/>
      <c r="K644" s="18" t="n"/>
      <c r="L644" s="18" t="n"/>
    </row>
    <row r="645" ht="70" customHeight="1">
      <c r="A645" s="10" t="n">
        <v>641</v>
      </c>
      <c r="B645" s="11" t="inlineStr">
        <is>
          <t>WB-BRW-04</t>
        </is>
      </c>
      <c r="C645" s="5" t="inlineStr">
        <is>
          <t>Filter menghasilkan hasil yang konsisten antar halaman</t>
        </is>
      </c>
      <c r="D645" s="12" t="inlineStr">
        <is>
          <t>Cages Track</t>
        </is>
      </c>
      <c r="E645" s="5" t="inlineStr">
        <is>
          <t>SPV-A</t>
        </is>
      </c>
      <c r="F645" s="5" t="inlineStr">
        <is>
          <t>- Seluruh baris di halaman 2 masih memenuhi filter yang diterapkan.
- Jumlah total hasil tidak berubah saat berpindah halaman.
- Filternya tidak tereset saat pindah halaman.</t>
        </is>
      </c>
      <c r="G645" s="13" t="inlineStr">
        <is>
          <t>Tinggi</t>
        </is>
      </c>
      <c r="H645" s="18" t="n"/>
      <c r="I645" s="18" t="n"/>
      <c r="J645" s="18" t="n"/>
      <c r="K645" s="18" t="n"/>
      <c r="L645" s="18" t="n"/>
    </row>
    <row r="646" ht="70" customHeight="1">
      <c r="A646" s="14" t="n">
        <v>642</v>
      </c>
      <c r="B646" s="16" t="inlineStr">
        <is>
          <t>WB-BRW-04</t>
        </is>
      </c>
      <c r="C646" s="15" t="inlineStr">
        <is>
          <t>Filter menghasilkan hasil yang konsisten antar halaman</t>
        </is>
      </c>
      <c r="D646" s="17" t="inlineStr">
        <is>
          <t>Sterilizer</t>
        </is>
      </c>
      <c r="E646" s="15" t="inlineStr">
        <is>
          <t>SPV-A</t>
        </is>
      </c>
      <c r="F646" s="15" t="inlineStr">
        <is>
          <t>- Seluruh baris di halaman 2 masih memenuhi filter yang diterapkan.
- Jumlah total hasil tidak berubah saat berpindah halaman.
- Filternya tidak tereset saat pindah halaman.</t>
        </is>
      </c>
      <c r="G646" s="13" t="inlineStr">
        <is>
          <t>Tinggi</t>
        </is>
      </c>
      <c r="H646" s="18" t="n"/>
      <c r="I646" s="18" t="n"/>
      <c r="J646" s="18" t="n"/>
      <c r="K646" s="18" t="n"/>
      <c r="L646" s="18" t="n"/>
    </row>
    <row r="647" ht="70" customHeight="1">
      <c r="A647" s="10" t="n">
        <v>643</v>
      </c>
      <c r="B647" s="11" t="inlineStr">
        <is>
          <t>WB-BRW-04</t>
        </is>
      </c>
      <c r="C647" s="5" t="inlineStr">
        <is>
          <t>Filter menghasilkan hasil yang konsisten antar halaman</t>
        </is>
      </c>
      <c r="D647" s="12" t="inlineStr">
        <is>
          <t>Threshing</t>
        </is>
      </c>
      <c r="E647" s="5" t="inlineStr">
        <is>
          <t>SPV-A</t>
        </is>
      </c>
      <c r="F647" s="5" t="inlineStr">
        <is>
          <t>- Seluruh baris di halaman 2 masih memenuhi filter yang diterapkan.
- Jumlah total hasil tidak berubah saat berpindah halaman.
- Filternya tidak tereset saat pindah halaman.</t>
        </is>
      </c>
      <c r="G647" s="13" t="inlineStr">
        <is>
          <t>Tinggi</t>
        </is>
      </c>
      <c r="H647" s="18" t="n"/>
      <c r="I647" s="18" t="n"/>
      <c r="J647" s="18" t="n"/>
      <c r="K647" s="18" t="n"/>
      <c r="L647" s="18" t="n"/>
    </row>
    <row r="648" ht="70" customHeight="1">
      <c r="A648" s="14" t="n">
        <v>644</v>
      </c>
      <c r="B648" s="16" t="inlineStr">
        <is>
          <t>WB-BRW-04</t>
        </is>
      </c>
      <c r="C648" s="15" t="inlineStr">
        <is>
          <t>Filter menghasilkan hasil yang konsisten antar halaman</t>
        </is>
      </c>
      <c r="D648" s="17" t="inlineStr">
        <is>
          <t>Pressing</t>
        </is>
      </c>
      <c r="E648" s="15" t="inlineStr">
        <is>
          <t>SPV-A</t>
        </is>
      </c>
      <c r="F648" s="15" t="inlineStr">
        <is>
          <t>- Seluruh baris di halaman 2 masih memenuhi filter yang diterapkan.
- Jumlah total hasil tidak berubah saat berpindah halaman.
- Filternya tidak tereset saat pindah halaman.</t>
        </is>
      </c>
      <c r="G648" s="13" t="inlineStr">
        <is>
          <t>Tinggi</t>
        </is>
      </c>
      <c r="H648" s="18" t="n"/>
      <c r="I648" s="18" t="n"/>
      <c r="J648" s="18" t="n"/>
      <c r="K648" s="18" t="n"/>
      <c r="L648" s="18" t="n"/>
    </row>
    <row r="649" ht="70" customHeight="1">
      <c r="A649" s="10" t="n">
        <v>645</v>
      </c>
      <c r="B649" s="11" t="inlineStr">
        <is>
          <t>WB-BRW-04</t>
        </is>
      </c>
      <c r="C649" s="5" t="inlineStr">
        <is>
          <t>Filter menghasilkan hasil yang konsisten antar halaman</t>
        </is>
      </c>
      <c r="D649" s="12" t="inlineStr">
        <is>
          <t>Clarification</t>
        </is>
      </c>
      <c r="E649" s="5" t="inlineStr">
        <is>
          <t>SPV-A</t>
        </is>
      </c>
      <c r="F649" s="5" t="inlineStr">
        <is>
          <t>- Seluruh baris di halaman 2 masih memenuhi filter yang diterapkan.
- Jumlah total hasil tidak berubah saat berpindah halaman.
- Filternya tidak tereset saat pindah halaman.</t>
        </is>
      </c>
      <c r="G649" s="13" t="inlineStr">
        <is>
          <t>Tinggi</t>
        </is>
      </c>
      <c r="H649" s="18" t="n"/>
      <c r="I649" s="18" t="n"/>
      <c r="J649" s="18" t="n"/>
      <c r="K649" s="18" t="n"/>
      <c r="L649" s="18" t="n"/>
    </row>
    <row r="650" ht="70" customHeight="1">
      <c r="A650" s="14" t="n">
        <v>646</v>
      </c>
      <c r="B650" s="16" t="inlineStr">
        <is>
          <t>WB-BRW-04</t>
        </is>
      </c>
      <c r="C650" s="15" t="inlineStr">
        <is>
          <t>Filter menghasilkan hasil yang konsisten antar halaman</t>
        </is>
      </c>
      <c r="D650" s="17" t="inlineStr">
        <is>
          <t>Kernel Plant</t>
        </is>
      </c>
      <c r="E650" s="15" t="inlineStr">
        <is>
          <t>SPV-A</t>
        </is>
      </c>
      <c r="F650" s="15" t="inlineStr">
        <is>
          <t>- Seluruh baris di halaman 2 masih memenuhi filter yang diterapkan.
- Jumlah total hasil tidak berubah saat berpindah halaman.
- Filternya tidak tereset saat pindah halaman.</t>
        </is>
      </c>
      <c r="G650" s="13" t="inlineStr">
        <is>
          <t>Tinggi</t>
        </is>
      </c>
      <c r="H650" s="18" t="n"/>
      <c r="I650" s="18" t="n"/>
      <c r="J650" s="18" t="n"/>
      <c r="K650" s="18" t="n"/>
      <c r="L650" s="18" t="n"/>
    </row>
    <row r="651" ht="70" customHeight="1">
      <c r="A651" s="10" t="n">
        <v>647</v>
      </c>
      <c r="B651" s="11" t="inlineStr">
        <is>
          <t>WB-BRW-04</t>
        </is>
      </c>
      <c r="C651" s="5" t="inlineStr">
        <is>
          <t>Filter menghasilkan hasil yang konsisten antar halaman</t>
        </is>
      </c>
      <c r="D651" s="12" t="inlineStr">
        <is>
          <t>Boiler Room</t>
        </is>
      </c>
      <c r="E651" s="5" t="inlineStr">
        <is>
          <t>SPV-A</t>
        </is>
      </c>
      <c r="F651" s="5" t="inlineStr">
        <is>
          <t>- Seluruh baris di halaman 2 masih memenuhi filter yang diterapkan.
- Jumlah total hasil tidak berubah saat berpindah halaman.
- Filternya tidak tereset saat pindah halaman.</t>
        </is>
      </c>
      <c r="G651" s="13" t="inlineStr">
        <is>
          <t>Tinggi</t>
        </is>
      </c>
      <c r="H651" s="18" t="n"/>
      <c r="I651" s="18" t="n"/>
      <c r="J651" s="18" t="n"/>
      <c r="K651" s="18" t="n"/>
      <c r="L651" s="18" t="n"/>
    </row>
    <row r="652" ht="70" customHeight="1">
      <c r="A652" s="14" t="n">
        <v>648</v>
      </c>
      <c r="B652" s="16" t="inlineStr">
        <is>
          <t>WB-BRW-04</t>
        </is>
      </c>
      <c r="C652" s="15" t="inlineStr">
        <is>
          <t>Filter menghasilkan hasil yang konsisten antar halaman</t>
        </is>
      </c>
      <c r="D652" s="17" t="inlineStr">
        <is>
          <t>Effluent Plant</t>
        </is>
      </c>
      <c r="E652" s="15" t="inlineStr">
        <is>
          <t>SPV-A</t>
        </is>
      </c>
      <c r="F652" s="15" t="inlineStr">
        <is>
          <t>- Seluruh baris di halaman 2 masih memenuhi filter yang diterapkan.
- Jumlah total hasil tidak berubah saat berpindah halaman.
- Filternya tidak tereset saat pindah halaman.</t>
        </is>
      </c>
      <c r="G652" s="13" t="inlineStr">
        <is>
          <t>Tinggi</t>
        </is>
      </c>
      <c r="H652" s="18" t="n"/>
      <c r="I652" s="18" t="n"/>
      <c r="J652" s="18" t="n"/>
      <c r="K652" s="18" t="n"/>
      <c r="L652" s="18" t="n"/>
    </row>
    <row r="653" ht="70" customHeight="1">
      <c r="A653" s="10" t="n">
        <v>649</v>
      </c>
      <c r="B653" s="11" t="inlineStr">
        <is>
          <t>WB-BRW-04</t>
        </is>
      </c>
      <c r="C653" s="5" t="inlineStr">
        <is>
          <t>Filter menghasilkan hasil yang konsisten antar halaman</t>
        </is>
      </c>
      <c r="D653" s="12" t="inlineStr">
        <is>
          <t>Depricarping</t>
        </is>
      </c>
      <c r="E653" s="5" t="inlineStr">
        <is>
          <t>SPV-A</t>
        </is>
      </c>
      <c r="F653" s="5" t="inlineStr">
        <is>
          <t>- Seluruh baris di halaman 2 masih memenuhi filter yang diterapkan.
- Jumlah total hasil tidak berubah saat berpindah halaman.
- Filternya tidak tereset saat pindah halaman.</t>
        </is>
      </c>
      <c r="G653" s="13" t="inlineStr">
        <is>
          <t>Tinggi</t>
        </is>
      </c>
      <c r="H653" s="18" t="n"/>
      <c r="I653" s="18" t="n"/>
      <c r="J653" s="18" t="n"/>
      <c r="K653" s="18" t="n"/>
      <c r="L653" s="18" t="n"/>
    </row>
    <row r="654" ht="70" customHeight="1">
      <c r="A654" s="14" t="n">
        <v>650</v>
      </c>
      <c r="B654" s="16" t="inlineStr">
        <is>
          <t>WB-BRW-04</t>
        </is>
      </c>
      <c r="C654" s="15" t="inlineStr">
        <is>
          <t>Filter menghasilkan hasil yang konsisten antar halaman</t>
        </is>
      </c>
      <c r="D654" s="17" t="inlineStr">
        <is>
          <t>Engine Room</t>
        </is>
      </c>
      <c r="E654" s="15" t="inlineStr">
        <is>
          <t>SPV-A</t>
        </is>
      </c>
      <c r="F654" s="15" t="inlineStr">
        <is>
          <t>- Seluruh baris di halaman 2 masih memenuhi filter yang diterapkan.
- Jumlah total hasil tidak berubah saat berpindah halaman.
- Filternya tidak tereset saat pindah halaman.</t>
        </is>
      </c>
      <c r="G654" s="13" t="inlineStr">
        <is>
          <t>Tinggi</t>
        </is>
      </c>
      <c r="H654" s="18" t="n"/>
      <c r="I654" s="18" t="n"/>
      <c r="J654" s="18" t="n"/>
      <c r="K654" s="18" t="n"/>
      <c r="L654" s="18" t="n"/>
    </row>
    <row r="655" ht="70" customHeight="1">
      <c r="A655" s="10" t="n">
        <v>651</v>
      </c>
      <c r="B655" s="11" t="inlineStr">
        <is>
          <t>WB-BRW-04</t>
        </is>
      </c>
      <c r="C655" s="5" t="inlineStr">
        <is>
          <t>Filter menghasilkan hasil yang konsisten antar halaman</t>
        </is>
      </c>
      <c r="D655" s="12" t="inlineStr">
        <is>
          <t>Process Water</t>
        </is>
      </c>
      <c r="E655" s="5" t="inlineStr">
        <is>
          <t>SPV-A</t>
        </is>
      </c>
      <c r="F655" s="5" t="inlineStr">
        <is>
          <t>- Seluruh baris di halaman 2 masih memenuhi filter yang diterapkan.
- Jumlah total hasil tidak berubah saat berpindah halaman.
- Filternya tidak tereset saat pindah halaman.</t>
        </is>
      </c>
      <c r="G655" s="13" t="inlineStr">
        <is>
          <t>Tinggi</t>
        </is>
      </c>
      <c r="H655" s="18" t="n"/>
      <c r="I655" s="18" t="n"/>
      <c r="J655" s="18" t="n"/>
      <c r="K655" s="18" t="n"/>
      <c r="L655" s="18" t="n"/>
    </row>
    <row r="656" ht="70" customHeight="1">
      <c r="A656" s="14" t="n">
        <v>652</v>
      </c>
      <c r="B656" s="16" t="inlineStr">
        <is>
          <t>WB-BRW-04</t>
        </is>
      </c>
      <c r="C656" s="15" t="inlineStr">
        <is>
          <t>Filter menghasilkan hasil yang konsisten antar halaman</t>
        </is>
      </c>
      <c r="D656" s="17" t="inlineStr">
        <is>
          <t>Storage Tank</t>
        </is>
      </c>
      <c r="E656" s="15" t="inlineStr">
        <is>
          <t>SPV-A</t>
        </is>
      </c>
      <c r="F656" s="15" t="inlineStr">
        <is>
          <t>- Seluruh baris di halaman 2 masih memenuhi filter yang diterapkan.
- Jumlah total hasil tidak berubah saat berpindah halaman.
- Filternya tidak tereset saat pindah halaman.</t>
        </is>
      </c>
      <c r="G656" s="13" t="inlineStr">
        <is>
          <t>Tinggi</t>
        </is>
      </c>
      <c r="H656" s="18" t="n"/>
      <c r="I656" s="18" t="n"/>
      <c r="J656" s="18" t="n"/>
      <c r="K656" s="18" t="n"/>
      <c r="L656" s="18" t="n"/>
    </row>
    <row r="657" ht="70" customHeight="1">
      <c r="A657" s="10" t="n">
        <v>653</v>
      </c>
      <c r="B657" s="11" t="inlineStr">
        <is>
          <t>WB-BRW-04</t>
        </is>
      </c>
      <c r="C657" s="5" t="inlineStr">
        <is>
          <t>Filter menghasilkan hasil yang konsisten antar halaman</t>
        </is>
      </c>
      <c r="D657" s="12" t="inlineStr">
        <is>
          <t>Solid Waste Disposal</t>
        </is>
      </c>
      <c r="E657" s="5" t="inlineStr">
        <is>
          <t>SPV-A</t>
        </is>
      </c>
      <c r="F657" s="5" t="inlineStr">
        <is>
          <t>- Seluruh baris di halaman 2 masih memenuhi filter yang diterapkan.
- Jumlah total hasil tidak berubah saat berpindah halaman.
- Filternya tidak tereset saat pindah halaman.</t>
        </is>
      </c>
      <c r="G657" s="13" t="inlineStr">
        <is>
          <t>Tinggi</t>
        </is>
      </c>
      <c r="H657" s="18" t="n"/>
      <c r="I657" s="18" t="n"/>
      <c r="J657" s="18" t="n"/>
      <c r="K657" s="18" t="n"/>
      <c r="L657" s="18" t="n"/>
    </row>
    <row r="658" ht="70" customHeight="1">
      <c r="A658" s="14" t="n">
        <v>654</v>
      </c>
      <c r="B658" s="16" t="inlineStr">
        <is>
          <t>WB-BRW-04</t>
        </is>
      </c>
      <c r="C658" s="15" t="inlineStr">
        <is>
          <t>Filter menghasilkan hasil yang konsisten antar halaman</t>
        </is>
      </c>
      <c r="D658" s="17" t="inlineStr">
        <is>
          <t>Kernel Dispatch</t>
        </is>
      </c>
      <c r="E658" s="15" t="inlineStr">
        <is>
          <t>SPV-A</t>
        </is>
      </c>
      <c r="F658" s="15" t="inlineStr">
        <is>
          <t>- Seluruh baris di halaman 2 masih memenuhi filter yang diterapkan.
- Jumlah total hasil tidak berubah saat berpindah halaman.
- Filternya tidak tereset saat pindah halaman.</t>
        </is>
      </c>
      <c r="G658" s="13" t="inlineStr">
        <is>
          <t>Tinggi</t>
        </is>
      </c>
      <c r="H658" s="18" t="n"/>
      <c r="I658" s="18" t="n"/>
      <c r="J658" s="18" t="n"/>
      <c r="K658" s="18" t="n"/>
      <c r="L658" s="18" t="n"/>
    </row>
    <row r="659" ht="70" customHeight="1">
      <c r="A659" s="10" t="n">
        <v>655</v>
      </c>
      <c r="B659" s="11" t="inlineStr">
        <is>
          <t>WB-BRW-04</t>
        </is>
      </c>
      <c r="C659" s="5" t="inlineStr">
        <is>
          <t>Filter menghasilkan hasil yang konsisten antar halaman</t>
        </is>
      </c>
      <c r="D659" s="12" t="inlineStr">
        <is>
          <t>CPO Dispatch</t>
        </is>
      </c>
      <c r="E659" s="5" t="inlineStr">
        <is>
          <t>SPV-A</t>
        </is>
      </c>
      <c r="F659" s="5" t="inlineStr">
        <is>
          <t>- Seluruh baris di halaman 2 masih memenuhi filter yang diterapkan.
- Jumlah total hasil tidak berubah saat berpindah halaman.
- Filternya tidak tereset saat pindah halaman.</t>
        </is>
      </c>
      <c r="G659" s="13" t="inlineStr">
        <is>
          <t>Tinggi</t>
        </is>
      </c>
      <c r="H659" s="18" t="n"/>
      <c r="I659" s="18" t="n"/>
      <c r="J659" s="18" t="n"/>
      <c r="K659" s="18" t="n"/>
      <c r="L659" s="18" t="n"/>
    </row>
    <row r="660" ht="70" customHeight="1">
      <c r="A660" s="14" t="n">
        <v>656</v>
      </c>
      <c r="B660" s="16" t="inlineStr">
        <is>
          <t>WB-BRW-04</t>
        </is>
      </c>
      <c r="C660" s="15" t="inlineStr">
        <is>
          <t>Filter menghasilkan hasil yang konsisten antar halaman</t>
        </is>
      </c>
      <c r="D660" s="17" t="inlineStr">
        <is>
          <t>Process Quality Control</t>
        </is>
      </c>
      <c r="E660" s="15" t="inlineStr">
        <is>
          <t>SPV-A</t>
        </is>
      </c>
      <c r="F660" s="15" t="inlineStr">
        <is>
          <t>- Seluruh baris di halaman 2 masih memenuhi filter yang diterapkan.
- Jumlah total hasil tidak berubah saat berpindah halaman.
- Filternya tidak tereset saat pindah halaman.</t>
        </is>
      </c>
      <c r="G660" s="13" t="inlineStr">
        <is>
          <t>Tinggi</t>
        </is>
      </c>
      <c r="H660" s="18" t="n"/>
      <c r="I660" s="18" t="n"/>
      <c r="J660" s="18" t="n"/>
      <c r="K660" s="18" t="n"/>
      <c r="L660" s="18" t="n"/>
    </row>
    <row r="661" ht="43.59999999999999" customHeight="1">
      <c r="A661" s="10" t="n">
        <v>657</v>
      </c>
      <c r="B661" s="11" t="inlineStr">
        <is>
          <t>WB-BRW-05</t>
        </is>
      </c>
      <c r="C661" s="5" t="inlineStr">
        <is>
          <t>Reset filter memulihkan keadaan awal</t>
        </is>
      </c>
      <c r="D661" s="12" t="inlineStr">
        <is>
          <t>Weighbridge</t>
        </is>
      </c>
      <c r="E661" s="5" t="inlineStr">
        <is>
          <t>SPV-A</t>
        </is>
      </c>
      <c r="F661" s="5" t="inlineStr">
        <is>
          <t>- Seluruh kolom filter kembali ke nilai awalnya.
- Jumlah hasil kembali sama dengan langkah 1.
- Halaman kembali ke halaman 1.</t>
        </is>
      </c>
      <c r="G661" s="10" t="inlineStr">
        <is>
          <t>Rendah</t>
        </is>
      </c>
      <c r="H661" s="18" t="n"/>
      <c r="I661" s="18" t="n"/>
      <c r="J661" s="18" t="n"/>
      <c r="K661" s="18" t="n"/>
      <c r="L661" s="18" t="n"/>
    </row>
    <row r="662" ht="43.59999999999999" customHeight="1">
      <c r="A662" s="14" t="n">
        <v>658</v>
      </c>
      <c r="B662" s="16" t="inlineStr">
        <is>
          <t>WB-BRW-05</t>
        </is>
      </c>
      <c r="C662" s="15" t="inlineStr">
        <is>
          <t>Reset filter memulihkan keadaan awal</t>
        </is>
      </c>
      <c r="D662" s="17" t="inlineStr">
        <is>
          <t>Grading</t>
        </is>
      </c>
      <c r="E662" s="15" t="inlineStr">
        <is>
          <t>SPV-A</t>
        </is>
      </c>
      <c r="F662" s="15" t="inlineStr">
        <is>
          <t>- Seluruh kolom filter kembali ke nilai awalnya.
- Jumlah hasil kembali sama dengan langkah 1.
- Halaman kembali ke halaman 1.</t>
        </is>
      </c>
      <c r="G662" s="14" t="inlineStr">
        <is>
          <t>Rendah</t>
        </is>
      </c>
      <c r="H662" s="18" t="n"/>
      <c r="I662" s="18" t="n"/>
      <c r="J662" s="18" t="n"/>
      <c r="K662" s="18" t="n"/>
      <c r="L662" s="18" t="n"/>
    </row>
    <row r="663" ht="43.59999999999999" customHeight="1">
      <c r="A663" s="10" t="n">
        <v>659</v>
      </c>
      <c r="B663" s="11" t="inlineStr">
        <is>
          <t>WB-BRW-05</t>
        </is>
      </c>
      <c r="C663" s="5" t="inlineStr">
        <is>
          <t>Reset filter memulihkan keadaan awal</t>
        </is>
      </c>
      <c r="D663" s="12" t="inlineStr">
        <is>
          <t>Cages Track</t>
        </is>
      </c>
      <c r="E663" s="5" t="inlineStr">
        <is>
          <t>SPV-A</t>
        </is>
      </c>
      <c r="F663" s="5" t="inlineStr">
        <is>
          <t>- Seluruh kolom filter kembali ke nilai awalnya.
- Jumlah hasil kembali sama dengan langkah 1.
- Halaman kembali ke halaman 1.</t>
        </is>
      </c>
      <c r="G663" s="10" t="inlineStr">
        <is>
          <t>Rendah</t>
        </is>
      </c>
      <c r="H663" s="18" t="n"/>
      <c r="I663" s="18" t="n"/>
      <c r="J663" s="18" t="n"/>
      <c r="K663" s="18" t="n"/>
      <c r="L663" s="18" t="n"/>
    </row>
    <row r="664" ht="43.59999999999999" customHeight="1">
      <c r="A664" s="14" t="n">
        <v>660</v>
      </c>
      <c r="B664" s="16" t="inlineStr">
        <is>
          <t>WB-BRW-05</t>
        </is>
      </c>
      <c r="C664" s="15" t="inlineStr">
        <is>
          <t>Reset filter memulihkan keadaan awal</t>
        </is>
      </c>
      <c r="D664" s="17" t="inlineStr">
        <is>
          <t>Sterilizer</t>
        </is>
      </c>
      <c r="E664" s="15" t="inlineStr">
        <is>
          <t>SPV-A</t>
        </is>
      </c>
      <c r="F664" s="15" t="inlineStr">
        <is>
          <t>- Seluruh kolom filter kembali ke nilai awalnya.
- Jumlah hasil kembali sama dengan langkah 1.
- Halaman kembali ke halaman 1.</t>
        </is>
      </c>
      <c r="G664" s="14" t="inlineStr">
        <is>
          <t>Rendah</t>
        </is>
      </c>
      <c r="H664" s="18" t="n"/>
      <c r="I664" s="18" t="n"/>
      <c r="J664" s="18" t="n"/>
      <c r="K664" s="18" t="n"/>
      <c r="L664" s="18" t="n"/>
    </row>
    <row r="665" ht="43.59999999999999" customHeight="1">
      <c r="A665" s="10" t="n">
        <v>661</v>
      </c>
      <c r="B665" s="11" t="inlineStr">
        <is>
          <t>WB-BRW-05</t>
        </is>
      </c>
      <c r="C665" s="5" t="inlineStr">
        <is>
          <t>Reset filter memulihkan keadaan awal</t>
        </is>
      </c>
      <c r="D665" s="12" t="inlineStr">
        <is>
          <t>Threshing</t>
        </is>
      </c>
      <c r="E665" s="5" t="inlineStr">
        <is>
          <t>SPV-A</t>
        </is>
      </c>
      <c r="F665" s="5" t="inlineStr">
        <is>
          <t>- Seluruh kolom filter kembali ke nilai awalnya.
- Jumlah hasil kembali sama dengan langkah 1.
- Halaman kembali ke halaman 1.</t>
        </is>
      </c>
      <c r="G665" s="10" t="inlineStr">
        <is>
          <t>Rendah</t>
        </is>
      </c>
      <c r="H665" s="18" t="n"/>
      <c r="I665" s="18" t="n"/>
      <c r="J665" s="18" t="n"/>
      <c r="K665" s="18" t="n"/>
      <c r="L665" s="18" t="n"/>
    </row>
    <row r="666" ht="43.59999999999999" customHeight="1">
      <c r="A666" s="14" t="n">
        <v>662</v>
      </c>
      <c r="B666" s="16" t="inlineStr">
        <is>
          <t>WB-BRW-05</t>
        </is>
      </c>
      <c r="C666" s="15" t="inlineStr">
        <is>
          <t>Reset filter memulihkan keadaan awal</t>
        </is>
      </c>
      <c r="D666" s="17" t="inlineStr">
        <is>
          <t>Pressing</t>
        </is>
      </c>
      <c r="E666" s="15" t="inlineStr">
        <is>
          <t>SPV-A</t>
        </is>
      </c>
      <c r="F666" s="15" t="inlineStr">
        <is>
          <t>- Seluruh kolom filter kembali ke nilai awalnya.
- Jumlah hasil kembali sama dengan langkah 1.
- Halaman kembali ke halaman 1.</t>
        </is>
      </c>
      <c r="G666" s="14" t="inlineStr">
        <is>
          <t>Rendah</t>
        </is>
      </c>
      <c r="H666" s="18" t="n"/>
      <c r="I666" s="18" t="n"/>
      <c r="J666" s="18" t="n"/>
      <c r="K666" s="18" t="n"/>
      <c r="L666" s="18" t="n"/>
    </row>
    <row r="667" ht="43.59999999999999" customHeight="1">
      <c r="A667" s="10" t="n">
        <v>663</v>
      </c>
      <c r="B667" s="11" t="inlineStr">
        <is>
          <t>WB-BRW-05</t>
        </is>
      </c>
      <c r="C667" s="5" t="inlineStr">
        <is>
          <t>Reset filter memulihkan keadaan awal</t>
        </is>
      </c>
      <c r="D667" s="12" t="inlineStr">
        <is>
          <t>Clarification</t>
        </is>
      </c>
      <c r="E667" s="5" t="inlineStr">
        <is>
          <t>SPV-A</t>
        </is>
      </c>
      <c r="F667" s="5" t="inlineStr">
        <is>
          <t>- Seluruh kolom filter kembali ke nilai awalnya.
- Jumlah hasil kembali sama dengan langkah 1.
- Halaman kembali ke halaman 1.</t>
        </is>
      </c>
      <c r="G667" s="10" t="inlineStr">
        <is>
          <t>Rendah</t>
        </is>
      </c>
      <c r="H667" s="18" t="n"/>
      <c r="I667" s="18" t="n"/>
      <c r="J667" s="18" t="n"/>
      <c r="K667" s="18" t="n"/>
      <c r="L667" s="18" t="n"/>
    </row>
    <row r="668" ht="43.59999999999999" customHeight="1">
      <c r="A668" s="14" t="n">
        <v>664</v>
      </c>
      <c r="B668" s="16" t="inlineStr">
        <is>
          <t>WB-BRW-05</t>
        </is>
      </c>
      <c r="C668" s="15" t="inlineStr">
        <is>
          <t>Reset filter memulihkan keadaan awal</t>
        </is>
      </c>
      <c r="D668" s="17" t="inlineStr">
        <is>
          <t>Kernel Plant</t>
        </is>
      </c>
      <c r="E668" s="15" t="inlineStr">
        <is>
          <t>SPV-A</t>
        </is>
      </c>
      <c r="F668" s="15" t="inlineStr">
        <is>
          <t>- Seluruh kolom filter kembali ke nilai awalnya.
- Jumlah hasil kembali sama dengan langkah 1.
- Halaman kembali ke halaman 1.</t>
        </is>
      </c>
      <c r="G668" s="14" t="inlineStr">
        <is>
          <t>Rendah</t>
        </is>
      </c>
      <c r="H668" s="18" t="n"/>
      <c r="I668" s="18" t="n"/>
      <c r="J668" s="18" t="n"/>
      <c r="K668" s="18" t="n"/>
      <c r="L668" s="18" t="n"/>
    </row>
    <row r="669" ht="43.59999999999999" customHeight="1">
      <c r="A669" s="10" t="n">
        <v>665</v>
      </c>
      <c r="B669" s="11" t="inlineStr">
        <is>
          <t>WB-BRW-05</t>
        </is>
      </c>
      <c r="C669" s="5" t="inlineStr">
        <is>
          <t>Reset filter memulihkan keadaan awal</t>
        </is>
      </c>
      <c r="D669" s="12" t="inlineStr">
        <is>
          <t>Boiler Room</t>
        </is>
      </c>
      <c r="E669" s="5" t="inlineStr">
        <is>
          <t>SPV-A</t>
        </is>
      </c>
      <c r="F669" s="5" t="inlineStr">
        <is>
          <t>- Seluruh kolom filter kembali ke nilai awalnya.
- Jumlah hasil kembali sama dengan langkah 1.
- Halaman kembali ke halaman 1.</t>
        </is>
      </c>
      <c r="G669" s="10" t="inlineStr">
        <is>
          <t>Rendah</t>
        </is>
      </c>
      <c r="H669" s="18" t="n"/>
      <c r="I669" s="18" t="n"/>
      <c r="J669" s="18" t="n"/>
      <c r="K669" s="18" t="n"/>
      <c r="L669" s="18" t="n"/>
    </row>
    <row r="670" ht="43.59999999999999" customHeight="1">
      <c r="A670" s="14" t="n">
        <v>666</v>
      </c>
      <c r="B670" s="16" t="inlineStr">
        <is>
          <t>WB-BRW-05</t>
        </is>
      </c>
      <c r="C670" s="15" t="inlineStr">
        <is>
          <t>Reset filter memulihkan keadaan awal</t>
        </is>
      </c>
      <c r="D670" s="17" t="inlineStr">
        <is>
          <t>Effluent Plant</t>
        </is>
      </c>
      <c r="E670" s="15" t="inlineStr">
        <is>
          <t>SPV-A</t>
        </is>
      </c>
      <c r="F670" s="15" t="inlineStr">
        <is>
          <t>- Seluruh kolom filter kembali ke nilai awalnya.
- Jumlah hasil kembali sama dengan langkah 1.
- Halaman kembali ke halaman 1.</t>
        </is>
      </c>
      <c r="G670" s="14" t="inlineStr">
        <is>
          <t>Rendah</t>
        </is>
      </c>
      <c r="H670" s="18" t="n"/>
      <c r="I670" s="18" t="n"/>
      <c r="J670" s="18" t="n"/>
      <c r="K670" s="18" t="n"/>
      <c r="L670" s="18" t="n"/>
    </row>
    <row r="671" ht="43.59999999999999" customHeight="1">
      <c r="A671" s="10" t="n">
        <v>667</v>
      </c>
      <c r="B671" s="11" t="inlineStr">
        <is>
          <t>WB-BRW-05</t>
        </is>
      </c>
      <c r="C671" s="5" t="inlineStr">
        <is>
          <t>Reset filter memulihkan keadaan awal</t>
        </is>
      </c>
      <c r="D671" s="12" t="inlineStr">
        <is>
          <t>Depricarping</t>
        </is>
      </c>
      <c r="E671" s="5" t="inlineStr">
        <is>
          <t>SPV-A</t>
        </is>
      </c>
      <c r="F671" s="5" t="inlineStr">
        <is>
          <t>- Seluruh kolom filter kembali ke nilai awalnya.
- Jumlah hasil kembali sama dengan langkah 1.
- Halaman kembali ke halaman 1.</t>
        </is>
      </c>
      <c r="G671" s="10" t="inlineStr">
        <is>
          <t>Rendah</t>
        </is>
      </c>
      <c r="H671" s="18" t="n"/>
      <c r="I671" s="18" t="n"/>
      <c r="J671" s="18" t="n"/>
      <c r="K671" s="18" t="n"/>
      <c r="L671" s="18" t="n"/>
    </row>
    <row r="672" ht="43.59999999999999" customHeight="1">
      <c r="A672" s="14" t="n">
        <v>668</v>
      </c>
      <c r="B672" s="16" t="inlineStr">
        <is>
          <t>WB-BRW-05</t>
        </is>
      </c>
      <c r="C672" s="15" t="inlineStr">
        <is>
          <t>Reset filter memulihkan keadaan awal</t>
        </is>
      </c>
      <c r="D672" s="17" t="inlineStr">
        <is>
          <t>Engine Room</t>
        </is>
      </c>
      <c r="E672" s="15" t="inlineStr">
        <is>
          <t>SPV-A</t>
        </is>
      </c>
      <c r="F672" s="15" t="inlineStr">
        <is>
          <t>- Seluruh kolom filter kembali ke nilai awalnya.
- Jumlah hasil kembali sama dengan langkah 1.
- Halaman kembali ke halaman 1.</t>
        </is>
      </c>
      <c r="G672" s="14" t="inlineStr">
        <is>
          <t>Rendah</t>
        </is>
      </c>
      <c r="H672" s="18" t="n"/>
      <c r="I672" s="18" t="n"/>
      <c r="J672" s="18" t="n"/>
      <c r="K672" s="18" t="n"/>
      <c r="L672" s="18" t="n"/>
    </row>
    <row r="673" ht="43.59999999999999" customHeight="1">
      <c r="A673" s="10" t="n">
        <v>669</v>
      </c>
      <c r="B673" s="11" t="inlineStr">
        <is>
          <t>WB-BRW-05</t>
        </is>
      </c>
      <c r="C673" s="5" t="inlineStr">
        <is>
          <t>Reset filter memulihkan keadaan awal</t>
        </is>
      </c>
      <c r="D673" s="12" t="inlineStr">
        <is>
          <t>Process Water</t>
        </is>
      </c>
      <c r="E673" s="5" t="inlineStr">
        <is>
          <t>SPV-A</t>
        </is>
      </c>
      <c r="F673" s="5" t="inlineStr">
        <is>
          <t>- Seluruh kolom filter kembali ke nilai awalnya.
- Jumlah hasil kembali sama dengan langkah 1.
- Halaman kembali ke halaman 1.</t>
        </is>
      </c>
      <c r="G673" s="10" t="inlineStr">
        <is>
          <t>Rendah</t>
        </is>
      </c>
      <c r="H673" s="18" t="n"/>
      <c r="I673" s="18" t="n"/>
      <c r="J673" s="18" t="n"/>
      <c r="K673" s="18" t="n"/>
      <c r="L673" s="18" t="n"/>
    </row>
    <row r="674" ht="43.59999999999999" customHeight="1">
      <c r="A674" s="14" t="n">
        <v>670</v>
      </c>
      <c r="B674" s="16" t="inlineStr">
        <is>
          <t>WB-BRW-05</t>
        </is>
      </c>
      <c r="C674" s="15" t="inlineStr">
        <is>
          <t>Reset filter memulihkan keadaan awal</t>
        </is>
      </c>
      <c r="D674" s="17" t="inlineStr">
        <is>
          <t>Storage Tank</t>
        </is>
      </c>
      <c r="E674" s="15" t="inlineStr">
        <is>
          <t>SPV-A</t>
        </is>
      </c>
      <c r="F674" s="15" t="inlineStr">
        <is>
          <t>- Seluruh kolom filter kembali ke nilai awalnya.
- Jumlah hasil kembali sama dengan langkah 1.
- Halaman kembali ke halaman 1.</t>
        </is>
      </c>
      <c r="G674" s="14" t="inlineStr">
        <is>
          <t>Rendah</t>
        </is>
      </c>
      <c r="H674" s="18" t="n"/>
      <c r="I674" s="18" t="n"/>
      <c r="J674" s="18" t="n"/>
      <c r="K674" s="18" t="n"/>
      <c r="L674" s="18" t="n"/>
    </row>
    <row r="675" ht="43.59999999999999" customHeight="1">
      <c r="A675" s="10" t="n">
        <v>671</v>
      </c>
      <c r="B675" s="11" t="inlineStr">
        <is>
          <t>WB-BRW-05</t>
        </is>
      </c>
      <c r="C675" s="5" t="inlineStr">
        <is>
          <t>Reset filter memulihkan keadaan awal</t>
        </is>
      </c>
      <c r="D675" s="12" t="inlineStr">
        <is>
          <t>Solid Waste Disposal</t>
        </is>
      </c>
      <c r="E675" s="5" t="inlineStr">
        <is>
          <t>SPV-A</t>
        </is>
      </c>
      <c r="F675" s="5" t="inlineStr">
        <is>
          <t>- Seluruh kolom filter kembali ke nilai awalnya.
- Jumlah hasil kembali sama dengan langkah 1.
- Halaman kembali ke halaman 1.</t>
        </is>
      </c>
      <c r="G675" s="10" t="inlineStr">
        <is>
          <t>Rendah</t>
        </is>
      </c>
      <c r="H675" s="18" t="n"/>
      <c r="I675" s="18" t="n"/>
      <c r="J675" s="18" t="n"/>
      <c r="K675" s="18" t="n"/>
      <c r="L675" s="18" t="n"/>
    </row>
    <row r="676" ht="43.59999999999999" customHeight="1">
      <c r="A676" s="14" t="n">
        <v>672</v>
      </c>
      <c r="B676" s="16" t="inlineStr">
        <is>
          <t>WB-BRW-05</t>
        </is>
      </c>
      <c r="C676" s="15" t="inlineStr">
        <is>
          <t>Reset filter memulihkan keadaan awal</t>
        </is>
      </c>
      <c r="D676" s="17" t="inlineStr">
        <is>
          <t>Kernel Dispatch</t>
        </is>
      </c>
      <c r="E676" s="15" t="inlineStr">
        <is>
          <t>SPV-A</t>
        </is>
      </c>
      <c r="F676" s="15" t="inlineStr">
        <is>
          <t>- Seluruh kolom filter kembali ke nilai awalnya.
- Jumlah hasil kembali sama dengan langkah 1.
- Halaman kembali ke halaman 1.</t>
        </is>
      </c>
      <c r="G676" s="14" t="inlineStr">
        <is>
          <t>Rendah</t>
        </is>
      </c>
      <c r="H676" s="18" t="n"/>
      <c r="I676" s="18" t="n"/>
      <c r="J676" s="18" t="n"/>
      <c r="K676" s="18" t="n"/>
      <c r="L676" s="18" t="n"/>
    </row>
    <row r="677" ht="43.59999999999999" customHeight="1">
      <c r="A677" s="10" t="n">
        <v>673</v>
      </c>
      <c r="B677" s="11" t="inlineStr">
        <is>
          <t>WB-BRW-05</t>
        </is>
      </c>
      <c r="C677" s="5" t="inlineStr">
        <is>
          <t>Reset filter memulihkan keadaan awal</t>
        </is>
      </c>
      <c r="D677" s="12" t="inlineStr">
        <is>
          <t>CPO Dispatch</t>
        </is>
      </c>
      <c r="E677" s="5" t="inlineStr">
        <is>
          <t>SPV-A</t>
        </is>
      </c>
      <c r="F677" s="5" t="inlineStr">
        <is>
          <t>- Seluruh kolom filter kembali ke nilai awalnya.
- Jumlah hasil kembali sama dengan langkah 1.
- Halaman kembali ke halaman 1.</t>
        </is>
      </c>
      <c r="G677" s="10" t="inlineStr">
        <is>
          <t>Rendah</t>
        </is>
      </c>
      <c r="H677" s="18" t="n"/>
      <c r="I677" s="18" t="n"/>
      <c r="J677" s="18" t="n"/>
      <c r="K677" s="18" t="n"/>
      <c r="L677" s="18" t="n"/>
    </row>
    <row r="678" ht="43.59999999999999" customHeight="1">
      <c r="A678" s="14" t="n">
        <v>674</v>
      </c>
      <c r="B678" s="16" t="inlineStr">
        <is>
          <t>WB-BRW-05</t>
        </is>
      </c>
      <c r="C678" s="15" t="inlineStr">
        <is>
          <t>Reset filter memulihkan keadaan awal</t>
        </is>
      </c>
      <c r="D678" s="17" t="inlineStr">
        <is>
          <t>Process Quality Control</t>
        </is>
      </c>
      <c r="E678" s="15" t="inlineStr">
        <is>
          <t>SPV-A</t>
        </is>
      </c>
      <c r="F678" s="15" t="inlineStr">
        <is>
          <t>- Seluruh kolom filter kembali ke nilai awalnya.
- Jumlah hasil kembali sama dengan langkah 1.
- Halaman kembali ke halaman 1.</t>
        </is>
      </c>
      <c r="G678" s="14" t="inlineStr">
        <is>
          <t>Rendah</t>
        </is>
      </c>
      <c r="H678" s="18" t="n"/>
      <c r="I678" s="18" t="n"/>
      <c r="J678" s="18" t="n"/>
      <c r="K678" s="18" t="n"/>
      <c r="L678" s="18" t="n"/>
    </row>
    <row r="679" ht="43.59999999999999" customHeight="1">
      <c r="A679" s="10" t="n">
        <v>675</v>
      </c>
      <c r="B679" s="11" t="inlineStr">
        <is>
          <t>WB-BRW-06</t>
        </is>
      </c>
      <c r="C679" s="5" t="inlineStr">
        <is>
          <t>Klik baris membuka Detail record itu</t>
        </is>
      </c>
      <c r="D679" s="12" t="inlineStr">
        <is>
          <t>Weighbridge</t>
        </is>
      </c>
      <c r="E679" s="5" t="inlineStr">
        <is>
          <t>SPV-A</t>
        </is>
      </c>
      <c r="F679" s="5" t="inlineStr">
        <is>
          <t>- Terbuka layar Detail (/data/&lt;stasiun&gt;/&lt;id&gt;).
- Identitas dan tanggal pada Detail sama dengan baris yang diklik — bukan record lain.</t>
        </is>
      </c>
      <c r="G679" s="13" t="inlineStr">
        <is>
          <t>Tinggi</t>
        </is>
      </c>
      <c r="H679" s="18" t="n"/>
      <c r="I679" s="18" t="n"/>
      <c r="J679" s="18" t="n"/>
      <c r="K679" s="18" t="n"/>
      <c r="L679" s="18" t="n"/>
    </row>
    <row r="680" ht="43.59999999999999" customHeight="1">
      <c r="A680" s="14" t="n">
        <v>676</v>
      </c>
      <c r="B680" s="16" t="inlineStr">
        <is>
          <t>WB-BRW-06</t>
        </is>
      </c>
      <c r="C680" s="15" t="inlineStr">
        <is>
          <t>Klik baris membuka Detail record itu</t>
        </is>
      </c>
      <c r="D680" s="17" t="inlineStr">
        <is>
          <t>Grading</t>
        </is>
      </c>
      <c r="E680" s="15" t="inlineStr">
        <is>
          <t>SPV-A</t>
        </is>
      </c>
      <c r="F680" s="15" t="inlineStr">
        <is>
          <t>- Terbuka layar Detail (/data/&lt;stasiun&gt;/&lt;id&gt;).
- Identitas dan tanggal pada Detail sama dengan baris yang diklik — bukan record lain.</t>
        </is>
      </c>
      <c r="G680" s="13" t="inlineStr">
        <is>
          <t>Tinggi</t>
        </is>
      </c>
      <c r="H680" s="18" t="n"/>
      <c r="I680" s="18" t="n"/>
      <c r="J680" s="18" t="n"/>
      <c r="K680" s="18" t="n"/>
      <c r="L680" s="18" t="n"/>
    </row>
    <row r="681" ht="43.59999999999999" customHeight="1">
      <c r="A681" s="10" t="n">
        <v>677</v>
      </c>
      <c r="B681" s="11" t="inlineStr">
        <is>
          <t>WB-BRW-06</t>
        </is>
      </c>
      <c r="C681" s="5" t="inlineStr">
        <is>
          <t>Klik baris membuka Detail record itu</t>
        </is>
      </c>
      <c r="D681" s="12" t="inlineStr">
        <is>
          <t>Cages Track</t>
        </is>
      </c>
      <c r="E681" s="5" t="inlineStr">
        <is>
          <t>SPV-A</t>
        </is>
      </c>
      <c r="F681" s="5" t="inlineStr">
        <is>
          <t>- Terbuka layar Detail (/data/&lt;stasiun&gt;/&lt;id&gt;).
- Identitas dan tanggal pada Detail sama dengan baris yang diklik — bukan record lain.</t>
        </is>
      </c>
      <c r="G681" s="13" t="inlineStr">
        <is>
          <t>Tinggi</t>
        </is>
      </c>
      <c r="H681" s="18" t="n"/>
      <c r="I681" s="18" t="n"/>
      <c r="J681" s="18" t="n"/>
      <c r="K681" s="18" t="n"/>
      <c r="L681" s="18" t="n"/>
    </row>
    <row r="682" ht="43.59999999999999" customHeight="1">
      <c r="A682" s="14" t="n">
        <v>678</v>
      </c>
      <c r="B682" s="16" t="inlineStr">
        <is>
          <t>WB-BRW-06</t>
        </is>
      </c>
      <c r="C682" s="15" t="inlineStr">
        <is>
          <t>Klik baris membuka Detail record itu</t>
        </is>
      </c>
      <c r="D682" s="17" t="inlineStr">
        <is>
          <t>Sterilizer</t>
        </is>
      </c>
      <c r="E682" s="15" t="inlineStr">
        <is>
          <t>SPV-A</t>
        </is>
      </c>
      <c r="F682" s="15" t="inlineStr">
        <is>
          <t>- Terbuka layar Detail (/data/&lt;stasiun&gt;/&lt;id&gt;).
- Identitas dan tanggal pada Detail sama dengan baris yang diklik — bukan record lain.</t>
        </is>
      </c>
      <c r="G682" s="13" t="inlineStr">
        <is>
          <t>Tinggi</t>
        </is>
      </c>
      <c r="H682" s="18" t="n"/>
      <c r="I682" s="18" t="n"/>
      <c r="J682" s="18" t="n"/>
      <c r="K682" s="18" t="n"/>
      <c r="L682" s="18" t="n"/>
    </row>
    <row r="683" ht="43.59999999999999" customHeight="1">
      <c r="A683" s="10" t="n">
        <v>679</v>
      </c>
      <c r="B683" s="11" t="inlineStr">
        <is>
          <t>WB-BRW-06</t>
        </is>
      </c>
      <c r="C683" s="5" t="inlineStr">
        <is>
          <t>Klik baris membuka Detail record itu</t>
        </is>
      </c>
      <c r="D683" s="12" t="inlineStr">
        <is>
          <t>Threshing</t>
        </is>
      </c>
      <c r="E683" s="5" t="inlineStr">
        <is>
          <t>SPV-A</t>
        </is>
      </c>
      <c r="F683" s="5" t="inlineStr">
        <is>
          <t>- Terbuka layar Detail (/data/&lt;stasiun&gt;/&lt;id&gt;).
- Identitas dan tanggal pada Detail sama dengan baris yang diklik — bukan record lain.</t>
        </is>
      </c>
      <c r="G683" s="13" t="inlineStr">
        <is>
          <t>Tinggi</t>
        </is>
      </c>
      <c r="H683" s="18" t="n"/>
      <c r="I683" s="18" t="n"/>
      <c r="J683" s="18" t="n"/>
      <c r="K683" s="18" t="n"/>
      <c r="L683" s="18" t="n"/>
    </row>
    <row r="684" ht="43.59999999999999" customHeight="1">
      <c r="A684" s="14" t="n">
        <v>680</v>
      </c>
      <c r="B684" s="16" t="inlineStr">
        <is>
          <t>WB-BRW-06</t>
        </is>
      </c>
      <c r="C684" s="15" t="inlineStr">
        <is>
          <t>Klik baris membuka Detail record itu</t>
        </is>
      </c>
      <c r="D684" s="17" t="inlineStr">
        <is>
          <t>Pressing</t>
        </is>
      </c>
      <c r="E684" s="15" t="inlineStr">
        <is>
          <t>SPV-A</t>
        </is>
      </c>
      <c r="F684" s="15" t="inlineStr">
        <is>
          <t>- Terbuka layar Detail (/data/&lt;stasiun&gt;/&lt;id&gt;).
- Identitas dan tanggal pada Detail sama dengan baris yang diklik — bukan record lain.</t>
        </is>
      </c>
      <c r="G684" s="13" t="inlineStr">
        <is>
          <t>Tinggi</t>
        </is>
      </c>
      <c r="H684" s="18" t="n"/>
      <c r="I684" s="18" t="n"/>
      <c r="J684" s="18" t="n"/>
      <c r="K684" s="18" t="n"/>
      <c r="L684" s="18" t="n"/>
    </row>
    <row r="685" ht="43.59999999999999" customHeight="1">
      <c r="A685" s="10" t="n">
        <v>681</v>
      </c>
      <c r="B685" s="11" t="inlineStr">
        <is>
          <t>WB-BRW-06</t>
        </is>
      </c>
      <c r="C685" s="5" t="inlineStr">
        <is>
          <t>Klik baris membuka Detail record itu</t>
        </is>
      </c>
      <c r="D685" s="12" t="inlineStr">
        <is>
          <t>Clarification</t>
        </is>
      </c>
      <c r="E685" s="5" t="inlineStr">
        <is>
          <t>SPV-A</t>
        </is>
      </c>
      <c r="F685" s="5" t="inlineStr">
        <is>
          <t>- Terbuka layar Detail (/data/&lt;stasiun&gt;/&lt;id&gt;).
- Identitas dan tanggal pada Detail sama dengan baris yang diklik — bukan record lain.</t>
        </is>
      </c>
      <c r="G685" s="13" t="inlineStr">
        <is>
          <t>Tinggi</t>
        </is>
      </c>
      <c r="H685" s="18" t="n"/>
      <c r="I685" s="18" t="n"/>
      <c r="J685" s="18" t="n"/>
      <c r="K685" s="18" t="n"/>
      <c r="L685" s="18" t="n"/>
    </row>
    <row r="686" ht="43.59999999999999" customHeight="1">
      <c r="A686" s="14" t="n">
        <v>682</v>
      </c>
      <c r="B686" s="16" t="inlineStr">
        <is>
          <t>WB-BRW-06</t>
        </is>
      </c>
      <c r="C686" s="15" t="inlineStr">
        <is>
          <t>Klik baris membuka Detail record itu</t>
        </is>
      </c>
      <c r="D686" s="17" t="inlineStr">
        <is>
          <t>Kernel Plant</t>
        </is>
      </c>
      <c r="E686" s="15" t="inlineStr">
        <is>
          <t>SPV-A</t>
        </is>
      </c>
      <c r="F686" s="15" t="inlineStr">
        <is>
          <t>- Terbuka layar Detail (/data/&lt;stasiun&gt;/&lt;id&gt;).
- Identitas dan tanggal pada Detail sama dengan baris yang diklik — bukan record lain.</t>
        </is>
      </c>
      <c r="G686" s="13" t="inlineStr">
        <is>
          <t>Tinggi</t>
        </is>
      </c>
      <c r="H686" s="18" t="n"/>
      <c r="I686" s="18" t="n"/>
      <c r="J686" s="18" t="n"/>
      <c r="K686" s="18" t="n"/>
      <c r="L686" s="18" t="n"/>
    </row>
    <row r="687" ht="43.59999999999999" customHeight="1">
      <c r="A687" s="10" t="n">
        <v>683</v>
      </c>
      <c r="B687" s="11" t="inlineStr">
        <is>
          <t>WB-BRW-06</t>
        </is>
      </c>
      <c r="C687" s="5" t="inlineStr">
        <is>
          <t>Klik baris membuka Detail record itu</t>
        </is>
      </c>
      <c r="D687" s="12" t="inlineStr">
        <is>
          <t>Boiler Room</t>
        </is>
      </c>
      <c r="E687" s="5" t="inlineStr">
        <is>
          <t>SPV-A</t>
        </is>
      </c>
      <c r="F687" s="5" t="inlineStr">
        <is>
          <t>- Terbuka layar Detail (/data/&lt;stasiun&gt;/&lt;id&gt;).
- Identitas dan tanggal pada Detail sama dengan baris yang diklik — bukan record lain.</t>
        </is>
      </c>
      <c r="G687" s="13" t="inlineStr">
        <is>
          <t>Tinggi</t>
        </is>
      </c>
      <c r="H687" s="18" t="n"/>
      <c r="I687" s="18" t="n"/>
      <c r="J687" s="18" t="n"/>
      <c r="K687" s="18" t="n"/>
      <c r="L687" s="18" t="n"/>
    </row>
    <row r="688" ht="43.59999999999999" customHeight="1">
      <c r="A688" s="14" t="n">
        <v>684</v>
      </c>
      <c r="B688" s="16" t="inlineStr">
        <is>
          <t>WB-BRW-06</t>
        </is>
      </c>
      <c r="C688" s="15" t="inlineStr">
        <is>
          <t>Klik baris membuka Detail record itu</t>
        </is>
      </c>
      <c r="D688" s="17" t="inlineStr">
        <is>
          <t>Effluent Plant</t>
        </is>
      </c>
      <c r="E688" s="15" t="inlineStr">
        <is>
          <t>SPV-A</t>
        </is>
      </c>
      <c r="F688" s="15" t="inlineStr">
        <is>
          <t>- Terbuka layar Detail (/data/&lt;stasiun&gt;/&lt;id&gt;).
- Identitas dan tanggal pada Detail sama dengan baris yang diklik — bukan record lain.</t>
        </is>
      </c>
      <c r="G688" s="13" t="inlineStr">
        <is>
          <t>Tinggi</t>
        </is>
      </c>
      <c r="H688" s="18" t="n"/>
      <c r="I688" s="18" t="n"/>
      <c r="J688" s="18" t="n"/>
      <c r="K688" s="18" t="n"/>
      <c r="L688" s="18" t="n"/>
    </row>
    <row r="689" ht="43.59999999999999" customHeight="1">
      <c r="A689" s="10" t="n">
        <v>685</v>
      </c>
      <c r="B689" s="11" t="inlineStr">
        <is>
          <t>WB-BRW-06</t>
        </is>
      </c>
      <c r="C689" s="5" t="inlineStr">
        <is>
          <t>Klik baris membuka Detail record itu</t>
        </is>
      </c>
      <c r="D689" s="12" t="inlineStr">
        <is>
          <t>Depricarping</t>
        </is>
      </c>
      <c r="E689" s="5" t="inlineStr">
        <is>
          <t>SPV-A</t>
        </is>
      </c>
      <c r="F689" s="5" t="inlineStr">
        <is>
          <t>- Terbuka layar Detail (/data/&lt;stasiun&gt;/&lt;id&gt;).
- Identitas dan tanggal pada Detail sama dengan baris yang diklik — bukan record lain.</t>
        </is>
      </c>
      <c r="G689" s="13" t="inlineStr">
        <is>
          <t>Tinggi</t>
        </is>
      </c>
      <c r="H689" s="18" t="n"/>
      <c r="I689" s="18" t="n"/>
      <c r="J689" s="18" t="n"/>
      <c r="K689" s="18" t="n"/>
      <c r="L689" s="18" t="n"/>
    </row>
    <row r="690" ht="43.59999999999999" customHeight="1">
      <c r="A690" s="14" t="n">
        <v>686</v>
      </c>
      <c r="B690" s="16" t="inlineStr">
        <is>
          <t>WB-BRW-06</t>
        </is>
      </c>
      <c r="C690" s="15" t="inlineStr">
        <is>
          <t>Klik baris membuka Detail record itu</t>
        </is>
      </c>
      <c r="D690" s="17" t="inlineStr">
        <is>
          <t>Engine Room</t>
        </is>
      </c>
      <c r="E690" s="15" t="inlineStr">
        <is>
          <t>SPV-A</t>
        </is>
      </c>
      <c r="F690" s="15" t="inlineStr">
        <is>
          <t>- Terbuka layar Detail (/data/&lt;stasiun&gt;/&lt;id&gt;).
- Identitas dan tanggal pada Detail sama dengan baris yang diklik — bukan record lain.</t>
        </is>
      </c>
      <c r="G690" s="13" t="inlineStr">
        <is>
          <t>Tinggi</t>
        </is>
      </c>
      <c r="H690" s="18" t="n"/>
      <c r="I690" s="18" t="n"/>
      <c r="J690" s="18" t="n"/>
      <c r="K690" s="18" t="n"/>
      <c r="L690" s="18" t="n"/>
    </row>
    <row r="691" ht="43.59999999999999" customHeight="1">
      <c r="A691" s="10" t="n">
        <v>687</v>
      </c>
      <c r="B691" s="11" t="inlineStr">
        <is>
          <t>WB-BRW-06</t>
        </is>
      </c>
      <c r="C691" s="5" t="inlineStr">
        <is>
          <t>Klik baris membuka Detail record itu</t>
        </is>
      </c>
      <c r="D691" s="12" t="inlineStr">
        <is>
          <t>Process Water</t>
        </is>
      </c>
      <c r="E691" s="5" t="inlineStr">
        <is>
          <t>SPV-A</t>
        </is>
      </c>
      <c r="F691" s="5" t="inlineStr">
        <is>
          <t>- Terbuka layar Detail (/data/&lt;stasiun&gt;/&lt;id&gt;).
- Identitas dan tanggal pada Detail sama dengan baris yang diklik — bukan record lain.</t>
        </is>
      </c>
      <c r="G691" s="13" t="inlineStr">
        <is>
          <t>Tinggi</t>
        </is>
      </c>
      <c r="H691" s="18" t="n"/>
      <c r="I691" s="18" t="n"/>
      <c r="J691" s="18" t="n"/>
      <c r="K691" s="18" t="n"/>
      <c r="L691" s="18" t="n"/>
    </row>
    <row r="692" ht="43.59999999999999" customHeight="1">
      <c r="A692" s="14" t="n">
        <v>688</v>
      </c>
      <c r="B692" s="16" t="inlineStr">
        <is>
          <t>WB-BRW-06</t>
        </is>
      </c>
      <c r="C692" s="15" t="inlineStr">
        <is>
          <t>Klik baris membuka Detail record itu</t>
        </is>
      </c>
      <c r="D692" s="17" t="inlineStr">
        <is>
          <t>Storage Tank</t>
        </is>
      </c>
      <c r="E692" s="15" t="inlineStr">
        <is>
          <t>SPV-A</t>
        </is>
      </c>
      <c r="F692" s="15" t="inlineStr">
        <is>
          <t>- Terbuka layar Detail (/data/&lt;stasiun&gt;/&lt;id&gt;).
- Identitas dan tanggal pada Detail sama dengan baris yang diklik — bukan record lain.</t>
        </is>
      </c>
      <c r="G692" s="13" t="inlineStr">
        <is>
          <t>Tinggi</t>
        </is>
      </c>
      <c r="H692" s="18" t="n"/>
      <c r="I692" s="18" t="n"/>
      <c r="J692" s="18" t="n"/>
      <c r="K692" s="18" t="n"/>
      <c r="L692" s="18" t="n"/>
    </row>
    <row r="693" ht="43.59999999999999" customHeight="1">
      <c r="A693" s="10" t="n">
        <v>689</v>
      </c>
      <c r="B693" s="11" t="inlineStr">
        <is>
          <t>WB-BRW-06</t>
        </is>
      </c>
      <c r="C693" s="5" t="inlineStr">
        <is>
          <t>Klik baris membuka Detail record itu</t>
        </is>
      </c>
      <c r="D693" s="12" t="inlineStr">
        <is>
          <t>Solid Waste Disposal</t>
        </is>
      </c>
      <c r="E693" s="5" t="inlineStr">
        <is>
          <t>SPV-A</t>
        </is>
      </c>
      <c r="F693" s="5" t="inlineStr">
        <is>
          <t>- Terbuka layar Detail (/data/&lt;stasiun&gt;/&lt;id&gt;).
- Identitas dan tanggal pada Detail sama dengan baris yang diklik — bukan record lain.</t>
        </is>
      </c>
      <c r="G693" s="13" t="inlineStr">
        <is>
          <t>Tinggi</t>
        </is>
      </c>
      <c r="H693" s="18" t="n"/>
      <c r="I693" s="18" t="n"/>
      <c r="J693" s="18" t="n"/>
      <c r="K693" s="18" t="n"/>
      <c r="L693" s="18" t="n"/>
    </row>
    <row r="694" ht="43.59999999999999" customHeight="1">
      <c r="A694" s="14" t="n">
        <v>690</v>
      </c>
      <c r="B694" s="16" t="inlineStr">
        <is>
          <t>WB-BRW-06</t>
        </is>
      </c>
      <c r="C694" s="15" t="inlineStr">
        <is>
          <t>Klik baris membuka Detail record itu</t>
        </is>
      </c>
      <c r="D694" s="17" t="inlineStr">
        <is>
          <t>Kernel Dispatch</t>
        </is>
      </c>
      <c r="E694" s="15" t="inlineStr">
        <is>
          <t>SPV-A</t>
        </is>
      </c>
      <c r="F694" s="15" t="inlineStr">
        <is>
          <t>- Terbuka layar Detail (/data/&lt;stasiun&gt;/&lt;id&gt;).
- Identitas dan tanggal pada Detail sama dengan baris yang diklik — bukan record lain.</t>
        </is>
      </c>
      <c r="G694" s="13" t="inlineStr">
        <is>
          <t>Tinggi</t>
        </is>
      </c>
      <c r="H694" s="18" t="n"/>
      <c r="I694" s="18" t="n"/>
      <c r="J694" s="18" t="n"/>
      <c r="K694" s="18" t="n"/>
      <c r="L694" s="18" t="n"/>
    </row>
    <row r="695" ht="43.59999999999999" customHeight="1">
      <c r="A695" s="10" t="n">
        <v>691</v>
      </c>
      <c r="B695" s="11" t="inlineStr">
        <is>
          <t>WB-BRW-06</t>
        </is>
      </c>
      <c r="C695" s="5" t="inlineStr">
        <is>
          <t>Klik baris membuka Detail record itu</t>
        </is>
      </c>
      <c r="D695" s="12" t="inlineStr">
        <is>
          <t>CPO Dispatch</t>
        </is>
      </c>
      <c r="E695" s="5" t="inlineStr">
        <is>
          <t>SPV-A</t>
        </is>
      </c>
      <c r="F695" s="5" t="inlineStr">
        <is>
          <t>- Terbuka layar Detail (/data/&lt;stasiun&gt;/&lt;id&gt;).
- Identitas dan tanggal pada Detail sama dengan baris yang diklik — bukan record lain.</t>
        </is>
      </c>
      <c r="G695" s="13" t="inlineStr">
        <is>
          <t>Tinggi</t>
        </is>
      </c>
      <c r="H695" s="18" t="n"/>
      <c r="I695" s="18" t="n"/>
      <c r="J695" s="18" t="n"/>
      <c r="K695" s="18" t="n"/>
      <c r="L695" s="18" t="n"/>
    </row>
    <row r="696" ht="43.59999999999999" customHeight="1">
      <c r="A696" s="14" t="n">
        <v>692</v>
      </c>
      <c r="B696" s="16" t="inlineStr">
        <is>
          <t>WB-BRW-06</t>
        </is>
      </c>
      <c r="C696" s="15" t="inlineStr">
        <is>
          <t>Klik baris membuka Detail record itu</t>
        </is>
      </c>
      <c r="D696" s="17" t="inlineStr">
        <is>
          <t>Process Quality Control</t>
        </is>
      </c>
      <c r="E696" s="15" t="inlineStr">
        <is>
          <t>SPV-A</t>
        </is>
      </c>
      <c r="F696" s="15" t="inlineStr">
        <is>
          <t>- Terbuka layar Detail (/data/&lt;stasiun&gt;/&lt;id&gt;).
- Identitas dan tanggal pada Detail sama dengan baris yang diklik — bukan record lain.</t>
        </is>
      </c>
      <c r="G696" s="13" t="inlineStr">
        <is>
          <t>Tinggi</t>
        </is>
      </c>
      <c r="H696" s="18" t="n"/>
      <c r="I696" s="18" t="n"/>
      <c r="J696" s="18" t="n"/>
      <c r="K696" s="18" t="n"/>
      <c r="L696" s="18" t="n"/>
    </row>
    <row r="697" ht="83.19999999999999" customHeight="1">
      <c r="A697" s="10" t="n">
        <v>693</v>
      </c>
      <c r="B697" s="11" t="inlineStr">
        <is>
          <t>WB-BRW-07</t>
        </is>
      </c>
      <c r="C697" s="5" t="inlineStr">
        <is>
          <t>Tambah Data membuka Form kosong</t>
        </is>
      </c>
      <c r="D697" s="12" t="inlineStr">
        <is>
          <t>Weighbridge</t>
        </is>
      </c>
      <c r="E697" s="5" t="inlineStr">
        <is>
          <t>SPV-A</t>
        </is>
      </c>
      <c r="F697" s="5" t="inlineStr">
        <is>
          <t>- Terbuka Form kosong (/data/&lt;stasiun&gt;/create).
- Kolom identitas kosong; tidak ada nilai sisa dari record mana pun.
- Kolom Production Line dapat dipilih.
- Grid slot waktu masih kosong atau menyediakan satu baris kosong untuk diisi.</t>
        </is>
      </c>
      <c r="G697" s="13" t="inlineStr">
        <is>
          <t>Tinggi</t>
        </is>
      </c>
      <c r="H697" s="18" t="n"/>
      <c r="I697" s="18" t="n"/>
      <c r="J697" s="18" t="n"/>
      <c r="K697" s="18" t="n"/>
      <c r="L697" s="18" t="n"/>
    </row>
    <row r="698" ht="83.19999999999999" customHeight="1">
      <c r="A698" s="14" t="n">
        <v>694</v>
      </c>
      <c r="B698" s="16" t="inlineStr">
        <is>
          <t>WB-BRW-07</t>
        </is>
      </c>
      <c r="C698" s="15" t="inlineStr">
        <is>
          <t>Tambah Data membuka Form kosong</t>
        </is>
      </c>
      <c r="D698" s="17" t="inlineStr">
        <is>
          <t>Grading</t>
        </is>
      </c>
      <c r="E698" s="15" t="inlineStr">
        <is>
          <t>SPV-A</t>
        </is>
      </c>
      <c r="F698" s="15" t="inlineStr">
        <is>
          <t>- Terbuka Form kosong (/data/&lt;stasiun&gt;/create).
- Kolom identitas kosong; tidak ada nilai sisa dari record mana pun.
- Kolom Production Line dapat dipilih.
- Grid slot waktu masih kosong atau menyediakan satu baris kosong untuk diisi.</t>
        </is>
      </c>
      <c r="G698" s="13" t="inlineStr">
        <is>
          <t>Tinggi</t>
        </is>
      </c>
      <c r="H698" s="18" t="n"/>
      <c r="I698" s="18" t="n"/>
      <c r="J698" s="18" t="n"/>
      <c r="K698" s="18" t="n"/>
      <c r="L698" s="18" t="n"/>
    </row>
    <row r="699" ht="83.19999999999999" customHeight="1">
      <c r="A699" s="10" t="n">
        <v>695</v>
      </c>
      <c r="B699" s="11" t="inlineStr">
        <is>
          <t>WB-BRW-07</t>
        </is>
      </c>
      <c r="C699" s="5" t="inlineStr">
        <is>
          <t>Tambah Data membuka Form kosong</t>
        </is>
      </c>
      <c r="D699" s="12" t="inlineStr">
        <is>
          <t>Cages Track</t>
        </is>
      </c>
      <c r="E699" s="5" t="inlineStr">
        <is>
          <t>SPV-A</t>
        </is>
      </c>
      <c r="F699" s="5" t="inlineStr">
        <is>
          <t>- Terbuka Form kosong (/data/&lt;stasiun&gt;/create).
- Kolom identitas kosong; tidak ada nilai sisa dari record mana pun.
- Kolom Production Line dapat dipilih.
- Grid slot waktu masih kosong atau menyediakan satu baris kosong untuk diisi.</t>
        </is>
      </c>
      <c r="G699" s="13" t="inlineStr">
        <is>
          <t>Tinggi</t>
        </is>
      </c>
      <c r="H699" s="18" t="n"/>
      <c r="I699" s="18" t="n"/>
      <c r="J699" s="18" t="n"/>
      <c r="K699" s="18" t="n"/>
      <c r="L699" s="18" t="n"/>
    </row>
    <row r="700" ht="83.19999999999999" customHeight="1">
      <c r="A700" s="14" t="n">
        <v>696</v>
      </c>
      <c r="B700" s="16" t="inlineStr">
        <is>
          <t>WB-BRW-07</t>
        </is>
      </c>
      <c r="C700" s="15" t="inlineStr">
        <is>
          <t>Tambah Data membuka Form kosong</t>
        </is>
      </c>
      <c r="D700" s="17" t="inlineStr">
        <is>
          <t>Sterilizer</t>
        </is>
      </c>
      <c r="E700" s="15" t="inlineStr">
        <is>
          <t>SPV-A</t>
        </is>
      </c>
      <c r="F700" s="15" t="inlineStr">
        <is>
          <t>- Terbuka Form kosong (/data/&lt;stasiun&gt;/create).
- Kolom identitas kosong; tidak ada nilai sisa dari record mana pun.
- Kolom Production Line dapat dipilih.
- Grid slot waktu masih kosong atau menyediakan satu baris kosong untuk diisi.</t>
        </is>
      </c>
      <c r="G700" s="13" t="inlineStr">
        <is>
          <t>Tinggi</t>
        </is>
      </c>
      <c r="H700" s="18" t="n"/>
      <c r="I700" s="18" t="n"/>
      <c r="J700" s="18" t="n"/>
      <c r="K700" s="18" t="n"/>
      <c r="L700" s="18" t="n"/>
    </row>
    <row r="701" ht="83.19999999999999" customHeight="1">
      <c r="A701" s="10" t="n">
        <v>697</v>
      </c>
      <c r="B701" s="11" t="inlineStr">
        <is>
          <t>WB-BRW-07</t>
        </is>
      </c>
      <c r="C701" s="5" t="inlineStr">
        <is>
          <t>Tambah Data membuka Form kosong</t>
        </is>
      </c>
      <c r="D701" s="12" t="inlineStr">
        <is>
          <t>Threshing</t>
        </is>
      </c>
      <c r="E701" s="5" t="inlineStr">
        <is>
          <t>SPV-A</t>
        </is>
      </c>
      <c r="F701" s="5" t="inlineStr">
        <is>
          <t>- Terbuka Form kosong (/data/&lt;stasiun&gt;/create).
- Kolom identitas kosong; tidak ada nilai sisa dari record mana pun.
- Kolom Production Line dapat dipilih.
- Grid slot waktu masih kosong atau menyediakan satu baris kosong untuk diisi.</t>
        </is>
      </c>
      <c r="G701" s="13" t="inlineStr">
        <is>
          <t>Tinggi</t>
        </is>
      </c>
      <c r="H701" s="18" t="n"/>
      <c r="I701" s="18" t="n"/>
      <c r="J701" s="18" t="n"/>
      <c r="K701" s="18" t="n"/>
      <c r="L701" s="18" t="n"/>
    </row>
    <row r="702" ht="83.19999999999999" customHeight="1">
      <c r="A702" s="14" t="n">
        <v>698</v>
      </c>
      <c r="B702" s="16" t="inlineStr">
        <is>
          <t>WB-BRW-07</t>
        </is>
      </c>
      <c r="C702" s="15" t="inlineStr">
        <is>
          <t>Tambah Data membuka Form kosong</t>
        </is>
      </c>
      <c r="D702" s="17" t="inlineStr">
        <is>
          <t>Pressing</t>
        </is>
      </c>
      <c r="E702" s="15" t="inlineStr">
        <is>
          <t>SPV-A</t>
        </is>
      </c>
      <c r="F702" s="15" t="inlineStr">
        <is>
          <t>- Terbuka Form kosong (/data/&lt;stasiun&gt;/create).
- Kolom identitas kosong; tidak ada nilai sisa dari record mana pun.
- Kolom Production Line dapat dipilih.
- Grid slot waktu masih kosong atau menyediakan satu baris kosong untuk diisi.</t>
        </is>
      </c>
      <c r="G702" s="13" t="inlineStr">
        <is>
          <t>Tinggi</t>
        </is>
      </c>
      <c r="H702" s="18" t="n"/>
      <c r="I702" s="18" t="n"/>
      <c r="J702" s="18" t="n"/>
      <c r="K702" s="18" t="n"/>
      <c r="L702" s="18" t="n"/>
    </row>
    <row r="703" ht="83.19999999999999" customHeight="1">
      <c r="A703" s="10" t="n">
        <v>699</v>
      </c>
      <c r="B703" s="11" t="inlineStr">
        <is>
          <t>WB-BRW-07</t>
        </is>
      </c>
      <c r="C703" s="5" t="inlineStr">
        <is>
          <t>Tambah Data membuka Form kosong</t>
        </is>
      </c>
      <c r="D703" s="12" t="inlineStr">
        <is>
          <t>Clarification</t>
        </is>
      </c>
      <c r="E703" s="5" t="inlineStr">
        <is>
          <t>SPV-A</t>
        </is>
      </c>
      <c r="F703" s="5" t="inlineStr">
        <is>
          <t>- Terbuka Form kosong (/data/&lt;stasiun&gt;/create).
- Kolom identitas kosong; tidak ada nilai sisa dari record mana pun.
- Kolom Production Line dapat dipilih.
- Grid slot waktu masih kosong atau menyediakan satu baris kosong untuk diisi.</t>
        </is>
      </c>
      <c r="G703" s="13" t="inlineStr">
        <is>
          <t>Tinggi</t>
        </is>
      </c>
      <c r="H703" s="18" t="n"/>
      <c r="I703" s="18" t="n"/>
      <c r="J703" s="18" t="n"/>
      <c r="K703" s="18" t="n"/>
      <c r="L703" s="18" t="n"/>
    </row>
    <row r="704" ht="83.19999999999999" customHeight="1">
      <c r="A704" s="14" t="n">
        <v>700</v>
      </c>
      <c r="B704" s="16" t="inlineStr">
        <is>
          <t>WB-BRW-07</t>
        </is>
      </c>
      <c r="C704" s="15" t="inlineStr">
        <is>
          <t>Tambah Data membuka Form kosong</t>
        </is>
      </c>
      <c r="D704" s="17" t="inlineStr">
        <is>
          <t>Kernel Plant</t>
        </is>
      </c>
      <c r="E704" s="15" t="inlineStr">
        <is>
          <t>SPV-A</t>
        </is>
      </c>
      <c r="F704" s="15" t="inlineStr">
        <is>
          <t>- Terbuka Form kosong (/data/&lt;stasiun&gt;/create).
- Kolom identitas kosong; tidak ada nilai sisa dari record mana pun.
- Kolom Production Line dapat dipilih.
- Grid slot waktu masih kosong atau menyediakan satu baris kosong untuk diisi.</t>
        </is>
      </c>
      <c r="G704" s="13" t="inlineStr">
        <is>
          <t>Tinggi</t>
        </is>
      </c>
      <c r="H704" s="18" t="n"/>
      <c r="I704" s="18" t="n"/>
      <c r="J704" s="18" t="n"/>
      <c r="K704" s="18" t="n"/>
      <c r="L704" s="18" t="n"/>
    </row>
    <row r="705" ht="83.19999999999999" customHeight="1">
      <c r="A705" s="10" t="n">
        <v>701</v>
      </c>
      <c r="B705" s="11" t="inlineStr">
        <is>
          <t>WB-BRW-07</t>
        </is>
      </c>
      <c r="C705" s="5" t="inlineStr">
        <is>
          <t>Tambah Data membuka Form kosong</t>
        </is>
      </c>
      <c r="D705" s="12" t="inlineStr">
        <is>
          <t>Boiler Room</t>
        </is>
      </c>
      <c r="E705" s="5" t="inlineStr">
        <is>
          <t>SPV-A</t>
        </is>
      </c>
      <c r="F705" s="5" t="inlineStr">
        <is>
          <t>- Terbuka Form kosong (/data/&lt;stasiun&gt;/create).
- Kolom identitas kosong; tidak ada nilai sisa dari record mana pun.
- Kolom Production Line dapat dipilih.
- Grid slot waktu masih kosong atau menyediakan satu baris kosong untuk diisi.</t>
        </is>
      </c>
      <c r="G705" s="13" t="inlineStr">
        <is>
          <t>Tinggi</t>
        </is>
      </c>
      <c r="H705" s="18" t="n"/>
      <c r="I705" s="18" t="n"/>
      <c r="J705" s="18" t="n"/>
      <c r="K705" s="18" t="n"/>
      <c r="L705" s="18" t="n"/>
    </row>
    <row r="706" ht="83.19999999999999" customHeight="1">
      <c r="A706" s="14" t="n">
        <v>702</v>
      </c>
      <c r="B706" s="16" t="inlineStr">
        <is>
          <t>WB-BRW-07</t>
        </is>
      </c>
      <c r="C706" s="15" t="inlineStr">
        <is>
          <t>Tambah Data membuka Form kosong</t>
        </is>
      </c>
      <c r="D706" s="17" t="inlineStr">
        <is>
          <t>Effluent Plant</t>
        </is>
      </c>
      <c r="E706" s="15" t="inlineStr">
        <is>
          <t>SPV-A</t>
        </is>
      </c>
      <c r="F706" s="15" t="inlineStr">
        <is>
          <t>- Terbuka Form kosong (/data/&lt;stasiun&gt;/create).
- Kolom identitas kosong; tidak ada nilai sisa dari record mana pun.
- Kolom Production Line dapat dipilih.
- Grid slot waktu masih kosong atau menyediakan satu baris kosong untuk diisi.</t>
        </is>
      </c>
      <c r="G706" s="13" t="inlineStr">
        <is>
          <t>Tinggi</t>
        </is>
      </c>
      <c r="H706" s="18" t="n"/>
      <c r="I706" s="18" t="n"/>
      <c r="J706" s="18" t="n"/>
      <c r="K706" s="18" t="n"/>
      <c r="L706" s="18" t="n"/>
    </row>
    <row r="707" ht="83.19999999999999" customHeight="1">
      <c r="A707" s="10" t="n">
        <v>703</v>
      </c>
      <c r="B707" s="11" t="inlineStr">
        <is>
          <t>WB-BRW-07</t>
        </is>
      </c>
      <c r="C707" s="5" t="inlineStr">
        <is>
          <t>Tambah Data membuka Form kosong</t>
        </is>
      </c>
      <c r="D707" s="12" t="inlineStr">
        <is>
          <t>Depricarping</t>
        </is>
      </c>
      <c r="E707" s="5" t="inlineStr">
        <is>
          <t>SPV-A</t>
        </is>
      </c>
      <c r="F707" s="5" t="inlineStr">
        <is>
          <t>- Terbuka Form kosong (/data/&lt;stasiun&gt;/create).
- Kolom identitas kosong; tidak ada nilai sisa dari record mana pun.
- Kolom Production Line dapat dipilih.
- Grid slot waktu masih kosong atau menyediakan satu baris kosong untuk diisi.</t>
        </is>
      </c>
      <c r="G707" s="13" t="inlineStr">
        <is>
          <t>Tinggi</t>
        </is>
      </c>
      <c r="H707" s="18" t="n"/>
      <c r="I707" s="18" t="n"/>
      <c r="J707" s="18" t="n"/>
      <c r="K707" s="18" t="n"/>
      <c r="L707" s="18" t="n"/>
    </row>
    <row r="708" ht="83.19999999999999" customHeight="1">
      <c r="A708" s="14" t="n">
        <v>704</v>
      </c>
      <c r="B708" s="16" t="inlineStr">
        <is>
          <t>WB-BRW-07</t>
        </is>
      </c>
      <c r="C708" s="15" t="inlineStr">
        <is>
          <t>Tambah Data membuka Form kosong</t>
        </is>
      </c>
      <c r="D708" s="17" t="inlineStr">
        <is>
          <t>Engine Room</t>
        </is>
      </c>
      <c r="E708" s="15" t="inlineStr">
        <is>
          <t>SPV-A</t>
        </is>
      </c>
      <c r="F708" s="15" t="inlineStr">
        <is>
          <t>- Terbuka Form kosong (/data/&lt;stasiun&gt;/create).
- Kolom identitas kosong; tidak ada nilai sisa dari record mana pun.
- Kolom Production Line dapat dipilih.
- Grid slot waktu masih kosong atau menyediakan satu baris kosong untuk diisi.</t>
        </is>
      </c>
      <c r="G708" s="13" t="inlineStr">
        <is>
          <t>Tinggi</t>
        </is>
      </c>
      <c r="H708" s="18" t="n"/>
      <c r="I708" s="18" t="n"/>
      <c r="J708" s="18" t="n"/>
      <c r="K708" s="18" t="n"/>
      <c r="L708" s="18" t="n"/>
    </row>
    <row r="709" ht="83.19999999999999" customHeight="1">
      <c r="A709" s="10" t="n">
        <v>705</v>
      </c>
      <c r="B709" s="11" t="inlineStr">
        <is>
          <t>WB-BRW-07</t>
        </is>
      </c>
      <c r="C709" s="5" t="inlineStr">
        <is>
          <t>Tambah Data membuka Form kosong</t>
        </is>
      </c>
      <c r="D709" s="12" t="inlineStr">
        <is>
          <t>Process Water</t>
        </is>
      </c>
      <c r="E709" s="5" t="inlineStr">
        <is>
          <t>SPV-A</t>
        </is>
      </c>
      <c r="F709" s="5" t="inlineStr">
        <is>
          <t>- Terbuka Form kosong (/data/&lt;stasiun&gt;/create).
- Kolom identitas kosong; tidak ada nilai sisa dari record mana pun.
- Kolom Production Line dapat dipilih.
- Grid slot waktu masih kosong atau menyediakan satu baris kosong untuk diisi.</t>
        </is>
      </c>
      <c r="G709" s="13" t="inlineStr">
        <is>
          <t>Tinggi</t>
        </is>
      </c>
      <c r="H709" s="18" t="n"/>
      <c r="I709" s="18" t="n"/>
      <c r="J709" s="18" t="n"/>
      <c r="K709" s="18" t="n"/>
      <c r="L709" s="18" t="n"/>
    </row>
    <row r="710" ht="83.19999999999999" customHeight="1">
      <c r="A710" s="14" t="n">
        <v>706</v>
      </c>
      <c r="B710" s="16" t="inlineStr">
        <is>
          <t>WB-BRW-07</t>
        </is>
      </c>
      <c r="C710" s="15" t="inlineStr">
        <is>
          <t>Tambah Data membuka Form kosong</t>
        </is>
      </c>
      <c r="D710" s="17" t="inlineStr">
        <is>
          <t>Storage Tank</t>
        </is>
      </c>
      <c r="E710" s="15" t="inlineStr">
        <is>
          <t>SPV-A</t>
        </is>
      </c>
      <c r="F710" s="15" t="inlineStr">
        <is>
          <t>- Terbuka Form kosong (/data/&lt;stasiun&gt;/create).
- Kolom identitas kosong; tidak ada nilai sisa dari record mana pun.
- Kolom Production Line dapat dipilih.
- Grid slot waktu masih kosong atau menyediakan satu baris kosong untuk diisi.</t>
        </is>
      </c>
      <c r="G710" s="13" t="inlineStr">
        <is>
          <t>Tinggi</t>
        </is>
      </c>
      <c r="H710" s="18" t="n"/>
      <c r="I710" s="18" t="n"/>
      <c r="J710" s="18" t="n"/>
      <c r="K710" s="18" t="n"/>
      <c r="L710" s="18" t="n"/>
    </row>
    <row r="711" ht="83.19999999999999" customHeight="1">
      <c r="A711" s="10" t="n">
        <v>707</v>
      </c>
      <c r="B711" s="11" t="inlineStr">
        <is>
          <t>WB-BRW-07</t>
        </is>
      </c>
      <c r="C711" s="5" t="inlineStr">
        <is>
          <t>Tambah Data membuka Form kosong</t>
        </is>
      </c>
      <c r="D711" s="12" t="inlineStr">
        <is>
          <t>Solid Waste Disposal</t>
        </is>
      </c>
      <c r="E711" s="5" t="inlineStr">
        <is>
          <t>SPV-A</t>
        </is>
      </c>
      <c r="F711" s="5" t="inlineStr">
        <is>
          <t>- Terbuka Form kosong (/data/&lt;stasiun&gt;/create).
- Kolom identitas kosong; tidak ada nilai sisa dari record mana pun.
- Kolom Production Line dapat dipilih.
- Grid slot waktu masih kosong atau menyediakan satu baris kosong untuk diisi.</t>
        </is>
      </c>
      <c r="G711" s="13" t="inlineStr">
        <is>
          <t>Tinggi</t>
        </is>
      </c>
      <c r="H711" s="18" t="n"/>
      <c r="I711" s="18" t="n"/>
      <c r="J711" s="18" t="n"/>
      <c r="K711" s="18" t="n"/>
      <c r="L711" s="18" t="n"/>
    </row>
    <row r="712" ht="83.19999999999999" customHeight="1">
      <c r="A712" s="14" t="n">
        <v>708</v>
      </c>
      <c r="B712" s="16" t="inlineStr">
        <is>
          <t>WB-BRW-07</t>
        </is>
      </c>
      <c r="C712" s="15" t="inlineStr">
        <is>
          <t>Tambah Data membuka Form kosong</t>
        </is>
      </c>
      <c r="D712" s="17" t="inlineStr">
        <is>
          <t>Kernel Dispatch</t>
        </is>
      </c>
      <c r="E712" s="15" t="inlineStr">
        <is>
          <t>SPV-A</t>
        </is>
      </c>
      <c r="F712" s="15" t="inlineStr">
        <is>
          <t>- Terbuka Form kosong (/data/&lt;stasiun&gt;/create).
- Kolom identitas kosong; tidak ada nilai sisa dari record mana pun.
- Kolom Production Line dapat dipilih.
- Grid slot waktu masih kosong atau menyediakan satu baris kosong untuk diisi.</t>
        </is>
      </c>
      <c r="G712" s="13" t="inlineStr">
        <is>
          <t>Tinggi</t>
        </is>
      </c>
      <c r="H712" s="18" t="n"/>
      <c r="I712" s="18" t="n"/>
      <c r="J712" s="18" t="n"/>
      <c r="K712" s="18" t="n"/>
      <c r="L712" s="18" t="n"/>
    </row>
    <row r="713" ht="83.19999999999999" customHeight="1">
      <c r="A713" s="10" t="n">
        <v>709</v>
      </c>
      <c r="B713" s="11" t="inlineStr">
        <is>
          <t>WB-BRW-07</t>
        </is>
      </c>
      <c r="C713" s="5" t="inlineStr">
        <is>
          <t>Tambah Data membuka Form kosong</t>
        </is>
      </c>
      <c r="D713" s="12" t="inlineStr">
        <is>
          <t>CPO Dispatch</t>
        </is>
      </c>
      <c r="E713" s="5" t="inlineStr">
        <is>
          <t>SPV-A</t>
        </is>
      </c>
      <c r="F713" s="5" t="inlineStr">
        <is>
          <t>- Terbuka Form kosong (/data/&lt;stasiun&gt;/create).
- Kolom identitas kosong; tidak ada nilai sisa dari record mana pun.
- Kolom Production Line dapat dipilih.
- Grid slot waktu masih kosong atau menyediakan satu baris kosong untuk diisi.</t>
        </is>
      </c>
      <c r="G713" s="13" t="inlineStr">
        <is>
          <t>Tinggi</t>
        </is>
      </c>
      <c r="H713" s="18" t="n"/>
      <c r="I713" s="18" t="n"/>
      <c r="J713" s="18" t="n"/>
      <c r="K713" s="18" t="n"/>
      <c r="L713" s="18" t="n"/>
    </row>
    <row r="714" ht="83.19999999999999" customHeight="1">
      <c r="A714" s="14" t="n">
        <v>710</v>
      </c>
      <c r="B714" s="16" t="inlineStr">
        <is>
          <t>WB-BRW-07</t>
        </is>
      </c>
      <c r="C714" s="15" t="inlineStr">
        <is>
          <t>Tambah Data membuka Form kosong</t>
        </is>
      </c>
      <c r="D714" s="17" t="inlineStr">
        <is>
          <t>Process Quality Control</t>
        </is>
      </c>
      <c r="E714" s="15" t="inlineStr">
        <is>
          <t>SPV-A</t>
        </is>
      </c>
      <c r="F714" s="15" t="inlineStr">
        <is>
          <t>- Terbuka Form kosong (/data/&lt;stasiun&gt;/create).
- Kolom identitas kosong; tidak ada nilai sisa dari record mana pun.
- Kolom Production Line dapat dipilih.
- Grid slot waktu masih kosong atau menyediakan satu baris kosong untuk diisi.</t>
        </is>
      </c>
      <c r="G714" s="13" t="inlineStr">
        <is>
          <t>Tinggi</t>
        </is>
      </c>
      <c r="H714" s="18" t="n"/>
      <c r="I714" s="18" t="n"/>
      <c r="J714" s="18" t="n"/>
      <c r="K714" s="18" t="n"/>
      <c r="L714" s="18" t="n"/>
    </row>
    <row r="715" ht="70" customHeight="1">
      <c r="A715" s="10" t="n">
        <v>711</v>
      </c>
      <c r="B715" s="11" t="inlineStr">
        <is>
          <t>WB-BRW-08</t>
        </is>
      </c>
      <c r="C715" s="5" t="inlineStr">
        <is>
          <t>Filter tanpa hasil memberi keterangan, bukan tabel kosong tanpa penjelasan</t>
        </is>
      </c>
      <c r="D715" s="12" t="inlineStr">
        <is>
          <t>Weighbridge</t>
        </is>
      </c>
      <c r="E715" s="5" t="inlineStr">
        <is>
          <t>SPV-A</t>
        </is>
      </c>
      <c r="F715" s="5" t="inlineStr">
        <is>
          <t>- Muncul keterangan bahwa tidak ada data untuk filter itu — satu kalimat yang terbaca.
- BUKAN tabel dengan nol baris tanpa penjelasan.
- Panel filter tetap terlihat supaya penguji dapat mengubahnya kembali.</t>
        </is>
      </c>
      <c r="G715" s="10" t="inlineStr">
        <is>
          <t>Sedang</t>
        </is>
      </c>
      <c r="H715" s="18" t="n"/>
      <c r="I715" s="18" t="n"/>
      <c r="J715" s="18" t="n"/>
      <c r="K715" s="18" t="n"/>
      <c r="L715" s="18" t="n"/>
    </row>
    <row r="716" ht="70" customHeight="1">
      <c r="A716" s="14" t="n">
        <v>712</v>
      </c>
      <c r="B716" s="16" t="inlineStr">
        <is>
          <t>WB-BRW-08</t>
        </is>
      </c>
      <c r="C716" s="15" t="inlineStr">
        <is>
          <t>Filter tanpa hasil memberi keterangan, bukan tabel kosong tanpa penjelasan</t>
        </is>
      </c>
      <c r="D716" s="17" t="inlineStr">
        <is>
          <t>Grading</t>
        </is>
      </c>
      <c r="E716" s="15" t="inlineStr">
        <is>
          <t>SPV-A</t>
        </is>
      </c>
      <c r="F716" s="15" t="inlineStr">
        <is>
          <t>- Muncul keterangan bahwa tidak ada data untuk filter itu — satu kalimat yang terbaca.
- BUKAN tabel dengan nol baris tanpa penjelasan.
- Panel filter tetap terlihat supaya penguji dapat mengubahnya kembali.</t>
        </is>
      </c>
      <c r="G716" s="14" t="inlineStr">
        <is>
          <t>Sedang</t>
        </is>
      </c>
      <c r="H716" s="18" t="n"/>
      <c r="I716" s="18" t="n"/>
      <c r="J716" s="18" t="n"/>
      <c r="K716" s="18" t="n"/>
      <c r="L716" s="18" t="n"/>
    </row>
    <row r="717" ht="70" customHeight="1">
      <c r="A717" s="10" t="n">
        <v>713</v>
      </c>
      <c r="B717" s="11" t="inlineStr">
        <is>
          <t>WB-BRW-08</t>
        </is>
      </c>
      <c r="C717" s="5" t="inlineStr">
        <is>
          <t>Filter tanpa hasil memberi keterangan, bukan tabel kosong tanpa penjelasan</t>
        </is>
      </c>
      <c r="D717" s="12" t="inlineStr">
        <is>
          <t>Cages Track</t>
        </is>
      </c>
      <c r="E717" s="5" t="inlineStr">
        <is>
          <t>SPV-A</t>
        </is>
      </c>
      <c r="F717" s="5" t="inlineStr">
        <is>
          <t>- Muncul keterangan bahwa tidak ada data untuk filter itu — satu kalimat yang terbaca.
- BUKAN tabel dengan nol baris tanpa penjelasan.
- Panel filter tetap terlihat supaya penguji dapat mengubahnya kembali.</t>
        </is>
      </c>
      <c r="G717" s="10" t="inlineStr">
        <is>
          <t>Sedang</t>
        </is>
      </c>
      <c r="H717" s="18" t="n"/>
      <c r="I717" s="18" t="n"/>
      <c r="J717" s="18" t="n"/>
      <c r="K717" s="18" t="n"/>
      <c r="L717" s="18" t="n"/>
    </row>
    <row r="718" ht="70" customHeight="1">
      <c r="A718" s="14" t="n">
        <v>714</v>
      </c>
      <c r="B718" s="16" t="inlineStr">
        <is>
          <t>WB-BRW-08</t>
        </is>
      </c>
      <c r="C718" s="15" t="inlineStr">
        <is>
          <t>Filter tanpa hasil memberi keterangan, bukan tabel kosong tanpa penjelasan</t>
        </is>
      </c>
      <c r="D718" s="17" t="inlineStr">
        <is>
          <t>Sterilizer</t>
        </is>
      </c>
      <c r="E718" s="15" t="inlineStr">
        <is>
          <t>SPV-A</t>
        </is>
      </c>
      <c r="F718" s="15" t="inlineStr">
        <is>
          <t>- Muncul keterangan bahwa tidak ada data untuk filter itu — satu kalimat yang terbaca.
- BUKAN tabel dengan nol baris tanpa penjelasan.
- Panel filter tetap terlihat supaya penguji dapat mengubahnya kembali.</t>
        </is>
      </c>
      <c r="G718" s="14" t="inlineStr">
        <is>
          <t>Sedang</t>
        </is>
      </c>
      <c r="H718" s="18" t="n"/>
      <c r="I718" s="18" t="n"/>
      <c r="J718" s="18" t="n"/>
      <c r="K718" s="18" t="n"/>
      <c r="L718" s="18" t="n"/>
    </row>
    <row r="719" ht="70" customHeight="1">
      <c r="A719" s="10" t="n">
        <v>715</v>
      </c>
      <c r="B719" s="11" t="inlineStr">
        <is>
          <t>WB-BRW-08</t>
        </is>
      </c>
      <c r="C719" s="5" t="inlineStr">
        <is>
          <t>Filter tanpa hasil memberi keterangan, bukan tabel kosong tanpa penjelasan</t>
        </is>
      </c>
      <c r="D719" s="12" t="inlineStr">
        <is>
          <t>Threshing</t>
        </is>
      </c>
      <c r="E719" s="5" t="inlineStr">
        <is>
          <t>SPV-A</t>
        </is>
      </c>
      <c r="F719" s="5" t="inlineStr">
        <is>
          <t>- Muncul keterangan bahwa tidak ada data untuk filter itu — satu kalimat yang terbaca.
- BUKAN tabel dengan nol baris tanpa penjelasan.
- Panel filter tetap terlihat supaya penguji dapat mengubahnya kembali.</t>
        </is>
      </c>
      <c r="G719" s="10" t="inlineStr">
        <is>
          <t>Sedang</t>
        </is>
      </c>
      <c r="H719" s="18" t="n"/>
      <c r="I719" s="18" t="n"/>
      <c r="J719" s="18" t="n"/>
      <c r="K719" s="18" t="n"/>
      <c r="L719" s="18" t="n"/>
    </row>
    <row r="720" ht="70" customHeight="1">
      <c r="A720" s="14" t="n">
        <v>716</v>
      </c>
      <c r="B720" s="16" t="inlineStr">
        <is>
          <t>WB-BRW-08</t>
        </is>
      </c>
      <c r="C720" s="15" t="inlineStr">
        <is>
          <t>Filter tanpa hasil memberi keterangan, bukan tabel kosong tanpa penjelasan</t>
        </is>
      </c>
      <c r="D720" s="17" t="inlineStr">
        <is>
          <t>Pressing</t>
        </is>
      </c>
      <c r="E720" s="15" t="inlineStr">
        <is>
          <t>SPV-A</t>
        </is>
      </c>
      <c r="F720" s="15" t="inlineStr">
        <is>
          <t>- Muncul keterangan bahwa tidak ada data untuk filter itu — satu kalimat yang terbaca.
- BUKAN tabel dengan nol baris tanpa penjelasan.
- Panel filter tetap terlihat supaya penguji dapat mengubahnya kembali.</t>
        </is>
      </c>
      <c r="G720" s="14" t="inlineStr">
        <is>
          <t>Sedang</t>
        </is>
      </c>
      <c r="H720" s="18" t="n"/>
      <c r="I720" s="18" t="n"/>
      <c r="J720" s="18" t="n"/>
      <c r="K720" s="18" t="n"/>
      <c r="L720" s="18" t="n"/>
    </row>
    <row r="721" ht="70" customHeight="1">
      <c r="A721" s="10" t="n">
        <v>717</v>
      </c>
      <c r="B721" s="11" t="inlineStr">
        <is>
          <t>WB-BRW-08</t>
        </is>
      </c>
      <c r="C721" s="5" t="inlineStr">
        <is>
          <t>Filter tanpa hasil memberi keterangan, bukan tabel kosong tanpa penjelasan</t>
        </is>
      </c>
      <c r="D721" s="12" t="inlineStr">
        <is>
          <t>Clarification</t>
        </is>
      </c>
      <c r="E721" s="5" t="inlineStr">
        <is>
          <t>SPV-A</t>
        </is>
      </c>
      <c r="F721" s="5" t="inlineStr">
        <is>
          <t>- Muncul keterangan bahwa tidak ada data untuk filter itu — satu kalimat yang terbaca.
- BUKAN tabel dengan nol baris tanpa penjelasan.
- Panel filter tetap terlihat supaya penguji dapat mengubahnya kembali.</t>
        </is>
      </c>
      <c r="G721" s="10" t="inlineStr">
        <is>
          <t>Sedang</t>
        </is>
      </c>
      <c r="H721" s="18" t="n"/>
      <c r="I721" s="18" t="n"/>
      <c r="J721" s="18" t="n"/>
      <c r="K721" s="18" t="n"/>
      <c r="L721" s="18" t="n"/>
    </row>
    <row r="722" ht="70" customHeight="1">
      <c r="A722" s="14" t="n">
        <v>718</v>
      </c>
      <c r="B722" s="16" t="inlineStr">
        <is>
          <t>WB-BRW-08</t>
        </is>
      </c>
      <c r="C722" s="15" t="inlineStr">
        <is>
          <t>Filter tanpa hasil memberi keterangan, bukan tabel kosong tanpa penjelasan</t>
        </is>
      </c>
      <c r="D722" s="17" t="inlineStr">
        <is>
          <t>Kernel Plant</t>
        </is>
      </c>
      <c r="E722" s="15" t="inlineStr">
        <is>
          <t>SPV-A</t>
        </is>
      </c>
      <c r="F722" s="15" t="inlineStr">
        <is>
          <t>- Muncul keterangan bahwa tidak ada data untuk filter itu — satu kalimat yang terbaca.
- BUKAN tabel dengan nol baris tanpa penjelasan.
- Panel filter tetap terlihat supaya penguji dapat mengubahnya kembali.</t>
        </is>
      </c>
      <c r="G722" s="14" t="inlineStr">
        <is>
          <t>Sedang</t>
        </is>
      </c>
      <c r="H722" s="18" t="n"/>
      <c r="I722" s="18" t="n"/>
      <c r="J722" s="18" t="n"/>
      <c r="K722" s="18" t="n"/>
      <c r="L722" s="18" t="n"/>
    </row>
    <row r="723" ht="70" customHeight="1">
      <c r="A723" s="10" t="n">
        <v>719</v>
      </c>
      <c r="B723" s="11" t="inlineStr">
        <is>
          <t>WB-BRW-08</t>
        </is>
      </c>
      <c r="C723" s="5" t="inlineStr">
        <is>
          <t>Filter tanpa hasil memberi keterangan, bukan tabel kosong tanpa penjelasan</t>
        </is>
      </c>
      <c r="D723" s="12" t="inlineStr">
        <is>
          <t>Boiler Room</t>
        </is>
      </c>
      <c r="E723" s="5" t="inlineStr">
        <is>
          <t>SPV-A</t>
        </is>
      </c>
      <c r="F723" s="5" t="inlineStr">
        <is>
          <t>- Muncul keterangan bahwa tidak ada data untuk filter itu — satu kalimat yang terbaca.
- BUKAN tabel dengan nol baris tanpa penjelasan.
- Panel filter tetap terlihat supaya penguji dapat mengubahnya kembali.</t>
        </is>
      </c>
      <c r="G723" s="10" t="inlineStr">
        <is>
          <t>Sedang</t>
        </is>
      </c>
      <c r="H723" s="18" t="n"/>
      <c r="I723" s="18" t="n"/>
      <c r="J723" s="18" t="n"/>
      <c r="K723" s="18" t="n"/>
      <c r="L723" s="18" t="n"/>
    </row>
    <row r="724" ht="70" customHeight="1">
      <c r="A724" s="14" t="n">
        <v>720</v>
      </c>
      <c r="B724" s="16" t="inlineStr">
        <is>
          <t>WB-BRW-08</t>
        </is>
      </c>
      <c r="C724" s="15" t="inlineStr">
        <is>
          <t>Filter tanpa hasil memberi keterangan, bukan tabel kosong tanpa penjelasan</t>
        </is>
      </c>
      <c r="D724" s="17" t="inlineStr">
        <is>
          <t>Effluent Plant</t>
        </is>
      </c>
      <c r="E724" s="15" t="inlineStr">
        <is>
          <t>SPV-A</t>
        </is>
      </c>
      <c r="F724" s="15" t="inlineStr">
        <is>
          <t>- Muncul keterangan bahwa tidak ada data untuk filter itu — satu kalimat yang terbaca.
- BUKAN tabel dengan nol baris tanpa penjelasan.
- Panel filter tetap terlihat supaya penguji dapat mengubahnya kembali.</t>
        </is>
      </c>
      <c r="G724" s="14" t="inlineStr">
        <is>
          <t>Sedang</t>
        </is>
      </c>
      <c r="H724" s="18" t="n"/>
      <c r="I724" s="18" t="n"/>
      <c r="J724" s="18" t="n"/>
      <c r="K724" s="18" t="n"/>
      <c r="L724" s="18" t="n"/>
    </row>
    <row r="725" ht="70" customHeight="1">
      <c r="A725" s="10" t="n">
        <v>721</v>
      </c>
      <c r="B725" s="11" t="inlineStr">
        <is>
          <t>WB-BRW-08</t>
        </is>
      </c>
      <c r="C725" s="5" t="inlineStr">
        <is>
          <t>Filter tanpa hasil memberi keterangan, bukan tabel kosong tanpa penjelasan</t>
        </is>
      </c>
      <c r="D725" s="12" t="inlineStr">
        <is>
          <t>Depricarping</t>
        </is>
      </c>
      <c r="E725" s="5" t="inlineStr">
        <is>
          <t>SPV-A</t>
        </is>
      </c>
      <c r="F725" s="5" t="inlineStr">
        <is>
          <t>- Muncul keterangan bahwa tidak ada data untuk filter itu — satu kalimat yang terbaca.
- BUKAN tabel dengan nol baris tanpa penjelasan.
- Panel filter tetap terlihat supaya penguji dapat mengubahnya kembali.</t>
        </is>
      </c>
      <c r="G725" s="10" t="inlineStr">
        <is>
          <t>Sedang</t>
        </is>
      </c>
      <c r="H725" s="18" t="n"/>
      <c r="I725" s="18" t="n"/>
      <c r="J725" s="18" t="n"/>
      <c r="K725" s="18" t="n"/>
      <c r="L725" s="18" t="n"/>
    </row>
    <row r="726" ht="70" customHeight="1">
      <c r="A726" s="14" t="n">
        <v>722</v>
      </c>
      <c r="B726" s="16" t="inlineStr">
        <is>
          <t>WB-BRW-08</t>
        </is>
      </c>
      <c r="C726" s="15" t="inlineStr">
        <is>
          <t>Filter tanpa hasil memberi keterangan, bukan tabel kosong tanpa penjelasan</t>
        </is>
      </c>
      <c r="D726" s="17" t="inlineStr">
        <is>
          <t>Engine Room</t>
        </is>
      </c>
      <c r="E726" s="15" t="inlineStr">
        <is>
          <t>SPV-A</t>
        </is>
      </c>
      <c r="F726" s="15" t="inlineStr">
        <is>
          <t>- Muncul keterangan bahwa tidak ada data untuk filter itu — satu kalimat yang terbaca.
- BUKAN tabel dengan nol baris tanpa penjelasan.
- Panel filter tetap terlihat supaya penguji dapat mengubahnya kembali.</t>
        </is>
      </c>
      <c r="G726" s="14" t="inlineStr">
        <is>
          <t>Sedang</t>
        </is>
      </c>
      <c r="H726" s="18" t="n"/>
      <c r="I726" s="18" t="n"/>
      <c r="J726" s="18" t="n"/>
      <c r="K726" s="18" t="n"/>
      <c r="L726" s="18" t="n"/>
    </row>
    <row r="727" ht="70" customHeight="1">
      <c r="A727" s="10" t="n">
        <v>723</v>
      </c>
      <c r="B727" s="11" t="inlineStr">
        <is>
          <t>WB-BRW-08</t>
        </is>
      </c>
      <c r="C727" s="5" t="inlineStr">
        <is>
          <t>Filter tanpa hasil memberi keterangan, bukan tabel kosong tanpa penjelasan</t>
        </is>
      </c>
      <c r="D727" s="12" t="inlineStr">
        <is>
          <t>Process Water</t>
        </is>
      </c>
      <c r="E727" s="5" t="inlineStr">
        <is>
          <t>SPV-A</t>
        </is>
      </c>
      <c r="F727" s="5" t="inlineStr">
        <is>
          <t>- Muncul keterangan bahwa tidak ada data untuk filter itu — satu kalimat yang terbaca.
- BUKAN tabel dengan nol baris tanpa penjelasan.
- Panel filter tetap terlihat supaya penguji dapat mengubahnya kembali.</t>
        </is>
      </c>
      <c r="G727" s="10" t="inlineStr">
        <is>
          <t>Sedang</t>
        </is>
      </c>
      <c r="H727" s="18" t="n"/>
      <c r="I727" s="18" t="n"/>
      <c r="J727" s="18" t="n"/>
      <c r="K727" s="18" t="n"/>
      <c r="L727" s="18" t="n"/>
    </row>
    <row r="728" ht="70" customHeight="1">
      <c r="A728" s="14" t="n">
        <v>724</v>
      </c>
      <c r="B728" s="16" t="inlineStr">
        <is>
          <t>WB-BRW-08</t>
        </is>
      </c>
      <c r="C728" s="15" t="inlineStr">
        <is>
          <t>Filter tanpa hasil memberi keterangan, bukan tabel kosong tanpa penjelasan</t>
        </is>
      </c>
      <c r="D728" s="17" t="inlineStr">
        <is>
          <t>Storage Tank</t>
        </is>
      </c>
      <c r="E728" s="15" t="inlineStr">
        <is>
          <t>SPV-A</t>
        </is>
      </c>
      <c r="F728" s="15" t="inlineStr">
        <is>
          <t>- Muncul keterangan bahwa tidak ada data untuk filter itu — satu kalimat yang terbaca.
- BUKAN tabel dengan nol baris tanpa penjelasan.
- Panel filter tetap terlihat supaya penguji dapat mengubahnya kembali.</t>
        </is>
      </c>
      <c r="G728" s="14" t="inlineStr">
        <is>
          <t>Sedang</t>
        </is>
      </c>
      <c r="H728" s="18" t="n"/>
      <c r="I728" s="18" t="n"/>
      <c r="J728" s="18" t="n"/>
      <c r="K728" s="18" t="n"/>
      <c r="L728" s="18" t="n"/>
    </row>
    <row r="729" ht="70" customHeight="1">
      <c r="A729" s="10" t="n">
        <v>725</v>
      </c>
      <c r="B729" s="11" t="inlineStr">
        <is>
          <t>WB-BRW-08</t>
        </is>
      </c>
      <c r="C729" s="5" t="inlineStr">
        <is>
          <t>Filter tanpa hasil memberi keterangan, bukan tabel kosong tanpa penjelasan</t>
        </is>
      </c>
      <c r="D729" s="12" t="inlineStr">
        <is>
          <t>Solid Waste Disposal</t>
        </is>
      </c>
      <c r="E729" s="5" t="inlineStr">
        <is>
          <t>SPV-A</t>
        </is>
      </c>
      <c r="F729" s="5" t="inlineStr">
        <is>
          <t>- Muncul keterangan bahwa tidak ada data untuk filter itu — satu kalimat yang terbaca.
- BUKAN tabel dengan nol baris tanpa penjelasan.
- Panel filter tetap terlihat supaya penguji dapat mengubahnya kembali.</t>
        </is>
      </c>
      <c r="G729" s="10" t="inlineStr">
        <is>
          <t>Sedang</t>
        </is>
      </c>
      <c r="H729" s="18" t="n"/>
      <c r="I729" s="18" t="n"/>
      <c r="J729" s="18" t="n"/>
      <c r="K729" s="18" t="n"/>
      <c r="L729" s="18" t="n"/>
    </row>
    <row r="730" ht="70" customHeight="1">
      <c r="A730" s="14" t="n">
        <v>726</v>
      </c>
      <c r="B730" s="16" t="inlineStr">
        <is>
          <t>WB-BRW-08</t>
        </is>
      </c>
      <c r="C730" s="15" t="inlineStr">
        <is>
          <t>Filter tanpa hasil memberi keterangan, bukan tabel kosong tanpa penjelasan</t>
        </is>
      </c>
      <c r="D730" s="17" t="inlineStr">
        <is>
          <t>Kernel Dispatch</t>
        </is>
      </c>
      <c r="E730" s="15" t="inlineStr">
        <is>
          <t>SPV-A</t>
        </is>
      </c>
      <c r="F730" s="15" t="inlineStr">
        <is>
          <t>- Muncul keterangan bahwa tidak ada data untuk filter itu — satu kalimat yang terbaca.
- BUKAN tabel dengan nol baris tanpa penjelasan.
- Panel filter tetap terlihat supaya penguji dapat mengubahnya kembali.</t>
        </is>
      </c>
      <c r="G730" s="14" t="inlineStr">
        <is>
          <t>Sedang</t>
        </is>
      </c>
      <c r="H730" s="18" t="n"/>
      <c r="I730" s="18" t="n"/>
      <c r="J730" s="18" t="n"/>
      <c r="K730" s="18" t="n"/>
      <c r="L730" s="18" t="n"/>
    </row>
    <row r="731" ht="70" customHeight="1">
      <c r="A731" s="10" t="n">
        <v>727</v>
      </c>
      <c r="B731" s="11" t="inlineStr">
        <is>
          <t>WB-BRW-08</t>
        </is>
      </c>
      <c r="C731" s="5" t="inlineStr">
        <is>
          <t>Filter tanpa hasil memberi keterangan, bukan tabel kosong tanpa penjelasan</t>
        </is>
      </c>
      <c r="D731" s="12" t="inlineStr">
        <is>
          <t>CPO Dispatch</t>
        </is>
      </c>
      <c r="E731" s="5" t="inlineStr">
        <is>
          <t>SPV-A</t>
        </is>
      </c>
      <c r="F731" s="5" t="inlineStr">
        <is>
          <t>- Muncul keterangan bahwa tidak ada data untuk filter itu — satu kalimat yang terbaca.
- BUKAN tabel dengan nol baris tanpa penjelasan.
- Panel filter tetap terlihat supaya penguji dapat mengubahnya kembali.</t>
        </is>
      </c>
      <c r="G731" s="10" t="inlineStr">
        <is>
          <t>Sedang</t>
        </is>
      </c>
      <c r="H731" s="18" t="n"/>
      <c r="I731" s="18" t="n"/>
      <c r="J731" s="18" t="n"/>
      <c r="K731" s="18" t="n"/>
      <c r="L731" s="18" t="n"/>
    </row>
    <row r="732" ht="70" customHeight="1">
      <c r="A732" s="14" t="n">
        <v>728</v>
      </c>
      <c r="B732" s="16" t="inlineStr">
        <is>
          <t>WB-BRW-08</t>
        </is>
      </c>
      <c r="C732" s="15" t="inlineStr">
        <is>
          <t>Filter tanpa hasil memberi keterangan, bukan tabel kosong tanpa penjelasan</t>
        </is>
      </c>
      <c r="D732" s="17" t="inlineStr">
        <is>
          <t>Process Quality Control</t>
        </is>
      </c>
      <c r="E732" s="15" t="inlineStr">
        <is>
          <t>SPV-A</t>
        </is>
      </c>
      <c r="F732" s="15" t="inlineStr">
        <is>
          <t>- Muncul keterangan bahwa tidak ada data untuk filter itu — satu kalimat yang terbaca.
- BUKAN tabel dengan nol baris tanpa penjelasan.
- Panel filter tetap terlihat supaya penguji dapat mengubahnya kembali.</t>
        </is>
      </c>
      <c r="G732" s="14" t="inlineStr">
        <is>
          <t>Sedang</t>
        </is>
      </c>
      <c r="H732" s="18" t="n"/>
      <c r="I732" s="18" t="n"/>
      <c r="J732" s="18" t="n"/>
      <c r="K732" s="18" t="n"/>
      <c r="L732" s="18" t="n"/>
    </row>
    <row r="733" ht="70" customHeight="1">
      <c r="A733" s="10" t="n">
        <v>729</v>
      </c>
      <c r="B733" s="11" t="inlineStr">
        <is>
          <t>WB-BRW-09</t>
        </is>
      </c>
      <c r="C733" s="5" t="inlineStr">
        <is>
          <t>Ekspor melebihi batas baris ditolak dengan pesan, bukan berkas rusak</t>
        </is>
      </c>
      <c r="D733" s="12" t="inlineStr">
        <is>
          <t>Weighbridge</t>
        </is>
      </c>
      <c r="E733" s="5" t="inlineStr">
        <is>
          <t>ADM</t>
        </is>
      </c>
      <c r="F733" s="5" t="inlineStr">
        <is>
          <t>- Ditolak dengan pesan yang menyebut batas jumlah barisnya.
- Pesannya menyarankan mempersempit rentang tanggal.
- Tidak ada berkas yang terunduh — lebih baik tanpa berkas daripada berkas separuh.</t>
        </is>
      </c>
      <c r="G733" s="10" t="inlineStr">
        <is>
          <t>Sedang</t>
        </is>
      </c>
      <c r="H733" s="18" t="n"/>
      <c r="I733" s="18" t="n"/>
      <c r="J733" s="18" t="n"/>
      <c r="K733" s="18" t="n"/>
      <c r="L733" s="18" t="n"/>
    </row>
    <row r="734" ht="70" customHeight="1">
      <c r="A734" s="14" t="n">
        <v>730</v>
      </c>
      <c r="B734" s="16" t="inlineStr">
        <is>
          <t>WB-BRW-09</t>
        </is>
      </c>
      <c r="C734" s="15" t="inlineStr">
        <is>
          <t>Ekspor melebihi batas baris ditolak dengan pesan, bukan berkas rusak</t>
        </is>
      </c>
      <c r="D734" s="17" t="inlineStr">
        <is>
          <t>Grading</t>
        </is>
      </c>
      <c r="E734" s="15" t="inlineStr">
        <is>
          <t>ADM</t>
        </is>
      </c>
      <c r="F734" s="15" t="inlineStr">
        <is>
          <t>- Ditolak dengan pesan yang menyebut batas jumlah barisnya.
- Pesannya menyarankan mempersempit rentang tanggal.
- Tidak ada berkas yang terunduh — lebih baik tanpa berkas daripada berkas separuh.</t>
        </is>
      </c>
      <c r="G734" s="14" t="inlineStr">
        <is>
          <t>Sedang</t>
        </is>
      </c>
      <c r="H734" s="18" t="n"/>
      <c r="I734" s="18" t="n"/>
      <c r="J734" s="18" t="n"/>
      <c r="K734" s="18" t="n"/>
      <c r="L734" s="18" t="n"/>
    </row>
    <row r="735" ht="70" customHeight="1">
      <c r="A735" s="10" t="n">
        <v>731</v>
      </c>
      <c r="B735" s="11" t="inlineStr">
        <is>
          <t>WB-BRW-09</t>
        </is>
      </c>
      <c r="C735" s="5" t="inlineStr">
        <is>
          <t>Ekspor melebihi batas baris ditolak dengan pesan, bukan berkas rusak</t>
        </is>
      </c>
      <c r="D735" s="12" t="inlineStr">
        <is>
          <t>Cages Track</t>
        </is>
      </c>
      <c r="E735" s="5" t="inlineStr">
        <is>
          <t>ADM</t>
        </is>
      </c>
      <c r="F735" s="5" t="inlineStr">
        <is>
          <t>- Ditolak dengan pesan yang menyebut batas jumlah barisnya.
- Pesannya menyarankan mempersempit rentang tanggal.
- Tidak ada berkas yang terunduh — lebih baik tanpa berkas daripada berkas separuh.</t>
        </is>
      </c>
      <c r="G735" s="10" t="inlineStr">
        <is>
          <t>Sedang</t>
        </is>
      </c>
      <c r="H735" s="18" t="n"/>
      <c r="I735" s="18" t="n"/>
      <c r="J735" s="18" t="n"/>
      <c r="K735" s="18" t="n"/>
      <c r="L735" s="18" t="n"/>
    </row>
    <row r="736" ht="70" customHeight="1">
      <c r="A736" s="14" t="n">
        <v>732</v>
      </c>
      <c r="B736" s="16" t="inlineStr">
        <is>
          <t>WB-BRW-09</t>
        </is>
      </c>
      <c r="C736" s="15" t="inlineStr">
        <is>
          <t>Ekspor melebihi batas baris ditolak dengan pesan, bukan berkas rusak</t>
        </is>
      </c>
      <c r="D736" s="17" t="inlineStr">
        <is>
          <t>Sterilizer</t>
        </is>
      </c>
      <c r="E736" s="15" t="inlineStr">
        <is>
          <t>ADM</t>
        </is>
      </c>
      <c r="F736" s="15" t="inlineStr">
        <is>
          <t>- Ditolak dengan pesan yang menyebut batas jumlah barisnya.
- Pesannya menyarankan mempersempit rentang tanggal.
- Tidak ada berkas yang terunduh — lebih baik tanpa berkas daripada berkas separuh.</t>
        </is>
      </c>
      <c r="G736" s="14" t="inlineStr">
        <is>
          <t>Sedang</t>
        </is>
      </c>
      <c r="H736" s="18" t="n"/>
      <c r="I736" s="18" t="n"/>
      <c r="J736" s="18" t="n"/>
      <c r="K736" s="18" t="n"/>
      <c r="L736" s="18" t="n"/>
    </row>
    <row r="737" ht="70" customHeight="1">
      <c r="A737" s="10" t="n">
        <v>733</v>
      </c>
      <c r="B737" s="11" t="inlineStr">
        <is>
          <t>WB-BRW-09</t>
        </is>
      </c>
      <c r="C737" s="5" t="inlineStr">
        <is>
          <t>Ekspor melebihi batas baris ditolak dengan pesan, bukan berkas rusak</t>
        </is>
      </c>
      <c r="D737" s="12" t="inlineStr">
        <is>
          <t>Threshing</t>
        </is>
      </c>
      <c r="E737" s="5" t="inlineStr">
        <is>
          <t>ADM</t>
        </is>
      </c>
      <c r="F737" s="5" t="inlineStr">
        <is>
          <t>- Ditolak dengan pesan yang menyebut batas jumlah barisnya.
- Pesannya menyarankan mempersempit rentang tanggal.
- Tidak ada berkas yang terunduh — lebih baik tanpa berkas daripada berkas separuh.</t>
        </is>
      </c>
      <c r="G737" s="10" t="inlineStr">
        <is>
          <t>Sedang</t>
        </is>
      </c>
      <c r="H737" s="18" t="n"/>
      <c r="I737" s="18" t="n"/>
      <c r="J737" s="18" t="n"/>
      <c r="K737" s="18" t="n"/>
      <c r="L737" s="18" t="n"/>
    </row>
    <row r="738" ht="70" customHeight="1">
      <c r="A738" s="14" t="n">
        <v>734</v>
      </c>
      <c r="B738" s="16" t="inlineStr">
        <is>
          <t>WB-BRW-09</t>
        </is>
      </c>
      <c r="C738" s="15" t="inlineStr">
        <is>
          <t>Ekspor melebihi batas baris ditolak dengan pesan, bukan berkas rusak</t>
        </is>
      </c>
      <c r="D738" s="17" t="inlineStr">
        <is>
          <t>Pressing</t>
        </is>
      </c>
      <c r="E738" s="15" t="inlineStr">
        <is>
          <t>ADM</t>
        </is>
      </c>
      <c r="F738" s="15" t="inlineStr">
        <is>
          <t>- Ditolak dengan pesan yang menyebut batas jumlah barisnya.
- Pesannya menyarankan mempersempit rentang tanggal.
- Tidak ada berkas yang terunduh — lebih baik tanpa berkas daripada berkas separuh.</t>
        </is>
      </c>
      <c r="G738" s="14" t="inlineStr">
        <is>
          <t>Sedang</t>
        </is>
      </c>
      <c r="H738" s="18" t="n"/>
      <c r="I738" s="18" t="n"/>
      <c r="J738" s="18" t="n"/>
      <c r="K738" s="18" t="n"/>
      <c r="L738" s="18" t="n"/>
    </row>
    <row r="739" ht="70" customHeight="1">
      <c r="A739" s="10" t="n">
        <v>735</v>
      </c>
      <c r="B739" s="11" t="inlineStr">
        <is>
          <t>WB-BRW-09</t>
        </is>
      </c>
      <c r="C739" s="5" t="inlineStr">
        <is>
          <t>Ekspor melebihi batas baris ditolak dengan pesan, bukan berkas rusak</t>
        </is>
      </c>
      <c r="D739" s="12" t="inlineStr">
        <is>
          <t>Clarification</t>
        </is>
      </c>
      <c r="E739" s="5" t="inlineStr">
        <is>
          <t>ADM</t>
        </is>
      </c>
      <c r="F739" s="5" t="inlineStr">
        <is>
          <t>- Ditolak dengan pesan yang menyebut batas jumlah barisnya.
- Pesannya menyarankan mempersempit rentang tanggal.
- Tidak ada berkas yang terunduh — lebih baik tanpa berkas daripada berkas separuh.</t>
        </is>
      </c>
      <c r="G739" s="10" t="inlineStr">
        <is>
          <t>Sedang</t>
        </is>
      </c>
      <c r="H739" s="18" t="n"/>
      <c r="I739" s="18" t="n"/>
      <c r="J739" s="18" t="n"/>
      <c r="K739" s="18" t="n"/>
      <c r="L739" s="18" t="n"/>
    </row>
    <row r="740" ht="70" customHeight="1">
      <c r="A740" s="14" t="n">
        <v>736</v>
      </c>
      <c r="B740" s="16" t="inlineStr">
        <is>
          <t>WB-BRW-09</t>
        </is>
      </c>
      <c r="C740" s="15" t="inlineStr">
        <is>
          <t>Ekspor melebihi batas baris ditolak dengan pesan, bukan berkas rusak</t>
        </is>
      </c>
      <c r="D740" s="17" t="inlineStr">
        <is>
          <t>Kernel Plant</t>
        </is>
      </c>
      <c r="E740" s="15" t="inlineStr">
        <is>
          <t>ADM</t>
        </is>
      </c>
      <c r="F740" s="15" t="inlineStr">
        <is>
          <t>- Ditolak dengan pesan yang menyebut batas jumlah barisnya.
- Pesannya menyarankan mempersempit rentang tanggal.
- Tidak ada berkas yang terunduh — lebih baik tanpa berkas daripada berkas separuh.</t>
        </is>
      </c>
      <c r="G740" s="14" t="inlineStr">
        <is>
          <t>Sedang</t>
        </is>
      </c>
      <c r="H740" s="18" t="n"/>
      <c r="I740" s="18" t="n"/>
      <c r="J740" s="18" t="n"/>
      <c r="K740" s="18" t="n"/>
      <c r="L740" s="18" t="n"/>
    </row>
    <row r="741" ht="70" customHeight="1">
      <c r="A741" s="10" t="n">
        <v>737</v>
      </c>
      <c r="B741" s="11" t="inlineStr">
        <is>
          <t>WB-BRW-09</t>
        </is>
      </c>
      <c r="C741" s="5" t="inlineStr">
        <is>
          <t>Ekspor melebihi batas baris ditolak dengan pesan, bukan berkas rusak</t>
        </is>
      </c>
      <c r="D741" s="12" t="inlineStr">
        <is>
          <t>Boiler Room</t>
        </is>
      </c>
      <c r="E741" s="5" t="inlineStr">
        <is>
          <t>ADM</t>
        </is>
      </c>
      <c r="F741" s="5" t="inlineStr">
        <is>
          <t>- Ditolak dengan pesan yang menyebut batas jumlah barisnya.
- Pesannya menyarankan mempersempit rentang tanggal.
- Tidak ada berkas yang terunduh — lebih baik tanpa berkas daripada berkas separuh.</t>
        </is>
      </c>
      <c r="G741" s="10" t="inlineStr">
        <is>
          <t>Sedang</t>
        </is>
      </c>
      <c r="H741" s="18" t="n"/>
      <c r="I741" s="18" t="n"/>
      <c r="J741" s="18" t="n"/>
      <c r="K741" s="18" t="n"/>
      <c r="L741" s="18" t="n"/>
    </row>
    <row r="742" ht="70" customHeight="1">
      <c r="A742" s="14" t="n">
        <v>738</v>
      </c>
      <c r="B742" s="16" t="inlineStr">
        <is>
          <t>WB-BRW-09</t>
        </is>
      </c>
      <c r="C742" s="15" t="inlineStr">
        <is>
          <t>Ekspor melebihi batas baris ditolak dengan pesan, bukan berkas rusak</t>
        </is>
      </c>
      <c r="D742" s="17" t="inlineStr">
        <is>
          <t>Effluent Plant</t>
        </is>
      </c>
      <c r="E742" s="15" t="inlineStr">
        <is>
          <t>ADM</t>
        </is>
      </c>
      <c r="F742" s="15" t="inlineStr">
        <is>
          <t>- Ditolak dengan pesan yang menyebut batas jumlah barisnya.
- Pesannya menyarankan mempersempit rentang tanggal.
- Tidak ada berkas yang terunduh — lebih baik tanpa berkas daripada berkas separuh.</t>
        </is>
      </c>
      <c r="G742" s="14" t="inlineStr">
        <is>
          <t>Sedang</t>
        </is>
      </c>
      <c r="H742" s="18" t="n"/>
      <c r="I742" s="18" t="n"/>
      <c r="J742" s="18" t="n"/>
      <c r="K742" s="18" t="n"/>
      <c r="L742" s="18" t="n"/>
    </row>
    <row r="743" ht="70" customHeight="1">
      <c r="A743" s="10" t="n">
        <v>739</v>
      </c>
      <c r="B743" s="11" t="inlineStr">
        <is>
          <t>WB-BRW-09</t>
        </is>
      </c>
      <c r="C743" s="5" t="inlineStr">
        <is>
          <t>Ekspor melebihi batas baris ditolak dengan pesan, bukan berkas rusak</t>
        </is>
      </c>
      <c r="D743" s="12" t="inlineStr">
        <is>
          <t>Depricarping</t>
        </is>
      </c>
      <c r="E743" s="5" t="inlineStr">
        <is>
          <t>ADM</t>
        </is>
      </c>
      <c r="F743" s="5" t="inlineStr">
        <is>
          <t>- Ditolak dengan pesan yang menyebut batas jumlah barisnya.
- Pesannya menyarankan mempersempit rentang tanggal.
- Tidak ada berkas yang terunduh — lebih baik tanpa berkas daripada berkas separuh.</t>
        </is>
      </c>
      <c r="G743" s="10" t="inlineStr">
        <is>
          <t>Sedang</t>
        </is>
      </c>
      <c r="H743" s="18" t="n"/>
      <c r="I743" s="18" t="n"/>
      <c r="J743" s="18" t="n"/>
      <c r="K743" s="18" t="n"/>
      <c r="L743" s="18" t="n"/>
    </row>
    <row r="744" ht="70" customHeight="1">
      <c r="A744" s="14" t="n">
        <v>740</v>
      </c>
      <c r="B744" s="16" t="inlineStr">
        <is>
          <t>WB-BRW-09</t>
        </is>
      </c>
      <c r="C744" s="15" t="inlineStr">
        <is>
          <t>Ekspor melebihi batas baris ditolak dengan pesan, bukan berkas rusak</t>
        </is>
      </c>
      <c r="D744" s="17" t="inlineStr">
        <is>
          <t>Engine Room</t>
        </is>
      </c>
      <c r="E744" s="15" t="inlineStr">
        <is>
          <t>ADM</t>
        </is>
      </c>
      <c r="F744" s="15" t="inlineStr">
        <is>
          <t>- Ditolak dengan pesan yang menyebut batas jumlah barisnya.
- Pesannya menyarankan mempersempit rentang tanggal.
- Tidak ada berkas yang terunduh — lebih baik tanpa berkas daripada berkas separuh.</t>
        </is>
      </c>
      <c r="G744" s="14" t="inlineStr">
        <is>
          <t>Sedang</t>
        </is>
      </c>
      <c r="H744" s="18" t="n"/>
      <c r="I744" s="18" t="n"/>
      <c r="J744" s="18" t="n"/>
      <c r="K744" s="18" t="n"/>
      <c r="L744" s="18" t="n"/>
    </row>
    <row r="745" ht="70" customHeight="1">
      <c r="A745" s="10" t="n">
        <v>741</v>
      </c>
      <c r="B745" s="11" t="inlineStr">
        <is>
          <t>WB-BRW-09</t>
        </is>
      </c>
      <c r="C745" s="5" t="inlineStr">
        <is>
          <t>Ekspor melebihi batas baris ditolak dengan pesan, bukan berkas rusak</t>
        </is>
      </c>
      <c r="D745" s="12" t="inlineStr">
        <is>
          <t>Process Water</t>
        </is>
      </c>
      <c r="E745" s="5" t="inlineStr">
        <is>
          <t>ADM</t>
        </is>
      </c>
      <c r="F745" s="5" t="inlineStr">
        <is>
          <t>- Ditolak dengan pesan yang menyebut batas jumlah barisnya.
- Pesannya menyarankan mempersempit rentang tanggal.
- Tidak ada berkas yang terunduh — lebih baik tanpa berkas daripada berkas separuh.</t>
        </is>
      </c>
      <c r="G745" s="10" t="inlineStr">
        <is>
          <t>Sedang</t>
        </is>
      </c>
      <c r="H745" s="18" t="n"/>
      <c r="I745" s="18" t="n"/>
      <c r="J745" s="18" t="n"/>
      <c r="K745" s="18" t="n"/>
      <c r="L745" s="18" t="n"/>
    </row>
    <row r="746" ht="70" customHeight="1">
      <c r="A746" s="14" t="n">
        <v>742</v>
      </c>
      <c r="B746" s="16" t="inlineStr">
        <is>
          <t>WB-BRW-09</t>
        </is>
      </c>
      <c r="C746" s="15" t="inlineStr">
        <is>
          <t>Ekspor melebihi batas baris ditolak dengan pesan, bukan berkas rusak</t>
        </is>
      </c>
      <c r="D746" s="17" t="inlineStr">
        <is>
          <t>Storage Tank</t>
        </is>
      </c>
      <c r="E746" s="15" t="inlineStr">
        <is>
          <t>ADM</t>
        </is>
      </c>
      <c r="F746" s="15" t="inlineStr">
        <is>
          <t>- Ditolak dengan pesan yang menyebut batas jumlah barisnya.
- Pesannya menyarankan mempersempit rentang tanggal.
- Tidak ada berkas yang terunduh — lebih baik tanpa berkas daripada berkas separuh.</t>
        </is>
      </c>
      <c r="G746" s="14" t="inlineStr">
        <is>
          <t>Sedang</t>
        </is>
      </c>
      <c r="H746" s="18" t="n"/>
      <c r="I746" s="18" t="n"/>
      <c r="J746" s="18" t="n"/>
      <c r="K746" s="18" t="n"/>
      <c r="L746" s="18" t="n"/>
    </row>
    <row r="747" ht="70" customHeight="1">
      <c r="A747" s="10" t="n">
        <v>743</v>
      </c>
      <c r="B747" s="11" t="inlineStr">
        <is>
          <t>WB-BRW-09</t>
        </is>
      </c>
      <c r="C747" s="5" t="inlineStr">
        <is>
          <t>Ekspor melebihi batas baris ditolak dengan pesan, bukan berkas rusak</t>
        </is>
      </c>
      <c r="D747" s="12" t="inlineStr">
        <is>
          <t>Solid Waste Disposal</t>
        </is>
      </c>
      <c r="E747" s="5" t="inlineStr">
        <is>
          <t>ADM</t>
        </is>
      </c>
      <c r="F747" s="5" t="inlineStr">
        <is>
          <t>- Ditolak dengan pesan yang menyebut batas jumlah barisnya.
- Pesannya menyarankan mempersempit rentang tanggal.
- Tidak ada berkas yang terunduh — lebih baik tanpa berkas daripada berkas separuh.</t>
        </is>
      </c>
      <c r="G747" s="10" t="inlineStr">
        <is>
          <t>Sedang</t>
        </is>
      </c>
      <c r="H747" s="18" t="n"/>
      <c r="I747" s="18" t="n"/>
      <c r="J747" s="18" t="n"/>
      <c r="K747" s="18" t="n"/>
      <c r="L747" s="18" t="n"/>
    </row>
    <row r="748" ht="70" customHeight="1">
      <c r="A748" s="14" t="n">
        <v>744</v>
      </c>
      <c r="B748" s="16" t="inlineStr">
        <is>
          <t>WB-BRW-09</t>
        </is>
      </c>
      <c r="C748" s="15" t="inlineStr">
        <is>
          <t>Ekspor melebihi batas baris ditolak dengan pesan, bukan berkas rusak</t>
        </is>
      </c>
      <c r="D748" s="17" t="inlineStr">
        <is>
          <t>Kernel Dispatch</t>
        </is>
      </c>
      <c r="E748" s="15" t="inlineStr">
        <is>
          <t>ADM</t>
        </is>
      </c>
      <c r="F748" s="15" t="inlineStr">
        <is>
          <t>- Ditolak dengan pesan yang menyebut batas jumlah barisnya.
- Pesannya menyarankan mempersempit rentang tanggal.
- Tidak ada berkas yang terunduh — lebih baik tanpa berkas daripada berkas separuh.</t>
        </is>
      </c>
      <c r="G748" s="14" t="inlineStr">
        <is>
          <t>Sedang</t>
        </is>
      </c>
      <c r="H748" s="18" t="n"/>
      <c r="I748" s="18" t="n"/>
      <c r="J748" s="18" t="n"/>
      <c r="K748" s="18" t="n"/>
      <c r="L748" s="18" t="n"/>
    </row>
    <row r="749" ht="70" customHeight="1">
      <c r="A749" s="10" t="n">
        <v>745</v>
      </c>
      <c r="B749" s="11" t="inlineStr">
        <is>
          <t>WB-BRW-09</t>
        </is>
      </c>
      <c r="C749" s="5" t="inlineStr">
        <is>
          <t>Ekspor melebihi batas baris ditolak dengan pesan, bukan berkas rusak</t>
        </is>
      </c>
      <c r="D749" s="12" t="inlineStr">
        <is>
          <t>CPO Dispatch</t>
        </is>
      </c>
      <c r="E749" s="5" t="inlineStr">
        <is>
          <t>ADM</t>
        </is>
      </c>
      <c r="F749" s="5" t="inlineStr">
        <is>
          <t>- Ditolak dengan pesan yang menyebut batas jumlah barisnya.
- Pesannya menyarankan mempersempit rentang tanggal.
- Tidak ada berkas yang terunduh — lebih baik tanpa berkas daripada berkas separuh.</t>
        </is>
      </c>
      <c r="G749" s="10" t="inlineStr">
        <is>
          <t>Sedang</t>
        </is>
      </c>
      <c r="H749" s="18" t="n"/>
      <c r="I749" s="18" t="n"/>
      <c r="J749" s="18" t="n"/>
      <c r="K749" s="18" t="n"/>
      <c r="L749" s="18" t="n"/>
    </row>
    <row r="750" ht="70" customHeight="1">
      <c r="A750" s="14" t="n">
        <v>746</v>
      </c>
      <c r="B750" s="16" t="inlineStr">
        <is>
          <t>WB-BRW-09</t>
        </is>
      </c>
      <c r="C750" s="15" t="inlineStr">
        <is>
          <t>Ekspor melebihi batas baris ditolak dengan pesan, bukan berkas rusak</t>
        </is>
      </c>
      <c r="D750" s="17" t="inlineStr">
        <is>
          <t>Process Quality Control</t>
        </is>
      </c>
      <c r="E750" s="15" t="inlineStr">
        <is>
          <t>ADM</t>
        </is>
      </c>
      <c r="F750" s="15" t="inlineStr">
        <is>
          <t>- Ditolak dengan pesan yang menyebut batas jumlah barisnya.
- Pesannya menyarankan mempersempit rentang tanggal.
- Tidak ada berkas yang terunduh — lebih baik tanpa berkas daripada berkas separuh.</t>
        </is>
      </c>
      <c r="G750" s="14" t="inlineStr">
        <is>
          <t>Sedang</t>
        </is>
      </c>
      <c r="H750" s="18" t="n"/>
      <c r="I750" s="18" t="n"/>
      <c r="J750" s="18" t="n"/>
      <c r="K750" s="18" t="n"/>
      <c r="L750" s="18" t="n"/>
    </row>
    <row r="751" ht="56.8" customHeight="1">
      <c r="A751" s="10" t="n">
        <v>747</v>
      </c>
      <c r="B751" s="11" t="inlineStr">
        <is>
          <t>WB-DTL-01</t>
        </is>
      </c>
      <c r="C751" s="5" t="inlineStr">
        <is>
          <t>Seluruh kolom read-only, tanpa edit di tempat</t>
        </is>
      </c>
      <c r="D751" s="12" t="inlineStr">
        <is>
          <t>Weighbridge</t>
        </is>
      </c>
      <c r="E751" s="5" t="inlineStr">
        <is>
          <t>SPV-A</t>
        </is>
      </c>
      <c r="F751" s="5" t="inlineStr">
        <is>
          <t>- Tidak satu pun nilai dapat diubah di layar ini.
- Tidak ada tombol Simpan — layar ini hanya membaca.
- Perubahan hanya mungkin lewat tombol Edit, yang membuka Form.</t>
        </is>
      </c>
      <c r="G751" s="13" t="inlineStr">
        <is>
          <t>Tinggi</t>
        </is>
      </c>
      <c r="H751" s="18" t="n"/>
      <c r="I751" s="18" t="n"/>
      <c r="J751" s="18" t="n"/>
      <c r="K751" s="18" t="n"/>
      <c r="L751" s="18" t="n"/>
    </row>
    <row r="752" ht="56.8" customHeight="1">
      <c r="A752" s="14" t="n">
        <v>748</v>
      </c>
      <c r="B752" s="16" t="inlineStr">
        <is>
          <t>WB-DTL-01</t>
        </is>
      </c>
      <c r="C752" s="15" t="inlineStr">
        <is>
          <t>Seluruh kolom read-only, tanpa edit di tempat</t>
        </is>
      </c>
      <c r="D752" s="17" t="inlineStr">
        <is>
          <t>Grading</t>
        </is>
      </c>
      <c r="E752" s="15" t="inlineStr">
        <is>
          <t>SPV-A</t>
        </is>
      </c>
      <c r="F752" s="15" t="inlineStr">
        <is>
          <t>- Tidak satu pun nilai dapat diubah di layar ini.
- Tidak ada tombol Simpan — layar ini hanya membaca.
- Perubahan hanya mungkin lewat tombol Edit, yang membuka Form.</t>
        </is>
      </c>
      <c r="G752" s="13" t="inlineStr">
        <is>
          <t>Tinggi</t>
        </is>
      </c>
      <c r="H752" s="18" t="n"/>
      <c r="I752" s="18" t="n"/>
      <c r="J752" s="18" t="n"/>
      <c r="K752" s="18" t="n"/>
      <c r="L752" s="18" t="n"/>
    </row>
    <row r="753" ht="56.8" customHeight="1">
      <c r="A753" s="10" t="n">
        <v>749</v>
      </c>
      <c r="B753" s="11" t="inlineStr">
        <is>
          <t>WB-DTL-01</t>
        </is>
      </c>
      <c r="C753" s="5" t="inlineStr">
        <is>
          <t>Seluruh kolom read-only, tanpa edit di tempat</t>
        </is>
      </c>
      <c r="D753" s="12" t="inlineStr">
        <is>
          <t>Cages Track</t>
        </is>
      </c>
      <c r="E753" s="5" t="inlineStr">
        <is>
          <t>SPV-A</t>
        </is>
      </c>
      <c r="F753" s="5" t="inlineStr">
        <is>
          <t>- Tidak satu pun nilai dapat diubah di layar ini.
- Tidak ada tombol Simpan — layar ini hanya membaca.
- Perubahan hanya mungkin lewat tombol Edit, yang membuka Form.</t>
        </is>
      </c>
      <c r="G753" s="13" t="inlineStr">
        <is>
          <t>Tinggi</t>
        </is>
      </c>
      <c r="H753" s="18" t="n"/>
      <c r="I753" s="18" t="n"/>
      <c r="J753" s="18" t="n"/>
      <c r="K753" s="18" t="n"/>
      <c r="L753" s="18" t="n"/>
    </row>
    <row r="754" ht="56.8" customHeight="1">
      <c r="A754" s="14" t="n">
        <v>750</v>
      </c>
      <c r="B754" s="16" t="inlineStr">
        <is>
          <t>WB-DTL-01</t>
        </is>
      </c>
      <c r="C754" s="15" t="inlineStr">
        <is>
          <t>Seluruh kolom read-only, tanpa edit di tempat</t>
        </is>
      </c>
      <c r="D754" s="17" t="inlineStr">
        <is>
          <t>Sterilizer</t>
        </is>
      </c>
      <c r="E754" s="15" t="inlineStr">
        <is>
          <t>SPV-A</t>
        </is>
      </c>
      <c r="F754" s="15" t="inlineStr">
        <is>
          <t>- Tidak satu pun nilai dapat diubah di layar ini.
- Tidak ada tombol Simpan — layar ini hanya membaca.
- Perubahan hanya mungkin lewat tombol Edit, yang membuka Form.</t>
        </is>
      </c>
      <c r="G754" s="13" t="inlineStr">
        <is>
          <t>Tinggi</t>
        </is>
      </c>
      <c r="H754" s="18" t="n"/>
      <c r="I754" s="18" t="n"/>
      <c r="J754" s="18" t="n"/>
      <c r="K754" s="18" t="n"/>
      <c r="L754" s="18" t="n"/>
    </row>
    <row r="755" ht="56.8" customHeight="1">
      <c r="A755" s="10" t="n">
        <v>751</v>
      </c>
      <c r="B755" s="11" t="inlineStr">
        <is>
          <t>WB-DTL-01</t>
        </is>
      </c>
      <c r="C755" s="5" t="inlineStr">
        <is>
          <t>Seluruh kolom read-only, tanpa edit di tempat</t>
        </is>
      </c>
      <c r="D755" s="12" t="inlineStr">
        <is>
          <t>Threshing</t>
        </is>
      </c>
      <c r="E755" s="5" t="inlineStr">
        <is>
          <t>SPV-A</t>
        </is>
      </c>
      <c r="F755" s="5" t="inlineStr">
        <is>
          <t>- Tidak satu pun nilai dapat diubah di layar ini.
- Tidak ada tombol Simpan — layar ini hanya membaca.
- Perubahan hanya mungkin lewat tombol Edit, yang membuka Form.</t>
        </is>
      </c>
      <c r="G755" s="13" t="inlineStr">
        <is>
          <t>Tinggi</t>
        </is>
      </c>
      <c r="H755" s="18" t="n"/>
      <c r="I755" s="18" t="n"/>
      <c r="J755" s="18" t="n"/>
      <c r="K755" s="18" t="n"/>
      <c r="L755" s="18" t="n"/>
    </row>
    <row r="756" ht="56.8" customHeight="1">
      <c r="A756" s="14" t="n">
        <v>752</v>
      </c>
      <c r="B756" s="16" t="inlineStr">
        <is>
          <t>WB-DTL-01</t>
        </is>
      </c>
      <c r="C756" s="15" t="inlineStr">
        <is>
          <t>Seluruh kolom read-only, tanpa edit di tempat</t>
        </is>
      </c>
      <c r="D756" s="17" t="inlineStr">
        <is>
          <t>Pressing</t>
        </is>
      </c>
      <c r="E756" s="15" t="inlineStr">
        <is>
          <t>SPV-A</t>
        </is>
      </c>
      <c r="F756" s="15" t="inlineStr">
        <is>
          <t>- Tidak satu pun nilai dapat diubah di layar ini.
- Tidak ada tombol Simpan — layar ini hanya membaca.
- Perubahan hanya mungkin lewat tombol Edit, yang membuka Form.</t>
        </is>
      </c>
      <c r="G756" s="13" t="inlineStr">
        <is>
          <t>Tinggi</t>
        </is>
      </c>
      <c r="H756" s="18" t="n"/>
      <c r="I756" s="18" t="n"/>
      <c r="J756" s="18" t="n"/>
      <c r="K756" s="18" t="n"/>
      <c r="L756" s="18" t="n"/>
    </row>
    <row r="757" ht="56.8" customHeight="1">
      <c r="A757" s="10" t="n">
        <v>753</v>
      </c>
      <c r="B757" s="11" t="inlineStr">
        <is>
          <t>WB-DTL-01</t>
        </is>
      </c>
      <c r="C757" s="5" t="inlineStr">
        <is>
          <t>Seluruh kolom read-only, tanpa edit di tempat</t>
        </is>
      </c>
      <c r="D757" s="12" t="inlineStr">
        <is>
          <t>Clarification</t>
        </is>
      </c>
      <c r="E757" s="5" t="inlineStr">
        <is>
          <t>SPV-A</t>
        </is>
      </c>
      <c r="F757" s="5" t="inlineStr">
        <is>
          <t>- Tidak satu pun nilai dapat diubah di layar ini.
- Tidak ada tombol Simpan — layar ini hanya membaca.
- Perubahan hanya mungkin lewat tombol Edit, yang membuka Form.</t>
        </is>
      </c>
      <c r="G757" s="13" t="inlineStr">
        <is>
          <t>Tinggi</t>
        </is>
      </c>
      <c r="H757" s="18" t="n"/>
      <c r="I757" s="18" t="n"/>
      <c r="J757" s="18" t="n"/>
      <c r="K757" s="18" t="n"/>
      <c r="L757" s="18" t="n"/>
    </row>
    <row r="758" ht="56.8" customHeight="1">
      <c r="A758" s="14" t="n">
        <v>754</v>
      </c>
      <c r="B758" s="16" t="inlineStr">
        <is>
          <t>WB-DTL-01</t>
        </is>
      </c>
      <c r="C758" s="15" t="inlineStr">
        <is>
          <t>Seluruh kolom read-only, tanpa edit di tempat</t>
        </is>
      </c>
      <c r="D758" s="17" t="inlineStr">
        <is>
          <t>Kernel Plant</t>
        </is>
      </c>
      <c r="E758" s="15" t="inlineStr">
        <is>
          <t>SPV-A</t>
        </is>
      </c>
      <c r="F758" s="15" t="inlineStr">
        <is>
          <t>- Tidak satu pun nilai dapat diubah di layar ini.
- Tidak ada tombol Simpan — layar ini hanya membaca.
- Perubahan hanya mungkin lewat tombol Edit, yang membuka Form.</t>
        </is>
      </c>
      <c r="G758" s="13" t="inlineStr">
        <is>
          <t>Tinggi</t>
        </is>
      </c>
      <c r="H758" s="18" t="n"/>
      <c r="I758" s="18" t="n"/>
      <c r="J758" s="18" t="n"/>
      <c r="K758" s="18" t="n"/>
      <c r="L758" s="18" t="n"/>
    </row>
    <row r="759" ht="56.8" customHeight="1">
      <c r="A759" s="10" t="n">
        <v>755</v>
      </c>
      <c r="B759" s="11" t="inlineStr">
        <is>
          <t>WB-DTL-01</t>
        </is>
      </c>
      <c r="C759" s="5" t="inlineStr">
        <is>
          <t>Seluruh kolom read-only, tanpa edit di tempat</t>
        </is>
      </c>
      <c r="D759" s="12" t="inlineStr">
        <is>
          <t>Boiler Room</t>
        </is>
      </c>
      <c r="E759" s="5" t="inlineStr">
        <is>
          <t>SPV-A</t>
        </is>
      </c>
      <c r="F759" s="5" t="inlineStr">
        <is>
          <t>- Tidak satu pun nilai dapat diubah di layar ini.
- Tidak ada tombol Simpan — layar ini hanya membaca.
- Perubahan hanya mungkin lewat tombol Edit, yang membuka Form.</t>
        </is>
      </c>
      <c r="G759" s="13" t="inlineStr">
        <is>
          <t>Tinggi</t>
        </is>
      </c>
      <c r="H759" s="18" t="n"/>
      <c r="I759" s="18" t="n"/>
      <c r="J759" s="18" t="n"/>
      <c r="K759" s="18" t="n"/>
      <c r="L759" s="18" t="n"/>
    </row>
    <row r="760" ht="56.8" customHeight="1">
      <c r="A760" s="14" t="n">
        <v>756</v>
      </c>
      <c r="B760" s="16" t="inlineStr">
        <is>
          <t>WB-DTL-01</t>
        </is>
      </c>
      <c r="C760" s="15" t="inlineStr">
        <is>
          <t>Seluruh kolom read-only, tanpa edit di tempat</t>
        </is>
      </c>
      <c r="D760" s="17" t="inlineStr">
        <is>
          <t>Effluent Plant</t>
        </is>
      </c>
      <c r="E760" s="15" t="inlineStr">
        <is>
          <t>SPV-A</t>
        </is>
      </c>
      <c r="F760" s="15" t="inlineStr">
        <is>
          <t>- Tidak satu pun nilai dapat diubah di layar ini.
- Tidak ada tombol Simpan — layar ini hanya membaca.
- Perubahan hanya mungkin lewat tombol Edit, yang membuka Form.</t>
        </is>
      </c>
      <c r="G760" s="13" t="inlineStr">
        <is>
          <t>Tinggi</t>
        </is>
      </c>
      <c r="H760" s="18" t="n"/>
      <c r="I760" s="18" t="n"/>
      <c r="J760" s="18" t="n"/>
      <c r="K760" s="18" t="n"/>
      <c r="L760" s="18" t="n"/>
    </row>
    <row r="761" ht="56.8" customHeight="1">
      <c r="A761" s="10" t="n">
        <v>757</v>
      </c>
      <c r="B761" s="11" t="inlineStr">
        <is>
          <t>WB-DTL-01</t>
        </is>
      </c>
      <c r="C761" s="5" t="inlineStr">
        <is>
          <t>Seluruh kolom read-only, tanpa edit di tempat</t>
        </is>
      </c>
      <c r="D761" s="12" t="inlineStr">
        <is>
          <t>Depricarping</t>
        </is>
      </c>
      <c r="E761" s="5" t="inlineStr">
        <is>
          <t>SPV-A</t>
        </is>
      </c>
      <c r="F761" s="5" t="inlineStr">
        <is>
          <t>- Tidak satu pun nilai dapat diubah di layar ini.
- Tidak ada tombol Simpan — layar ini hanya membaca.
- Perubahan hanya mungkin lewat tombol Edit, yang membuka Form.</t>
        </is>
      </c>
      <c r="G761" s="13" t="inlineStr">
        <is>
          <t>Tinggi</t>
        </is>
      </c>
      <c r="H761" s="18" t="n"/>
      <c r="I761" s="18" t="n"/>
      <c r="J761" s="18" t="n"/>
      <c r="K761" s="18" t="n"/>
      <c r="L761" s="18" t="n"/>
    </row>
    <row r="762" ht="56.8" customHeight="1">
      <c r="A762" s="14" t="n">
        <v>758</v>
      </c>
      <c r="B762" s="16" t="inlineStr">
        <is>
          <t>WB-DTL-01</t>
        </is>
      </c>
      <c r="C762" s="15" t="inlineStr">
        <is>
          <t>Seluruh kolom read-only, tanpa edit di tempat</t>
        </is>
      </c>
      <c r="D762" s="17" t="inlineStr">
        <is>
          <t>Engine Room</t>
        </is>
      </c>
      <c r="E762" s="15" t="inlineStr">
        <is>
          <t>SPV-A</t>
        </is>
      </c>
      <c r="F762" s="15" t="inlineStr">
        <is>
          <t>- Tidak satu pun nilai dapat diubah di layar ini.
- Tidak ada tombol Simpan — layar ini hanya membaca.
- Perubahan hanya mungkin lewat tombol Edit, yang membuka Form.</t>
        </is>
      </c>
      <c r="G762" s="13" t="inlineStr">
        <is>
          <t>Tinggi</t>
        </is>
      </c>
      <c r="H762" s="18" t="n"/>
      <c r="I762" s="18" t="n"/>
      <c r="J762" s="18" t="n"/>
      <c r="K762" s="18" t="n"/>
      <c r="L762" s="18" t="n"/>
    </row>
    <row r="763" ht="56.8" customHeight="1">
      <c r="A763" s="10" t="n">
        <v>759</v>
      </c>
      <c r="B763" s="11" t="inlineStr">
        <is>
          <t>WB-DTL-01</t>
        </is>
      </c>
      <c r="C763" s="5" t="inlineStr">
        <is>
          <t>Seluruh kolom read-only, tanpa edit di tempat</t>
        </is>
      </c>
      <c r="D763" s="12" t="inlineStr">
        <is>
          <t>Process Water</t>
        </is>
      </c>
      <c r="E763" s="5" t="inlineStr">
        <is>
          <t>SPV-A</t>
        </is>
      </c>
      <c r="F763" s="5" t="inlineStr">
        <is>
          <t>- Tidak satu pun nilai dapat diubah di layar ini.
- Tidak ada tombol Simpan — layar ini hanya membaca.
- Perubahan hanya mungkin lewat tombol Edit, yang membuka Form.</t>
        </is>
      </c>
      <c r="G763" s="13" t="inlineStr">
        <is>
          <t>Tinggi</t>
        </is>
      </c>
      <c r="H763" s="18" t="n"/>
      <c r="I763" s="18" t="n"/>
      <c r="J763" s="18" t="n"/>
      <c r="K763" s="18" t="n"/>
      <c r="L763" s="18" t="n"/>
    </row>
    <row r="764" ht="56.8" customHeight="1">
      <c r="A764" s="14" t="n">
        <v>760</v>
      </c>
      <c r="B764" s="16" t="inlineStr">
        <is>
          <t>WB-DTL-01</t>
        </is>
      </c>
      <c r="C764" s="15" t="inlineStr">
        <is>
          <t>Seluruh kolom read-only, tanpa edit di tempat</t>
        </is>
      </c>
      <c r="D764" s="17" t="inlineStr">
        <is>
          <t>Storage Tank</t>
        </is>
      </c>
      <c r="E764" s="15" t="inlineStr">
        <is>
          <t>SPV-A</t>
        </is>
      </c>
      <c r="F764" s="15" t="inlineStr">
        <is>
          <t>- Tidak satu pun nilai dapat diubah di layar ini.
- Tidak ada tombol Simpan — layar ini hanya membaca.
- Perubahan hanya mungkin lewat tombol Edit, yang membuka Form.</t>
        </is>
      </c>
      <c r="G764" s="13" t="inlineStr">
        <is>
          <t>Tinggi</t>
        </is>
      </c>
      <c r="H764" s="18" t="n"/>
      <c r="I764" s="18" t="n"/>
      <c r="J764" s="18" t="n"/>
      <c r="K764" s="18" t="n"/>
      <c r="L764" s="18" t="n"/>
    </row>
    <row r="765" ht="56.8" customHeight="1">
      <c r="A765" s="10" t="n">
        <v>761</v>
      </c>
      <c r="B765" s="11" t="inlineStr">
        <is>
          <t>WB-DTL-01</t>
        </is>
      </c>
      <c r="C765" s="5" t="inlineStr">
        <is>
          <t>Seluruh kolom read-only, tanpa edit di tempat</t>
        </is>
      </c>
      <c r="D765" s="12" t="inlineStr">
        <is>
          <t>Solid Waste Disposal</t>
        </is>
      </c>
      <c r="E765" s="5" t="inlineStr">
        <is>
          <t>SPV-A</t>
        </is>
      </c>
      <c r="F765" s="5" t="inlineStr">
        <is>
          <t>- Tidak satu pun nilai dapat diubah di layar ini.
- Tidak ada tombol Simpan — layar ini hanya membaca.
- Perubahan hanya mungkin lewat tombol Edit, yang membuka Form.</t>
        </is>
      </c>
      <c r="G765" s="13" t="inlineStr">
        <is>
          <t>Tinggi</t>
        </is>
      </c>
      <c r="H765" s="18" t="n"/>
      <c r="I765" s="18" t="n"/>
      <c r="J765" s="18" t="n"/>
      <c r="K765" s="18" t="n"/>
      <c r="L765" s="18" t="n"/>
    </row>
    <row r="766" ht="56.8" customHeight="1">
      <c r="A766" s="14" t="n">
        <v>762</v>
      </c>
      <c r="B766" s="16" t="inlineStr">
        <is>
          <t>WB-DTL-01</t>
        </is>
      </c>
      <c r="C766" s="15" t="inlineStr">
        <is>
          <t>Seluruh kolom read-only, tanpa edit di tempat</t>
        </is>
      </c>
      <c r="D766" s="17" t="inlineStr">
        <is>
          <t>Kernel Dispatch</t>
        </is>
      </c>
      <c r="E766" s="15" t="inlineStr">
        <is>
          <t>SPV-A</t>
        </is>
      </c>
      <c r="F766" s="15" t="inlineStr">
        <is>
          <t>- Tidak satu pun nilai dapat diubah di layar ini.
- Tidak ada tombol Simpan — layar ini hanya membaca.
- Perubahan hanya mungkin lewat tombol Edit, yang membuka Form.</t>
        </is>
      </c>
      <c r="G766" s="13" t="inlineStr">
        <is>
          <t>Tinggi</t>
        </is>
      </c>
      <c r="H766" s="18" t="n"/>
      <c r="I766" s="18" t="n"/>
      <c r="J766" s="18" t="n"/>
      <c r="K766" s="18" t="n"/>
      <c r="L766" s="18" t="n"/>
    </row>
    <row r="767" ht="56.8" customHeight="1">
      <c r="A767" s="10" t="n">
        <v>763</v>
      </c>
      <c r="B767" s="11" t="inlineStr">
        <is>
          <t>WB-DTL-01</t>
        </is>
      </c>
      <c r="C767" s="5" t="inlineStr">
        <is>
          <t>Seluruh kolom read-only, tanpa edit di tempat</t>
        </is>
      </c>
      <c r="D767" s="12" t="inlineStr">
        <is>
          <t>CPO Dispatch</t>
        </is>
      </c>
      <c r="E767" s="5" t="inlineStr">
        <is>
          <t>SPV-A</t>
        </is>
      </c>
      <c r="F767" s="5" t="inlineStr">
        <is>
          <t>- Tidak satu pun nilai dapat diubah di layar ini.
- Tidak ada tombol Simpan — layar ini hanya membaca.
- Perubahan hanya mungkin lewat tombol Edit, yang membuka Form.</t>
        </is>
      </c>
      <c r="G767" s="13" t="inlineStr">
        <is>
          <t>Tinggi</t>
        </is>
      </c>
      <c r="H767" s="18" t="n"/>
      <c r="I767" s="18" t="n"/>
      <c r="J767" s="18" t="n"/>
      <c r="K767" s="18" t="n"/>
      <c r="L767" s="18" t="n"/>
    </row>
    <row r="768" ht="56.8" customHeight="1">
      <c r="A768" s="14" t="n">
        <v>764</v>
      </c>
      <c r="B768" s="16" t="inlineStr">
        <is>
          <t>WB-DTL-01</t>
        </is>
      </c>
      <c r="C768" s="15" t="inlineStr">
        <is>
          <t>Seluruh kolom read-only, tanpa edit di tempat</t>
        </is>
      </c>
      <c r="D768" s="17" t="inlineStr">
        <is>
          <t>Process Quality Control</t>
        </is>
      </c>
      <c r="E768" s="15" t="inlineStr">
        <is>
          <t>SPV-A</t>
        </is>
      </c>
      <c r="F768" s="15" t="inlineStr">
        <is>
          <t>- Tidak satu pun nilai dapat diubah di layar ini.
- Tidak ada tombol Simpan — layar ini hanya membaca.
- Perubahan hanya mungkin lewat tombol Edit, yang membuka Form.</t>
        </is>
      </c>
      <c r="G768" s="13" t="inlineStr">
        <is>
          <t>Tinggi</t>
        </is>
      </c>
      <c r="H768" s="18" t="n"/>
      <c r="I768" s="18" t="n"/>
      <c r="J768" s="18" t="n"/>
      <c r="K768" s="18" t="n"/>
      <c r="L768" s="18" t="n"/>
    </row>
    <row r="769" ht="70" customHeight="1">
      <c r="A769" s="10" t="n">
        <v>765</v>
      </c>
      <c r="B769" s="11" t="inlineStr">
        <is>
          <t>WB-DTL-02</t>
        </is>
      </c>
      <c r="C769" s="5" t="inlineStr">
        <is>
          <t>Verifikasi yang kosong ditampilkan sebagai tanda pisah</t>
        </is>
      </c>
      <c r="D769" s="12" t="inlineStr">
        <is>
          <t>Weighbridge</t>
        </is>
      </c>
      <c r="E769" s="5" t="inlineStr">
        <is>
          <t>SPV-A</t>
        </is>
      </c>
      <c r="F769" s="5" t="inlineStr">
        <is>
          <t>- Keduanya tampil sebagai tanda pisah "—" atau keterangan "belum diverifikasi".
- BUKAN kosong tanpa label — kosong tanpa label tidak dapat dibedakan dari kolom yang gagal dimuat.
- BUKAN angka 0, BUKAN kata "null".</t>
        </is>
      </c>
      <c r="G769" s="10" t="inlineStr">
        <is>
          <t>Sedang</t>
        </is>
      </c>
      <c r="H769" s="18" t="n"/>
      <c r="I769" s="18" t="n"/>
      <c r="J769" s="18" t="n"/>
      <c r="K769" s="18" t="n"/>
      <c r="L769" s="18" t="n"/>
    </row>
    <row r="770" ht="70" customHeight="1">
      <c r="A770" s="14" t="n">
        <v>766</v>
      </c>
      <c r="B770" s="16" t="inlineStr">
        <is>
          <t>WB-DTL-02</t>
        </is>
      </c>
      <c r="C770" s="15" t="inlineStr">
        <is>
          <t>Verifikasi yang kosong ditampilkan sebagai tanda pisah</t>
        </is>
      </c>
      <c r="D770" s="17" t="inlineStr">
        <is>
          <t>Grading</t>
        </is>
      </c>
      <c r="E770" s="15" t="inlineStr">
        <is>
          <t>SPV-A</t>
        </is>
      </c>
      <c r="F770" s="15" t="inlineStr">
        <is>
          <t>- Keduanya tampil sebagai tanda pisah "—" atau keterangan "belum diverifikasi".
- BUKAN kosong tanpa label — kosong tanpa label tidak dapat dibedakan dari kolom yang gagal dimuat.
- BUKAN angka 0, BUKAN kata "null".</t>
        </is>
      </c>
      <c r="G770" s="14" t="inlineStr">
        <is>
          <t>Sedang</t>
        </is>
      </c>
      <c r="H770" s="18" t="n"/>
      <c r="I770" s="18" t="n"/>
      <c r="J770" s="18" t="n"/>
      <c r="K770" s="18" t="n"/>
      <c r="L770" s="18" t="n"/>
    </row>
    <row r="771" ht="70" customHeight="1">
      <c r="A771" s="10" t="n">
        <v>767</v>
      </c>
      <c r="B771" s="11" t="inlineStr">
        <is>
          <t>WB-DTL-02</t>
        </is>
      </c>
      <c r="C771" s="5" t="inlineStr">
        <is>
          <t>Verifikasi yang kosong ditampilkan sebagai tanda pisah</t>
        </is>
      </c>
      <c r="D771" s="12" t="inlineStr">
        <is>
          <t>Cages Track</t>
        </is>
      </c>
      <c r="E771" s="5" t="inlineStr">
        <is>
          <t>SPV-A</t>
        </is>
      </c>
      <c r="F771" s="5" t="inlineStr">
        <is>
          <t>- Keduanya tampil sebagai tanda pisah "—" atau keterangan "belum diverifikasi".
- BUKAN kosong tanpa label — kosong tanpa label tidak dapat dibedakan dari kolom yang gagal dimuat.
- BUKAN angka 0, BUKAN kata "null".</t>
        </is>
      </c>
      <c r="G771" s="10" t="inlineStr">
        <is>
          <t>Sedang</t>
        </is>
      </c>
      <c r="H771" s="18" t="n"/>
      <c r="I771" s="18" t="n"/>
      <c r="J771" s="18" t="n"/>
      <c r="K771" s="18" t="n"/>
      <c r="L771" s="18" t="n"/>
    </row>
    <row r="772" ht="70" customHeight="1">
      <c r="A772" s="14" t="n">
        <v>768</v>
      </c>
      <c r="B772" s="16" t="inlineStr">
        <is>
          <t>WB-DTL-02</t>
        </is>
      </c>
      <c r="C772" s="15" t="inlineStr">
        <is>
          <t>Verifikasi yang kosong ditampilkan sebagai tanda pisah</t>
        </is>
      </c>
      <c r="D772" s="17" t="inlineStr">
        <is>
          <t>Sterilizer</t>
        </is>
      </c>
      <c r="E772" s="15" t="inlineStr">
        <is>
          <t>SPV-A</t>
        </is>
      </c>
      <c r="F772" s="15" t="inlineStr">
        <is>
          <t>- Keduanya tampil sebagai tanda pisah "—" atau keterangan "belum diverifikasi".
- BUKAN kosong tanpa label — kosong tanpa label tidak dapat dibedakan dari kolom yang gagal dimuat.
- BUKAN angka 0, BUKAN kata "null".</t>
        </is>
      </c>
      <c r="G772" s="14" t="inlineStr">
        <is>
          <t>Sedang</t>
        </is>
      </c>
      <c r="H772" s="18" t="n"/>
      <c r="I772" s="18" t="n"/>
      <c r="J772" s="18" t="n"/>
      <c r="K772" s="18" t="n"/>
      <c r="L772" s="18" t="n"/>
    </row>
    <row r="773" ht="70" customHeight="1">
      <c r="A773" s="10" t="n">
        <v>769</v>
      </c>
      <c r="B773" s="11" t="inlineStr">
        <is>
          <t>WB-DTL-02</t>
        </is>
      </c>
      <c r="C773" s="5" t="inlineStr">
        <is>
          <t>Verifikasi yang kosong ditampilkan sebagai tanda pisah</t>
        </is>
      </c>
      <c r="D773" s="12" t="inlineStr">
        <is>
          <t>Threshing</t>
        </is>
      </c>
      <c r="E773" s="5" t="inlineStr">
        <is>
          <t>SPV-A</t>
        </is>
      </c>
      <c r="F773" s="5" t="inlineStr">
        <is>
          <t>- Keduanya tampil sebagai tanda pisah "—" atau keterangan "belum diverifikasi".
- BUKAN kosong tanpa label — kosong tanpa label tidak dapat dibedakan dari kolom yang gagal dimuat.
- BUKAN angka 0, BUKAN kata "null".</t>
        </is>
      </c>
      <c r="G773" s="10" t="inlineStr">
        <is>
          <t>Sedang</t>
        </is>
      </c>
      <c r="H773" s="18" t="n"/>
      <c r="I773" s="18" t="n"/>
      <c r="J773" s="18" t="n"/>
      <c r="K773" s="18" t="n"/>
      <c r="L773" s="18" t="n"/>
    </row>
    <row r="774" ht="70" customHeight="1">
      <c r="A774" s="14" t="n">
        <v>770</v>
      </c>
      <c r="B774" s="16" t="inlineStr">
        <is>
          <t>WB-DTL-02</t>
        </is>
      </c>
      <c r="C774" s="15" t="inlineStr">
        <is>
          <t>Verifikasi yang kosong ditampilkan sebagai tanda pisah</t>
        </is>
      </c>
      <c r="D774" s="17" t="inlineStr">
        <is>
          <t>Pressing</t>
        </is>
      </c>
      <c r="E774" s="15" t="inlineStr">
        <is>
          <t>SPV-A</t>
        </is>
      </c>
      <c r="F774" s="15" t="inlineStr">
        <is>
          <t>- Keduanya tampil sebagai tanda pisah "—" atau keterangan "belum diverifikasi".
- BUKAN kosong tanpa label — kosong tanpa label tidak dapat dibedakan dari kolom yang gagal dimuat.
- BUKAN angka 0, BUKAN kata "null".</t>
        </is>
      </c>
      <c r="G774" s="14" t="inlineStr">
        <is>
          <t>Sedang</t>
        </is>
      </c>
      <c r="H774" s="18" t="n"/>
      <c r="I774" s="18" t="n"/>
      <c r="J774" s="18" t="n"/>
      <c r="K774" s="18" t="n"/>
      <c r="L774" s="18" t="n"/>
    </row>
    <row r="775" ht="70" customHeight="1">
      <c r="A775" s="10" t="n">
        <v>771</v>
      </c>
      <c r="B775" s="11" t="inlineStr">
        <is>
          <t>WB-DTL-02</t>
        </is>
      </c>
      <c r="C775" s="5" t="inlineStr">
        <is>
          <t>Verifikasi yang kosong ditampilkan sebagai tanda pisah</t>
        </is>
      </c>
      <c r="D775" s="12" t="inlineStr">
        <is>
          <t>Clarification</t>
        </is>
      </c>
      <c r="E775" s="5" t="inlineStr">
        <is>
          <t>SPV-A</t>
        </is>
      </c>
      <c r="F775" s="5" t="inlineStr">
        <is>
          <t>- Keduanya tampil sebagai tanda pisah "—" atau keterangan "belum diverifikasi".
- BUKAN kosong tanpa label — kosong tanpa label tidak dapat dibedakan dari kolom yang gagal dimuat.
- BUKAN angka 0, BUKAN kata "null".</t>
        </is>
      </c>
      <c r="G775" s="10" t="inlineStr">
        <is>
          <t>Sedang</t>
        </is>
      </c>
      <c r="H775" s="18" t="n"/>
      <c r="I775" s="18" t="n"/>
      <c r="J775" s="18" t="n"/>
      <c r="K775" s="18" t="n"/>
      <c r="L775" s="18" t="n"/>
    </row>
    <row r="776" ht="70" customHeight="1">
      <c r="A776" s="14" t="n">
        <v>772</v>
      </c>
      <c r="B776" s="16" t="inlineStr">
        <is>
          <t>WB-DTL-02</t>
        </is>
      </c>
      <c r="C776" s="15" t="inlineStr">
        <is>
          <t>Verifikasi yang kosong ditampilkan sebagai tanda pisah</t>
        </is>
      </c>
      <c r="D776" s="17" t="inlineStr">
        <is>
          <t>Kernel Plant</t>
        </is>
      </c>
      <c r="E776" s="15" t="inlineStr">
        <is>
          <t>SPV-A</t>
        </is>
      </c>
      <c r="F776" s="15" t="inlineStr">
        <is>
          <t>- Keduanya tampil sebagai tanda pisah "—" atau keterangan "belum diverifikasi".
- BUKAN kosong tanpa label — kosong tanpa label tidak dapat dibedakan dari kolom yang gagal dimuat.
- BUKAN angka 0, BUKAN kata "null".</t>
        </is>
      </c>
      <c r="G776" s="14" t="inlineStr">
        <is>
          <t>Sedang</t>
        </is>
      </c>
      <c r="H776" s="18" t="n"/>
      <c r="I776" s="18" t="n"/>
      <c r="J776" s="18" t="n"/>
      <c r="K776" s="18" t="n"/>
      <c r="L776" s="18" t="n"/>
    </row>
    <row r="777" ht="70" customHeight="1">
      <c r="A777" s="10" t="n">
        <v>773</v>
      </c>
      <c r="B777" s="11" t="inlineStr">
        <is>
          <t>WB-DTL-02</t>
        </is>
      </c>
      <c r="C777" s="5" t="inlineStr">
        <is>
          <t>Verifikasi yang kosong ditampilkan sebagai tanda pisah</t>
        </is>
      </c>
      <c r="D777" s="12" t="inlineStr">
        <is>
          <t>Boiler Room</t>
        </is>
      </c>
      <c r="E777" s="5" t="inlineStr">
        <is>
          <t>SPV-A</t>
        </is>
      </c>
      <c r="F777" s="5" t="inlineStr">
        <is>
          <t>- Keduanya tampil sebagai tanda pisah "—" atau keterangan "belum diverifikasi".
- BUKAN kosong tanpa label — kosong tanpa label tidak dapat dibedakan dari kolom yang gagal dimuat.
- BUKAN angka 0, BUKAN kata "null".</t>
        </is>
      </c>
      <c r="G777" s="10" t="inlineStr">
        <is>
          <t>Sedang</t>
        </is>
      </c>
      <c r="H777" s="18" t="n"/>
      <c r="I777" s="18" t="n"/>
      <c r="J777" s="18" t="n"/>
      <c r="K777" s="18" t="n"/>
      <c r="L777" s="18" t="n"/>
    </row>
    <row r="778" ht="70" customHeight="1">
      <c r="A778" s="14" t="n">
        <v>774</v>
      </c>
      <c r="B778" s="16" t="inlineStr">
        <is>
          <t>WB-DTL-02</t>
        </is>
      </c>
      <c r="C778" s="15" t="inlineStr">
        <is>
          <t>Verifikasi yang kosong ditampilkan sebagai tanda pisah</t>
        </is>
      </c>
      <c r="D778" s="17" t="inlineStr">
        <is>
          <t>Effluent Plant</t>
        </is>
      </c>
      <c r="E778" s="15" t="inlineStr">
        <is>
          <t>SPV-A</t>
        </is>
      </c>
      <c r="F778" s="15" t="inlineStr">
        <is>
          <t>- Keduanya tampil sebagai tanda pisah "—" atau keterangan "belum diverifikasi".
- BUKAN kosong tanpa label — kosong tanpa label tidak dapat dibedakan dari kolom yang gagal dimuat.
- BUKAN angka 0, BUKAN kata "null".</t>
        </is>
      </c>
      <c r="G778" s="14" t="inlineStr">
        <is>
          <t>Sedang</t>
        </is>
      </c>
      <c r="H778" s="18" t="n"/>
      <c r="I778" s="18" t="n"/>
      <c r="J778" s="18" t="n"/>
      <c r="K778" s="18" t="n"/>
      <c r="L778" s="18" t="n"/>
    </row>
    <row r="779" ht="70" customHeight="1">
      <c r="A779" s="10" t="n">
        <v>775</v>
      </c>
      <c r="B779" s="11" t="inlineStr">
        <is>
          <t>WB-DTL-02</t>
        </is>
      </c>
      <c r="C779" s="5" t="inlineStr">
        <is>
          <t>Verifikasi yang kosong ditampilkan sebagai tanda pisah</t>
        </is>
      </c>
      <c r="D779" s="12" t="inlineStr">
        <is>
          <t>Depricarping</t>
        </is>
      </c>
      <c r="E779" s="5" t="inlineStr">
        <is>
          <t>SPV-A</t>
        </is>
      </c>
      <c r="F779" s="5" t="inlineStr">
        <is>
          <t>- Keduanya tampil sebagai tanda pisah "—" atau keterangan "belum diverifikasi".
- BUKAN kosong tanpa label — kosong tanpa label tidak dapat dibedakan dari kolom yang gagal dimuat.
- BUKAN angka 0, BUKAN kata "null".</t>
        </is>
      </c>
      <c r="G779" s="10" t="inlineStr">
        <is>
          <t>Sedang</t>
        </is>
      </c>
      <c r="H779" s="18" t="n"/>
      <c r="I779" s="18" t="n"/>
      <c r="J779" s="18" t="n"/>
      <c r="K779" s="18" t="n"/>
      <c r="L779" s="18" t="n"/>
    </row>
    <row r="780" ht="70" customHeight="1">
      <c r="A780" s="14" t="n">
        <v>776</v>
      </c>
      <c r="B780" s="16" t="inlineStr">
        <is>
          <t>WB-DTL-02</t>
        </is>
      </c>
      <c r="C780" s="15" t="inlineStr">
        <is>
          <t>Verifikasi yang kosong ditampilkan sebagai tanda pisah</t>
        </is>
      </c>
      <c r="D780" s="17" t="inlineStr">
        <is>
          <t>Engine Room</t>
        </is>
      </c>
      <c r="E780" s="15" t="inlineStr">
        <is>
          <t>SPV-A</t>
        </is>
      </c>
      <c r="F780" s="15" t="inlineStr">
        <is>
          <t>- Keduanya tampil sebagai tanda pisah "—" atau keterangan "belum diverifikasi".
- BUKAN kosong tanpa label — kosong tanpa label tidak dapat dibedakan dari kolom yang gagal dimuat.
- BUKAN angka 0, BUKAN kata "null".</t>
        </is>
      </c>
      <c r="G780" s="14" t="inlineStr">
        <is>
          <t>Sedang</t>
        </is>
      </c>
      <c r="H780" s="18" t="n"/>
      <c r="I780" s="18" t="n"/>
      <c r="J780" s="18" t="n"/>
      <c r="K780" s="18" t="n"/>
      <c r="L780" s="18" t="n"/>
    </row>
    <row r="781" ht="70" customHeight="1">
      <c r="A781" s="10" t="n">
        <v>777</v>
      </c>
      <c r="B781" s="11" t="inlineStr">
        <is>
          <t>WB-DTL-02</t>
        </is>
      </c>
      <c r="C781" s="5" t="inlineStr">
        <is>
          <t>Verifikasi yang kosong ditampilkan sebagai tanda pisah</t>
        </is>
      </c>
      <c r="D781" s="12" t="inlineStr">
        <is>
          <t>Process Water</t>
        </is>
      </c>
      <c r="E781" s="5" t="inlineStr">
        <is>
          <t>SPV-A</t>
        </is>
      </c>
      <c r="F781" s="5" t="inlineStr">
        <is>
          <t>- Keduanya tampil sebagai tanda pisah "—" atau keterangan "belum diverifikasi".
- BUKAN kosong tanpa label — kosong tanpa label tidak dapat dibedakan dari kolom yang gagal dimuat.
- BUKAN angka 0, BUKAN kata "null".</t>
        </is>
      </c>
      <c r="G781" s="10" t="inlineStr">
        <is>
          <t>Sedang</t>
        </is>
      </c>
      <c r="H781" s="18" t="n"/>
      <c r="I781" s="18" t="n"/>
      <c r="J781" s="18" t="n"/>
      <c r="K781" s="18" t="n"/>
      <c r="L781" s="18" t="n"/>
    </row>
    <row r="782" ht="70" customHeight="1">
      <c r="A782" s="14" t="n">
        <v>778</v>
      </c>
      <c r="B782" s="16" t="inlineStr">
        <is>
          <t>WB-DTL-02</t>
        </is>
      </c>
      <c r="C782" s="15" t="inlineStr">
        <is>
          <t>Verifikasi yang kosong ditampilkan sebagai tanda pisah</t>
        </is>
      </c>
      <c r="D782" s="17" t="inlineStr">
        <is>
          <t>Storage Tank</t>
        </is>
      </c>
      <c r="E782" s="15" t="inlineStr">
        <is>
          <t>SPV-A</t>
        </is>
      </c>
      <c r="F782" s="15" t="inlineStr">
        <is>
          <t>- Keduanya tampil sebagai tanda pisah "—" atau keterangan "belum diverifikasi".
- BUKAN kosong tanpa label — kosong tanpa label tidak dapat dibedakan dari kolom yang gagal dimuat.
- BUKAN angka 0, BUKAN kata "null".</t>
        </is>
      </c>
      <c r="G782" s="14" t="inlineStr">
        <is>
          <t>Sedang</t>
        </is>
      </c>
      <c r="H782" s="18" t="n"/>
      <c r="I782" s="18" t="n"/>
      <c r="J782" s="18" t="n"/>
      <c r="K782" s="18" t="n"/>
      <c r="L782" s="18" t="n"/>
    </row>
    <row r="783" ht="70" customHeight="1">
      <c r="A783" s="10" t="n">
        <v>779</v>
      </c>
      <c r="B783" s="11" t="inlineStr">
        <is>
          <t>WB-DTL-02</t>
        </is>
      </c>
      <c r="C783" s="5" t="inlineStr">
        <is>
          <t>Verifikasi yang kosong ditampilkan sebagai tanda pisah</t>
        </is>
      </c>
      <c r="D783" s="12" t="inlineStr">
        <is>
          <t>Solid Waste Disposal</t>
        </is>
      </c>
      <c r="E783" s="5" t="inlineStr">
        <is>
          <t>SPV-A</t>
        </is>
      </c>
      <c r="F783" s="5" t="inlineStr">
        <is>
          <t>- Keduanya tampil sebagai tanda pisah "—" atau keterangan "belum diverifikasi".
- BUKAN kosong tanpa label — kosong tanpa label tidak dapat dibedakan dari kolom yang gagal dimuat.
- BUKAN angka 0, BUKAN kata "null".</t>
        </is>
      </c>
      <c r="G783" s="10" t="inlineStr">
        <is>
          <t>Sedang</t>
        </is>
      </c>
      <c r="H783" s="18" t="n"/>
      <c r="I783" s="18" t="n"/>
      <c r="J783" s="18" t="n"/>
      <c r="K783" s="18" t="n"/>
      <c r="L783" s="18" t="n"/>
    </row>
    <row r="784" ht="70" customHeight="1">
      <c r="A784" s="14" t="n">
        <v>780</v>
      </c>
      <c r="B784" s="16" t="inlineStr">
        <is>
          <t>WB-DTL-02</t>
        </is>
      </c>
      <c r="C784" s="15" t="inlineStr">
        <is>
          <t>Verifikasi yang kosong ditampilkan sebagai tanda pisah</t>
        </is>
      </c>
      <c r="D784" s="17" t="inlineStr">
        <is>
          <t>Kernel Dispatch</t>
        </is>
      </c>
      <c r="E784" s="15" t="inlineStr">
        <is>
          <t>SPV-A</t>
        </is>
      </c>
      <c r="F784" s="15" t="inlineStr">
        <is>
          <t>- Keduanya tampil sebagai tanda pisah "—" atau keterangan "belum diverifikasi".
- BUKAN kosong tanpa label — kosong tanpa label tidak dapat dibedakan dari kolom yang gagal dimuat.
- BUKAN angka 0, BUKAN kata "null".</t>
        </is>
      </c>
      <c r="G784" s="14" t="inlineStr">
        <is>
          <t>Sedang</t>
        </is>
      </c>
      <c r="H784" s="18" t="n"/>
      <c r="I784" s="18" t="n"/>
      <c r="J784" s="18" t="n"/>
      <c r="K784" s="18" t="n"/>
      <c r="L784" s="18" t="n"/>
    </row>
    <row r="785" ht="70" customHeight="1">
      <c r="A785" s="10" t="n">
        <v>781</v>
      </c>
      <c r="B785" s="11" t="inlineStr">
        <is>
          <t>WB-DTL-02</t>
        </is>
      </c>
      <c r="C785" s="5" t="inlineStr">
        <is>
          <t>Verifikasi yang kosong ditampilkan sebagai tanda pisah</t>
        </is>
      </c>
      <c r="D785" s="12" t="inlineStr">
        <is>
          <t>CPO Dispatch</t>
        </is>
      </c>
      <c r="E785" s="5" t="inlineStr">
        <is>
          <t>SPV-A</t>
        </is>
      </c>
      <c r="F785" s="5" t="inlineStr">
        <is>
          <t>- Keduanya tampil sebagai tanda pisah "—" atau keterangan "belum diverifikasi".
- BUKAN kosong tanpa label — kosong tanpa label tidak dapat dibedakan dari kolom yang gagal dimuat.
- BUKAN angka 0, BUKAN kata "null".</t>
        </is>
      </c>
      <c r="G785" s="10" t="inlineStr">
        <is>
          <t>Sedang</t>
        </is>
      </c>
      <c r="H785" s="18" t="n"/>
      <c r="I785" s="18" t="n"/>
      <c r="J785" s="18" t="n"/>
      <c r="K785" s="18" t="n"/>
      <c r="L785" s="18" t="n"/>
    </row>
    <row r="786" ht="70" customHeight="1">
      <c r="A786" s="14" t="n">
        <v>782</v>
      </c>
      <c r="B786" s="16" t="inlineStr">
        <is>
          <t>WB-DTL-02</t>
        </is>
      </c>
      <c r="C786" s="15" t="inlineStr">
        <is>
          <t>Verifikasi yang kosong ditampilkan sebagai tanda pisah</t>
        </is>
      </c>
      <c r="D786" s="17" t="inlineStr">
        <is>
          <t>Process Quality Control</t>
        </is>
      </c>
      <c r="E786" s="15" t="inlineStr">
        <is>
          <t>SPV-A</t>
        </is>
      </c>
      <c r="F786" s="15" t="inlineStr">
        <is>
          <t>- Keduanya tampil sebagai tanda pisah "—" atau keterangan "belum diverifikasi".
- BUKAN kosong tanpa label — kosong tanpa label tidak dapat dibedakan dari kolom yang gagal dimuat.
- BUKAN angka 0, BUKAN kata "null".</t>
        </is>
      </c>
      <c r="G786" s="14" t="inlineStr">
        <is>
          <t>Sedang</t>
        </is>
      </c>
      <c r="H786" s="18" t="n"/>
      <c r="I786" s="18" t="n"/>
      <c r="J786" s="18" t="n"/>
      <c r="K786" s="18" t="n"/>
      <c r="L786" s="18" t="n"/>
    </row>
    <row r="787" ht="43.59999999999999" customHeight="1">
      <c r="A787" s="10" t="n">
        <v>783</v>
      </c>
      <c r="B787" s="11" t="inlineStr">
        <is>
          <t>WB-DTL-03</t>
        </is>
      </c>
      <c r="C787" s="5" t="inlineStr">
        <is>
          <t>Grid menampilkan persis baris tersimpan</t>
        </is>
      </c>
      <c r="D787" s="12" t="inlineStr">
        <is>
          <t>Weighbridge</t>
        </is>
      </c>
      <c r="E787" s="5" t="inlineStr">
        <is>
          <t>SPV-A</t>
        </is>
      </c>
      <c r="F787" s="5" t="inlineStr">
        <is>
          <t>- Grid menampilkan tepat 3 baris.
- Tidak digambar 24 baris dengan 21 di antaranya kosong.
- Slot waktu dan nilainya cocok.</t>
        </is>
      </c>
      <c r="G787" s="13" t="inlineStr">
        <is>
          <t>Tinggi</t>
        </is>
      </c>
      <c r="H787" s="18" t="n"/>
      <c r="I787" s="18" t="n"/>
      <c r="J787" s="18" t="n"/>
      <c r="K787" s="18" t="n"/>
      <c r="L787" s="18" t="n"/>
    </row>
    <row r="788" ht="43.59999999999999" customHeight="1">
      <c r="A788" s="14" t="n">
        <v>784</v>
      </c>
      <c r="B788" s="16" t="inlineStr">
        <is>
          <t>WB-DTL-03</t>
        </is>
      </c>
      <c r="C788" s="15" t="inlineStr">
        <is>
          <t>Grid menampilkan persis baris tersimpan</t>
        </is>
      </c>
      <c r="D788" s="17" t="inlineStr">
        <is>
          <t>Grading</t>
        </is>
      </c>
      <c r="E788" s="15" t="inlineStr">
        <is>
          <t>SPV-A</t>
        </is>
      </c>
      <c r="F788" s="15" t="inlineStr">
        <is>
          <t>- Grid menampilkan tepat 3 baris.
- Tidak digambar 24 baris dengan 21 di antaranya kosong.
- Slot waktu dan nilainya cocok.</t>
        </is>
      </c>
      <c r="G788" s="13" t="inlineStr">
        <is>
          <t>Tinggi</t>
        </is>
      </c>
      <c r="H788" s="18" t="n"/>
      <c r="I788" s="18" t="n"/>
      <c r="J788" s="18" t="n"/>
      <c r="K788" s="18" t="n"/>
      <c r="L788" s="18" t="n"/>
    </row>
    <row r="789" ht="43.59999999999999" customHeight="1">
      <c r="A789" s="10" t="n">
        <v>785</v>
      </c>
      <c r="B789" s="11" t="inlineStr">
        <is>
          <t>WB-DTL-03</t>
        </is>
      </c>
      <c r="C789" s="5" t="inlineStr">
        <is>
          <t>Grid menampilkan persis baris tersimpan</t>
        </is>
      </c>
      <c r="D789" s="12" t="inlineStr">
        <is>
          <t>Cages Track</t>
        </is>
      </c>
      <c r="E789" s="5" t="inlineStr">
        <is>
          <t>SPV-A</t>
        </is>
      </c>
      <c r="F789" s="5" t="inlineStr">
        <is>
          <t>- Grid menampilkan tepat 3 baris.
- Tidak digambar 24 baris dengan 21 di antaranya kosong.
- Slot waktu dan nilainya cocok.</t>
        </is>
      </c>
      <c r="G789" s="13" t="inlineStr">
        <is>
          <t>Tinggi</t>
        </is>
      </c>
      <c r="H789" s="18" t="n"/>
      <c r="I789" s="18" t="n"/>
      <c r="J789" s="18" t="n"/>
      <c r="K789" s="18" t="n"/>
      <c r="L789" s="18" t="n"/>
    </row>
    <row r="790" ht="43.59999999999999" customHeight="1">
      <c r="A790" s="14" t="n">
        <v>786</v>
      </c>
      <c r="B790" s="16" t="inlineStr">
        <is>
          <t>WB-DTL-03</t>
        </is>
      </c>
      <c r="C790" s="15" t="inlineStr">
        <is>
          <t>Grid menampilkan persis baris tersimpan</t>
        </is>
      </c>
      <c r="D790" s="17" t="inlineStr">
        <is>
          <t>Sterilizer</t>
        </is>
      </c>
      <c r="E790" s="15" t="inlineStr">
        <is>
          <t>SPV-A</t>
        </is>
      </c>
      <c r="F790" s="15" t="inlineStr">
        <is>
          <t>- Grid menampilkan tepat 3 baris.
- Tidak digambar 24 baris dengan 21 di antaranya kosong.
- Slot waktu dan nilainya cocok.</t>
        </is>
      </c>
      <c r="G790" s="13" t="inlineStr">
        <is>
          <t>Tinggi</t>
        </is>
      </c>
      <c r="H790" s="18" t="n"/>
      <c r="I790" s="18" t="n"/>
      <c r="J790" s="18" t="n"/>
      <c r="K790" s="18" t="n"/>
      <c r="L790" s="18" t="n"/>
    </row>
    <row r="791" ht="43.59999999999999" customHeight="1">
      <c r="A791" s="10" t="n">
        <v>787</v>
      </c>
      <c r="B791" s="11" t="inlineStr">
        <is>
          <t>WB-DTL-03</t>
        </is>
      </c>
      <c r="C791" s="5" t="inlineStr">
        <is>
          <t>Grid menampilkan persis baris tersimpan</t>
        </is>
      </c>
      <c r="D791" s="12" t="inlineStr">
        <is>
          <t>Threshing</t>
        </is>
      </c>
      <c r="E791" s="5" t="inlineStr">
        <is>
          <t>SPV-A</t>
        </is>
      </c>
      <c r="F791" s="5" t="inlineStr">
        <is>
          <t>- Grid menampilkan tepat 3 baris.
- Tidak digambar 24 baris dengan 21 di antaranya kosong.
- Slot waktu dan nilainya cocok.</t>
        </is>
      </c>
      <c r="G791" s="13" t="inlineStr">
        <is>
          <t>Tinggi</t>
        </is>
      </c>
      <c r="H791" s="18" t="n"/>
      <c r="I791" s="18" t="n"/>
      <c r="J791" s="18" t="n"/>
      <c r="K791" s="18" t="n"/>
      <c r="L791" s="18" t="n"/>
    </row>
    <row r="792" ht="43.59999999999999" customHeight="1">
      <c r="A792" s="14" t="n">
        <v>788</v>
      </c>
      <c r="B792" s="16" t="inlineStr">
        <is>
          <t>WB-DTL-03</t>
        </is>
      </c>
      <c r="C792" s="15" t="inlineStr">
        <is>
          <t>Grid menampilkan persis baris tersimpan</t>
        </is>
      </c>
      <c r="D792" s="17" t="inlineStr">
        <is>
          <t>Pressing</t>
        </is>
      </c>
      <c r="E792" s="15" t="inlineStr">
        <is>
          <t>SPV-A</t>
        </is>
      </c>
      <c r="F792" s="15" t="inlineStr">
        <is>
          <t>- Grid menampilkan tepat 3 baris.
- Tidak digambar 24 baris dengan 21 di antaranya kosong.
- Slot waktu dan nilainya cocok.</t>
        </is>
      </c>
      <c r="G792" s="13" t="inlineStr">
        <is>
          <t>Tinggi</t>
        </is>
      </c>
      <c r="H792" s="18" t="n"/>
      <c r="I792" s="18" t="n"/>
      <c r="J792" s="18" t="n"/>
      <c r="K792" s="18" t="n"/>
      <c r="L792" s="18" t="n"/>
    </row>
    <row r="793" ht="43.59999999999999" customHeight="1">
      <c r="A793" s="10" t="n">
        <v>789</v>
      </c>
      <c r="B793" s="11" t="inlineStr">
        <is>
          <t>WB-DTL-03</t>
        </is>
      </c>
      <c r="C793" s="5" t="inlineStr">
        <is>
          <t>Grid menampilkan persis baris tersimpan</t>
        </is>
      </c>
      <c r="D793" s="12" t="inlineStr">
        <is>
          <t>Clarification</t>
        </is>
      </c>
      <c r="E793" s="5" t="inlineStr">
        <is>
          <t>SPV-A</t>
        </is>
      </c>
      <c r="F793" s="5" t="inlineStr">
        <is>
          <t>- Grid menampilkan tepat 3 baris.
- Tidak digambar 24 baris dengan 21 di antaranya kosong.
- Slot waktu dan nilainya cocok.</t>
        </is>
      </c>
      <c r="G793" s="13" t="inlineStr">
        <is>
          <t>Tinggi</t>
        </is>
      </c>
      <c r="H793" s="18" t="n"/>
      <c r="I793" s="18" t="n"/>
      <c r="J793" s="18" t="n"/>
      <c r="K793" s="18" t="n"/>
      <c r="L793" s="18" t="n"/>
    </row>
    <row r="794" ht="43.59999999999999" customHeight="1">
      <c r="A794" s="14" t="n">
        <v>790</v>
      </c>
      <c r="B794" s="16" t="inlineStr">
        <is>
          <t>WB-DTL-03</t>
        </is>
      </c>
      <c r="C794" s="15" t="inlineStr">
        <is>
          <t>Grid menampilkan persis baris tersimpan</t>
        </is>
      </c>
      <c r="D794" s="17" t="inlineStr">
        <is>
          <t>Kernel Plant</t>
        </is>
      </c>
      <c r="E794" s="15" t="inlineStr">
        <is>
          <t>SPV-A</t>
        </is>
      </c>
      <c r="F794" s="15" t="inlineStr">
        <is>
          <t>- Grid menampilkan tepat 3 baris.
- Tidak digambar 24 baris dengan 21 di antaranya kosong.
- Slot waktu dan nilainya cocok.</t>
        </is>
      </c>
      <c r="G794" s="13" t="inlineStr">
        <is>
          <t>Tinggi</t>
        </is>
      </c>
      <c r="H794" s="18" t="n"/>
      <c r="I794" s="18" t="n"/>
      <c r="J794" s="18" t="n"/>
      <c r="K794" s="18" t="n"/>
      <c r="L794" s="18" t="n"/>
    </row>
    <row r="795" ht="43.59999999999999" customHeight="1">
      <c r="A795" s="10" t="n">
        <v>791</v>
      </c>
      <c r="B795" s="11" t="inlineStr">
        <is>
          <t>WB-DTL-03</t>
        </is>
      </c>
      <c r="C795" s="5" t="inlineStr">
        <is>
          <t>Grid menampilkan persis baris tersimpan</t>
        </is>
      </c>
      <c r="D795" s="12" t="inlineStr">
        <is>
          <t>Boiler Room</t>
        </is>
      </c>
      <c r="E795" s="5" t="inlineStr">
        <is>
          <t>SPV-A</t>
        </is>
      </c>
      <c r="F795" s="5" t="inlineStr">
        <is>
          <t>- Grid menampilkan tepat 3 baris.
- Tidak digambar 24 baris dengan 21 di antaranya kosong.
- Slot waktu dan nilainya cocok.</t>
        </is>
      </c>
      <c r="G795" s="13" t="inlineStr">
        <is>
          <t>Tinggi</t>
        </is>
      </c>
      <c r="H795" s="18" t="n"/>
      <c r="I795" s="18" t="n"/>
      <c r="J795" s="18" t="n"/>
      <c r="K795" s="18" t="n"/>
      <c r="L795" s="18" t="n"/>
    </row>
    <row r="796" ht="43.59999999999999" customHeight="1">
      <c r="A796" s="14" t="n">
        <v>792</v>
      </c>
      <c r="B796" s="16" t="inlineStr">
        <is>
          <t>WB-DTL-03</t>
        </is>
      </c>
      <c r="C796" s="15" t="inlineStr">
        <is>
          <t>Grid menampilkan persis baris tersimpan</t>
        </is>
      </c>
      <c r="D796" s="17" t="inlineStr">
        <is>
          <t>Effluent Plant</t>
        </is>
      </c>
      <c r="E796" s="15" t="inlineStr">
        <is>
          <t>SPV-A</t>
        </is>
      </c>
      <c r="F796" s="15" t="inlineStr">
        <is>
          <t>- Grid menampilkan tepat 3 baris.
- Tidak digambar 24 baris dengan 21 di antaranya kosong.
- Slot waktu dan nilainya cocok.</t>
        </is>
      </c>
      <c r="G796" s="13" t="inlineStr">
        <is>
          <t>Tinggi</t>
        </is>
      </c>
      <c r="H796" s="18" t="n"/>
      <c r="I796" s="18" t="n"/>
      <c r="J796" s="18" t="n"/>
      <c r="K796" s="18" t="n"/>
      <c r="L796" s="18" t="n"/>
    </row>
    <row r="797" ht="43.59999999999999" customHeight="1">
      <c r="A797" s="10" t="n">
        <v>793</v>
      </c>
      <c r="B797" s="11" t="inlineStr">
        <is>
          <t>WB-DTL-03</t>
        </is>
      </c>
      <c r="C797" s="5" t="inlineStr">
        <is>
          <t>Grid menampilkan persis baris tersimpan</t>
        </is>
      </c>
      <c r="D797" s="12" t="inlineStr">
        <is>
          <t>Depricarping</t>
        </is>
      </c>
      <c r="E797" s="5" t="inlineStr">
        <is>
          <t>SPV-A</t>
        </is>
      </c>
      <c r="F797" s="5" t="inlineStr">
        <is>
          <t>- Grid menampilkan tepat 3 baris.
- Tidak digambar 24 baris dengan 21 di antaranya kosong.
- Slot waktu dan nilainya cocok.</t>
        </is>
      </c>
      <c r="G797" s="13" t="inlineStr">
        <is>
          <t>Tinggi</t>
        </is>
      </c>
      <c r="H797" s="18" t="n"/>
      <c r="I797" s="18" t="n"/>
      <c r="J797" s="18" t="n"/>
      <c r="K797" s="18" t="n"/>
      <c r="L797" s="18" t="n"/>
    </row>
    <row r="798" ht="43.59999999999999" customHeight="1">
      <c r="A798" s="14" t="n">
        <v>794</v>
      </c>
      <c r="B798" s="16" t="inlineStr">
        <is>
          <t>WB-DTL-03</t>
        </is>
      </c>
      <c r="C798" s="15" t="inlineStr">
        <is>
          <t>Grid menampilkan persis baris tersimpan</t>
        </is>
      </c>
      <c r="D798" s="17" t="inlineStr">
        <is>
          <t>Engine Room</t>
        </is>
      </c>
      <c r="E798" s="15" t="inlineStr">
        <is>
          <t>SPV-A</t>
        </is>
      </c>
      <c r="F798" s="15" t="inlineStr">
        <is>
          <t>- Grid menampilkan tepat 3 baris.
- Tidak digambar 24 baris dengan 21 di antaranya kosong.
- Slot waktu dan nilainya cocok.</t>
        </is>
      </c>
      <c r="G798" s="13" t="inlineStr">
        <is>
          <t>Tinggi</t>
        </is>
      </c>
      <c r="H798" s="18" t="n"/>
      <c r="I798" s="18" t="n"/>
      <c r="J798" s="18" t="n"/>
      <c r="K798" s="18" t="n"/>
      <c r="L798" s="18" t="n"/>
    </row>
    <row r="799" ht="43.59999999999999" customHeight="1">
      <c r="A799" s="10" t="n">
        <v>795</v>
      </c>
      <c r="B799" s="11" t="inlineStr">
        <is>
          <t>WB-DTL-03</t>
        </is>
      </c>
      <c r="C799" s="5" t="inlineStr">
        <is>
          <t>Grid menampilkan persis baris tersimpan</t>
        </is>
      </c>
      <c r="D799" s="12" t="inlineStr">
        <is>
          <t>Process Water</t>
        </is>
      </c>
      <c r="E799" s="5" t="inlineStr">
        <is>
          <t>SPV-A</t>
        </is>
      </c>
      <c r="F799" s="5" t="inlineStr">
        <is>
          <t>- Grid menampilkan tepat 3 baris.
- Tidak digambar 24 baris dengan 21 di antaranya kosong.
- Slot waktu dan nilainya cocok.</t>
        </is>
      </c>
      <c r="G799" s="13" t="inlineStr">
        <is>
          <t>Tinggi</t>
        </is>
      </c>
      <c r="H799" s="18" t="n"/>
      <c r="I799" s="18" t="n"/>
      <c r="J799" s="18" t="n"/>
      <c r="K799" s="18" t="n"/>
      <c r="L799" s="18" t="n"/>
    </row>
    <row r="800" ht="43.59999999999999" customHeight="1">
      <c r="A800" s="14" t="n">
        <v>796</v>
      </c>
      <c r="B800" s="16" t="inlineStr">
        <is>
          <t>WB-DTL-03</t>
        </is>
      </c>
      <c r="C800" s="15" t="inlineStr">
        <is>
          <t>Grid menampilkan persis baris tersimpan</t>
        </is>
      </c>
      <c r="D800" s="17" t="inlineStr">
        <is>
          <t>Storage Tank</t>
        </is>
      </c>
      <c r="E800" s="15" t="inlineStr">
        <is>
          <t>SPV-A</t>
        </is>
      </c>
      <c r="F800" s="15" t="inlineStr">
        <is>
          <t>- Grid menampilkan tepat 3 baris.
- Tidak digambar 24 baris dengan 21 di antaranya kosong.
- Slot waktu dan nilainya cocok.</t>
        </is>
      </c>
      <c r="G800" s="13" t="inlineStr">
        <is>
          <t>Tinggi</t>
        </is>
      </c>
      <c r="H800" s="18" t="n"/>
      <c r="I800" s="18" t="n"/>
      <c r="J800" s="18" t="n"/>
      <c r="K800" s="18" t="n"/>
      <c r="L800" s="18" t="n"/>
    </row>
    <row r="801" ht="43.59999999999999" customHeight="1">
      <c r="A801" s="10" t="n">
        <v>797</v>
      </c>
      <c r="B801" s="11" t="inlineStr">
        <is>
          <t>WB-DTL-03</t>
        </is>
      </c>
      <c r="C801" s="5" t="inlineStr">
        <is>
          <t>Grid menampilkan persis baris tersimpan</t>
        </is>
      </c>
      <c r="D801" s="12" t="inlineStr">
        <is>
          <t>Solid Waste Disposal</t>
        </is>
      </c>
      <c r="E801" s="5" t="inlineStr">
        <is>
          <t>SPV-A</t>
        </is>
      </c>
      <c r="F801" s="5" t="inlineStr">
        <is>
          <t>- Grid menampilkan tepat 3 baris.
- Tidak digambar 24 baris dengan 21 di antaranya kosong.
- Slot waktu dan nilainya cocok.</t>
        </is>
      </c>
      <c r="G801" s="13" t="inlineStr">
        <is>
          <t>Tinggi</t>
        </is>
      </c>
      <c r="H801" s="18" t="n"/>
      <c r="I801" s="18" t="n"/>
      <c r="J801" s="18" t="n"/>
      <c r="K801" s="18" t="n"/>
      <c r="L801" s="18" t="n"/>
    </row>
    <row r="802" ht="43.59999999999999" customHeight="1">
      <c r="A802" s="14" t="n">
        <v>798</v>
      </c>
      <c r="B802" s="16" t="inlineStr">
        <is>
          <t>WB-DTL-03</t>
        </is>
      </c>
      <c r="C802" s="15" t="inlineStr">
        <is>
          <t>Grid menampilkan persis baris tersimpan</t>
        </is>
      </c>
      <c r="D802" s="17" t="inlineStr">
        <is>
          <t>Kernel Dispatch</t>
        </is>
      </c>
      <c r="E802" s="15" t="inlineStr">
        <is>
          <t>SPV-A</t>
        </is>
      </c>
      <c r="F802" s="15" t="inlineStr">
        <is>
          <t>- Grid menampilkan tepat 3 baris.
- Tidak digambar 24 baris dengan 21 di antaranya kosong.
- Slot waktu dan nilainya cocok.</t>
        </is>
      </c>
      <c r="G802" s="13" t="inlineStr">
        <is>
          <t>Tinggi</t>
        </is>
      </c>
      <c r="H802" s="18" t="n"/>
      <c r="I802" s="18" t="n"/>
      <c r="J802" s="18" t="n"/>
      <c r="K802" s="18" t="n"/>
      <c r="L802" s="18" t="n"/>
    </row>
    <row r="803" ht="43.59999999999999" customHeight="1">
      <c r="A803" s="10" t="n">
        <v>799</v>
      </c>
      <c r="B803" s="11" t="inlineStr">
        <is>
          <t>WB-DTL-03</t>
        </is>
      </c>
      <c r="C803" s="5" t="inlineStr">
        <is>
          <t>Grid menampilkan persis baris tersimpan</t>
        </is>
      </c>
      <c r="D803" s="12" t="inlineStr">
        <is>
          <t>CPO Dispatch</t>
        </is>
      </c>
      <c r="E803" s="5" t="inlineStr">
        <is>
          <t>SPV-A</t>
        </is>
      </c>
      <c r="F803" s="5" t="inlineStr">
        <is>
          <t>- Grid menampilkan tepat 3 baris.
- Tidak digambar 24 baris dengan 21 di antaranya kosong.
- Slot waktu dan nilainya cocok.</t>
        </is>
      </c>
      <c r="G803" s="13" t="inlineStr">
        <is>
          <t>Tinggi</t>
        </is>
      </c>
      <c r="H803" s="18" t="n"/>
      <c r="I803" s="18" t="n"/>
      <c r="J803" s="18" t="n"/>
      <c r="K803" s="18" t="n"/>
      <c r="L803" s="18" t="n"/>
    </row>
    <row r="804" ht="43.59999999999999" customHeight="1">
      <c r="A804" s="14" t="n">
        <v>800</v>
      </c>
      <c r="B804" s="16" t="inlineStr">
        <is>
          <t>WB-DTL-03</t>
        </is>
      </c>
      <c r="C804" s="15" t="inlineStr">
        <is>
          <t>Grid menampilkan persis baris tersimpan</t>
        </is>
      </c>
      <c r="D804" s="17" t="inlineStr">
        <is>
          <t>Process Quality Control</t>
        </is>
      </c>
      <c r="E804" s="15" t="inlineStr">
        <is>
          <t>SPV-A</t>
        </is>
      </c>
      <c r="F804" s="15" t="inlineStr">
        <is>
          <t>- Grid menampilkan tepat 3 baris.
- Tidak digambar 24 baris dengan 21 di antaranya kosong.
- Slot waktu dan nilainya cocok.</t>
        </is>
      </c>
      <c r="G804" s="13" t="inlineStr">
        <is>
          <t>Tinggi</t>
        </is>
      </c>
      <c r="H804" s="18" t="n"/>
      <c r="I804" s="18" t="n"/>
      <c r="J804" s="18" t="n"/>
      <c r="K804" s="18" t="n"/>
      <c r="L804" s="18" t="n"/>
    </row>
    <row r="805" ht="70" customHeight="1">
      <c r="A805" s="10" t="n">
        <v>801</v>
      </c>
      <c r="B805" s="11" t="inlineStr">
        <is>
          <t>WB-DTL-04</t>
        </is>
      </c>
      <c r="C805" s="5" t="inlineStr">
        <is>
          <t>Edit membuka Form mode ubah dengan isi yang sama</t>
        </is>
      </c>
      <c r="D805" s="12" t="inlineStr">
        <is>
          <t>Weighbridge</t>
        </is>
      </c>
      <c r="E805" s="5" t="inlineStr">
        <is>
          <t>SPV-A</t>
        </is>
      </c>
      <c r="F805" s="5" t="inlineStr">
        <is>
          <t>- Terbuka Form mode ubah (/data/&lt;stasiun&gt;/&lt;id&gt;/edit).
- Seluruh nilai sama dengan Detail — tidak ada yang kosong atau tergeser.
- Production Line terkunci pada mode ubah (lihat WB-FRM-02).</t>
        </is>
      </c>
      <c r="G805" s="13" t="inlineStr">
        <is>
          <t>Tinggi</t>
        </is>
      </c>
      <c r="H805" s="18" t="n"/>
      <c r="I805" s="18" t="n"/>
      <c r="J805" s="18" t="n"/>
      <c r="K805" s="18" t="n"/>
      <c r="L805" s="18" t="n"/>
    </row>
    <row r="806" ht="70" customHeight="1">
      <c r="A806" s="14" t="n">
        <v>802</v>
      </c>
      <c r="B806" s="16" t="inlineStr">
        <is>
          <t>WB-DTL-04</t>
        </is>
      </c>
      <c r="C806" s="15" t="inlineStr">
        <is>
          <t>Edit membuka Form mode ubah dengan isi yang sama</t>
        </is>
      </c>
      <c r="D806" s="17" t="inlineStr">
        <is>
          <t>Grading</t>
        </is>
      </c>
      <c r="E806" s="15" t="inlineStr">
        <is>
          <t>SPV-A</t>
        </is>
      </c>
      <c r="F806" s="15" t="inlineStr">
        <is>
          <t>- Terbuka Form mode ubah (/data/&lt;stasiun&gt;/&lt;id&gt;/edit).
- Seluruh nilai sama dengan Detail — tidak ada yang kosong atau tergeser.
- Production Line terkunci pada mode ubah (lihat WB-FRM-02).</t>
        </is>
      </c>
      <c r="G806" s="13" t="inlineStr">
        <is>
          <t>Tinggi</t>
        </is>
      </c>
      <c r="H806" s="18" t="n"/>
      <c r="I806" s="18" t="n"/>
      <c r="J806" s="18" t="n"/>
      <c r="K806" s="18" t="n"/>
      <c r="L806" s="18" t="n"/>
    </row>
    <row r="807" ht="70" customHeight="1">
      <c r="A807" s="10" t="n">
        <v>803</v>
      </c>
      <c r="B807" s="11" t="inlineStr">
        <is>
          <t>WB-DTL-04</t>
        </is>
      </c>
      <c r="C807" s="5" t="inlineStr">
        <is>
          <t>Edit membuka Form mode ubah dengan isi yang sama</t>
        </is>
      </c>
      <c r="D807" s="12" t="inlineStr">
        <is>
          <t>Cages Track</t>
        </is>
      </c>
      <c r="E807" s="5" t="inlineStr">
        <is>
          <t>SPV-A</t>
        </is>
      </c>
      <c r="F807" s="5" t="inlineStr">
        <is>
          <t>- Terbuka Form mode ubah (/data/&lt;stasiun&gt;/&lt;id&gt;/edit).
- Seluruh nilai sama dengan Detail — tidak ada yang kosong atau tergeser.
- Production Line terkunci pada mode ubah (lihat WB-FRM-02).</t>
        </is>
      </c>
      <c r="G807" s="13" t="inlineStr">
        <is>
          <t>Tinggi</t>
        </is>
      </c>
      <c r="H807" s="18" t="n"/>
      <c r="I807" s="18" t="n"/>
      <c r="J807" s="18" t="n"/>
      <c r="K807" s="18" t="n"/>
      <c r="L807" s="18" t="n"/>
    </row>
    <row r="808" ht="70" customHeight="1">
      <c r="A808" s="14" t="n">
        <v>804</v>
      </c>
      <c r="B808" s="16" t="inlineStr">
        <is>
          <t>WB-DTL-04</t>
        </is>
      </c>
      <c r="C808" s="15" t="inlineStr">
        <is>
          <t>Edit membuka Form mode ubah dengan isi yang sama</t>
        </is>
      </c>
      <c r="D808" s="17" t="inlineStr">
        <is>
          <t>Sterilizer</t>
        </is>
      </c>
      <c r="E808" s="15" t="inlineStr">
        <is>
          <t>SPV-A</t>
        </is>
      </c>
      <c r="F808" s="15" t="inlineStr">
        <is>
          <t>- Terbuka Form mode ubah (/data/&lt;stasiun&gt;/&lt;id&gt;/edit).
- Seluruh nilai sama dengan Detail — tidak ada yang kosong atau tergeser.
- Production Line terkunci pada mode ubah (lihat WB-FRM-02).</t>
        </is>
      </c>
      <c r="G808" s="13" t="inlineStr">
        <is>
          <t>Tinggi</t>
        </is>
      </c>
      <c r="H808" s="18" t="n"/>
      <c r="I808" s="18" t="n"/>
      <c r="J808" s="18" t="n"/>
      <c r="K808" s="18" t="n"/>
      <c r="L808" s="18" t="n"/>
    </row>
    <row r="809" ht="70" customHeight="1">
      <c r="A809" s="10" t="n">
        <v>805</v>
      </c>
      <c r="B809" s="11" t="inlineStr">
        <is>
          <t>WB-DTL-04</t>
        </is>
      </c>
      <c r="C809" s="5" t="inlineStr">
        <is>
          <t>Edit membuka Form mode ubah dengan isi yang sama</t>
        </is>
      </c>
      <c r="D809" s="12" t="inlineStr">
        <is>
          <t>Threshing</t>
        </is>
      </c>
      <c r="E809" s="5" t="inlineStr">
        <is>
          <t>SPV-A</t>
        </is>
      </c>
      <c r="F809" s="5" t="inlineStr">
        <is>
          <t>- Terbuka Form mode ubah (/data/&lt;stasiun&gt;/&lt;id&gt;/edit).
- Seluruh nilai sama dengan Detail — tidak ada yang kosong atau tergeser.
- Production Line terkunci pada mode ubah (lihat WB-FRM-02).</t>
        </is>
      </c>
      <c r="G809" s="13" t="inlineStr">
        <is>
          <t>Tinggi</t>
        </is>
      </c>
      <c r="H809" s="18" t="n"/>
      <c r="I809" s="18" t="n"/>
      <c r="J809" s="18" t="n"/>
      <c r="K809" s="18" t="n"/>
      <c r="L809" s="18" t="n"/>
    </row>
    <row r="810" ht="70" customHeight="1">
      <c r="A810" s="14" t="n">
        <v>806</v>
      </c>
      <c r="B810" s="16" t="inlineStr">
        <is>
          <t>WB-DTL-04</t>
        </is>
      </c>
      <c r="C810" s="15" t="inlineStr">
        <is>
          <t>Edit membuka Form mode ubah dengan isi yang sama</t>
        </is>
      </c>
      <c r="D810" s="17" t="inlineStr">
        <is>
          <t>Pressing</t>
        </is>
      </c>
      <c r="E810" s="15" t="inlineStr">
        <is>
          <t>SPV-A</t>
        </is>
      </c>
      <c r="F810" s="15" t="inlineStr">
        <is>
          <t>- Terbuka Form mode ubah (/data/&lt;stasiun&gt;/&lt;id&gt;/edit).
- Seluruh nilai sama dengan Detail — tidak ada yang kosong atau tergeser.
- Production Line terkunci pada mode ubah (lihat WB-FRM-02).</t>
        </is>
      </c>
      <c r="G810" s="13" t="inlineStr">
        <is>
          <t>Tinggi</t>
        </is>
      </c>
      <c r="H810" s="18" t="n"/>
      <c r="I810" s="18" t="n"/>
      <c r="J810" s="18" t="n"/>
      <c r="K810" s="18" t="n"/>
      <c r="L810" s="18" t="n"/>
    </row>
    <row r="811" ht="70" customHeight="1">
      <c r="A811" s="10" t="n">
        <v>807</v>
      </c>
      <c r="B811" s="11" t="inlineStr">
        <is>
          <t>WB-DTL-04</t>
        </is>
      </c>
      <c r="C811" s="5" t="inlineStr">
        <is>
          <t>Edit membuka Form mode ubah dengan isi yang sama</t>
        </is>
      </c>
      <c r="D811" s="12" t="inlineStr">
        <is>
          <t>Clarification</t>
        </is>
      </c>
      <c r="E811" s="5" t="inlineStr">
        <is>
          <t>SPV-A</t>
        </is>
      </c>
      <c r="F811" s="5" t="inlineStr">
        <is>
          <t>- Terbuka Form mode ubah (/data/&lt;stasiun&gt;/&lt;id&gt;/edit).
- Seluruh nilai sama dengan Detail — tidak ada yang kosong atau tergeser.
- Production Line terkunci pada mode ubah (lihat WB-FRM-02).</t>
        </is>
      </c>
      <c r="G811" s="13" t="inlineStr">
        <is>
          <t>Tinggi</t>
        </is>
      </c>
      <c r="H811" s="18" t="n"/>
      <c r="I811" s="18" t="n"/>
      <c r="J811" s="18" t="n"/>
      <c r="K811" s="18" t="n"/>
      <c r="L811" s="18" t="n"/>
    </row>
    <row r="812" ht="70" customHeight="1">
      <c r="A812" s="14" t="n">
        <v>808</v>
      </c>
      <c r="B812" s="16" t="inlineStr">
        <is>
          <t>WB-DTL-04</t>
        </is>
      </c>
      <c r="C812" s="15" t="inlineStr">
        <is>
          <t>Edit membuka Form mode ubah dengan isi yang sama</t>
        </is>
      </c>
      <c r="D812" s="17" t="inlineStr">
        <is>
          <t>Kernel Plant</t>
        </is>
      </c>
      <c r="E812" s="15" t="inlineStr">
        <is>
          <t>SPV-A</t>
        </is>
      </c>
      <c r="F812" s="15" t="inlineStr">
        <is>
          <t>- Terbuka Form mode ubah (/data/&lt;stasiun&gt;/&lt;id&gt;/edit).
- Seluruh nilai sama dengan Detail — tidak ada yang kosong atau tergeser.
- Production Line terkunci pada mode ubah (lihat WB-FRM-02).</t>
        </is>
      </c>
      <c r="G812" s="13" t="inlineStr">
        <is>
          <t>Tinggi</t>
        </is>
      </c>
      <c r="H812" s="18" t="n"/>
      <c r="I812" s="18" t="n"/>
      <c r="J812" s="18" t="n"/>
      <c r="K812" s="18" t="n"/>
      <c r="L812" s="18" t="n"/>
    </row>
    <row r="813" ht="70" customHeight="1">
      <c r="A813" s="10" t="n">
        <v>809</v>
      </c>
      <c r="B813" s="11" t="inlineStr">
        <is>
          <t>WB-DTL-04</t>
        </is>
      </c>
      <c r="C813" s="5" t="inlineStr">
        <is>
          <t>Edit membuka Form mode ubah dengan isi yang sama</t>
        </is>
      </c>
      <c r="D813" s="12" t="inlineStr">
        <is>
          <t>Boiler Room</t>
        </is>
      </c>
      <c r="E813" s="5" t="inlineStr">
        <is>
          <t>SPV-A</t>
        </is>
      </c>
      <c r="F813" s="5" t="inlineStr">
        <is>
          <t>- Terbuka Form mode ubah (/data/&lt;stasiun&gt;/&lt;id&gt;/edit).
- Seluruh nilai sama dengan Detail — tidak ada yang kosong atau tergeser.
- Production Line terkunci pada mode ubah (lihat WB-FRM-02).</t>
        </is>
      </c>
      <c r="G813" s="13" t="inlineStr">
        <is>
          <t>Tinggi</t>
        </is>
      </c>
      <c r="H813" s="18" t="n"/>
      <c r="I813" s="18" t="n"/>
      <c r="J813" s="18" t="n"/>
      <c r="K813" s="18" t="n"/>
      <c r="L813" s="18" t="n"/>
    </row>
    <row r="814" ht="70" customHeight="1">
      <c r="A814" s="14" t="n">
        <v>810</v>
      </c>
      <c r="B814" s="16" t="inlineStr">
        <is>
          <t>WB-DTL-04</t>
        </is>
      </c>
      <c r="C814" s="15" t="inlineStr">
        <is>
          <t>Edit membuka Form mode ubah dengan isi yang sama</t>
        </is>
      </c>
      <c r="D814" s="17" t="inlineStr">
        <is>
          <t>Effluent Plant</t>
        </is>
      </c>
      <c r="E814" s="15" t="inlineStr">
        <is>
          <t>SPV-A</t>
        </is>
      </c>
      <c r="F814" s="15" t="inlineStr">
        <is>
          <t>- Terbuka Form mode ubah (/data/&lt;stasiun&gt;/&lt;id&gt;/edit).
- Seluruh nilai sama dengan Detail — tidak ada yang kosong atau tergeser.
- Production Line terkunci pada mode ubah (lihat WB-FRM-02).</t>
        </is>
      </c>
      <c r="G814" s="13" t="inlineStr">
        <is>
          <t>Tinggi</t>
        </is>
      </c>
      <c r="H814" s="18" t="n"/>
      <c r="I814" s="18" t="n"/>
      <c r="J814" s="18" t="n"/>
      <c r="K814" s="18" t="n"/>
      <c r="L814" s="18" t="n"/>
    </row>
    <row r="815" ht="70" customHeight="1">
      <c r="A815" s="10" t="n">
        <v>811</v>
      </c>
      <c r="B815" s="11" t="inlineStr">
        <is>
          <t>WB-DTL-04</t>
        </is>
      </c>
      <c r="C815" s="5" t="inlineStr">
        <is>
          <t>Edit membuka Form mode ubah dengan isi yang sama</t>
        </is>
      </c>
      <c r="D815" s="12" t="inlineStr">
        <is>
          <t>Depricarping</t>
        </is>
      </c>
      <c r="E815" s="5" t="inlineStr">
        <is>
          <t>SPV-A</t>
        </is>
      </c>
      <c r="F815" s="5" t="inlineStr">
        <is>
          <t>- Terbuka Form mode ubah (/data/&lt;stasiun&gt;/&lt;id&gt;/edit).
- Seluruh nilai sama dengan Detail — tidak ada yang kosong atau tergeser.
- Production Line terkunci pada mode ubah (lihat WB-FRM-02).</t>
        </is>
      </c>
      <c r="G815" s="13" t="inlineStr">
        <is>
          <t>Tinggi</t>
        </is>
      </c>
      <c r="H815" s="18" t="n"/>
      <c r="I815" s="18" t="n"/>
      <c r="J815" s="18" t="n"/>
      <c r="K815" s="18" t="n"/>
      <c r="L815" s="18" t="n"/>
    </row>
    <row r="816" ht="70" customHeight="1">
      <c r="A816" s="14" t="n">
        <v>812</v>
      </c>
      <c r="B816" s="16" t="inlineStr">
        <is>
          <t>WB-DTL-04</t>
        </is>
      </c>
      <c r="C816" s="15" t="inlineStr">
        <is>
          <t>Edit membuka Form mode ubah dengan isi yang sama</t>
        </is>
      </c>
      <c r="D816" s="17" t="inlineStr">
        <is>
          <t>Engine Room</t>
        </is>
      </c>
      <c r="E816" s="15" t="inlineStr">
        <is>
          <t>SPV-A</t>
        </is>
      </c>
      <c r="F816" s="15" t="inlineStr">
        <is>
          <t>- Terbuka Form mode ubah (/data/&lt;stasiun&gt;/&lt;id&gt;/edit).
- Seluruh nilai sama dengan Detail — tidak ada yang kosong atau tergeser.
- Production Line terkunci pada mode ubah (lihat WB-FRM-02).</t>
        </is>
      </c>
      <c r="G816" s="13" t="inlineStr">
        <is>
          <t>Tinggi</t>
        </is>
      </c>
      <c r="H816" s="18" t="n"/>
      <c r="I816" s="18" t="n"/>
      <c r="J816" s="18" t="n"/>
      <c r="K816" s="18" t="n"/>
      <c r="L816" s="18" t="n"/>
    </row>
    <row r="817" ht="70" customHeight="1">
      <c r="A817" s="10" t="n">
        <v>813</v>
      </c>
      <c r="B817" s="11" t="inlineStr">
        <is>
          <t>WB-DTL-04</t>
        </is>
      </c>
      <c r="C817" s="5" t="inlineStr">
        <is>
          <t>Edit membuka Form mode ubah dengan isi yang sama</t>
        </is>
      </c>
      <c r="D817" s="12" t="inlineStr">
        <is>
          <t>Process Water</t>
        </is>
      </c>
      <c r="E817" s="5" t="inlineStr">
        <is>
          <t>SPV-A</t>
        </is>
      </c>
      <c r="F817" s="5" t="inlineStr">
        <is>
          <t>- Terbuka Form mode ubah (/data/&lt;stasiun&gt;/&lt;id&gt;/edit).
- Seluruh nilai sama dengan Detail — tidak ada yang kosong atau tergeser.
- Production Line terkunci pada mode ubah (lihat WB-FRM-02).</t>
        </is>
      </c>
      <c r="G817" s="13" t="inlineStr">
        <is>
          <t>Tinggi</t>
        </is>
      </c>
      <c r="H817" s="18" t="n"/>
      <c r="I817" s="18" t="n"/>
      <c r="J817" s="18" t="n"/>
      <c r="K817" s="18" t="n"/>
      <c r="L817" s="18" t="n"/>
    </row>
    <row r="818" ht="70" customHeight="1">
      <c r="A818" s="14" t="n">
        <v>814</v>
      </c>
      <c r="B818" s="16" t="inlineStr">
        <is>
          <t>WB-DTL-04</t>
        </is>
      </c>
      <c r="C818" s="15" t="inlineStr">
        <is>
          <t>Edit membuka Form mode ubah dengan isi yang sama</t>
        </is>
      </c>
      <c r="D818" s="17" t="inlineStr">
        <is>
          <t>Storage Tank</t>
        </is>
      </c>
      <c r="E818" s="15" t="inlineStr">
        <is>
          <t>SPV-A</t>
        </is>
      </c>
      <c r="F818" s="15" t="inlineStr">
        <is>
          <t>- Terbuka Form mode ubah (/data/&lt;stasiun&gt;/&lt;id&gt;/edit).
- Seluruh nilai sama dengan Detail — tidak ada yang kosong atau tergeser.
- Production Line terkunci pada mode ubah (lihat WB-FRM-02).</t>
        </is>
      </c>
      <c r="G818" s="13" t="inlineStr">
        <is>
          <t>Tinggi</t>
        </is>
      </c>
      <c r="H818" s="18" t="n"/>
      <c r="I818" s="18" t="n"/>
      <c r="J818" s="18" t="n"/>
      <c r="K818" s="18" t="n"/>
      <c r="L818" s="18" t="n"/>
    </row>
    <row r="819" ht="70" customHeight="1">
      <c r="A819" s="10" t="n">
        <v>815</v>
      </c>
      <c r="B819" s="11" t="inlineStr">
        <is>
          <t>WB-DTL-04</t>
        </is>
      </c>
      <c r="C819" s="5" t="inlineStr">
        <is>
          <t>Edit membuka Form mode ubah dengan isi yang sama</t>
        </is>
      </c>
      <c r="D819" s="12" t="inlineStr">
        <is>
          <t>Solid Waste Disposal</t>
        </is>
      </c>
      <c r="E819" s="5" t="inlineStr">
        <is>
          <t>SPV-A</t>
        </is>
      </c>
      <c r="F819" s="5" t="inlineStr">
        <is>
          <t>- Terbuka Form mode ubah (/data/&lt;stasiun&gt;/&lt;id&gt;/edit).
- Seluruh nilai sama dengan Detail — tidak ada yang kosong atau tergeser.
- Production Line terkunci pada mode ubah (lihat WB-FRM-02).</t>
        </is>
      </c>
      <c r="G819" s="13" t="inlineStr">
        <is>
          <t>Tinggi</t>
        </is>
      </c>
      <c r="H819" s="18" t="n"/>
      <c r="I819" s="18" t="n"/>
      <c r="J819" s="18" t="n"/>
      <c r="K819" s="18" t="n"/>
      <c r="L819" s="18" t="n"/>
    </row>
    <row r="820" ht="70" customHeight="1">
      <c r="A820" s="14" t="n">
        <v>816</v>
      </c>
      <c r="B820" s="16" t="inlineStr">
        <is>
          <t>WB-DTL-04</t>
        </is>
      </c>
      <c r="C820" s="15" t="inlineStr">
        <is>
          <t>Edit membuka Form mode ubah dengan isi yang sama</t>
        </is>
      </c>
      <c r="D820" s="17" t="inlineStr">
        <is>
          <t>Kernel Dispatch</t>
        </is>
      </c>
      <c r="E820" s="15" t="inlineStr">
        <is>
          <t>SPV-A</t>
        </is>
      </c>
      <c r="F820" s="15" t="inlineStr">
        <is>
          <t>- Terbuka Form mode ubah (/data/&lt;stasiun&gt;/&lt;id&gt;/edit).
- Seluruh nilai sama dengan Detail — tidak ada yang kosong atau tergeser.
- Production Line terkunci pada mode ubah (lihat WB-FRM-02).</t>
        </is>
      </c>
      <c r="G820" s="13" t="inlineStr">
        <is>
          <t>Tinggi</t>
        </is>
      </c>
      <c r="H820" s="18" t="n"/>
      <c r="I820" s="18" t="n"/>
      <c r="J820" s="18" t="n"/>
      <c r="K820" s="18" t="n"/>
      <c r="L820" s="18" t="n"/>
    </row>
    <row r="821" ht="70" customHeight="1">
      <c r="A821" s="10" t="n">
        <v>817</v>
      </c>
      <c r="B821" s="11" t="inlineStr">
        <is>
          <t>WB-DTL-04</t>
        </is>
      </c>
      <c r="C821" s="5" t="inlineStr">
        <is>
          <t>Edit membuka Form mode ubah dengan isi yang sama</t>
        </is>
      </c>
      <c r="D821" s="12" t="inlineStr">
        <is>
          <t>CPO Dispatch</t>
        </is>
      </c>
      <c r="E821" s="5" t="inlineStr">
        <is>
          <t>SPV-A</t>
        </is>
      </c>
      <c r="F821" s="5" t="inlineStr">
        <is>
          <t>- Terbuka Form mode ubah (/data/&lt;stasiun&gt;/&lt;id&gt;/edit).
- Seluruh nilai sama dengan Detail — tidak ada yang kosong atau tergeser.
- Production Line terkunci pada mode ubah (lihat WB-FRM-02).</t>
        </is>
      </c>
      <c r="G821" s="13" t="inlineStr">
        <is>
          <t>Tinggi</t>
        </is>
      </c>
      <c r="H821" s="18" t="n"/>
      <c r="I821" s="18" t="n"/>
      <c r="J821" s="18" t="n"/>
      <c r="K821" s="18" t="n"/>
      <c r="L821" s="18" t="n"/>
    </row>
    <row r="822" ht="70" customHeight="1">
      <c r="A822" s="14" t="n">
        <v>818</v>
      </c>
      <c r="B822" s="16" t="inlineStr">
        <is>
          <t>WB-DTL-04</t>
        </is>
      </c>
      <c r="C822" s="15" t="inlineStr">
        <is>
          <t>Edit membuka Form mode ubah dengan isi yang sama</t>
        </is>
      </c>
      <c r="D822" s="17" t="inlineStr">
        <is>
          <t>Process Quality Control</t>
        </is>
      </c>
      <c r="E822" s="15" t="inlineStr">
        <is>
          <t>SPV-A</t>
        </is>
      </c>
      <c r="F822" s="15" t="inlineStr">
        <is>
          <t>- Terbuka Form mode ubah (/data/&lt;stasiun&gt;/&lt;id&gt;/edit).
- Seluruh nilai sama dengan Detail — tidak ada yang kosong atau tergeser.
- Production Line terkunci pada mode ubah (lihat WB-FRM-02).</t>
        </is>
      </c>
      <c r="G822" s="13" t="inlineStr">
        <is>
          <t>Tinggi</t>
        </is>
      </c>
      <c r="H822" s="18" t="n"/>
      <c r="I822" s="18" t="n"/>
      <c r="J822" s="18" t="n"/>
      <c r="K822" s="18" t="n"/>
      <c r="L822" s="18" t="n"/>
    </row>
    <row r="823" ht="70" customHeight="1">
      <c r="A823" s="10" t="n">
        <v>819</v>
      </c>
      <c r="B823" s="11" t="inlineStr">
        <is>
          <t>WB-DTL-05</t>
        </is>
      </c>
      <c r="C823" s="5" t="inlineStr">
        <is>
          <t>Back kembali ke Data Browser dengan filter yang masih sama</t>
        </is>
      </c>
      <c r="D823" s="12" t="inlineStr">
        <is>
          <t>Weighbridge</t>
        </is>
      </c>
      <c r="E823" s="5" t="inlineStr">
        <is>
          <t>SPV-A</t>
        </is>
      </c>
      <c r="F823" s="5" t="inlineStr">
        <is>
          <t>- Kembali ke Data Browser stasiun yang sama.
- Filternya masih sama — tidak tereset.
- Halaman yang sedang dibuka juga tetap, atau setidaknya filternya dipertahankan sehingga baris itu mudah ditemukan lagi.</t>
        </is>
      </c>
      <c r="G823" s="10" t="inlineStr">
        <is>
          <t>Sedang</t>
        </is>
      </c>
      <c r="H823" s="18" t="n"/>
      <c r="I823" s="18" t="n"/>
      <c r="J823" s="18" t="n"/>
      <c r="K823" s="18" t="n"/>
      <c r="L823" s="18" t="n"/>
    </row>
    <row r="824" ht="70" customHeight="1">
      <c r="A824" s="14" t="n">
        <v>820</v>
      </c>
      <c r="B824" s="16" t="inlineStr">
        <is>
          <t>WB-DTL-05</t>
        </is>
      </c>
      <c r="C824" s="15" t="inlineStr">
        <is>
          <t>Back kembali ke Data Browser dengan filter yang masih sama</t>
        </is>
      </c>
      <c r="D824" s="17" t="inlineStr">
        <is>
          <t>Grading</t>
        </is>
      </c>
      <c r="E824" s="15" t="inlineStr">
        <is>
          <t>SPV-A</t>
        </is>
      </c>
      <c r="F824" s="15" t="inlineStr">
        <is>
          <t>- Kembali ke Data Browser stasiun yang sama.
- Filternya masih sama — tidak tereset.
- Halaman yang sedang dibuka juga tetap, atau setidaknya filternya dipertahankan sehingga baris itu mudah ditemukan lagi.</t>
        </is>
      </c>
      <c r="G824" s="14" t="inlineStr">
        <is>
          <t>Sedang</t>
        </is>
      </c>
      <c r="H824" s="18" t="n"/>
      <c r="I824" s="18" t="n"/>
      <c r="J824" s="18" t="n"/>
      <c r="K824" s="18" t="n"/>
      <c r="L824" s="18" t="n"/>
    </row>
    <row r="825" ht="70" customHeight="1">
      <c r="A825" s="10" t="n">
        <v>821</v>
      </c>
      <c r="B825" s="11" t="inlineStr">
        <is>
          <t>WB-DTL-05</t>
        </is>
      </c>
      <c r="C825" s="5" t="inlineStr">
        <is>
          <t>Back kembali ke Data Browser dengan filter yang masih sama</t>
        </is>
      </c>
      <c r="D825" s="12" t="inlineStr">
        <is>
          <t>Cages Track</t>
        </is>
      </c>
      <c r="E825" s="5" t="inlineStr">
        <is>
          <t>SPV-A</t>
        </is>
      </c>
      <c r="F825" s="5" t="inlineStr">
        <is>
          <t>- Kembali ke Data Browser stasiun yang sama.
- Filternya masih sama — tidak tereset.
- Halaman yang sedang dibuka juga tetap, atau setidaknya filternya dipertahankan sehingga baris itu mudah ditemukan lagi.</t>
        </is>
      </c>
      <c r="G825" s="10" t="inlineStr">
        <is>
          <t>Sedang</t>
        </is>
      </c>
      <c r="H825" s="18" t="n"/>
      <c r="I825" s="18" t="n"/>
      <c r="J825" s="18" t="n"/>
      <c r="K825" s="18" t="n"/>
      <c r="L825" s="18" t="n"/>
    </row>
    <row r="826" ht="70" customHeight="1">
      <c r="A826" s="14" t="n">
        <v>822</v>
      </c>
      <c r="B826" s="16" t="inlineStr">
        <is>
          <t>WB-DTL-05</t>
        </is>
      </c>
      <c r="C826" s="15" t="inlineStr">
        <is>
          <t>Back kembali ke Data Browser dengan filter yang masih sama</t>
        </is>
      </c>
      <c r="D826" s="17" t="inlineStr">
        <is>
          <t>Sterilizer</t>
        </is>
      </c>
      <c r="E826" s="15" t="inlineStr">
        <is>
          <t>SPV-A</t>
        </is>
      </c>
      <c r="F826" s="15" t="inlineStr">
        <is>
          <t>- Kembali ke Data Browser stasiun yang sama.
- Filternya masih sama — tidak tereset.
- Halaman yang sedang dibuka juga tetap, atau setidaknya filternya dipertahankan sehingga baris itu mudah ditemukan lagi.</t>
        </is>
      </c>
      <c r="G826" s="14" t="inlineStr">
        <is>
          <t>Sedang</t>
        </is>
      </c>
      <c r="H826" s="18" t="n"/>
      <c r="I826" s="18" t="n"/>
      <c r="J826" s="18" t="n"/>
      <c r="K826" s="18" t="n"/>
      <c r="L826" s="18" t="n"/>
    </row>
    <row r="827" ht="70" customHeight="1">
      <c r="A827" s="10" t="n">
        <v>823</v>
      </c>
      <c r="B827" s="11" t="inlineStr">
        <is>
          <t>WB-DTL-05</t>
        </is>
      </c>
      <c r="C827" s="5" t="inlineStr">
        <is>
          <t>Back kembali ke Data Browser dengan filter yang masih sama</t>
        </is>
      </c>
      <c r="D827" s="12" t="inlineStr">
        <is>
          <t>Threshing</t>
        </is>
      </c>
      <c r="E827" s="5" t="inlineStr">
        <is>
          <t>SPV-A</t>
        </is>
      </c>
      <c r="F827" s="5" t="inlineStr">
        <is>
          <t>- Kembali ke Data Browser stasiun yang sama.
- Filternya masih sama — tidak tereset.
- Halaman yang sedang dibuka juga tetap, atau setidaknya filternya dipertahankan sehingga baris itu mudah ditemukan lagi.</t>
        </is>
      </c>
      <c r="G827" s="10" t="inlineStr">
        <is>
          <t>Sedang</t>
        </is>
      </c>
      <c r="H827" s="18" t="n"/>
      <c r="I827" s="18" t="n"/>
      <c r="J827" s="18" t="n"/>
      <c r="K827" s="18" t="n"/>
      <c r="L827" s="18" t="n"/>
    </row>
    <row r="828" ht="70" customHeight="1">
      <c r="A828" s="14" t="n">
        <v>824</v>
      </c>
      <c r="B828" s="16" t="inlineStr">
        <is>
          <t>WB-DTL-05</t>
        </is>
      </c>
      <c r="C828" s="15" t="inlineStr">
        <is>
          <t>Back kembali ke Data Browser dengan filter yang masih sama</t>
        </is>
      </c>
      <c r="D828" s="17" t="inlineStr">
        <is>
          <t>Pressing</t>
        </is>
      </c>
      <c r="E828" s="15" t="inlineStr">
        <is>
          <t>SPV-A</t>
        </is>
      </c>
      <c r="F828" s="15" t="inlineStr">
        <is>
          <t>- Kembali ke Data Browser stasiun yang sama.
- Filternya masih sama — tidak tereset.
- Halaman yang sedang dibuka juga tetap, atau setidaknya filternya dipertahankan sehingga baris itu mudah ditemukan lagi.</t>
        </is>
      </c>
      <c r="G828" s="14" t="inlineStr">
        <is>
          <t>Sedang</t>
        </is>
      </c>
      <c r="H828" s="18" t="n"/>
      <c r="I828" s="18" t="n"/>
      <c r="J828" s="18" t="n"/>
      <c r="K828" s="18" t="n"/>
      <c r="L828" s="18" t="n"/>
    </row>
    <row r="829" ht="70" customHeight="1">
      <c r="A829" s="10" t="n">
        <v>825</v>
      </c>
      <c r="B829" s="11" t="inlineStr">
        <is>
          <t>WB-DTL-05</t>
        </is>
      </c>
      <c r="C829" s="5" t="inlineStr">
        <is>
          <t>Back kembali ke Data Browser dengan filter yang masih sama</t>
        </is>
      </c>
      <c r="D829" s="12" t="inlineStr">
        <is>
          <t>Clarification</t>
        </is>
      </c>
      <c r="E829" s="5" t="inlineStr">
        <is>
          <t>SPV-A</t>
        </is>
      </c>
      <c r="F829" s="5" t="inlineStr">
        <is>
          <t>- Kembali ke Data Browser stasiun yang sama.
- Filternya masih sama — tidak tereset.
- Halaman yang sedang dibuka juga tetap, atau setidaknya filternya dipertahankan sehingga baris itu mudah ditemukan lagi.</t>
        </is>
      </c>
      <c r="G829" s="10" t="inlineStr">
        <is>
          <t>Sedang</t>
        </is>
      </c>
      <c r="H829" s="18" t="n"/>
      <c r="I829" s="18" t="n"/>
      <c r="J829" s="18" t="n"/>
      <c r="K829" s="18" t="n"/>
      <c r="L829" s="18" t="n"/>
    </row>
    <row r="830" ht="70" customHeight="1">
      <c r="A830" s="14" t="n">
        <v>826</v>
      </c>
      <c r="B830" s="16" t="inlineStr">
        <is>
          <t>WB-DTL-05</t>
        </is>
      </c>
      <c r="C830" s="15" t="inlineStr">
        <is>
          <t>Back kembali ke Data Browser dengan filter yang masih sama</t>
        </is>
      </c>
      <c r="D830" s="17" t="inlineStr">
        <is>
          <t>Kernel Plant</t>
        </is>
      </c>
      <c r="E830" s="15" t="inlineStr">
        <is>
          <t>SPV-A</t>
        </is>
      </c>
      <c r="F830" s="15" t="inlineStr">
        <is>
          <t>- Kembali ke Data Browser stasiun yang sama.
- Filternya masih sama — tidak tereset.
- Halaman yang sedang dibuka juga tetap, atau setidaknya filternya dipertahankan sehingga baris itu mudah ditemukan lagi.</t>
        </is>
      </c>
      <c r="G830" s="14" t="inlineStr">
        <is>
          <t>Sedang</t>
        </is>
      </c>
      <c r="H830" s="18" t="n"/>
      <c r="I830" s="18" t="n"/>
      <c r="J830" s="18" t="n"/>
      <c r="K830" s="18" t="n"/>
      <c r="L830" s="18" t="n"/>
    </row>
    <row r="831" ht="70" customHeight="1">
      <c r="A831" s="10" t="n">
        <v>827</v>
      </c>
      <c r="B831" s="11" t="inlineStr">
        <is>
          <t>WB-DTL-05</t>
        </is>
      </c>
      <c r="C831" s="5" t="inlineStr">
        <is>
          <t>Back kembali ke Data Browser dengan filter yang masih sama</t>
        </is>
      </c>
      <c r="D831" s="12" t="inlineStr">
        <is>
          <t>Boiler Room</t>
        </is>
      </c>
      <c r="E831" s="5" t="inlineStr">
        <is>
          <t>SPV-A</t>
        </is>
      </c>
      <c r="F831" s="5" t="inlineStr">
        <is>
          <t>- Kembali ke Data Browser stasiun yang sama.
- Filternya masih sama — tidak tereset.
- Halaman yang sedang dibuka juga tetap, atau setidaknya filternya dipertahankan sehingga baris itu mudah ditemukan lagi.</t>
        </is>
      </c>
      <c r="G831" s="10" t="inlineStr">
        <is>
          <t>Sedang</t>
        </is>
      </c>
      <c r="H831" s="18" t="n"/>
      <c r="I831" s="18" t="n"/>
      <c r="J831" s="18" t="n"/>
      <c r="K831" s="18" t="n"/>
      <c r="L831" s="18" t="n"/>
    </row>
    <row r="832" ht="70" customHeight="1">
      <c r="A832" s="14" t="n">
        <v>828</v>
      </c>
      <c r="B832" s="16" t="inlineStr">
        <is>
          <t>WB-DTL-05</t>
        </is>
      </c>
      <c r="C832" s="15" t="inlineStr">
        <is>
          <t>Back kembali ke Data Browser dengan filter yang masih sama</t>
        </is>
      </c>
      <c r="D832" s="17" t="inlineStr">
        <is>
          <t>Effluent Plant</t>
        </is>
      </c>
      <c r="E832" s="15" t="inlineStr">
        <is>
          <t>SPV-A</t>
        </is>
      </c>
      <c r="F832" s="15" t="inlineStr">
        <is>
          <t>- Kembali ke Data Browser stasiun yang sama.
- Filternya masih sama — tidak tereset.
- Halaman yang sedang dibuka juga tetap, atau setidaknya filternya dipertahankan sehingga baris itu mudah ditemukan lagi.</t>
        </is>
      </c>
      <c r="G832" s="14" t="inlineStr">
        <is>
          <t>Sedang</t>
        </is>
      </c>
      <c r="H832" s="18" t="n"/>
      <c r="I832" s="18" t="n"/>
      <c r="J832" s="18" t="n"/>
      <c r="K832" s="18" t="n"/>
      <c r="L832" s="18" t="n"/>
    </row>
    <row r="833" ht="70" customHeight="1">
      <c r="A833" s="10" t="n">
        <v>829</v>
      </c>
      <c r="B833" s="11" t="inlineStr">
        <is>
          <t>WB-DTL-05</t>
        </is>
      </c>
      <c r="C833" s="5" t="inlineStr">
        <is>
          <t>Back kembali ke Data Browser dengan filter yang masih sama</t>
        </is>
      </c>
      <c r="D833" s="12" t="inlineStr">
        <is>
          <t>Depricarping</t>
        </is>
      </c>
      <c r="E833" s="5" t="inlineStr">
        <is>
          <t>SPV-A</t>
        </is>
      </c>
      <c r="F833" s="5" t="inlineStr">
        <is>
          <t>- Kembali ke Data Browser stasiun yang sama.
- Filternya masih sama — tidak tereset.
- Halaman yang sedang dibuka juga tetap, atau setidaknya filternya dipertahankan sehingga baris itu mudah ditemukan lagi.</t>
        </is>
      </c>
      <c r="G833" s="10" t="inlineStr">
        <is>
          <t>Sedang</t>
        </is>
      </c>
      <c r="H833" s="18" t="n"/>
      <c r="I833" s="18" t="n"/>
      <c r="J833" s="18" t="n"/>
      <c r="K833" s="18" t="n"/>
      <c r="L833" s="18" t="n"/>
    </row>
    <row r="834" ht="70" customHeight="1">
      <c r="A834" s="14" t="n">
        <v>830</v>
      </c>
      <c r="B834" s="16" t="inlineStr">
        <is>
          <t>WB-DTL-05</t>
        </is>
      </c>
      <c r="C834" s="15" t="inlineStr">
        <is>
          <t>Back kembali ke Data Browser dengan filter yang masih sama</t>
        </is>
      </c>
      <c r="D834" s="17" t="inlineStr">
        <is>
          <t>Engine Room</t>
        </is>
      </c>
      <c r="E834" s="15" t="inlineStr">
        <is>
          <t>SPV-A</t>
        </is>
      </c>
      <c r="F834" s="15" t="inlineStr">
        <is>
          <t>- Kembali ke Data Browser stasiun yang sama.
- Filternya masih sama — tidak tereset.
- Halaman yang sedang dibuka juga tetap, atau setidaknya filternya dipertahankan sehingga baris itu mudah ditemukan lagi.</t>
        </is>
      </c>
      <c r="G834" s="14" t="inlineStr">
        <is>
          <t>Sedang</t>
        </is>
      </c>
      <c r="H834" s="18" t="n"/>
      <c r="I834" s="18" t="n"/>
      <c r="J834" s="18" t="n"/>
      <c r="K834" s="18" t="n"/>
      <c r="L834" s="18" t="n"/>
    </row>
    <row r="835" ht="70" customHeight="1">
      <c r="A835" s="10" t="n">
        <v>831</v>
      </c>
      <c r="B835" s="11" t="inlineStr">
        <is>
          <t>WB-DTL-05</t>
        </is>
      </c>
      <c r="C835" s="5" t="inlineStr">
        <is>
          <t>Back kembali ke Data Browser dengan filter yang masih sama</t>
        </is>
      </c>
      <c r="D835" s="12" t="inlineStr">
        <is>
          <t>Process Water</t>
        </is>
      </c>
      <c r="E835" s="5" t="inlineStr">
        <is>
          <t>SPV-A</t>
        </is>
      </c>
      <c r="F835" s="5" t="inlineStr">
        <is>
          <t>- Kembali ke Data Browser stasiun yang sama.
- Filternya masih sama — tidak tereset.
- Halaman yang sedang dibuka juga tetap, atau setidaknya filternya dipertahankan sehingga baris itu mudah ditemukan lagi.</t>
        </is>
      </c>
      <c r="G835" s="10" t="inlineStr">
        <is>
          <t>Sedang</t>
        </is>
      </c>
      <c r="H835" s="18" t="n"/>
      <c r="I835" s="18" t="n"/>
      <c r="J835" s="18" t="n"/>
      <c r="K835" s="18" t="n"/>
      <c r="L835" s="18" t="n"/>
    </row>
    <row r="836" ht="70" customHeight="1">
      <c r="A836" s="14" t="n">
        <v>832</v>
      </c>
      <c r="B836" s="16" t="inlineStr">
        <is>
          <t>WB-DTL-05</t>
        </is>
      </c>
      <c r="C836" s="15" t="inlineStr">
        <is>
          <t>Back kembali ke Data Browser dengan filter yang masih sama</t>
        </is>
      </c>
      <c r="D836" s="17" t="inlineStr">
        <is>
          <t>Storage Tank</t>
        </is>
      </c>
      <c r="E836" s="15" t="inlineStr">
        <is>
          <t>SPV-A</t>
        </is>
      </c>
      <c r="F836" s="15" t="inlineStr">
        <is>
          <t>- Kembali ke Data Browser stasiun yang sama.
- Filternya masih sama — tidak tereset.
- Halaman yang sedang dibuka juga tetap, atau setidaknya filternya dipertahankan sehingga baris itu mudah ditemukan lagi.</t>
        </is>
      </c>
      <c r="G836" s="14" t="inlineStr">
        <is>
          <t>Sedang</t>
        </is>
      </c>
      <c r="H836" s="18" t="n"/>
      <c r="I836" s="18" t="n"/>
      <c r="J836" s="18" t="n"/>
      <c r="K836" s="18" t="n"/>
      <c r="L836" s="18" t="n"/>
    </row>
    <row r="837" ht="70" customHeight="1">
      <c r="A837" s="10" t="n">
        <v>833</v>
      </c>
      <c r="B837" s="11" t="inlineStr">
        <is>
          <t>WB-DTL-05</t>
        </is>
      </c>
      <c r="C837" s="5" t="inlineStr">
        <is>
          <t>Back kembali ke Data Browser dengan filter yang masih sama</t>
        </is>
      </c>
      <c r="D837" s="12" t="inlineStr">
        <is>
          <t>Solid Waste Disposal</t>
        </is>
      </c>
      <c r="E837" s="5" t="inlineStr">
        <is>
          <t>SPV-A</t>
        </is>
      </c>
      <c r="F837" s="5" t="inlineStr">
        <is>
          <t>- Kembali ke Data Browser stasiun yang sama.
- Filternya masih sama — tidak tereset.
- Halaman yang sedang dibuka juga tetap, atau setidaknya filternya dipertahankan sehingga baris itu mudah ditemukan lagi.</t>
        </is>
      </c>
      <c r="G837" s="10" t="inlineStr">
        <is>
          <t>Sedang</t>
        </is>
      </c>
      <c r="H837" s="18" t="n"/>
      <c r="I837" s="18" t="n"/>
      <c r="J837" s="18" t="n"/>
      <c r="K837" s="18" t="n"/>
      <c r="L837" s="18" t="n"/>
    </row>
    <row r="838" ht="70" customHeight="1">
      <c r="A838" s="14" t="n">
        <v>834</v>
      </c>
      <c r="B838" s="16" t="inlineStr">
        <is>
          <t>WB-DTL-05</t>
        </is>
      </c>
      <c r="C838" s="15" t="inlineStr">
        <is>
          <t>Back kembali ke Data Browser dengan filter yang masih sama</t>
        </is>
      </c>
      <c r="D838" s="17" t="inlineStr">
        <is>
          <t>Kernel Dispatch</t>
        </is>
      </c>
      <c r="E838" s="15" t="inlineStr">
        <is>
          <t>SPV-A</t>
        </is>
      </c>
      <c r="F838" s="15" t="inlineStr">
        <is>
          <t>- Kembali ke Data Browser stasiun yang sama.
- Filternya masih sama — tidak tereset.
- Halaman yang sedang dibuka juga tetap, atau setidaknya filternya dipertahankan sehingga baris itu mudah ditemukan lagi.</t>
        </is>
      </c>
      <c r="G838" s="14" t="inlineStr">
        <is>
          <t>Sedang</t>
        </is>
      </c>
      <c r="H838" s="18" t="n"/>
      <c r="I838" s="18" t="n"/>
      <c r="J838" s="18" t="n"/>
      <c r="K838" s="18" t="n"/>
      <c r="L838" s="18" t="n"/>
    </row>
    <row r="839" ht="70" customHeight="1">
      <c r="A839" s="10" t="n">
        <v>835</v>
      </c>
      <c r="B839" s="11" t="inlineStr">
        <is>
          <t>WB-DTL-05</t>
        </is>
      </c>
      <c r="C839" s="5" t="inlineStr">
        <is>
          <t>Back kembali ke Data Browser dengan filter yang masih sama</t>
        </is>
      </c>
      <c r="D839" s="12" t="inlineStr">
        <is>
          <t>CPO Dispatch</t>
        </is>
      </c>
      <c r="E839" s="5" t="inlineStr">
        <is>
          <t>SPV-A</t>
        </is>
      </c>
      <c r="F839" s="5" t="inlineStr">
        <is>
          <t>- Kembali ke Data Browser stasiun yang sama.
- Filternya masih sama — tidak tereset.
- Halaman yang sedang dibuka juga tetap, atau setidaknya filternya dipertahankan sehingga baris itu mudah ditemukan lagi.</t>
        </is>
      </c>
      <c r="G839" s="10" t="inlineStr">
        <is>
          <t>Sedang</t>
        </is>
      </c>
      <c r="H839" s="18" t="n"/>
      <c r="I839" s="18" t="n"/>
      <c r="J839" s="18" t="n"/>
      <c r="K839" s="18" t="n"/>
      <c r="L839" s="18" t="n"/>
    </row>
    <row r="840" ht="70" customHeight="1">
      <c r="A840" s="14" t="n">
        <v>836</v>
      </c>
      <c r="B840" s="16" t="inlineStr">
        <is>
          <t>WB-DTL-05</t>
        </is>
      </c>
      <c r="C840" s="15" t="inlineStr">
        <is>
          <t>Back kembali ke Data Browser dengan filter yang masih sama</t>
        </is>
      </c>
      <c r="D840" s="17" t="inlineStr">
        <is>
          <t>Process Quality Control</t>
        </is>
      </c>
      <c r="E840" s="15" t="inlineStr">
        <is>
          <t>SPV-A</t>
        </is>
      </c>
      <c r="F840" s="15" t="inlineStr">
        <is>
          <t>- Kembali ke Data Browser stasiun yang sama.
- Filternya masih sama — tidak tereset.
- Halaman yang sedang dibuka juga tetap, atau setidaknya filternya dipertahankan sehingga baris itu mudah ditemukan lagi.</t>
        </is>
      </c>
      <c r="G840" s="14" t="inlineStr">
        <is>
          <t>Sedang</t>
        </is>
      </c>
      <c r="H840" s="18" t="n"/>
      <c r="I840" s="18" t="n"/>
      <c r="J840" s="18" t="n"/>
      <c r="K840" s="18" t="n"/>
      <c r="L840" s="18" t="n"/>
    </row>
    <row r="841" ht="70" customHeight="1">
      <c r="A841" s="10" t="n">
        <v>837</v>
      </c>
      <c r="B841" s="11" t="inlineStr">
        <is>
          <t>WB-FRM-01</t>
        </is>
      </c>
      <c r="C841" s="5" t="inlineStr">
        <is>
          <t>Simpan berhasil, status langsung Tersimpan</t>
        </is>
      </c>
      <c r="D841" s="12" t="inlineStr">
        <is>
          <t>Weighbridge</t>
        </is>
      </c>
      <c r="E841" s="5" t="inlineStr">
        <is>
          <t>SPV-A</t>
        </is>
      </c>
      <c r="F841" s="5" t="inlineStr">
        <is>
          <t>- Simpan berhasil, dengan pesan konfirmasi.
- Status record langsung Tersimpan — bukan Draft, karena input web tidak punya alur draft.
- Record muncul di Data Browser tanpa perlu muat ulang manual.</t>
        </is>
      </c>
      <c r="G841" s="13" t="inlineStr">
        <is>
          <t>Tinggi</t>
        </is>
      </c>
      <c r="H841" s="18" t="n"/>
      <c r="I841" s="18" t="n"/>
      <c r="J841" s="18" t="n"/>
      <c r="K841" s="18" t="n"/>
      <c r="L841" s="18" t="n"/>
    </row>
    <row r="842" ht="70" customHeight="1">
      <c r="A842" s="14" t="n">
        <v>838</v>
      </c>
      <c r="B842" s="16" t="inlineStr">
        <is>
          <t>WB-FRM-01</t>
        </is>
      </c>
      <c r="C842" s="15" t="inlineStr">
        <is>
          <t>Simpan berhasil, status langsung Tersimpan</t>
        </is>
      </c>
      <c r="D842" s="17" t="inlineStr">
        <is>
          <t>Grading</t>
        </is>
      </c>
      <c r="E842" s="15" t="inlineStr">
        <is>
          <t>SPV-A</t>
        </is>
      </c>
      <c r="F842" s="15" t="inlineStr">
        <is>
          <t>- Simpan berhasil, dengan pesan konfirmasi.
- Status record langsung Tersimpan — bukan Draft, karena input web tidak punya alur draft.
- Record muncul di Data Browser tanpa perlu muat ulang manual.</t>
        </is>
      </c>
      <c r="G842" s="13" t="inlineStr">
        <is>
          <t>Tinggi</t>
        </is>
      </c>
      <c r="H842" s="18" t="n"/>
      <c r="I842" s="18" t="n"/>
      <c r="J842" s="18" t="n"/>
      <c r="K842" s="18" t="n"/>
      <c r="L842" s="18" t="n"/>
    </row>
    <row r="843" ht="70" customHeight="1">
      <c r="A843" s="10" t="n">
        <v>839</v>
      </c>
      <c r="B843" s="11" t="inlineStr">
        <is>
          <t>WB-FRM-01</t>
        </is>
      </c>
      <c r="C843" s="5" t="inlineStr">
        <is>
          <t>Simpan berhasil, status langsung Tersimpan</t>
        </is>
      </c>
      <c r="D843" s="12" t="inlineStr">
        <is>
          <t>Cages Track</t>
        </is>
      </c>
      <c r="E843" s="5" t="inlineStr">
        <is>
          <t>SPV-A</t>
        </is>
      </c>
      <c r="F843" s="5" t="inlineStr">
        <is>
          <t>- Simpan berhasil, dengan pesan konfirmasi.
- Status record langsung Tersimpan — bukan Draft, karena input web tidak punya alur draft.
- Record muncul di Data Browser tanpa perlu muat ulang manual.</t>
        </is>
      </c>
      <c r="G843" s="13" t="inlineStr">
        <is>
          <t>Tinggi</t>
        </is>
      </c>
      <c r="H843" s="18" t="n"/>
      <c r="I843" s="18" t="n"/>
      <c r="J843" s="18" t="n"/>
      <c r="K843" s="18" t="n"/>
      <c r="L843" s="18" t="n"/>
    </row>
    <row r="844" ht="70" customHeight="1">
      <c r="A844" s="14" t="n">
        <v>840</v>
      </c>
      <c r="B844" s="16" t="inlineStr">
        <is>
          <t>WB-FRM-01</t>
        </is>
      </c>
      <c r="C844" s="15" t="inlineStr">
        <is>
          <t>Simpan berhasil, status langsung Tersimpan</t>
        </is>
      </c>
      <c r="D844" s="17" t="inlineStr">
        <is>
          <t>Sterilizer</t>
        </is>
      </c>
      <c r="E844" s="15" t="inlineStr">
        <is>
          <t>SPV-A</t>
        </is>
      </c>
      <c r="F844" s="15" t="inlineStr">
        <is>
          <t>- Simpan berhasil, dengan pesan konfirmasi.
- Status record langsung Tersimpan — bukan Draft, karena input web tidak punya alur draft.
- Record muncul di Data Browser tanpa perlu muat ulang manual.</t>
        </is>
      </c>
      <c r="G844" s="13" t="inlineStr">
        <is>
          <t>Tinggi</t>
        </is>
      </c>
      <c r="H844" s="18" t="n"/>
      <c r="I844" s="18" t="n"/>
      <c r="J844" s="18" t="n"/>
      <c r="K844" s="18" t="n"/>
      <c r="L844" s="18" t="n"/>
    </row>
    <row r="845" ht="70" customHeight="1">
      <c r="A845" s="10" t="n">
        <v>841</v>
      </c>
      <c r="B845" s="11" t="inlineStr">
        <is>
          <t>WB-FRM-01</t>
        </is>
      </c>
      <c r="C845" s="5" t="inlineStr">
        <is>
          <t>Simpan berhasil, status langsung Tersimpan</t>
        </is>
      </c>
      <c r="D845" s="12" t="inlineStr">
        <is>
          <t>Threshing</t>
        </is>
      </c>
      <c r="E845" s="5" t="inlineStr">
        <is>
          <t>SPV-A</t>
        </is>
      </c>
      <c r="F845" s="5" t="inlineStr">
        <is>
          <t>- Simpan berhasil, dengan pesan konfirmasi.
- Status record langsung Tersimpan — bukan Draft, karena input web tidak punya alur draft.
- Record muncul di Data Browser tanpa perlu muat ulang manual.</t>
        </is>
      </c>
      <c r="G845" s="13" t="inlineStr">
        <is>
          <t>Tinggi</t>
        </is>
      </c>
      <c r="H845" s="18" t="n"/>
      <c r="I845" s="18" t="n"/>
      <c r="J845" s="18" t="n"/>
      <c r="K845" s="18" t="n"/>
      <c r="L845" s="18" t="n"/>
    </row>
    <row r="846" ht="70" customHeight="1">
      <c r="A846" s="14" t="n">
        <v>842</v>
      </c>
      <c r="B846" s="16" t="inlineStr">
        <is>
          <t>WB-FRM-01</t>
        </is>
      </c>
      <c r="C846" s="15" t="inlineStr">
        <is>
          <t>Simpan berhasil, status langsung Tersimpan</t>
        </is>
      </c>
      <c r="D846" s="17" t="inlineStr">
        <is>
          <t>Pressing</t>
        </is>
      </c>
      <c r="E846" s="15" t="inlineStr">
        <is>
          <t>SPV-A</t>
        </is>
      </c>
      <c r="F846" s="15" t="inlineStr">
        <is>
          <t>- Simpan berhasil, dengan pesan konfirmasi.
- Status record langsung Tersimpan — bukan Draft, karena input web tidak punya alur draft.
- Record muncul di Data Browser tanpa perlu muat ulang manual.</t>
        </is>
      </c>
      <c r="G846" s="13" t="inlineStr">
        <is>
          <t>Tinggi</t>
        </is>
      </c>
      <c r="H846" s="18" t="n"/>
      <c r="I846" s="18" t="n"/>
      <c r="J846" s="18" t="n"/>
      <c r="K846" s="18" t="n"/>
      <c r="L846" s="18" t="n"/>
    </row>
    <row r="847" ht="70" customHeight="1">
      <c r="A847" s="10" t="n">
        <v>843</v>
      </c>
      <c r="B847" s="11" t="inlineStr">
        <is>
          <t>WB-FRM-01</t>
        </is>
      </c>
      <c r="C847" s="5" t="inlineStr">
        <is>
          <t>Simpan berhasil, status langsung Tersimpan</t>
        </is>
      </c>
      <c r="D847" s="12" t="inlineStr">
        <is>
          <t>Clarification</t>
        </is>
      </c>
      <c r="E847" s="5" t="inlineStr">
        <is>
          <t>SPV-A</t>
        </is>
      </c>
      <c r="F847" s="5" t="inlineStr">
        <is>
          <t>- Simpan berhasil, dengan pesan konfirmasi.
- Status record langsung Tersimpan — bukan Draft, karena input web tidak punya alur draft.
- Record muncul di Data Browser tanpa perlu muat ulang manual.</t>
        </is>
      </c>
      <c r="G847" s="13" t="inlineStr">
        <is>
          <t>Tinggi</t>
        </is>
      </c>
      <c r="H847" s="18" t="n"/>
      <c r="I847" s="18" t="n"/>
      <c r="J847" s="18" t="n"/>
      <c r="K847" s="18" t="n"/>
      <c r="L847" s="18" t="n"/>
    </row>
    <row r="848" ht="70" customHeight="1">
      <c r="A848" s="14" t="n">
        <v>844</v>
      </c>
      <c r="B848" s="16" t="inlineStr">
        <is>
          <t>WB-FRM-01</t>
        </is>
      </c>
      <c r="C848" s="15" t="inlineStr">
        <is>
          <t>Simpan berhasil, status langsung Tersimpan</t>
        </is>
      </c>
      <c r="D848" s="17" t="inlineStr">
        <is>
          <t>Kernel Plant</t>
        </is>
      </c>
      <c r="E848" s="15" t="inlineStr">
        <is>
          <t>SPV-A</t>
        </is>
      </c>
      <c r="F848" s="15" t="inlineStr">
        <is>
          <t>- Simpan berhasil, dengan pesan konfirmasi.
- Status record langsung Tersimpan — bukan Draft, karena input web tidak punya alur draft.
- Record muncul di Data Browser tanpa perlu muat ulang manual.</t>
        </is>
      </c>
      <c r="G848" s="13" t="inlineStr">
        <is>
          <t>Tinggi</t>
        </is>
      </c>
      <c r="H848" s="18" t="n"/>
      <c r="I848" s="18" t="n"/>
      <c r="J848" s="18" t="n"/>
      <c r="K848" s="18" t="n"/>
      <c r="L848" s="18" t="n"/>
    </row>
    <row r="849" ht="70" customHeight="1">
      <c r="A849" s="10" t="n">
        <v>845</v>
      </c>
      <c r="B849" s="11" t="inlineStr">
        <is>
          <t>WB-FRM-01</t>
        </is>
      </c>
      <c r="C849" s="5" t="inlineStr">
        <is>
          <t>Simpan berhasil, status langsung Tersimpan</t>
        </is>
      </c>
      <c r="D849" s="12" t="inlineStr">
        <is>
          <t>Boiler Room</t>
        </is>
      </c>
      <c r="E849" s="5" t="inlineStr">
        <is>
          <t>SPV-A</t>
        </is>
      </c>
      <c r="F849" s="5" t="inlineStr">
        <is>
          <t>- Simpan berhasil, dengan pesan konfirmasi.
- Status record langsung Tersimpan — bukan Draft, karena input web tidak punya alur draft.
- Record muncul di Data Browser tanpa perlu muat ulang manual.</t>
        </is>
      </c>
      <c r="G849" s="13" t="inlineStr">
        <is>
          <t>Tinggi</t>
        </is>
      </c>
      <c r="H849" s="18" t="n"/>
      <c r="I849" s="18" t="n"/>
      <c r="J849" s="18" t="n"/>
      <c r="K849" s="18" t="n"/>
      <c r="L849" s="18" t="n"/>
    </row>
    <row r="850" ht="70" customHeight="1">
      <c r="A850" s="14" t="n">
        <v>846</v>
      </c>
      <c r="B850" s="16" t="inlineStr">
        <is>
          <t>WB-FRM-01</t>
        </is>
      </c>
      <c r="C850" s="15" t="inlineStr">
        <is>
          <t>Simpan berhasil, status langsung Tersimpan</t>
        </is>
      </c>
      <c r="D850" s="17" t="inlineStr">
        <is>
          <t>Effluent Plant</t>
        </is>
      </c>
      <c r="E850" s="15" t="inlineStr">
        <is>
          <t>SPV-A</t>
        </is>
      </c>
      <c r="F850" s="15" t="inlineStr">
        <is>
          <t>- Simpan berhasil, dengan pesan konfirmasi.
- Status record langsung Tersimpan — bukan Draft, karena input web tidak punya alur draft.
- Record muncul di Data Browser tanpa perlu muat ulang manual.</t>
        </is>
      </c>
      <c r="G850" s="13" t="inlineStr">
        <is>
          <t>Tinggi</t>
        </is>
      </c>
      <c r="H850" s="18" t="n"/>
      <c r="I850" s="18" t="n"/>
      <c r="J850" s="18" t="n"/>
      <c r="K850" s="18" t="n"/>
      <c r="L850" s="18" t="n"/>
    </row>
    <row r="851" ht="70" customHeight="1">
      <c r="A851" s="10" t="n">
        <v>847</v>
      </c>
      <c r="B851" s="11" t="inlineStr">
        <is>
          <t>WB-FRM-01</t>
        </is>
      </c>
      <c r="C851" s="5" t="inlineStr">
        <is>
          <t>Simpan berhasil, status langsung Tersimpan</t>
        </is>
      </c>
      <c r="D851" s="12" t="inlineStr">
        <is>
          <t>Depricarping</t>
        </is>
      </c>
      <c r="E851" s="5" t="inlineStr">
        <is>
          <t>SPV-A</t>
        </is>
      </c>
      <c r="F851" s="5" t="inlineStr">
        <is>
          <t>- Simpan berhasil, dengan pesan konfirmasi.
- Status record langsung Tersimpan — bukan Draft, karena input web tidak punya alur draft.
- Record muncul di Data Browser tanpa perlu muat ulang manual.</t>
        </is>
      </c>
      <c r="G851" s="13" t="inlineStr">
        <is>
          <t>Tinggi</t>
        </is>
      </c>
      <c r="H851" s="18" t="n"/>
      <c r="I851" s="18" t="n"/>
      <c r="J851" s="18" t="n"/>
      <c r="K851" s="18" t="n"/>
      <c r="L851" s="18" t="n"/>
    </row>
    <row r="852" ht="70" customHeight="1">
      <c r="A852" s="14" t="n">
        <v>848</v>
      </c>
      <c r="B852" s="16" t="inlineStr">
        <is>
          <t>WB-FRM-01</t>
        </is>
      </c>
      <c r="C852" s="15" t="inlineStr">
        <is>
          <t>Simpan berhasil, status langsung Tersimpan</t>
        </is>
      </c>
      <c r="D852" s="17" t="inlineStr">
        <is>
          <t>Engine Room</t>
        </is>
      </c>
      <c r="E852" s="15" t="inlineStr">
        <is>
          <t>SPV-A</t>
        </is>
      </c>
      <c r="F852" s="15" t="inlineStr">
        <is>
          <t>- Simpan berhasil, dengan pesan konfirmasi.
- Status record langsung Tersimpan — bukan Draft, karena input web tidak punya alur draft.
- Record muncul di Data Browser tanpa perlu muat ulang manual.</t>
        </is>
      </c>
      <c r="G852" s="13" t="inlineStr">
        <is>
          <t>Tinggi</t>
        </is>
      </c>
      <c r="H852" s="18" t="n"/>
      <c r="I852" s="18" t="n"/>
      <c r="J852" s="18" t="n"/>
      <c r="K852" s="18" t="n"/>
      <c r="L852" s="18" t="n"/>
    </row>
    <row r="853" ht="70" customHeight="1">
      <c r="A853" s="10" t="n">
        <v>849</v>
      </c>
      <c r="B853" s="11" t="inlineStr">
        <is>
          <t>WB-FRM-01</t>
        </is>
      </c>
      <c r="C853" s="5" t="inlineStr">
        <is>
          <t>Simpan berhasil, status langsung Tersimpan</t>
        </is>
      </c>
      <c r="D853" s="12" t="inlineStr">
        <is>
          <t>Process Water</t>
        </is>
      </c>
      <c r="E853" s="5" t="inlineStr">
        <is>
          <t>SPV-A</t>
        </is>
      </c>
      <c r="F853" s="5" t="inlineStr">
        <is>
          <t>- Simpan berhasil, dengan pesan konfirmasi.
- Status record langsung Tersimpan — bukan Draft, karena input web tidak punya alur draft.
- Record muncul di Data Browser tanpa perlu muat ulang manual.</t>
        </is>
      </c>
      <c r="G853" s="13" t="inlineStr">
        <is>
          <t>Tinggi</t>
        </is>
      </c>
      <c r="H853" s="18" t="n"/>
      <c r="I853" s="18" t="n"/>
      <c r="J853" s="18" t="n"/>
      <c r="K853" s="18" t="n"/>
      <c r="L853" s="18" t="n"/>
    </row>
    <row r="854" ht="70" customHeight="1">
      <c r="A854" s="14" t="n">
        <v>850</v>
      </c>
      <c r="B854" s="16" t="inlineStr">
        <is>
          <t>WB-FRM-01</t>
        </is>
      </c>
      <c r="C854" s="15" t="inlineStr">
        <is>
          <t>Simpan berhasil, status langsung Tersimpan</t>
        </is>
      </c>
      <c r="D854" s="17" t="inlineStr">
        <is>
          <t>Storage Tank</t>
        </is>
      </c>
      <c r="E854" s="15" t="inlineStr">
        <is>
          <t>SPV-A</t>
        </is>
      </c>
      <c r="F854" s="15" t="inlineStr">
        <is>
          <t>- Simpan berhasil, dengan pesan konfirmasi.
- Status record langsung Tersimpan — bukan Draft, karena input web tidak punya alur draft.
- Record muncul di Data Browser tanpa perlu muat ulang manual.</t>
        </is>
      </c>
      <c r="G854" s="13" t="inlineStr">
        <is>
          <t>Tinggi</t>
        </is>
      </c>
      <c r="H854" s="18" t="n"/>
      <c r="I854" s="18" t="n"/>
      <c r="J854" s="18" t="n"/>
      <c r="K854" s="18" t="n"/>
      <c r="L854" s="18" t="n"/>
    </row>
    <row r="855" ht="70" customHeight="1">
      <c r="A855" s="10" t="n">
        <v>851</v>
      </c>
      <c r="B855" s="11" t="inlineStr">
        <is>
          <t>WB-FRM-01</t>
        </is>
      </c>
      <c r="C855" s="5" t="inlineStr">
        <is>
          <t>Simpan berhasil, status langsung Tersimpan</t>
        </is>
      </c>
      <c r="D855" s="12" t="inlineStr">
        <is>
          <t>Solid Waste Disposal</t>
        </is>
      </c>
      <c r="E855" s="5" t="inlineStr">
        <is>
          <t>SPV-A</t>
        </is>
      </c>
      <c r="F855" s="5" t="inlineStr">
        <is>
          <t>- Simpan berhasil, dengan pesan konfirmasi.
- Status record langsung Tersimpan — bukan Draft, karena input web tidak punya alur draft.
- Record muncul di Data Browser tanpa perlu muat ulang manual.</t>
        </is>
      </c>
      <c r="G855" s="13" t="inlineStr">
        <is>
          <t>Tinggi</t>
        </is>
      </c>
      <c r="H855" s="18" t="n"/>
      <c r="I855" s="18" t="n"/>
      <c r="J855" s="18" t="n"/>
      <c r="K855" s="18" t="n"/>
      <c r="L855" s="18" t="n"/>
    </row>
    <row r="856" ht="70" customHeight="1">
      <c r="A856" s="14" t="n">
        <v>852</v>
      </c>
      <c r="B856" s="16" t="inlineStr">
        <is>
          <t>WB-FRM-01</t>
        </is>
      </c>
      <c r="C856" s="15" t="inlineStr">
        <is>
          <t>Simpan berhasil, status langsung Tersimpan</t>
        </is>
      </c>
      <c r="D856" s="17" t="inlineStr">
        <is>
          <t>Kernel Dispatch</t>
        </is>
      </c>
      <c r="E856" s="15" t="inlineStr">
        <is>
          <t>SPV-A</t>
        </is>
      </c>
      <c r="F856" s="15" t="inlineStr">
        <is>
          <t>- Simpan berhasil, dengan pesan konfirmasi.
- Status record langsung Tersimpan — bukan Draft, karena input web tidak punya alur draft.
- Record muncul di Data Browser tanpa perlu muat ulang manual.</t>
        </is>
      </c>
      <c r="G856" s="13" t="inlineStr">
        <is>
          <t>Tinggi</t>
        </is>
      </c>
      <c r="H856" s="18" t="n"/>
      <c r="I856" s="18" t="n"/>
      <c r="J856" s="18" t="n"/>
      <c r="K856" s="18" t="n"/>
      <c r="L856" s="18" t="n"/>
    </row>
    <row r="857" ht="70" customHeight="1">
      <c r="A857" s="10" t="n">
        <v>853</v>
      </c>
      <c r="B857" s="11" t="inlineStr">
        <is>
          <t>WB-FRM-01</t>
        </is>
      </c>
      <c r="C857" s="5" t="inlineStr">
        <is>
          <t>Simpan berhasil, status langsung Tersimpan</t>
        </is>
      </c>
      <c r="D857" s="12" t="inlineStr">
        <is>
          <t>CPO Dispatch</t>
        </is>
      </c>
      <c r="E857" s="5" t="inlineStr">
        <is>
          <t>SPV-A</t>
        </is>
      </c>
      <c r="F857" s="5" t="inlineStr">
        <is>
          <t>- Simpan berhasil, dengan pesan konfirmasi.
- Status record langsung Tersimpan — bukan Draft, karena input web tidak punya alur draft.
- Record muncul di Data Browser tanpa perlu muat ulang manual.</t>
        </is>
      </c>
      <c r="G857" s="13" t="inlineStr">
        <is>
          <t>Tinggi</t>
        </is>
      </c>
      <c r="H857" s="18" t="n"/>
      <c r="I857" s="18" t="n"/>
      <c r="J857" s="18" t="n"/>
      <c r="K857" s="18" t="n"/>
      <c r="L857" s="18" t="n"/>
    </row>
    <row r="858" ht="70" customHeight="1">
      <c r="A858" s="14" t="n">
        <v>854</v>
      </c>
      <c r="B858" s="16" t="inlineStr">
        <is>
          <t>WB-FRM-01</t>
        </is>
      </c>
      <c r="C858" s="15" t="inlineStr">
        <is>
          <t>Simpan berhasil, status langsung Tersimpan</t>
        </is>
      </c>
      <c r="D858" s="17" t="inlineStr">
        <is>
          <t>Process Quality Control</t>
        </is>
      </c>
      <c r="E858" s="15" t="inlineStr">
        <is>
          <t>SPV-A</t>
        </is>
      </c>
      <c r="F858" s="15" t="inlineStr">
        <is>
          <t>- Simpan berhasil, dengan pesan konfirmasi.
- Status record langsung Tersimpan — bukan Draft, karena input web tidak punya alur draft.
- Record muncul di Data Browser tanpa perlu muat ulang manual.</t>
        </is>
      </c>
      <c r="G858" s="13" t="inlineStr">
        <is>
          <t>Tinggi</t>
        </is>
      </c>
      <c r="H858" s="18" t="n"/>
      <c r="I858" s="18" t="n"/>
      <c r="J858" s="18" t="n"/>
      <c r="K858" s="18" t="n"/>
      <c r="L858" s="18" t="n"/>
    </row>
    <row r="859" ht="83.19999999999999" customHeight="1">
      <c r="A859" s="10" t="n">
        <v>855</v>
      </c>
      <c r="B859" s="11" t="inlineStr">
        <is>
          <t>WB-FRM-02</t>
        </is>
      </c>
      <c r="C859" s="5" t="inlineStr">
        <is>
          <t>Production Line wajib pada mode tambah, terkunci pada mode ubah</t>
        </is>
      </c>
      <c r="D859" s="12" t="inlineStr">
        <is>
          <t>Weighbridge</t>
        </is>
      </c>
      <c r="E859" s="5" t="inlineStr">
        <is>
          <t>SPV-A</t>
        </is>
      </c>
      <c r="F859" s="5" t="inlineStr">
        <is>
          <t>- Langkah 2: ditolak, dengan pesan yang menunjuk kolom Production Line.
- Langkah 3: berhasil.
- Langkah 5: Production Line tidak dapat diubah — ia dipaku saat record dibuat, dan ada keterangan yang menyebutkannya.</t>
        </is>
      </c>
      <c r="G859" s="13" t="inlineStr">
        <is>
          <t>Tinggi</t>
        </is>
      </c>
      <c r="H859" s="18" t="n"/>
      <c r="I859" s="18" t="n"/>
      <c r="J859" s="18" t="n"/>
      <c r="K859" s="18" t="n"/>
      <c r="L859" s="18" t="n"/>
    </row>
    <row r="860" ht="83.19999999999999" customHeight="1">
      <c r="A860" s="14" t="n">
        <v>856</v>
      </c>
      <c r="B860" s="16" t="inlineStr">
        <is>
          <t>WB-FRM-02</t>
        </is>
      </c>
      <c r="C860" s="15" t="inlineStr">
        <is>
          <t>Production Line wajib pada mode tambah, terkunci pada mode ubah</t>
        </is>
      </c>
      <c r="D860" s="17" t="inlineStr">
        <is>
          <t>Grading</t>
        </is>
      </c>
      <c r="E860" s="15" t="inlineStr">
        <is>
          <t>SPV-A</t>
        </is>
      </c>
      <c r="F860" s="15" t="inlineStr">
        <is>
          <t>- Langkah 2: ditolak, dengan pesan yang menunjuk kolom Production Line.
- Langkah 3: berhasil.
- Langkah 5: Production Line tidak dapat diubah — ia dipaku saat record dibuat, dan ada keterangan yang menyebutkannya.</t>
        </is>
      </c>
      <c r="G860" s="13" t="inlineStr">
        <is>
          <t>Tinggi</t>
        </is>
      </c>
      <c r="H860" s="18" t="n"/>
      <c r="I860" s="18" t="n"/>
      <c r="J860" s="18" t="n"/>
      <c r="K860" s="18" t="n"/>
      <c r="L860" s="18" t="n"/>
    </row>
    <row r="861" ht="83.19999999999999" customHeight="1">
      <c r="A861" s="10" t="n">
        <v>857</v>
      </c>
      <c r="B861" s="11" t="inlineStr">
        <is>
          <t>WB-FRM-02</t>
        </is>
      </c>
      <c r="C861" s="5" t="inlineStr">
        <is>
          <t>Production Line wajib pada mode tambah, terkunci pada mode ubah</t>
        </is>
      </c>
      <c r="D861" s="12" t="inlineStr">
        <is>
          <t>Cages Track</t>
        </is>
      </c>
      <c r="E861" s="5" t="inlineStr">
        <is>
          <t>SPV-A</t>
        </is>
      </c>
      <c r="F861" s="5" t="inlineStr">
        <is>
          <t>- Langkah 2: ditolak, dengan pesan yang menunjuk kolom Production Line.
- Langkah 3: berhasil.
- Langkah 5: Production Line tidak dapat diubah — ia dipaku saat record dibuat, dan ada keterangan yang menyebutkannya.</t>
        </is>
      </c>
      <c r="G861" s="13" t="inlineStr">
        <is>
          <t>Tinggi</t>
        </is>
      </c>
      <c r="H861" s="18" t="n"/>
      <c r="I861" s="18" t="n"/>
      <c r="J861" s="18" t="n"/>
      <c r="K861" s="18" t="n"/>
      <c r="L861" s="18" t="n"/>
    </row>
    <row r="862" ht="83.19999999999999" customHeight="1">
      <c r="A862" s="14" t="n">
        <v>858</v>
      </c>
      <c r="B862" s="16" t="inlineStr">
        <is>
          <t>WB-FRM-02</t>
        </is>
      </c>
      <c r="C862" s="15" t="inlineStr">
        <is>
          <t>Production Line wajib pada mode tambah, terkunci pada mode ubah</t>
        </is>
      </c>
      <c r="D862" s="17" t="inlineStr">
        <is>
          <t>Sterilizer</t>
        </is>
      </c>
      <c r="E862" s="15" t="inlineStr">
        <is>
          <t>SPV-A</t>
        </is>
      </c>
      <c r="F862" s="15" t="inlineStr">
        <is>
          <t>- Langkah 2: ditolak, dengan pesan yang menunjuk kolom Production Line.
- Langkah 3: berhasil.
- Langkah 5: Production Line tidak dapat diubah — ia dipaku saat record dibuat, dan ada keterangan yang menyebutkannya.</t>
        </is>
      </c>
      <c r="G862" s="13" t="inlineStr">
        <is>
          <t>Tinggi</t>
        </is>
      </c>
      <c r="H862" s="18" t="n"/>
      <c r="I862" s="18" t="n"/>
      <c r="J862" s="18" t="n"/>
      <c r="K862" s="18" t="n"/>
      <c r="L862" s="18" t="n"/>
    </row>
    <row r="863" ht="83.19999999999999" customHeight="1">
      <c r="A863" s="10" t="n">
        <v>859</v>
      </c>
      <c r="B863" s="11" t="inlineStr">
        <is>
          <t>WB-FRM-02</t>
        </is>
      </c>
      <c r="C863" s="5" t="inlineStr">
        <is>
          <t>Production Line wajib pada mode tambah, terkunci pada mode ubah</t>
        </is>
      </c>
      <c r="D863" s="12" t="inlineStr">
        <is>
          <t>Threshing</t>
        </is>
      </c>
      <c r="E863" s="5" t="inlineStr">
        <is>
          <t>SPV-A</t>
        </is>
      </c>
      <c r="F863" s="5" t="inlineStr">
        <is>
          <t>- Langkah 2: ditolak, dengan pesan yang menunjuk kolom Production Line.
- Langkah 3: berhasil.
- Langkah 5: Production Line tidak dapat diubah — ia dipaku saat record dibuat, dan ada keterangan yang menyebutkannya.</t>
        </is>
      </c>
      <c r="G863" s="13" t="inlineStr">
        <is>
          <t>Tinggi</t>
        </is>
      </c>
      <c r="H863" s="18" t="n"/>
      <c r="I863" s="18" t="n"/>
      <c r="J863" s="18" t="n"/>
      <c r="K863" s="18" t="n"/>
      <c r="L863" s="18" t="n"/>
    </row>
    <row r="864" ht="83.19999999999999" customHeight="1">
      <c r="A864" s="14" t="n">
        <v>860</v>
      </c>
      <c r="B864" s="16" t="inlineStr">
        <is>
          <t>WB-FRM-02</t>
        </is>
      </c>
      <c r="C864" s="15" t="inlineStr">
        <is>
          <t>Production Line wajib pada mode tambah, terkunci pada mode ubah</t>
        </is>
      </c>
      <c r="D864" s="17" t="inlineStr">
        <is>
          <t>Pressing</t>
        </is>
      </c>
      <c r="E864" s="15" t="inlineStr">
        <is>
          <t>SPV-A</t>
        </is>
      </c>
      <c r="F864" s="15" t="inlineStr">
        <is>
          <t>- Langkah 2: ditolak, dengan pesan yang menunjuk kolom Production Line.
- Langkah 3: berhasil.
- Langkah 5: Production Line tidak dapat diubah — ia dipaku saat record dibuat, dan ada keterangan yang menyebutkannya.</t>
        </is>
      </c>
      <c r="G864" s="13" t="inlineStr">
        <is>
          <t>Tinggi</t>
        </is>
      </c>
      <c r="H864" s="18" t="n"/>
      <c r="I864" s="18" t="n"/>
      <c r="J864" s="18" t="n"/>
      <c r="K864" s="18" t="n"/>
      <c r="L864" s="18" t="n"/>
    </row>
    <row r="865" ht="83.19999999999999" customHeight="1">
      <c r="A865" s="10" t="n">
        <v>861</v>
      </c>
      <c r="B865" s="11" t="inlineStr">
        <is>
          <t>WB-FRM-02</t>
        </is>
      </c>
      <c r="C865" s="5" t="inlineStr">
        <is>
          <t>Production Line wajib pada mode tambah, terkunci pada mode ubah</t>
        </is>
      </c>
      <c r="D865" s="12" t="inlineStr">
        <is>
          <t>Clarification</t>
        </is>
      </c>
      <c r="E865" s="5" t="inlineStr">
        <is>
          <t>SPV-A</t>
        </is>
      </c>
      <c r="F865" s="5" t="inlineStr">
        <is>
          <t>- Langkah 2: ditolak, dengan pesan yang menunjuk kolom Production Line.
- Langkah 3: berhasil.
- Langkah 5: Production Line tidak dapat diubah — ia dipaku saat record dibuat, dan ada keterangan yang menyebutkannya.</t>
        </is>
      </c>
      <c r="G865" s="13" t="inlineStr">
        <is>
          <t>Tinggi</t>
        </is>
      </c>
      <c r="H865" s="18" t="n"/>
      <c r="I865" s="18" t="n"/>
      <c r="J865" s="18" t="n"/>
      <c r="K865" s="18" t="n"/>
      <c r="L865" s="18" t="n"/>
    </row>
    <row r="866" ht="83.19999999999999" customHeight="1">
      <c r="A866" s="14" t="n">
        <v>862</v>
      </c>
      <c r="B866" s="16" t="inlineStr">
        <is>
          <t>WB-FRM-02</t>
        </is>
      </c>
      <c r="C866" s="15" t="inlineStr">
        <is>
          <t>Production Line wajib pada mode tambah, terkunci pada mode ubah</t>
        </is>
      </c>
      <c r="D866" s="17" t="inlineStr">
        <is>
          <t>Kernel Plant</t>
        </is>
      </c>
      <c r="E866" s="15" t="inlineStr">
        <is>
          <t>SPV-A</t>
        </is>
      </c>
      <c r="F866" s="15" t="inlineStr">
        <is>
          <t>- Langkah 2: ditolak, dengan pesan yang menunjuk kolom Production Line.
- Langkah 3: berhasil.
- Langkah 5: Production Line tidak dapat diubah — ia dipaku saat record dibuat, dan ada keterangan yang menyebutkannya.</t>
        </is>
      </c>
      <c r="G866" s="13" t="inlineStr">
        <is>
          <t>Tinggi</t>
        </is>
      </c>
      <c r="H866" s="18" t="n"/>
      <c r="I866" s="18" t="n"/>
      <c r="J866" s="18" t="n"/>
      <c r="K866" s="18" t="n"/>
      <c r="L866" s="18" t="n"/>
    </row>
    <row r="867" ht="83.19999999999999" customHeight="1">
      <c r="A867" s="10" t="n">
        <v>863</v>
      </c>
      <c r="B867" s="11" t="inlineStr">
        <is>
          <t>WB-FRM-02</t>
        </is>
      </c>
      <c r="C867" s="5" t="inlineStr">
        <is>
          <t>Production Line wajib pada mode tambah, terkunci pada mode ubah</t>
        </is>
      </c>
      <c r="D867" s="12" t="inlineStr">
        <is>
          <t>Boiler Room</t>
        </is>
      </c>
      <c r="E867" s="5" t="inlineStr">
        <is>
          <t>SPV-A</t>
        </is>
      </c>
      <c r="F867" s="5" t="inlineStr">
        <is>
          <t>- Langkah 2: ditolak, dengan pesan yang menunjuk kolom Production Line.
- Langkah 3: berhasil.
- Langkah 5: Production Line tidak dapat diubah — ia dipaku saat record dibuat, dan ada keterangan yang menyebutkannya.</t>
        </is>
      </c>
      <c r="G867" s="13" t="inlineStr">
        <is>
          <t>Tinggi</t>
        </is>
      </c>
      <c r="H867" s="18" t="n"/>
      <c r="I867" s="18" t="n"/>
      <c r="J867" s="18" t="n"/>
      <c r="K867" s="18" t="n"/>
      <c r="L867" s="18" t="n"/>
    </row>
    <row r="868" ht="83.19999999999999" customHeight="1">
      <c r="A868" s="14" t="n">
        <v>864</v>
      </c>
      <c r="B868" s="16" t="inlineStr">
        <is>
          <t>WB-FRM-02</t>
        </is>
      </c>
      <c r="C868" s="15" t="inlineStr">
        <is>
          <t>Production Line wajib pada mode tambah, terkunci pada mode ubah</t>
        </is>
      </c>
      <c r="D868" s="17" t="inlineStr">
        <is>
          <t>Effluent Plant</t>
        </is>
      </c>
      <c r="E868" s="15" t="inlineStr">
        <is>
          <t>SPV-A</t>
        </is>
      </c>
      <c r="F868" s="15" t="inlineStr">
        <is>
          <t>- Langkah 2: ditolak, dengan pesan yang menunjuk kolom Production Line.
- Langkah 3: berhasil.
- Langkah 5: Production Line tidak dapat diubah — ia dipaku saat record dibuat, dan ada keterangan yang menyebutkannya.</t>
        </is>
      </c>
      <c r="G868" s="13" t="inlineStr">
        <is>
          <t>Tinggi</t>
        </is>
      </c>
      <c r="H868" s="18" t="n"/>
      <c r="I868" s="18" t="n"/>
      <c r="J868" s="18" t="n"/>
      <c r="K868" s="18" t="n"/>
      <c r="L868" s="18" t="n"/>
    </row>
    <row r="869" ht="83.19999999999999" customHeight="1">
      <c r="A869" s="10" t="n">
        <v>865</v>
      </c>
      <c r="B869" s="11" t="inlineStr">
        <is>
          <t>WB-FRM-02</t>
        </is>
      </c>
      <c r="C869" s="5" t="inlineStr">
        <is>
          <t>Production Line wajib pada mode tambah, terkunci pada mode ubah</t>
        </is>
      </c>
      <c r="D869" s="12" t="inlineStr">
        <is>
          <t>Depricarping</t>
        </is>
      </c>
      <c r="E869" s="5" t="inlineStr">
        <is>
          <t>SPV-A</t>
        </is>
      </c>
      <c r="F869" s="5" t="inlineStr">
        <is>
          <t>- Langkah 2: ditolak, dengan pesan yang menunjuk kolom Production Line.
- Langkah 3: berhasil.
- Langkah 5: Production Line tidak dapat diubah — ia dipaku saat record dibuat, dan ada keterangan yang menyebutkannya.</t>
        </is>
      </c>
      <c r="G869" s="13" t="inlineStr">
        <is>
          <t>Tinggi</t>
        </is>
      </c>
      <c r="H869" s="18" t="n"/>
      <c r="I869" s="18" t="n"/>
      <c r="J869" s="18" t="n"/>
      <c r="K869" s="18" t="n"/>
      <c r="L869" s="18" t="n"/>
    </row>
    <row r="870" ht="83.19999999999999" customHeight="1">
      <c r="A870" s="14" t="n">
        <v>866</v>
      </c>
      <c r="B870" s="16" t="inlineStr">
        <is>
          <t>WB-FRM-02</t>
        </is>
      </c>
      <c r="C870" s="15" t="inlineStr">
        <is>
          <t>Production Line wajib pada mode tambah, terkunci pada mode ubah</t>
        </is>
      </c>
      <c r="D870" s="17" t="inlineStr">
        <is>
          <t>Engine Room</t>
        </is>
      </c>
      <c r="E870" s="15" t="inlineStr">
        <is>
          <t>SPV-A</t>
        </is>
      </c>
      <c r="F870" s="15" t="inlineStr">
        <is>
          <t>- Langkah 2: ditolak, dengan pesan yang menunjuk kolom Production Line.
- Langkah 3: berhasil.
- Langkah 5: Production Line tidak dapat diubah — ia dipaku saat record dibuat, dan ada keterangan yang menyebutkannya.</t>
        </is>
      </c>
      <c r="G870" s="13" t="inlineStr">
        <is>
          <t>Tinggi</t>
        </is>
      </c>
      <c r="H870" s="18" t="n"/>
      <c r="I870" s="18" t="n"/>
      <c r="J870" s="18" t="n"/>
      <c r="K870" s="18" t="n"/>
      <c r="L870" s="18" t="n"/>
    </row>
    <row r="871" ht="83.19999999999999" customHeight="1">
      <c r="A871" s="10" t="n">
        <v>867</v>
      </c>
      <c r="B871" s="11" t="inlineStr">
        <is>
          <t>WB-FRM-02</t>
        </is>
      </c>
      <c r="C871" s="5" t="inlineStr">
        <is>
          <t>Production Line wajib pada mode tambah, terkunci pada mode ubah</t>
        </is>
      </c>
      <c r="D871" s="12" t="inlineStr">
        <is>
          <t>Process Water</t>
        </is>
      </c>
      <c r="E871" s="5" t="inlineStr">
        <is>
          <t>SPV-A</t>
        </is>
      </c>
      <c r="F871" s="5" t="inlineStr">
        <is>
          <t>- Langkah 2: ditolak, dengan pesan yang menunjuk kolom Production Line.
- Langkah 3: berhasil.
- Langkah 5: Production Line tidak dapat diubah — ia dipaku saat record dibuat, dan ada keterangan yang menyebutkannya.</t>
        </is>
      </c>
      <c r="G871" s="13" t="inlineStr">
        <is>
          <t>Tinggi</t>
        </is>
      </c>
      <c r="H871" s="18" t="n"/>
      <c r="I871" s="18" t="n"/>
      <c r="J871" s="18" t="n"/>
      <c r="K871" s="18" t="n"/>
      <c r="L871" s="18" t="n"/>
    </row>
    <row r="872" ht="83.19999999999999" customHeight="1">
      <c r="A872" s="14" t="n">
        <v>868</v>
      </c>
      <c r="B872" s="16" t="inlineStr">
        <is>
          <t>WB-FRM-02</t>
        </is>
      </c>
      <c r="C872" s="15" t="inlineStr">
        <is>
          <t>Production Line wajib pada mode tambah, terkunci pada mode ubah</t>
        </is>
      </c>
      <c r="D872" s="17" t="inlineStr">
        <is>
          <t>Storage Tank</t>
        </is>
      </c>
      <c r="E872" s="15" t="inlineStr">
        <is>
          <t>SPV-A</t>
        </is>
      </c>
      <c r="F872" s="15" t="inlineStr">
        <is>
          <t>- Langkah 2: ditolak, dengan pesan yang menunjuk kolom Production Line.
- Langkah 3: berhasil.
- Langkah 5: Production Line tidak dapat diubah — ia dipaku saat record dibuat, dan ada keterangan yang menyebutkannya.</t>
        </is>
      </c>
      <c r="G872" s="13" t="inlineStr">
        <is>
          <t>Tinggi</t>
        </is>
      </c>
      <c r="H872" s="18" t="n"/>
      <c r="I872" s="18" t="n"/>
      <c r="J872" s="18" t="n"/>
      <c r="K872" s="18" t="n"/>
      <c r="L872" s="18" t="n"/>
    </row>
    <row r="873" ht="83.19999999999999" customHeight="1">
      <c r="A873" s="10" t="n">
        <v>869</v>
      </c>
      <c r="B873" s="11" t="inlineStr">
        <is>
          <t>WB-FRM-02</t>
        </is>
      </c>
      <c r="C873" s="5" t="inlineStr">
        <is>
          <t>Production Line wajib pada mode tambah, terkunci pada mode ubah</t>
        </is>
      </c>
      <c r="D873" s="12" t="inlineStr">
        <is>
          <t>Solid Waste Disposal</t>
        </is>
      </c>
      <c r="E873" s="5" t="inlineStr">
        <is>
          <t>SPV-A</t>
        </is>
      </c>
      <c r="F873" s="5" t="inlineStr">
        <is>
          <t>- Langkah 2: ditolak, dengan pesan yang menunjuk kolom Production Line.
- Langkah 3: berhasil.
- Langkah 5: Production Line tidak dapat diubah — ia dipaku saat record dibuat, dan ada keterangan yang menyebutkannya.</t>
        </is>
      </c>
      <c r="G873" s="13" t="inlineStr">
        <is>
          <t>Tinggi</t>
        </is>
      </c>
      <c r="H873" s="18" t="n"/>
      <c r="I873" s="18" t="n"/>
      <c r="J873" s="18" t="n"/>
      <c r="K873" s="18" t="n"/>
      <c r="L873" s="18" t="n"/>
    </row>
    <row r="874" ht="83.19999999999999" customHeight="1">
      <c r="A874" s="14" t="n">
        <v>870</v>
      </c>
      <c r="B874" s="16" t="inlineStr">
        <is>
          <t>WB-FRM-02</t>
        </is>
      </c>
      <c r="C874" s="15" t="inlineStr">
        <is>
          <t>Production Line wajib pada mode tambah, terkunci pada mode ubah</t>
        </is>
      </c>
      <c r="D874" s="17" t="inlineStr">
        <is>
          <t>Kernel Dispatch</t>
        </is>
      </c>
      <c r="E874" s="15" t="inlineStr">
        <is>
          <t>SPV-A</t>
        </is>
      </c>
      <c r="F874" s="15" t="inlineStr">
        <is>
          <t>- Langkah 2: ditolak, dengan pesan yang menunjuk kolom Production Line.
- Langkah 3: berhasil.
- Langkah 5: Production Line tidak dapat diubah — ia dipaku saat record dibuat, dan ada keterangan yang menyebutkannya.</t>
        </is>
      </c>
      <c r="G874" s="13" t="inlineStr">
        <is>
          <t>Tinggi</t>
        </is>
      </c>
      <c r="H874" s="18" t="n"/>
      <c r="I874" s="18" t="n"/>
      <c r="J874" s="18" t="n"/>
      <c r="K874" s="18" t="n"/>
      <c r="L874" s="18" t="n"/>
    </row>
    <row r="875" ht="83.19999999999999" customHeight="1">
      <c r="A875" s="10" t="n">
        <v>871</v>
      </c>
      <c r="B875" s="11" t="inlineStr">
        <is>
          <t>WB-FRM-02</t>
        </is>
      </c>
      <c r="C875" s="5" t="inlineStr">
        <is>
          <t>Production Line wajib pada mode tambah, terkunci pada mode ubah</t>
        </is>
      </c>
      <c r="D875" s="12" t="inlineStr">
        <is>
          <t>CPO Dispatch</t>
        </is>
      </c>
      <c r="E875" s="5" t="inlineStr">
        <is>
          <t>SPV-A</t>
        </is>
      </c>
      <c r="F875" s="5" t="inlineStr">
        <is>
          <t>- Langkah 2: ditolak, dengan pesan yang menunjuk kolom Production Line.
- Langkah 3: berhasil.
- Langkah 5: Production Line tidak dapat diubah — ia dipaku saat record dibuat, dan ada keterangan yang menyebutkannya.</t>
        </is>
      </c>
      <c r="G875" s="13" t="inlineStr">
        <is>
          <t>Tinggi</t>
        </is>
      </c>
      <c r="H875" s="18" t="n"/>
      <c r="I875" s="18" t="n"/>
      <c r="J875" s="18" t="n"/>
      <c r="K875" s="18" t="n"/>
      <c r="L875" s="18" t="n"/>
    </row>
    <row r="876" ht="83.19999999999999" customHeight="1">
      <c r="A876" s="14" t="n">
        <v>872</v>
      </c>
      <c r="B876" s="16" t="inlineStr">
        <is>
          <t>WB-FRM-02</t>
        </is>
      </c>
      <c r="C876" s="15" t="inlineStr">
        <is>
          <t>Production Line wajib pada mode tambah, terkunci pada mode ubah</t>
        </is>
      </c>
      <c r="D876" s="17" t="inlineStr">
        <is>
          <t>Process Quality Control</t>
        </is>
      </c>
      <c r="E876" s="15" t="inlineStr">
        <is>
          <t>SPV-A</t>
        </is>
      </c>
      <c r="F876" s="15" t="inlineStr">
        <is>
          <t>- Langkah 2: ditolak, dengan pesan yang menunjuk kolom Production Line.
- Langkah 3: berhasil.
- Langkah 5: Production Line tidak dapat diubah — ia dipaku saat record dibuat, dan ada keterangan yang menyebutkannya.</t>
        </is>
      </c>
      <c r="G876" s="13" t="inlineStr">
        <is>
          <t>Tinggi</t>
        </is>
      </c>
      <c r="H876" s="18" t="n"/>
      <c r="I876" s="18" t="n"/>
      <c r="J876" s="18" t="n"/>
      <c r="K876" s="18" t="n"/>
      <c r="L876" s="18" t="n"/>
    </row>
    <row r="877" ht="96.39999999999999" customHeight="1">
      <c r="A877" s="10" t="n">
        <v>873</v>
      </c>
      <c r="B877" s="11" t="inlineStr">
        <is>
          <t>WB-FRM-03</t>
        </is>
      </c>
      <c r="C877" s="5" t="inlineStr">
        <is>
          <t>Kolom wajib dan tanggal divalidasi</t>
        </is>
      </c>
      <c r="D877" s="12" t="inlineStr">
        <is>
          <t>Weighbridge</t>
        </is>
      </c>
      <c r="E877" s="5" t="inlineStr">
        <is>
          <t>SPV-A</t>
        </is>
      </c>
      <c r="F877" s="5" t="inlineStr">
        <is>
          <t>- Setiap langkah ditolak; record tidak tersimpan.
- Setiap pesan galat muncul di sebelah kolom yang bersangkutan.
- Tanggal di luar periode terbuka ditolak dengan pesan yang menyebut periode.
- Isi kolom lain tidak hilang setiap kali penolakan terjadi.</t>
        </is>
      </c>
      <c r="G877" s="13" t="inlineStr">
        <is>
          <t>Tinggi</t>
        </is>
      </c>
      <c r="H877" s="18" t="n"/>
      <c r="I877" s="18" t="n"/>
      <c r="J877" s="18" t="n"/>
      <c r="K877" s="18" t="n"/>
      <c r="L877" s="18" t="n"/>
    </row>
    <row r="878" ht="96.39999999999999" customHeight="1">
      <c r="A878" s="14" t="n">
        <v>874</v>
      </c>
      <c r="B878" s="16" t="inlineStr">
        <is>
          <t>WB-FRM-03</t>
        </is>
      </c>
      <c r="C878" s="15" t="inlineStr">
        <is>
          <t>Kolom wajib dan tanggal divalidasi</t>
        </is>
      </c>
      <c r="D878" s="17" t="inlineStr">
        <is>
          <t>Grading</t>
        </is>
      </c>
      <c r="E878" s="15" t="inlineStr">
        <is>
          <t>SPV-A</t>
        </is>
      </c>
      <c r="F878" s="15" t="inlineStr">
        <is>
          <t>- Setiap langkah ditolak; record tidak tersimpan.
- Setiap pesan galat muncul di sebelah kolom yang bersangkutan.
- Tanggal di luar periode terbuka ditolak dengan pesan yang menyebut periode.
- Isi kolom lain tidak hilang setiap kali penolakan terjadi.</t>
        </is>
      </c>
      <c r="G878" s="13" t="inlineStr">
        <is>
          <t>Tinggi</t>
        </is>
      </c>
      <c r="H878" s="18" t="n"/>
      <c r="I878" s="18" t="n"/>
      <c r="J878" s="18" t="n"/>
      <c r="K878" s="18" t="n"/>
      <c r="L878" s="18" t="n"/>
    </row>
    <row r="879" ht="96.39999999999999" customHeight="1">
      <c r="A879" s="10" t="n">
        <v>875</v>
      </c>
      <c r="B879" s="11" t="inlineStr">
        <is>
          <t>WB-FRM-03</t>
        </is>
      </c>
      <c r="C879" s="5" t="inlineStr">
        <is>
          <t>Kolom wajib dan tanggal divalidasi</t>
        </is>
      </c>
      <c r="D879" s="12" t="inlineStr">
        <is>
          <t>Cages Track</t>
        </is>
      </c>
      <c r="E879" s="5" t="inlineStr">
        <is>
          <t>SPV-A</t>
        </is>
      </c>
      <c r="F879" s="5" t="inlineStr">
        <is>
          <t>- Setiap langkah ditolak; record tidak tersimpan.
- Setiap pesan galat muncul di sebelah kolom yang bersangkutan.
- Tanggal di luar periode terbuka ditolak dengan pesan yang menyebut periode.
- Isi kolom lain tidak hilang setiap kali penolakan terjadi.</t>
        </is>
      </c>
      <c r="G879" s="13" t="inlineStr">
        <is>
          <t>Tinggi</t>
        </is>
      </c>
      <c r="H879" s="18" t="n"/>
      <c r="I879" s="18" t="n"/>
      <c r="J879" s="18" t="n"/>
      <c r="K879" s="18" t="n"/>
      <c r="L879" s="18" t="n"/>
    </row>
    <row r="880" ht="96.39999999999999" customHeight="1">
      <c r="A880" s="14" t="n">
        <v>876</v>
      </c>
      <c r="B880" s="16" t="inlineStr">
        <is>
          <t>WB-FRM-03</t>
        </is>
      </c>
      <c r="C880" s="15" t="inlineStr">
        <is>
          <t>Kolom wajib dan tanggal divalidasi</t>
        </is>
      </c>
      <c r="D880" s="17" t="inlineStr">
        <is>
          <t>Sterilizer</t>
        </is>
      </c>
      <c r="E880" s="15" t="inlineStr">
        <is>
          <t>SPV-A</t>
        </is>
      </c>
      <c r="F880" s="15" t="inlineStr">
        <is>
          <t>- Setiap langkah ditolak; record tidak tersimpan.
- Setiap pesan galat muncul di sebelah kolom yang bersangkutan.
- Tanggal di luar periode terbuka ditolak dengan pesan yang menyebut periode.
- Isi kolom lain tidak hilang setiap kali penolakan terjadi.</t>
        </is>
      </c>
      <c r="G880" s="13" t="inlineStr">
        <is>
          <t>Tinggi</t>
        </is>
      </c>
      <c r="H880" s="18" t="n"/>
      <c r="I880" s="18" t="n"/>
      <c r="J880" s="18" t="n"/>
      <c r="K880" s="18" t="n"/>
      <c r="L880" s="18" t="n"/>
    </row>
    <row r="881" ht="96.39999999999999" customHeight="1">
      <c r="A881" s="10" t="n">
        <v>877</v>
      </c>
      <c r="B881" s="11" t="inlineStr">
        <is>
          <t>WB-FRM-03</t>
        </is>
      </c>
      <c r="C881" s="5" t="inlineStr">
        <is>
          <t>Kolom wajib dan tanggal divalidasi</t>
        </is>
      </c>
      <c r="D881" s="12" t="inlineStr">
        <is>
          <t>Threshing</t>
        </is>
      </c>
      <c r="E881" s="5" t="inlineStr">
        <is>
          <t>SPV-A</t>
        </is>
      </c>
      <c r="F881" s="5" t="inlineStr">
        <is>
          <t>- Setiap langkah ditolak; record tidak tersimpan.
- Setiap pesan galat muncul di sebelah kolom yang bersangkutan.
- Tanggal di luar periode terbuka ditolak dengan pesan yang menyebut periode.
- Isi kolom lain tidak hilang setiap kali penolakan terjadi.</t>
        </is>
      </c>
      <c r="G881" s="13" t="inlineStr">
        <is>
          <t>Tinggi</t>
        </is>
      </c>
      <c r="H881" s="18" t="n"/>
      <c r="I881" s="18" t="n"/>
      <c r="J881" s="18" t="n"/>
      <c r="K881" s="18" t="n"/>
      <c r="L881" s="18" t="n"/>
    </row>
    <row r="882" ht="96.39999999999999" customHeight="1">
      <c r="A882" s="14" t="n">
        <v>878</v>
      </c>
      <c r="B882" s="16" t="inlineStr">
        <is>
          <t>WB-FRM-03</t>
        </is>
      </c>
      <c r="C882" s="15" t="inlineStr">
        <is>
          <t>Kolom wajib dan tanggal divalidasi</t>
        </is>
      </c>
      <c r="D882" s="17" t="inlineStr">
        <is>
          <t>Pressing</t>
        </is>
      </c>
      <c r="E882" s="15" t="inlineStr">
        <is>
          <t>SPV-A</t>
        </is>
      </c>
      <c r="F882" s="15" t="inlineStr">
        <is>
          <t>- Setiap langkah ditolak; record tidak tersimpan.
- Setiap pesan galat muncul di sebelah kolom yang bersangkutan.
- Tanggal di luar periode terbuka ditolak dengan pesan yang menyebut periode.
- Isi kolom lain tidak hilang setiap kali penolakan terjadi.</t>
        </is>
      </c>
      <c r="G882" s="13" t="inlineStr">
        <is>
          <t>Tinggi</t>
        </is>
      </c>
      <c r="H882" s="18" t="n"/>
      <c r="I882" s="18" t="n"/>
      <c r="J882" s="18" t="n"/>
      <c r="K882" s="18" t="n"/>
      <c r="L882" s="18" t="n"/>
    </row>
    <row r="883" ht="96.39999999999999" customHeight="1">
      <c r="A883" s="10" t="n">
        <v>879</v>
      </c>
      <c r="B883" s="11" t="inlineStr">
        <is>
          <t>WB-FRM-03</t>
        </is>
      </c>
      <c r="C883" s="5" t="inlineStr">
        <is>
          <t>Kolom wajib dan tanggal divalidasi</t>
        </is>
      </c>
      <c r="D883" s="12" t="inlineStr">
        <is>
          <t>Clarification</t>
        </is>
      </c>
      <c r="E883" s="5" t="inlineStr">
        <is>
          <t>SPV-A</t>
        </is>
      </c>
      <c r="F883" s="5" t="inlineStr">
        <is>
          <t>- Setiap langkah ditolak; record tidak tersimpan.
- Setiap pesan galat muncul di sebelah kolom yang bersangkutan.
- Tanggal di luar periode terbuka ditolak dengan pesan yang menyebut periode.
- Isi kolom lain tidak hilang setiap kali penolakan terjadi.</t>
        </is>
      </c>
      <c r="G883" s="13" t="inlineStr">
        <is>
          <t>Tinggi</t>
        </is>
      </c>
      <c r="H883" s="18" t="n"/>
      <c r="I883" s="18" t="n"/>
      <c r="J883" s="18" t="n"/>
      <c r="K883" s="18" t="n"/>
      <c r="L883" s="18" t="n"/>
    </row>
    <row r="884" ht="96.39999999999999" customHeight="1">
      <c r="A884" s="14" t="n">
        <v>880</v>
      </c>
      <c r="B884" s="16" t="inlineStr">
        <is>
          <t>WB-FRM-03</t>
        </is>
      </c>
      <c r="C884" s="15" t="inlineStr">
        <is>
          <t>Kolom wajib dan tanggal divalidasi</t>
        </is>
      </c>
      <c r="D884" s="17" t="inlineStr">
        <is>
          <t>Kernel Plant</t>
        </is>
      </c>
      <c r="E884" s="15" t="inlineStr">
        <is>
          <t>SPV-A</t>
        </is>
      </c>
      <c r="F884" s="15" t="inlineStr">
        <is>
          <t>- Setiap langkah ditolak; record tidak tersimpan.
- Setiap pesan galat muncul di sebelah kolom yang bersangkutan.
- Tanggal di luar periode terbuka ditolak dengan pesan yang menyebut periode.
- Isi kolom lain tidak hilang setiap kali penolakan terjadi.</t>
        </is>
      </c>
      <c r="G884" s="13" t="inlineStr">
        <is>
          <t>Tinggi</t>
        </is>
      </c>
      <c r="H884" s="18" t="n"/>
      <c r="I884" s="18" t="n"/>
      <c r="J884" s="18" t="n"/>
      <c r="K884" s="18" t="n"/>
      <c r="L884" s="18" t="n"/>
    </row>
    <row r="885" ht="96.39999999999999" customHeight="1">
      <c r="A885" s="10" t="n">
        <v>881</v>
      </c>
      <c r="B885" s="11" t="inlineStr">
        <is>
          <t>WB-FRM-03</t>
        </is>
      </c>
      <c r="C885" s="5" t="inlineStr">
        <is>
          <t>Kolom wajib dan tanggal divalidasi</t>
        </is>
      </c>
      <c r="D885" s="12" t="inlineStr">
        <is>
          <t>Boiler Room</t>
        </is>
      </c>
      <c r="E885" s="5" t="inlineStr">
        <is>
          <t>SPV-A</t>
        </is>
      </c>
      <c r="F885" s="5" t="inlineStr">
        <is>
          <t>- Setiap langkah ditolak; record tidak tersimpan.
- Setiap pesan galat muncul di sebelah kolom yang bersangkutan.
- Tanggal di luar periode terbuka ditolak dengan pesan yang menyebut periode.
- Isi kolom lain tidak hilang setiap kali penolakan terjadi.</t>
        </is>
      </c>
      <c r="G885" s="13" t="inlineStr">
        <is>
          <t>Tinggi</t>
        </is>
      </c>
      <c r="H885" s="18" t="n"/>
      <c r="I885" s="18" t="n"/>
      <c r="J885" s="18" t="n"/>
      <c r="K885" s="18" t="n"/>
      <c r="L885" s="18" t="n"/>
    </row>
    <row r="886" ht="96.39999999999999" customHeight="1">
      <c r="A886" s="14" t="n">
        <v>882</v>
      </c>
      <c r="B886" s="16" t="inlineStr">
        <is>
          <t>WB-FRM-03</t>
        </is>
      </c>
      <c r="C886" s="15" t="inlineStr">
        <is>
          <t>Kolom wajib dan tanggal divalidasi</t>
        </is>
      </c>
      <c r="D886" s="17" t="inlineStr">
        <is>
          <t>Effluent Plant</t>
        </is>
      </c>
      <c r="E886" s="15" t="inlineStr">
        <is>
          <t>SPV-A</t>
        </is>
      </c>
      <c r="F886" s="15" t="inlineStr">
        <is>
          <t>- Setiap langkah ditolak; record tidak tersimpan.
- Setiap pesan galat muncul di sebelah kolom yang bersangkutan.
- Tanggal di luar periode terbuka ditolak dengan pesan yang menyebut periode.
- Isi kolom lain tidak hilang setiap kali penolakan terjadi.</t>
        </is>
      </c>
      <c r="G886" s="13" t="inlineStr">
        <is>
          <t>Tinggi</t>
        </is>
      </c>
      <c r="H886" s="18" t="n"/>
      <c r="I886" s="18" t="n"/>
      <c r="J886" s="18" t="n"/>
      <c r="K886" s="18" t="n"/>
      <c r="L886" s="18" t="n"/>
    </row>
    <row r="887" ht="96.39999999999999" customHeight="1">
      <c r="A887" s="10" t="n">
        <v>883</v>
      </c>
      <c r="B887" s="11" t="inlineStr">
        <is>
          <t>WB-FRM-03</t>
        </is>
      </c>
      <c r="C887" s="5" t="inlineStr">
        <is>
          <t>Kolom wajib dan tanggal divalidasi</t>
        </is>
      </c>
      <c r="D887" s="12" t="inlineStr">
        <is>
          <t>Depricarping</t>
        </is>
      </c>
      <c r="E887" s="5" t="inlineStr">
        <is>
          <t>SPV-A</t>
        </is>
      </c>
      <c r="F887" s="5" t="inlineStr">
        <is>
          <t>- Setiap langkah ditolak; record tidak tersimpan.
- Setiap pesan galat muncul di sebelah kolom yang bersangkutan.
- Tanggal di luar periode terbuka ditolak dengan pesan yang menyebut periode.
- Isi kolom lain tidak hilang setiap kali penolakan terjadi.</t>
        </is>
      </c>
      <c r="G887" s="13" t="inlineStr">
        <is>
          <t>Tinggi</t>
        </is>
      </c>
      <c r="H887" s="18" t="n"/>
      <c r="I887" s="18" t="n"/>
      <c r="J887" s="18" t="n"/>
      <c r="K887" s="18" t="n"/>
      <c r="L887" s="18" t="n"/>
    </row>
    <row r="888" ht="96.39999999999999" customHeight="1">
      <c r="A888" s="14" t="n">
        <v>884</v>
      </c>
      <c r="B888" s="16" t="inlineStr">
        <is>
          <t>WB-FRM-03</t>
        </is>
      </c>
      <c r="C888" s="15" t="inlineStr">
        <is>
          <t>Kolom wajib dan tanggal divalidasi</t>
        </is>
      </c>
      <c r="D888" s="17" t="inlineStr">
        <is>
          <t>Engine Room</t>
        </is>
      </c>
      <c r="E888" s="15" t="inlineStr">
        <is>
          <t>SPV-A</t>
        </is>
      </c>
      <c r="F888" s="15" t="inlineStr">
        <is>
          <t>- Setiap langkah ditolak; record tidak tersimpan.
- Setiap pesan galat muncul di sebelah kolom yang bersangkutan.
- Tanggal di luar periode terbuka ditolak dengan pesan yang menyebut periode.
- Isi kolom lain tidak hilang setiap kali penolakan terjadi.</t>
        </is>
      </c>
      <c r="G888" s="13" t="inlineStr">
        <is>
          <t>Tinggi</t>
        </is>
      </c>
      <c r="H888" s="18" t="n"/>
      <c r="I888" s="18" t="n"/>
      <c r="J888" s="18" t="n"/>
      <c r="K888" s="18" t="n"/>
      <c r="L888" s="18" t="n"/>
    </row>
    <row r="889" ht="96.39999999999999" customHeight="1">
      <c r="A889" s="10" t="n">
        <v>885</v>
      </c>
      <c r="B889" s="11" t="inlineStr">
        <is>
          <t>WB-FRM-03</t>
        </is>
      </c>
      <c r="C889" s="5" t="inlineStr">
        <is>
          <t>Kolom wajib dan tanggal divalidasi</t>
        </is>
      </c>
      <c r="D889" s="12" t="inlineStr">
        <is>
          <t>Process Water</t>
        </is>
      </c>
      <c r="E889" s="5" t="inlineStr">
        <is>
          <t>SPV-A</t>
        </is>
      </c>
      <c r="F889" s="5" t="inlineStr">
        <is>
          <t>- Setiap langkah ditolak; record tidak tersimpan.
- Setiap pesan galat muncul di sebelah kolom yang bersangkutan.
- Tanggal di luar periode terbuka ditolak dengan pesan yang menyebut periode.
- Isi kolom lain tidak hilang setiap kali penolakan terjadi.</t>
        </is>
      </c>
      <c r="G889" s="13" t="inlineStr">
        <is>
          <t>Tinggi</t>
        </is>
      </c>
      <c r="H889" s="18" t="n"/>
      <c r="I889" s="18" t="n"/>
      <c r="J889" s="18" t="n"/>
      <c r="K889" s="18" t="n"/>
      <c r="L889" s="18" t="n"/>
    </row>
    <row r="890" ht="96.39999999999999" customHeight="1">
      <c r="A890" s="14" t="n">
        <v>886</v>
      </c>
      <c r="B890" s="16" t="inlineStr">
        <is>
          <t>WB-FRM-03</t>
        </is>
      </c>
      <c r="C890" s="15" t="inlineStr">
        <is>
          <t>Kolom wajib dan tanggal divalidasi</t>
        </is>
      </c>
      <c r="D890" s="17" t="inlineStr">
        <is>
          <t>Storage Tank</t>
        </is>
      </c>
      <c r="E890" s="15" t="inlineStr">
        <is>
          <t>SPV-A</t>
        </is>
      </c>
      <c r="F890" s="15" t="inlineStr">
        <is>
          <t>- Setiap langkah ditolak; record tidak tersimpan.
- Setiap pesan galat muncul di sebelah kolom yang bersangkutan.
- Tanggal di luar periode terbuka ditolak dengan pesan yang menyebut periode.
- Isi kolom lain tidak hilang setiap kali penolakan terjadi.</t>
        </is>
      </c>
      <c r="G890" s="13" t="inlineStr">
        <is>
          <t>Tinggi</t>
        </is>
      </c>
      <c r="H890" s="18" t="n"/>
      <c r="I890" s="18" t="n"/>
      <c r="J890" s="18" t="n"/>
      <c r="K890" s="18" t="n"/>
      <c r="L890" s="18" t="n"/>
    </row>
    <row r="891" ht="96.39999999999999" customHeight="1">
      <c r="A891" s="10" t="n">
        <v>887</v>
      </c>
      <c r="B891" s="11" t="inlineStr">
        <is>
          <t>WB-FRM-03</t>
        </is>
      </c>
      <c r="C891" s="5" t="inlineStr">
        <is>
          <t>Kolom wajib dan tanggal divalidasi</t>
        </is>
      </c>
      <c r="D891" s="12" t="inlineStr">
        <is>
          <t>Solid Waste Disposal</t>
        </is>
      </c>
      <c r="E891" s="5" t="inlineStr">
        <is>
          <t>SPV-A</t>
        </is>
      </c>
      <c r="F891" s="5" t="inlineStr">
        <is>
          <t>- Setiap langkah ditolak; record tidak tersimpan.
- Setiap pesan galat muncul di sebelah kolom yang bersangkutan.
- Tanggal di luar periode terbuka ditolak dengan pesan yang menyebut periode.
- Isi kolom lain tidak hilang setiap kali penolakan terjadi.</t>
        </is>
      </c>
      <c r="G891" s="13" t="inlineStr">
        <is>
          <t>Tinggi</t>
        </is>
      </c>
      <c r="H891" s="18" t="n"/>
      <c r="I891" s="18" t="n"/>
      <c r="J891" s="18" t="n"/>
      <c r="K891" s="18" t="n"/>
      <c r="L891" s="18" t="n"/>
    </row>
    <row r="892" ht="96.39999999999999" customHeight="1">
      <c r="A892" s="14" t="n">
        <v>888</v>
      </c>
      <c r="B892" s="16" t="inlineStr">
        <is>
          <t>WB-FRM-03</t>
        </is>
      </c>
      <c r="C892" s="15" t="inlineStr">
        <is>
          <t>Kolom wajib dan tanggal divalidasi</t>
        </is>
      </c>
      <c r="D892" s="17" t="inlineStr">
        <is>
          <t>Kernel Dispatch</t>
        </is>
      </c>
      <c r="E892" s="15" t="inlineStr">
        <is>
          <t>SPV-A</t>
        </is>
      </c>
      <c r="F892" s="15" t="inlineStr">
        <is>
          <t>- Setiap langkah ditolak; record tidak tersimpan.
- Setiap pesan galat muncul di sebelah kolom yang bersangkutan.
- Tanggal di luar periode terbuka ditolak dengan pesan yang menyebut periode.
- Isi kolom lain tidak hilang setiap kali penolakan terjadi.</t>
        </is>
      </c>
      <c r="G892" s="13" t="inlineStr">
        <is>
          <t>Tinggi</t>
        </is>
      </c>
      <c r="H892" s="18" t="n"/>
      <c r="I892" s="18" t="n"/>
      <c r="J892" s="18" t="n"/>
      <c r="K892" s="18" t="n"/>
      <c r="L892" s="18" t="n"/>
    </row>
    <row r="893" ht="96.39999999999999" customHeight="1">
      <c r="A893" s="10" t="n">
        <v>889</v>
      </c>
      <c r="B893" s="11" t="inlineStr">
        <is>
          <t>WB-FRM-03</t>
        </is>
      </c>
      <c r="C893" s="5" t="inlineStr">
        <is>
          <t>Kolom wajib dan tanggal divalidasi</t>
        </is>
      </c>
      <c r="D893" s="12" t="inlineStr">
        <is>
          <t>CPO Dispatch</t>
        </is>
      </c>
      <c r="E893" s="5" t="inlineStr">
        <is>
          <t>SPV-A</t>
        </is>
      </c>
      <c r="F893" s="5" t="inlineStr">
        <is>
          <t>- Setiap langkah ditolak; record tidak tersimpan.
- Setiap pesan galat muncul di sebelah kolom yang bersangkutan.
- Tanggal di luar periode terbuka ditolak dengan pesan yang menyebut periode.
- Isi kolom lain tidak hilang setiap kali penolakan terjadi.</t>
        </is>
      </c>
      <c r="G893" s="13" t="inlineStr">
        <is>
          <t>Tinggi</t>
        </is>
      </c>
      <c r="H893" s="18" t="n"/>
      <c r="I893" s="18" t="n"/>
      <c r="J893" s="18" t="n"/>
      <c r="K893" s="18" t="n"/>
      <c r="L893" s="18" t="n"/>
    </row>
    <row r="894" ht="96.39999999999999" customHeight="1">
      <c r="A894" s="14" t="n">
        <v>890</v>
      </c>
      <c r="B894" s="16" t="inlineStr">
        <is>
          <t>WB-FRM-03</t>
        </is>
      </c>
      <c r="C894" s="15" t="inlineStr">
        <is>
          <t>Kolom wajib dan tanggal divalidasi</t>
        </is>
      </c>
      <c r="D894" s="17" t="inlineStr">
        <is>
          <t>Process Quality Control</t>
        </is>
      </c>
      <c r="E894" s="15" t="inlineStr">
        <is>
          <t>SPV-A</t>
        </is>
      </c>
      <c r="F894" s="15" t="inlineStr">
        <is>
          <t>- Setiap langkah ditolak; record tidak tersimpan.
- Setiap pesan galat muncul di sebelah kolom yang bersangkutan.
- Tanggal di luar periode terbuka ditolak dengan pesan yang menyebut periode.
- Isi kolom lain tidak hilang setiap kali penolakan terjadi.</t>
        </is>
      </c>
      <c r="G894" s="13" t="inlineStr">
        <is>
          <t>Tinggi</t>
        </is>
      </c>
      <c r="H894" s="18" t="n"/>
      <c r="I894" s="18" t="n"/>
      <c r="J894" s="18" t="n"/>
      <c r="K894" s="18" t="n"/>
      <c r="L894" s="18" t="n"/>
    </row>
    <row r="895" ht="83.19999999999999" customHeight="1">
      <c r="A895" s="10" t="n">
        <v>891</v>
      </c>
      <c r="B895" s="11" t="inlineStr">
        <is>
          <t>WB-FRM-04</t>
        </is>
      </c>
      <c r="C895" s="5" t="inlineStr">
        <is>
          <t>Aturan slot waktu sama seperti mobile</t>
        </is>
      </c>
      <c r="D895" s="12" t="inlineStr">
        <is>
          <t>Weighbridge</t>
        </is>
      </c>
      <c r="E895" s="5" t="inlineStr">
        <is>
          <t>SPV-A</t>
        </is>
      </c>
      <c r="F895" s="5" t="inlineStr">
        <is>
          <t>- Aturan slotnya sama persis dengan mobile: harus menaik, tidak boleh kembar.
- Urutannya 07:00 → 23:00 → 00:00 → 06:00, tepat 24 pilihan.
- Bila web dan mobile berbeda di titik mana pun, catat perbedaannya — itu temuan.</t>
        </is>
      </c>
      <c r="G895" s="13" t="inlineStr">
        <is>
          <t>Tinggi</t>
        </is>
      </c>
      <c r="H895" s="18" t="n"/>
      <c r="I895" s="18" t="n"/>
      <c r="J895" s="18" t="n"/>
      <c r="K895" s="18" t="n"/>
      <c r="L895" s="18" t="n"/>
    </row>
    <row r="896" ht="83.19999999999999" customHeight="1">
      <c r="A896" s="14" t="n">
        <v>892</v>
      </c>
      <c r="B896" s="16" t="inlineStr">
        <is>
          <t>WB-FRM-04</t>
        </is>
      </c>
      <c r="C896" s="15" t="inlineStr">
        <is>
          <t>Aturan slot waktu sama seperti mobile</t>
        </is>
      </c>
      <c r="D896" s="17" t="inlineStr">
        <is>
          <t>Grading</t>
        </is>
      </c>
      <c r="E896" s="15" t="inlineStr">
        <is>
          <t>SPV-A</t>
        </is>
      </c>
      <c r="F896" s="15" t="inlineStr">
        <is>
          <t>- Aturan slotnya sama persis dengan mobile: harus menaik, tidak boleh kembar.
- Urutannya 07:00 → 23:00 → 00:00 → 06:00, tepat 24 pilihan.
- Bila web dan mobile berbeda di titik mana pun, catat perbedaannya — itu temuan.</t>
        </is>
      </c>
      <c r="G896" s="13" t="inlineStr">
        <is>
          <t>Tinggi</t>
        </is>
      </c>
      <c r="H896" s="18" t="n"/>
      <c r="I896" s="18" t="n"/>
      <c r="J896" s="18" t="n"/>
      <c r="K896" s="18" t="n"/>
      <c r="L896" s="18" t="n"/>
    </row>
    <row r="897" ht="83.19999999999999" customHeight="1">
      <c r="A897" s="10" t="n">
        <v>893</v>
      </c>
      <c r="B897" s="11" t="inlineStr">
        <is>
          <t>WB-FRM-04</t>
        </is>
      </c>
      <c r="C897" s="5" t="inlineStr">
        <is>
          <t>Aturan slot waktu sama seperti mobile</t>
        </is>
      </c>
      <c r="D897" s="12" t="inlineStr">
        <is>
          <t>Cages Track</t>
        </is>
      </c>
      <c r="E897" s="5" t="inlineStr">
        <is>
          <t>SPV-A</t>
        </is>
      </c>
      <c r="F897" s="5" t="inlineStr">
        <is>
          <t>- Aturan slotnya sama persis dengan mobile: harus menaik, tidak boleh kembar.
- Urutannya 07:00 → 23:00 → 00:00 → 06:00, tepat 24 pilihan.
- Bila web dan mobile berbeda di titik mana pun, catat perbedaannya — itu temuan.</t>
        </is>
      </c>
      <c r="G897" s="13" t="inlineStr">
        <is>
          <t>Tinggi</t>
        </is>
      </c>
      <c r="H897" s="18" t="n"/>
      <c r="I897" s="18" t="n"/>
      <c r="J897" s="18" t="n"/>
      <c r="K897" s="18" t="n"/>
      <c r="L897" s="18" t="n"/>
    </row>
    <row r="898" ht="83.19999999999999" customHeight="1">
      <c r="A898" s="14" t="n">
        <v>894</v>
      </c>
      <c r="B898" s="16" t="inlineStr">
        <is>
          <t>WB-FRM-04</t>
        </is>
      </c>
      <c r="C898" s="15" t="inlineStr">
        <is>
          <t>Aturan slot waktu sama seperti mobile</t>
        </is>
      </c>
      <c r="D898" s="17" t="inlineStr">
        <is>
          <t>Sterilizer</t>
        </is>
      </c>
      <c r="E898" s="15" t="inlineStr">
        <is>
          <t>SPV-A</t>
        </is>
      </c>
      <c r="F898" s="15" t="inlineStr">
        <is>
          <t>- Aturan slotnya sama persis dengan mobile: harus menaik, tidak boleh kembar.
- Urutannya 07:00 → 23:00 → 00:00 → 06:00, tepat 24 pilihan.
- Bila web dan mobile berbeda di titik mana pun, catat perbedaannya — itu temuan.</t>
        </is>
      </c>
      <c r="G898" s="13" t="inlineStr">
        <is>
          <t>Tinggi</t>
        </is>
      </c>
      <c r="H898" s="18" t="n"/>
      <c r="I898" s="18" t="n"/>
      <c r="J898" s="18" t="n"/>
      <c r="K898" s="18" t="n"/>
      <c r="L898" s="18" t="n"/>
    </row>
    <row r="899" ht="83.19999999999999" customHeight="1">
      <c r="A899" s="10" t="n">
        <v>895</v>
      </c>
      <c r="B899" s="11" t="inlineStr">
        <is>
          <t>WB-FRM-04</t>
        </is>
      </c>
      <c r="C899" s="5" t="inlineStr">
        <is>
          <t>Aturan slot waktu sama seperti mobile</t>
        </is>
      </c>
      <c r="D899" s="12" t="inlineStr">
        <is>
          <t>Threshing</t>
        </is>
      </c>
      <c r="E899" s="5" t="inlineStr">
        <is>
          <t>SPV-A</t>
        </is>
      </c>
      <c r="F899" s="5" t="inlineStr">
        <is>
          <t>- Aturan slotnya sama persis dengan mobile: harus menaik, tidak boleh kembar.
- Urutannya 07:00 → 23:00 → 00:00 → 06:00, tepat 24 pilihan.
- Bila web dan mobile berbeda di titik mana pun, catat perbedaannya — itu temuan.</t>
        </is>
      </c>
      <c r="G899" s="13" t="inlineStr">
        <is>
          <t>Tinggi</t>
        </is>
      </c>
      <c r="H899" s="18" t="n"/>
      <c r="I899" s="18" t="n"/>
      <c r="J899" s="18" t="n"/>
      <c r="K899" s="18" t="n"/>
      <c r="L899" s="18" t="n"/>
    </row>
    <row r="900" ht="83.19999999999999" customHeight="1">
      <c r="A900" s="14" t="n">
        <v>896</v>
      </c>
      <c r="B900" s="16" t="inlineStr">
        <is>
          <t>WB-FRM-04</t>
        </is>
      </c>
      <c r="C900" s="15" t="inlineStr">
        <is>
          <t>Aturan slot waktu sama seperti mobile</t>
        </is>
      </c>
      <c r="D900" s="17" t="inlineStr">
        <is>
          <t>Pressing</t>
        </is>
      </c>
      <c r="E900" s="15" t="inlineStr">
        <is>
          <t>SPV-A</t>
        </is>
      </c>
      <c r="F900" s="15" t="inlineStr">
        <is>
          <t>- Aturan slotnya sama persis dengan mobile: harus menaik, tidak boleh kembar.
- Urutannya 07:00 → 23:00 → 00:00 → 06:00, tepat 24 pilihan.
- Bila web dan mobile berbeda di titik mana pun, catat perbedaannya — itu temuan.</t>
        </is>
      </c>
      <c r="G900" s="13" t="inlineStr">
        <is>
          <t>Tinggi</t>
        </is>
      </c>
      <c r="H900" s="18" t="n"/>
      <c r="I900" s="18" t="n"/>
      <c r="J900" s="18" t="n"/>
      <c r="K900" s="18" t="n"/>
      <c r="L900" s="18" t="n"/>
    </row>
    <row r="901" ht="83.19999999999999" customHeight="1">
      <c r="A901" s="10" t="n">
        <v>897</v>
      </c>
      <c r="B901" s="11" t="inlineStr">
        <is>
          <t>WB-FRM-04</t>
        </is>
      </c>
      <c r="C901" s="5" t="inlineStr">
        <is>
          <t>Aturan slot waktu sama seperti mobile</t>
        </is>
      </c>
      <c r="D901" s="12" t="inlineStr">
        <is>
          <t>Clarification</t>
        </is>
      </c>
      <c r="E901" s="5" t="inlineStr">
        <is>
          <t>SPV-A</t>
        </is>
      </c>
      <c r="F901" s="5" t="inlineStr">
        <is>
          <t>- Aturan slotnya sama persis dengan mobile: harus menaik, tidak boleh kembar.
- Urutannya 07:00 → 23:00 → 00:00 → 06:00, tepat 24 pilihan.
- Bila web dan mobile berbeda di titik mana pun, catat perbedaannya — itu temuan.</t>
        </is>
      </c>
      <c r="G901" s="13" t="inlineStr">
        <is>
          <t>Tinggi</t>
        </is>
      </c>
      <c r="H901" s="18" t="n"/>
      <c r="I901" s="18" t="n"/>
      <c r="J901" s="18" t="n"/>
      <c r="K901" s="18" t="n"/>
      <c r="L901" s="18" t="n"/>
    </row>
    <row r="902" ht="83.19999999999999" customHeight="1">
      <c r="A902" s="14" t="n">
        <v>898</v>
      </c>
      <c r="B902" s="16" t="inlineStr">
        <is>
          <t>WB-FRM-04</t>
        </is>
      </c>
      <c r="C902" s="15" t="inlineStr">
        <is>
          <t>Aturan slot waktu sama seperti mobile</t>
        </is>
      </c>
      <c r="D902" s="17" t="inlineStr">
        <is>
          <t>Kernel Plant</t>
        </is>
      </c>
      <c r="E902" s="15" t="inlineStr">
        <is>
          <t>SPV-A</t>
        </is>
      </c>
      <c r="F902" s="15" t="inlineStr">
        <is>
          <t>- Aturan slotnya sama persis dengan mobile: harus menaik, tidak boleh kembar.
- Urutannya 07:00 → 23:00 → 00:00 → 06:00, tepat 24 pilihan.
- Bila web dan mobile berbeda di titik mana pun, catat perbedaannya — itu temuan.</t>
        </is>
      </c>
      <c r="G902" s="13" t="inlineStr">
        <is>
          <t>Tinggi</t>
        </is>
      </c>
      <c r="H902" s="18" t="n"/>
      <c r="I902" s="18" t="n"/>
      <c r="J902" s="18" t="n"/>
      <c r="K902" s="18" t="n"/>
      <c r="L902" s="18" t="n"/>
    </row>
    <row r="903" ht="83.19999999999999" customHeight="1">
      <c r="A903" s="10" t="n">
        <v>899</v>
      </c>
      <c r="B903" s="11" t="inlineStr">
        <is>
          <t>WB-FRM-04</t>
        </is>
      </c>
      <c r="C903" s="5" t="inlineStr">
        <is>
          <t>Aturan slot waktu sama seperti mobile</t>
        </is>
      </c>
      <c r="D903" s="12" t="inlineStr">
        <is>
          <t>Boiler Room</t>
        </is>
      </c>
      <c r="E903" s="5" t="inlineStr">
        <is>
          <t>SPV-A</t>
        </is>
      </c>
      <c r="F903" s="5" t="inlineStr">
        <is>
          <t>- Aturan slotnya sama persis dengan mobile: harus menaik, tidak boleh kembar.
- Urutannya 07:00 → 23:00 → 00:00 → 06:00, tepat 24 pilihan.
- Bila web dan mobile berbeda di titik mana pun, catat perbedaannya — itu temuan.</t>
        </is>
      </c>
      <c r="G903" s="13" t="inlineStr">
        <is>
          <t>Tinggi</t>
        </is>
      </c>
      <c r="H903" s="18" t="n"/>
      <c r="I903" s="18" t="n"/>
      <c r="J903" s="18" t="n"/>
      <c r="K903" s="18" t="n"/>
      <c r="L903" s="18" t="n"/>
    </row>
    <row r="904" ht="83.19999999999999" customHeight="1">
      <c r="A904" s="14" t="n">
        <v>900</v>
      </c>
      <c r="B904" s="16" t="inlineStr">
        <is>
          <t>WB-FRM-04</t>
        </is>
      </c>
      <c r="C904" s="15" t="inlineStr">
        <is>
          <t>Aturan slot waktu sama seperti mobile</t>
        </is>
      </c>
      <c r="D904" s="17" t="inlineStr">
        <is>
          <t>Effluent Plant</t>
        </is>
      </c>
      <c r="E904" s="15" t="inlineStr">
        <is>
          <t>SPV-A</t>
        </is>
      </c>
      <c r="F904" s="15" t="inlineStr">
        <is>
          <t>- Aturan slotnya sama persis dengan mobile: harus menaik, tidak boleh kembar.
- Urutannya 07:00 → 23:00 → 00:00 → 06:00, tepat 24 pilihan.
- Bila web dan mobile berbeda di titik mana pun, catat perbedaannya — itu temuan.</t>
        </is>
      </c>
      <c r="G904" s="13" t="inlineStr">
        <is>
          <t>Tinggi</t>
        </is>
      </c>
      <c r="H904" s="18" t="n"/>
      <c r="I904" s="18" t="n"/>
      <c r="J904" s="18" t="n"/>
      <c r="K904" s="18" t="n"/>
      <c r="L904" s="18" t="n"/>
    </row>
    <row r="905" ht="83.19999999999999" customHeight="1">
      <c r="A905" s="10" t="n">
        <v>901</v>
      </c>
      <c r="B905" s="11" t="inlineStr">
        <is>
          <t>WB-FRM-04</t>
        </is>
      </c>
      <c r="C905" s="5" t="inlineStr">
        <is>
          <t>Aturan slot waktu sama seperti mobile</t>
        </is>
      </c>
      <c r="D905" s="12" t="inlineStr">
        <is>
          <t>Depricarping</t>
        </is>
      </c>
      <c r="E905" s="5" t="inlineStr">
        <is>
          <t>SPV-A</t>
        </is>
      </c>
      <c r="F905" s="5" t="inlineStr">
        <is>
          <t>- Aturan slotnya sama persis dengan mobile: harus menaik, tidak boleh kembar.
- Urutannya 07:00 → 23:00 → 00:00 → 06:00, tepat 24 pilihan.
- Bila web dan mobile berbeda di titik mana pun, catat perbedaannya — itu temuan.</t>
        </is>
      </c>
      <c r="G905" s="13" t="inlineStr">
        <is>
          <t>Tinggi</t>
        </is>
      </c>
      <c r="H905" s="18" t="n"/>
      <c r="I905" s="18" t="n"/>
      <c r="J905" s="18" t="n"/>
      <c r="K905" s="18" t="n"/>
      <c r="L905" s="18" t="n"/>
    </row>
    <row r="906" ht="83.19999999999999" customHeight="1">
      <c r="A906" s="14" t="n">
        <v>902</v>
      </c>
      <c r="B906" s="16" t="inlineStr">
        <is>
          <t>WB-FRM-04</t>
        </is>
      </c>
      <c r="C906" s="15" t="inlineStr">
        <is>
          <t>Aturan slot waktu sama seperti mobile</t>
        </is>
      </c>
      <c r="D906" s="17" t="inlineStr">
        <is>
          <t>Engine Room</t>
        </is>
      </c>
      <c r="E906" s="15" t="inlineStr">
        <is>
          <t>SPV-A</t>
        </is>
      </c>
      <c r="F906" s="15" t="inlineStr">
        <is>
          <t>- Aturan slotnya sama persis dengan mobile: harus menaik, tidak boleh kembar.
- Urutannya 07:00 → 23:00 → 00:00 → 06:00, tepat 24 pilihan.
- Bila web dan mobile berbeda di titik mana pun, catat perbedaannya — itu temuan.</t>
        </is>
      </c>
      <c r="G906" s="13" t="inlineStr">
        <is>
          <t>Tinggi</t>
        </is>
      </c>
      <c r="H906" s="18" t="n"/>
      <c r="I906" s="18" t="n"/>
      <c r="J906" s="18" t="n"/>
      <c r="K906" s="18" t="n"/>
      <c r="L906" s="18" t="n"/>
    </row>
    <row r="907" ht="83.19999999999999" customHeight="1">
      <c r="A907" s="10" t="n">
        <v>903</v>
      </c>
      <c r="B907" s="11" t="inlineStr">
        <is>
          <t>WB-FRM-04</t>
        </is>
      </c>
      <c r="C907" s="5" t="inlineStr">
        <is>
          <t>Aturan slot waktu sama seperti mobile</t>
        </is>
      </c>
      <c r="D907" s="12" t="inlineStr">
        <is>
          <t>Process Water</t>
        </is>
      </c>
      <c r="E907" s="5" t="inlineStr">
        <is>
          <t>SPV-A</t>
        </is>
      </c>
      <c r="F907" s="5" t="inlineStr">
        <is>
          <t>- Aturan slotnya sama persis dengan mobile: harus menaik, tidak boleh kembar.
- Urutannya 07:00 → 23:00 → 00:00 → 06:00, tepat 24 pilihan.
- Bila web dan mobile berbeda di titik mana pun, catat perbedaannya — itu temuan.</t>
        </is>
      </c>
      <c r="G907" s="13" t="inlineStr">
        <is>
          <t>Tinggi</t>
        </is>
      </c>
      <c r="H907" s="18" t="n"/>
      <c r="I907" s="18" t="n"/>
      <c r="J907" s="18" t="n"/>
      <c r="K907" s="18" t="n"/>
      <c r="L907" s="18" t="n"/>
    </row>
    <row r="908" ht="83.19999999999999" customHeight="1">
      <c r="A908" s="14" t="n">
        <v>904</v>
      </c>
      <c r="B908" s="16" t="inlineStr">
        <is>
          <t>WB-FRM-04</t>
        </is>
      </c>
      <c r="C908" s="15" t="inlineStr">
        <is>
          <t>Aturan slot waktu sama seperti mobile</t>
        </is>
      </c>
      <c r="D908" s="17" t="inlineStr">
        <is>
          <t>Storage Tank</t>
        </is>
      </c>
      <c r="E908" s="15" t="inlineStr">
        <is>
          <t>SPV-A</t>
        </is>
      </c>
      <c r="F908" s="15" t="inlineStr">
        <is>
          <t>- Aturan slotnya sama persis dengan mobile: harus menaik, tidak boleh kembar.
- Urutannya 07:00 → 23:00 → 00:00 → 06:00, tepat 24 pilihan.
- Bila web dan mobile berbeda di titik mana pun, catat perbedaannya — itu temuan.</t>
        </is>
      </c>
      <c r="G908" s="13" t="inlineStr">
        <is>
          <t>Tinggi</t>
        </is>
      </c>
      <c r="H908" s="18" t="n"/>
      <c r="I908" s="18" t="n"/>
      <c r="J908" s="18" t="n"/>
      <c r="K908" s="18" t="n"/>
      <c r="L908" s="18" t="n"/>
    </row>
    <row r="909" ht="83.19999999999999" customHeight="1">
      <c r="A909" s="10" t="n">
        <v>905</v>
      </c>
      <c r="B909" s="11" t="inlineStr">
        <is>
          <t>WB-FRM-04</t>
        </is>
      </c>
      <c r="C909" s="5" t="inlineStr">
        <is>
          <t>Aturan slot waktu sama seperti mobile</t>
        </is>
      </c>
      <c r="D909" s="12" t="inlineStr">
        <is>
          <t>Solid Waste Disposal</t>
        </is>
      </c>
      <c r="E909" s="5" t="inlineStr">
        <is>
          <t>SPV-A</t>
        </is>
      </c>
      <c r="F909" s="5" t="inlineStr">
        <is>
          <t>- Aturan slotnya sama persis dengan mobile: harus menaik, tidak boleh kembar.
- Urutannya 07:00 → 23:00 → 00:00 → 06:00, tepat 24 pilihan.
- Bila web dan mobile berbeda di titik mana pun, catat perbedaannya — itu temuan.</t>
        </is>
      </c>
      <c r="G909" s="13" t="inlineStr">
        <is>
          <t>Tinggi</t>
        </is>
      </c>
      <c r="H909" s="18" t="n"/>
      <c r="I909" s="18" t="n"/>
      <c r="J909" s="18" t="n"/>
      <c r="K909" s="18" t="n"/>
      <c r="L909" s="18" t="n"/>
    </row>
    <row r="910" ht="83.19999999999999" customHeight="1">
      <c r="A910" s="14" t="n">
        <v>906</v>
      </c>
      <c r="B910" s="16" t="inlineStr">
        <is>
          <t>WB-FRM-04</t>
        </is>
      </c>
      <c r="C910" s="15" t="inlineStr">
        <is>
          <t>Aturan slot waktu sama seperti mobile</t>
        </is>
      </c>
      <c r="D910" s="17" t="inlineStr">
        <is>
          <t>Kernel Dispatch</t>
        </is>
      </c>
      <c r="E910" s="15" t="inlineStr">
        <is>
          <t>SPV-A</t>
        </is>
      </c>
      <c r="F910" s="15" t="inlineStr">
        <is>
          <t>- Aturan slotnya sama persis dengan mobile: harus menaik, tidak boleh kembar.
- Urutannya 07:00 → 23:00 → 00:00 → 06:00, tepat 24 pilihan.
- Bila web dan mobile berbeda di titik mana pun, catat perbedaannya — itu temuan.</t>
        </is>
      </c>
      <c r="G910" s="13" t="inlineStr">
        <is>
          <t>Tinggi</t>
        </is>
      </c>
      <c r="H910" s="18" t="n"/>
      <c r="I910" s="18" t="n"/>
      <c r="J910" s="18" t="n"/>
      <c r="K910" s="18" t="n"/>
      <c r="L910" s="18" t="n"/>
    </row>
    <row r="911" ht="83.19999999999999" customHeight="1">
      <c r="A911" s="10" t="n">
        <v>907</v>
      </c>
      <c r="B911" s="11" t="inlineStr">
        <is>
          <t>WB-FRM-04</t>
        </is>
      </c>
      <c r="C911" s="5" t="inlineStr">
        <is>
          <t>Aturan slot waktu sama seperti mobile</t>
        </is>
      </c>
      <c r="D911" s="12" t="inlineStr">
        <is>
          <t>CPO Dispatch</t>
        </is>
      </c>
      <c r="E911" s="5" t="inlineStr">
        <is>
          <t>SPV-A</t>
        </is>
      </c>
      <c r="F911" s="5" t="inlineStr">
        <is>
          <t>- Aturan slotnya sama persis dengan mobile: harus menaik, tidak boleh kembar.
- Urutannya 07:00 → 23:00 → 00:00 → 06:00, tepat 24 pilihan.
- Bila web dan mobile berbeda di titik mana pun, catat perbedaannya — itu temuan.</t>
        </is>
      </c>
      <c r="G911" s="13" t="inlineStr">
        <is>
          <t>Tinggi</t>
        </is>
      </c>
      <c r="H911" s="18" t="n"/>
      <c r="I911" s="18" t="n"/>
      <c r="J911" s="18" t="n"/>
      <c r="K911" s="18" t="n"/>
      <c r="L911" s="18" t="n"/>
    </row>
    <row r="912" ht="83.19999999999999" customHeight="1">
      <c r="A912" s="14" t="n">
        <v>908</v>
      </c>
      <c r="B912" s="16" t="inlineStr">
        <is>
          <t>WB-FRM-04</t>
        </is>
      </c>
      <c r="C912" s="15" t="inlineStr">
        <is>
          <t>Aturan slot waktu sama seperti mobile</t>
        </is>
      </c>
      <c r="D912" s="17" t="inlineStr">
        <is>
          <t>Process Quality Control</t>
        </is>
      </c>
      <c r="E912" s="15" t="inlineStr">
        <is>
          <t>SPV-A</t>
        </is>
      </c>
      <c r="F912" s="15" t="inlineStr">
        <is>
          <t>- Aturan slotnya sama persis dengan mobile: harus menaik, tidak boleh kembar.
- Urutannya 07:00 → 23:00 → 00:00 → 06:00, tepat 24 pilihan.
- Bila web dan mobile berbeda di titik mana pun, catat perbedaannya — itu temuan.</t>
        </is>
      </c>
      <c r="G912" s="13" t="inlineStr">
        <is>
          <t>Tinggi</t>
        </is>
      </c>
      <c r="H912" s="18" t="n"/>
      <c r="I912" s="18" t="n"/>
      <c r="J912" s="18" t="n"/>
      <c r="K912" s="18" t="n"/>
      <c r="L912" s="18" t="n"/>
    </row>
    <row r="913" ht="56.8" customHeight="1">
      <c r="A913" s="10" t="n">
        <v>909</v>
      </c>
      <c r="B913" s="11" t="inlineStr">
        <is>
          <t>WB-FRM-05</t>
        </is>
      </c>
      <c r="C913" s="5" t="inlineStr">
        <is>
          <t>Melebihi 24 baris ditolak</t>
        </is>
      </c>
      <c r="D913" s="12" t="inlineStr">
        <is>
          <t>Weighbridge</t>
        </is>
      </c>
      <c r="E913" s="5" t="inlineStr">
        <is>
          <t>SPV-A</t>
        </is>
      </c>
      <c r="F913" s="5" t="inlineStr">
        <is>
          <t>- Pada 24 baris, tombol tambah baris tidak lagi bisa dipakai, atau penambahan ditolak dengan pesan.
- Pesannya menyebut batas 24 slot.
- Simpan pada 24 baris tetap berhasil.</t>
        </is>
      </c>
      <c r="G913" s="10" t="inlineStr">
        <is>
          <t>Sedang</t>
        </is>
      </c>
      <c r="H913" s="18" t="n"/>
      <c r="I913" s="18" t="n"/>
      <c r="J913" s="18" t="n"/>
      <c r="K913" s="18" t="n"/>
      <c r="L913" s="18" t="n"/>
    </row>
    <row r="914" ht="56.8" customHeight="1">
      <c r="A914" s="14" t="n">
        <v>910</v>
      </c>
      <c r="B914" s="16" t="inlineStr">
        <is>
          <t>WB-FRM-05</t>
        </is>
      </c>
      <c r="C914" s="15" t="inlineStr">
        <is>
          <t>Melebihi 24 baris ditolak</t>
        </is>
      </c>
      <c r="D914" s="17" t="inlineStr">
        <is>
          <t>Grading</t>
        </is>
      </c>
      <c r="E914" s="15" t="inlineStr">
        <is>
          <t>SPV-A</t>
        </is>
      </c>
      <c r="F914" s="15" t="inlineStr">
        <is>
          <t>- Pada 24 baris, tombol tambah baris tidak lagi bisa dipakai, atau penambahan ditolak dengan pesan.
- Pesannya menyebut batas 24 slot.
- Simpan pada 24 baris tetap berhasil.</t>
        </is>
      </c>
      <c r="G914" s="14" t="inlineStr">
        <is>
          <t>Sedang</t>
        </is>
      </c>
      <c r="H914" s="18" t="n"/>
      <c r="I914" s="18" t="n"/>
      <c r="J914" s="18" t="n"/>
      <c r="K914" s="18" t="n"/>
      <c r="L914" s="18" t="n"/>
    </row>
    <row r="915" ht="56.8" customHeight="1">
      <c r="A915" s="10" t="n">
        <v>911</v>
      </c>
      <c r="B915" s="11" t="inlineStr">
        <is>
          <t>WB-FRM-05</t>
        </is>
      </c>
      <c r="C915" s="5" t="inlineStr">
        <is>
          <t>Melebihi 24 baris ditolak</t>
        </is>
      </c>
      <c r="D915" s="12" t="inlineStr">
        <is>
          <t>Cages Track</t>
        </is>
      </c>
      <c r="E915" s="5" t="inlineStr">
        <is>
          <t>SPV-A</t>
        </is>
      </c>
      <c r="F915" s="5" t="inlineStr">
        <is>
          <t>- Pada 24 baris, tombol tambah baris tidak lagi bisa dipakai, atau penambahan ditolak dengan pesan.
- Pesannya menyebut batas 24 slot.
- Simpan pada 24 baris tetap berhasil.</t>
        </is>
      </c>
      <c r="G915" s="10" t="inlineStr">
        <is>
          <t>Sedang</t>
        </is>
      </c>
      <c r="H915" s="18" t="n"/>
      <c r="I915" s="18" t="n"/>
      <c r="J915" s="18" t="n"/>
      <c r="K915" s="18" t="n"/>
      <c r="L915" s="18" t="n"/>
    </row>
    <row r="916" ht="56.8" customHeight="1">
      <c r="A916" s="14" t="n">
        <v>912</v>
      </c>
      <c r="B916" s="16" t="inlineStr">
        <is>
          <t>WB-FRM-05</t>
        </is>
      </c>
      <c r="C916" s="15" t="inlineStr">
        <is>
          <t>Melebihi 24 baris ditolak</t>
        </is>
      </c>
      <c r="D916" s="17" t="inlineStr">
        <is>
          <t>Sterilizer</t>
        </is>
      </c>
      <c r="E916" s="15" t="inlineStr">
        <is>
          <t>SPV-A</t>
        </is>
      </c>
      <c r="F916" s="15" t="inlineStr">
        <is>
          <t>- Pada 24 baris, tombol tambah baris tidak lagi bisa dipakai, atau penambahan ditolak dengan pesan.
- Pesannya menyebut batas 24 slot.
- Simpan pada 24 baris tetap berhasil.</t>
        </is>
      </c>
      <c r="G916" s="14" t="inlineStr">
        <is>
          <t>Sedang</t>
        </is>
      </c>
      <c r="H916" s="18" t="n"/>
      <c r="I916" s="18" t="n"/>
      <c r="J916" s="18" t="n"/>
      <c r="K916" s="18" t="n"/>
      <c r="L916" s="18" t="n"/>
    </row>
    <row r="917" ht="56.8" customHeight="1">
      <c r="A917" s="10" t="n">
        <v>913</v>
      </c>
      <c r="B917" s="11" t="inlineStr">
        <is>
          <t>WB-FRM-05</t>
        </is>
      </c>
      <c r="C917" s="5" t="inlineStr">
        <is>
          <t>Melebihi 24 baris ditolak</t>
        </is>
      </c>
      <c r="D917" s="12" t="inlineStr">
        <is>
          <t>Threshing</t>
        </is>
      </c>
      <c r="E917" s="5" t="inlineStr">
        <is>
          <t>SPV-A</t>
        </is>
      </c>
      <c r="F917" s="5" t="inlineStr">
        <is>
          <t>- Pada 24 baris, tombol tambah baris tidak lagi bisa dipakai, atau penambahan ditolak dengan pesan.
- Pesannya menyebut batas 24 slot.
- Simpan pada 24 baris tetap berhasil.</t>
        </is>
      </c>
      <c r="G917" s="10" t="inlineStr">
        <is>
          <t>Sedang</t>
        </is>
      </c>
      <c r="H917" s="18" t="n"/>
      <c r="I917" s="18" t="n"/>
      <c r="J917" s="18" t="n"/>
      <c r="K917" s="18" t="n"/>
      <c r="L917" s="18" t="n"/>
    </row>
    <row r="918" ht="56.8" customHeight="1">
      <c r="A918" s="14" t="n">
        <v>914</v>
      </c>
      <c r="B918" s="16" t="inlineStr">
        <is>
          <t>WB-FRM-05</t>
        </is>
      </c>
      <c r="C918" s="15" t="inlineStr">
        <is>
          <t>Melebihi 24 baris ditolak</t>
        </is>
      </c>
      <c r="D918" s="17" t="inlineStr">
        <is>
          <t>Pressing</t>
        </is>
      </c>
      <c r="E918" s="15" t="inlineStr">
        <is>
          <t>SPV-A</t>
        </is>
      </c>
      <c r="F918" s="15" t="inlineStr">
        <is>
          <t>- Pada 24 baris, tombol tambah baris tidak lagi bisa dipakai, atau penambahan ditolak dengan pesan.
- Pesannya menyebut batas 24 slot.
- Simpan pada 24 baris tetap berhasil.</t>
        </is>
      </c>
      <c r="G918" s="14" t="inlineStr">
        <is>
          <t>Sedang</t>
        </is>
      </c>
      <c r="H918" s="18" t="n"/>
      <c r="I918" s="18" t="n"/>
      <c r="J918" s="18" t="n"/>
      <c r="K918" s="18" t="n"/>
      <c r="L918" s="18" t="n"/>
    </row>
    <row r="919" ht="56.8" customHeight="1">
      <c r="A919" s="10" t="n">
        <v>915</v>
      </c>
      <c r="B919" s="11" t="inlineStr">
        <is>
          <t>WB-FRM-05</t>
        </is>
      </c>
      <c r="C919" s="5" t="inlineStr">
        <is>
          <t>Melebihi 24 baris ditolak</t>
        </is>
      </c>
      <c r="D919" s="12" t="inlineStr">
        <is>
          <t>Clarification</t>
        </is>
      </c>
      <c r="E919" s="5" t="inlineStr">
        <is>
          <t>SPV-A</t>
        </is>
      </c>
      <c r="F919" s="5" t="inlineStr">
        <is>
          <t>- Pada 24 baris, tombol tambah baris tidak lagi bisa dipakai, atau penambahan ditolak dengan pesan.
- Pesannya menyebut batas 24 slot.
- Simpan pada 24 baris tetap berhasil.</t>
        </is>
      </c>
      <c r="G919" s="10" t="inlineStr">
        <is>
          <t>Sedang</t>
        </is>
      </c>
      <c r="H919" s="18" t="n"/>
      <c r="I919" s="18" t="n"/>
      <c r="J919" s="18" t="n"/>
      <c r="K919" s="18" t="n"/>
      <c r="L919" s="18" t="n"/>
    </row>
    <row r="920" ht="56.8" customHeight="1">
      <c r="A920" s="14" t="n">
        <v>916</v>
      </c>
      <c r="B920" s="16" t="inlineStr">
        <is>
          <t>WB-FRM-05</t>
        </is>
      </c>
      <c r="C920" s="15" t="inlineStr">
        <is>
          <t>Melebihi 24 baris ditolak</t>
        </is>
      </c>
      <c r="D920" s="17" t="inlineStr">
        <is>
          <t>Kernel Plant</t>
        </is>
      </c>
      <c r="E920" s="15" t="inlineStr">
        <is>
          <t>SPV-A</t>
        </is>
      </c>
      <c r="F920" s="15" t="inlineStr">
        <is>
          <t>- Pada 24 baris, tombol tambah baris tidak lagi bisa dipakai, atau penambahan ditolak dengan pesan.
- Pesannya menyebut batas 24 slot.
- Simpan pada 24 baris tetap berhasil.</t>
        </is>
      </c>
      <c r="G920" s="14" t="inlineStr">
        <is>
          <t>Sedang</t>
        </is>
      </c>
      <c r="H920" s="18" t="n"/>
      <c r="I920" s="18" t="n"/>
      <c r="J920" s="18" t="n"/>
      <c r="K920" s="18" t="n"/>
      <c r="L920" s="18" t="n"/>
    </row>
    <row r="921" ht="56.8" customHeight="1">
      <c r="A921" s="10" t="n">
        <v>917</v>
      </c>
      <c r="B921" s="11" t="inlineStr">
        <is>
          <t>WB-FRM-05</t>
        </is>
      </c>
      <c r="C921" s="5" t="inlineStr">
        <is>
          <t>Melebihi 24 baris ditolak</t>
        </is>
      </c>
      <c r="D921" s="12" t="inlineStr">
        <is>
          <t>Boiler Room</t>
        </is>
      </c>
      <c r="E921" s="5" t="inlineStr">
        <is>
          <t>SPV-A</t>
        </is>
      </c>
      <c r="F921" s="5" t="inlineStr">
        <is>
          <t>- Pada 24 baris, tombol tambah baris tidak lagi bisa dipakai, atau penambahan ditolak dengan pesan.
- Pesannya menyebut batas 24 slot.
- Simpan pada 24 baris tetap berhasil.</t>
        </is>
      </c>
      <c r="G921" s="10" t="inlineStr">
        <is>
          <t>Sedang</t>
        </is>
      </c>
      <c r="H921" s="18" t="n"/>
      <c r="I921" s="18" t="n"/>
      <c r="J921" s="18" t="n"/>
      <c r="K921" s="18" t="n"/>
      <c r="L921" s="18" t="n"/>
    </row>
    <row r="922" ht="56.8" customHeight="1">
      <c r="A922" s="14" t="n">
        <v>918</v>
      </c>
      <c r="B922" s="16" t="inlineStr">
        <is>
          <t>WB-FRM-05</t>
        </is>
      </c>
      <c r="C922" s="15" t="inlineStr">
        <is>
          <t>Melebihi 24 baris ditolak</t>
        </is>
      </c>
      <c r="D922" s="17" t="inlineStr">
        <is>
          <t>Effluent Plant</t>
        </is>
      </c>
      <c r="E922" s="15" t="inlineStr">
        <is>
          <t>SPV-A</t>
        </is>
      </c>
      <c r="F922" s="15" t="inlineStr">
        <is>
          <t>- Pada 24 baris, tombol tambah baris tidak lagi bisa dipakai, atau penambahan ditolak dengan pesan.
- Pesannya menyebut batas 24 slot.
- Simpan pada 24 baris tetap berhasil.</t>
        </is>
      </c>
      <c r="G922" s="14" t="inlineStr">
        <is>
          <t>Sedang</t>
        </is>
      </c>
      <c r="H922" s="18" t="n"/>
      <c r="I922" s="18" t="n"/>
      <c r="J922" s="18" t="n"/>
      <c r="K922" s="18" t="n"/>
      <c r="L922" s="18" t="n"/>
    </row>
    <row r="923" ht="56.8" customHeight="1">
      <c r="A923" s="10" t="n">
        <v>919</v>
      </c>
      <c r="B923" s="11" t="inlineStr">
        <is>
          <t>WB-FRM-05</t>
        </is>
      </c>
      <c r="C923" s="5" t="inlineStr">
        <is>
          <t>Melebihi 24 baris ditolak</t>
        </is>
      </c>
      <c r="D923" s="12" t="inlineStr">
        <is>
          <t>Depricarping</t>
        </is>
      </c>
      <c r="E923" s="5" t="inlineStr">
        <is>
          <t>SPV-A</t>
        </is>
      </c>
      <c r="F923" s="5" t="inlineStr">
        <is>
          <t>- Pada 24 baris, tombol tambah baris tidak lagi bisa dipakai, atau penambahan ditolak dengan pesan.
- Pesannya menyebut batas 24 slot.
- Simpan pada 24 baris tetap berhasil.</t>
        </is>
      </c>
      <c r="G923" s="10" t="inlineStr">
        <is>
          <t>Sedang</t>
        </is>
      </c>
      <c r="H923" s="18" t="n"/>
      <c r="I923" s="18" t="n"/>
      <c r="J923" s="18" t="n"/>
      <c r="K923" s="18" t="n"/>
      <c r="L923" s="18" t="n"/>
    </row>
    <row r="924" ht="56.8" customHeight="1">
      <c r="A924" s="14" t="n">
        <v>920</v>
      </c>
      <c r="B924" s="16" t="inlineStr">
        <is>
          <t>WB-FRM-05</t>
        </is>
      </c>
      <c r="C924" s="15" t="inlineStr">
        <is>
          <t>Melebihi 24 baris ditolak</t>
        </is>
      </c>
      <c r="D924" s="17" t="inlineStr">
        <is>
          <t>Engine Room</t>
        </is>
      </c>
      <c r="E924" s="15" t="inlineStr">
        <is>
          <t>SPV-A</t>
        </is>
      </c>
      <c r="F924" s="15" t="inlineStr">
        <is>
          <t>- Pada 24 baris, tombol tambah baris tidak lagi bisa dipakai, atau penambahan ditolak dengan pesan.
- Pesannya menyebut batas 24 slot.
- Simpan pada 24 baris tetap berhasil.</t>
        </is>
      </c>
      <c r="G924" s="14" t="inlineStr">
        <is>
          <t>Sedang</t>
        </is>
      </c>
      <c r="H924" s="18" t="n"/>
      <c r="I924" s="18" t="n"/>
      <c r="J924" s="18" t="n"/>
      <c r="K924" s="18" t="n"/>
      <c r="L924" s="18" t="n"/>
    </row>
    <row r="925" ht="56.8" customHeight="1">
      <c r="A925" s="10" t="n">
        <v>921</v>
      </c>
      <c r="B925" s="11" t="inlineStr">
        <is>
          <t>WB-FRM-05</t>
        </is>
      </c>
      <c r="C925" s="5" t="inlineStr">
        <is>
          <t>Melebihi 24 baris ditolak</t>
        </is>
      </c>
      <c r="D925" s="12" t="inlineStr">
        <is>
          <t>Process Water</t>
        </is>
      </c>
      <c r="E925" s="5" t="inlineStr">
        <is>
          <t>SPV-A</t>
        </is>
      </c>
      <c r="F925" s="5" t="inlineStr">
        <is>
          <t>- Pada 24 baris, tombol tambah baris tidak lagi bisa dipakai, atau penambahan ditolak dengan pesan.
- Pesannya menyebut batas 24 slot.
- Simpan pada 24 baris tetap berhasil.</t>
        </is>
      </c>
      <c r="G925" s="10" t="inlineStr">
        <is>
          <t>Sedang</t>
        </is>
      </c>
      <c r="H925" s="18" t="n"/>
      <c r="I925" s="18" t="n"/>
      <c r="J925" s="18" t="n"/>
      <c r="K925" s="18" t="n"/>
      <c r="L925" s="18" t="n"/>
    </row>
    <row r="926" ht="56.8" customHeight="1">
      <c r="A926" s="14" t="n">
        <v>922</v>
      </c>
      <c r="B926" s="16" t="inlineStr">
        <is>
          <t>WB-FRM-05</t>
        </is>
      </c>
      <c r="C926" s="15" t="inlineStr">
        <is>
          <t>Melebihi 24 baris ditolak</t>
        </is>
      </c>
      <c r="D926" s="17" t="inlineStr">
        <is>
          <t>Storage Tank</t>
        </is>
      </c>
      <c r="E926" s="15" t="inlineStr">
        <is>
          <t>SPV-A</t>
        </is>
      </c>
      <c r="F926" s="15" t="inlineStr">
        <is>
          <t>- Pada 24 baris, tombol tambah baris tidak lagi bisa dipakai, atau penambahan ditolak dengan pesan.
- Pesannya menyebut batas 24 slot.
- Simpan pada 24 baris tetap berhasil.</t>
        </is>
      </c>
      <c r="G926" s="14" t="inlineStr">
        <is>
          <t>Sedang</t>
        </is>
      </c>
      <c r="H926" s="18" t="n"/>
      <c r="I926" s="18" t="n"/>
      <c r="J926" s="18" t="n"/>
      <c r="K926" s="18" t="n"/>
      <c r="L926" s="18" t="n"/>
    </row>
    <row r="927" ht="56.8" customHeight="1">
      <c r="A927" s="10" t="n">
        <v>923</v>
      </c>
      <c r="B927" s="11" t="inlineStr">
        <is>
          <t>WB-FRM-05</t>
        </is>
      </c>
      <c r="C927" s="5" t="inlineStr">
        <is>
          <t>Melebihi 24 baris ditolak</t>
        </is>
      </c>
      <c r="D927" s="12" t="inlineStr">
        <is>
          <t>Solid Waste Disposal</t>
        </is>
      </c>
      <c r="E927" s="5" t="inlineStr">
        <is>
          <t>SPV-A</t>
        </is>
      </c>
      <c r="F927" s="5" t="inlineStr">
        <is>
          <t>- Pada 24 baris, tombol tambah baris tidak lagi bisa dipakai, atau penambahan ditolak dengan pesan.
- Pesannya menyebut batas 24 slot.
- Simpan pada 24 baris tetap berhasil.</t>
        </is>
      </c>
      <c r="G927" s="10" t="inlineStr">
        <is>
          <t>Sedang</t>
        </is>
      </c>
      <c r="H927" s="18" t="n"/>
      <c r="I927" s="18" t="n"/>
      <c r="J927" s="18" t="n"/>
      <c r="K927" s="18" t="n"/>
      <c r="L927" s="18" t="n"/>
    </row>
    <row r="928" ht="56.8" customHeight="1">
      <c r="A928" s="14" t="n">
        <v>924</v>
      </c>
      <c r="B928" s="16" t="inlineStr">
        <is>
          <t>WB-FRM-05</t>
        </is>
      </c>
      <c r="C928" s="15" t="inlineStr">
        <is>
          <t>Melebihi 24 baris ditolak</t>
        </is>
      </c>
      <c r="D928" s="17" t="inlineStr">
        <is>
          <t>Kernel Dispatch</t>
        </is>
      </c>
      <c r="E928" s="15" t="inlineStr">
        <is>
          <t>SPV-A</t>
        </is>
      </c>
      <c r="F928" s="15" t="inlineStr">
        <is>
          <t>- Pada 24 baris, tombol tambah baris tidak lagi bisa dipakai, atau penambahan ditolak dengan pesan.
- Pesannya menyebut batas 24 slot.
- Simpan pada 24 baris tetap berhasil.</t>
        </is>
      </c>
      <c r="G928" s="14" t="inlineStr">
        <is>
          <t>Sedang</t>
        </is>
      </c>
      <c r="H928" s="18" t="n"/>
      <c r="I928" s="18" t="n"/>
      <c r="J928" s="18" t="n"/>
      <c r="K928" s="18" t="n"/>
      <c r="L928" s="18" t="n"/>
    </row>
    <row r="929" ht="56.8" customHeight="1">
      <c r="A929" s="10" t="n">
        <v>925</v>
      </c>
      <c r="B929" s="11" t="inlineStr">
        <is>
          <t>WB-FRM-05</t>
        </is>
      </c>
      <c r="C929" s="5" t="inlineStr">
        <is>
          <t>Melebihi 24 baris ditolak</t>
        </is>
      </c>
      <c r="D929" s="12" t="inlineStr">
        <is>
          <t>CPO Dispatch</t>
        </is>
      </c>
      <c r="E929" s="5" t="inlineStr">
        <is>
          <t>SPV-A</t>
        </is>
      </c>
      <c r="F929" s="5" t="inlineStr">
        <is>
          <t>- Pada 24 baris, tombol tambah baris tidak lagi bisa dipakai, atau penambahan ditolak dengan pesan.
- Pesannya menyebut batas 24 slot.
- Simpan pada 24 baris tetap berhasil.</t>
        </is>
      </c>
      <c r="G929" s="10" t="inlineStr">
        <is>
          <t>Sedang</t>
        </is>
      </c>
      <c r="H929" s="18" t="n"/>
      <c r="I929" s="18" t="n"/>
      <c r="J929" s="18" t="n"/>
      <c r="K929" s="18" t="n"/>
      <c r="L929" s="18" t="n"/>
    </row>
    <row r="930" ht="56.8" customHeight="1">
      <c r="A930" s="14" t="n">
        <v>926</v>
      </c>
      <c r="B930" s="16" t="inlineStr">
        <is>
          <t>WB-FRM-05</t>
        </is>
      </c>
      <c r="C930" s="15" t="inlineStr">
        <is>
          <t>Melebihi 24 baris ditolak</t>
        </is>
      </c>
      <c r="D930" s="17" t="inlineStr">
        <is>
          <t>Process Quality Control</t>
        </is>
      </c>
      <c r="E930" s="15" t="inlineStr">
        <is>
          <t>SPV-A</t>
        </is>
      </c>
      <c r="F930" s="15" t="inlineStr">
        <is>
          <t>- Pada 24 baris, tombol tambah baris tidak lagi bisa dipakai, atau penambahan ditolak dengan pesan.
- Pesannya menyebut batas 24 slot.
- Simpan pada 24 baris tetap berhasil.</t>
        </is>
      </c>
      <c r="G930" s="14" t="inlineStr">
        <is>
          <t>Sedang</t>
        </is>
      </c>
      <c r="H930" s="18" t="n"/>
      <c r="I930" s="18" t="n"/>
      <c r="J930" s="18" t="n"/>
      <c r="K930" s="18" t="n"/>
      <c r="L930" s="18" t="n"/>
    </row>
    <row r="931" ht="56.8" customHeight="1">
      <c r="A931" s="10" t="n">
        <v>927</v>
      </c>
      <c r="B931" s="11" t="inlineStr">
        <is>
          <t>WB-FRM-06</t>
        </is>
      </c>
      <c r="C931" s="5" t="inlineStr">
        <is>
          <t>Minimal satu baris terisi</t>
        </is>
      </c>
      <c r="D931" s="12" t="inlineStr">
        <is>
          <t>Weighbridge</t>
        </is>
      </c>
      <c r="E931" s="5" t="inlineStr">
        <is>
          <t>SPV-A</t>
        </is>
      </c>
      <c r="F931" s="5" t="inlineStr">
        <is>
          <t>- Ditolak — record tidak tersimpan.
- Pesannya menyebut bahwa minimal satu baris harus punya slot waktu dan minimal satu kolom bacaan terisi.
- Perilakunya sama dengan MB-FORM-05 di mobile.</t>
        </is>
      </c>
      <c r="G931" s="13" t="inlineStr">
        <is>
          <t>Tinggi</t>
        </is>
      </c>
      <c r="H931" s="18" t="n"/>
      <c r="I931" s="18" t="n"/>
      <c r="J931" s="18" t="n"/>
      <c r="K931" s="18" t="n"/>
      <c r="L931" s="18" t="n"/>
    </row>
    <row r="932" ht="56.8" customHeight="1">
      <c r="A932" s="14" t="n">
        <v>928</v>
      </c>
      <c r="B932" s="16" t="inlineStr">
        <is>
          <t>WB-FRM-06</t>
        </is>
      </c>
      <c r="C932" s="15" t="inlineStr">
        <is>
          <t>Minimal satu baris terisi</t>
        </is>
      </c>
      <c r="D932" s="17" t="inlineStr">
        <is>
          <t>Grading</t>
        </is>
      </c>
      <c r="E932" s="15" t="inlineStr">
        <is>
          <t>SPV-A</t>
        </is>
      </c>
      <c r="F932" s="15" t="inlineStr">
        <is>
          <t>- Ditolak — record tidak tersimpan.
- Pesannya menyebut bahwa minimal satu baris harus punya slot waktu dan minimal satu kolom bacaan terisi.
- Perilakunya sama dengan MB-FORM-05 di mobile.</t>
        </is>
      </c>
      <c r="G932" s="13" t="inlineStr">
        <is>
          <t>Tinggi</t>
        </is>
      </c>
      <c r="H932" s="18" t="n"/>
      <c r="I932" s="18" t="n"/>
      <c r="J932" s="18" t="n"/>
      <c r="K932" s="18" t="n"/>
      <c r="L932" s="18" t="n"/>
    </row>
    <row r="933" ht="56.8" customHeight="1">
      <c r="A933" s="10" t="n">
        <v>929</v>
      </c>
      <c r="B933" s="11" t="inlineStr">
        <is>
          <t>WB-FRM-06</t>
        </is>
      </c>
      <c r="C933" s="5" t="inlineStr">
        <is>
          <t>Minimal satu baris terisi</t>
        </is>
      </c>
      <c r="D933" s="12" t="inlineStr">
        <is>
          <t>Cages Track</t>
        </is>
      </c>
      <c r="E933" s="5" t="inlineStr">
        <is>
          <t>SPV-A</t>
        </is>
      </c>
      <c r="F933" s="5" t="inlineStr">
        <is>
          <t>- Ditolak — record tidak tersimpan.
- Pesannya menyebut bahwa minimal satu baris harus punya slot waktu dan minimal satu kolom bacaan terisi.
- Perilakunya sama dengan MB-FORM-05 di mobile.</t>
        </is>
      </c>
      <c r="G933" s="13" t="inlineStr">
        <is>
          <t>Tinggi</t>
        </is>
      </c>
      <c r="H933" s="18" t="n"/>
      <c r="I933" s="18" t="n"/>
      <c r="J933" s="18" t="n"/>
      <c r="K933" s="18" t="n"/>
      <c r="L933" s="18" t="n"/>
    </row>
    <row r="934" ht="56.8" customHeight="1">
      <c r="A934" s="14" t="n">
        <v>930</v>
      </c>
      <c r="B934" s="16" t="inlineStr">
        <is>
          <t>WB-FRM-06</t>
        </is>
      </c>
      <c r="C934" s="15" t="inlineStr">
        <is>
          <t>Minimal satu baris terisi</t>
        </is>
      </c>
      <c r="D934" s="17" t="inlineStr">
        <is>
          <t>Sterilizer</t>
        </is>
      </c>
      <c r="E934" s="15" t="inlineStr">
        <is>
          <t>SPV-A</t>
        </is>
      </c>
      <c r="F934" s="15" t="inlineStr">
        <is>
          <t>- Ditolak — record tidak tersimpan.
- Pesannya menyebut bahwa minimal satu baris harus punya slot waktu dan minimal satu kolom bacaan terisi.
- Perilakunya sama dengan MB-FORM-05 di mobile.</t>
        </is>
      </c>
      <c r="G934" s="13" t="inlineStr">
        <is>
          <t>Tinggi</t>
        </is>
      </c>
      <c r="H934" s="18" t="n"/>
      <c r="I934" s="18" t="n"/>
      <c r="J934" s="18" t="n"/>
      <c r="K934" s="18" t="n"/>
      <c r="L934" s="18" t="n"/>
    </row>
    <row r="935" ht="56.8" customHeight="1">
      <c r="A935" s="10" t="n">
        <v>931</v>
      </c>
      <c r="B935" s="11" t="inlineStr">
        <is>
          <t>WB-FRM-06</t>
        </is>
      </c>
      <c r="C935" s="5" t="inlineStr">
        <is>
          <t>Minimal satu baris terisi</t>
        </is>
      </c>
      <c r="D935" s="12" t="inlineStr">
        <is>
          <t>Threshing</t>
        </is>
      </c>
      <c r="E935" s="5" t="inlineStr">
        <is>
          <t>SPV-A</t>
        </is>
      </c>
      <c r="F935" s="5" t="inlineStr">
        <is>
          <t>- Ditolak — record tidak tersimpan.
- Pesannya menyebut bahwa minimal satu baris harus punya slot waktu dan minimal satu kolom bacaan terisi.
- Perilakunya sama dengan MB-FORM-05 di mobile.</t>
        </is>
      </c>
      <c r="G935" s="13" t="inlineStr">
        <is>
          <t>Tinggi</t>
        </is>
      </c>
      <c r="H935" s="18" t="n"/>
      <c r="I935" s="18" t="n"/>
      <c r="J935" s="18" t="n"/>
      <c r="K935" s="18" t="n"/>
      <c r="L935" s="18" t="n"/>
    </row>
    <row r="936" ht="56.8" customHeight="1">
      <c r="A936" s="14" t="n">
        <v>932</v>
      </c>
      <c r="B936" s="16" t="inlineStr">
        <is>
          <t>WB-FRM-06</t>
        </is>
      </c>
      <c r="C936" s="15" t="inlineStr">
        <is>
          <t>Minimal satu baris terisi</t>
        </is>
      </c>
      <c r="D936" s="17" t="inlineStr">
        <is>
          <t>Pressing</t>
        </is>
      </c>
      <c r="E936" s="15" t="inlineStr">
        <is>
          <t>SPV-A</t>
        </is>
      </c>
      <c r="F936" s="15" t="inlineStr">
        <is>
          <t>- Ditolak — record tidak tersimpan.
- Pesannya menyebut bahwa minimal satu baris harus punya slot waktu dan minimal satu kolom bacaan terisi.
- Perilakunya sama dengan MB-FORM-05 di mobile.</t>
        </is>
      </c>
      <c r="G936" s="13" t="inlineStr">
        <is>
          <t>Tinggi</t>
        </is>
      </c>
      <c r="H936" s="18" t="n"/>
      <c r="I936" s="18" t="n"/>
      <c r="J936" s="18" t="n"/>
      <c r="K936" s="18" t="n"/>
      <c r="L936" s="18" t="n"/>
    </row>
    <row r="937" ht="56.8" customHeight="1">
      <c r="A937" s="10" t="n">
        <v>933</v>
      </c>
      <c r="B937" s="11" t="inlineStr">
        <is>
          <t>WB-FRM-06</t>
        </is>
      </c>
      <c r="C937" s="5" t="inlineStr">
        <is>
          <t>Minimal satu baris terisi</t>
        </is>
      </c>
      <c r="D937" s="12" t="inlineStr">
        <is>
          <t>Clarification</t>
        </is>
      </c>
      <c r="E937" s="5" t="inlineStr">
        <is>
          <t>SPV-A</t>
        </is>
      </c>
      <c r="F937" s="5" t="inlineStr">
        <is>
          <t>- Ditolak — record tidak tersimpan.
- Pesannya menyebut bahwa minimal satu baris harus punya slot waktu dan minimal satu kolom bacaan terisi.
- Perilakunya sama dengan MB-FORM-05 di mobile.</t>
        </is>
      </c>
      <c r="G937" s="13" t="inlineStr">
        <is>
          <t>Tinggi</t>
        </is>
      </c>
      <c r="H937" s="18" t="n"/>
      <c r="I937" s="18" t="n"/>
      <c r="J937" s="18" t="n"/>
      <c r="K937" s="18" t="n"/>
      <c r="L937" s="18" t="n"/>
    </row>
    <row r="938" ht="56.8" customHeight="1">
      <c r="A938" s="14" t="n">
        <v>934</v>
      </c>
      <c r="B938" s="16" t="inlineStr">
        <is>
          <t>WB-FRM-06</t>
        </is>
      </c>
      <c r="C938" s="15" t="inlineStr">
        <is>
          <t>Minimal satu baris terisi</t>
        </is>
      </c>
      <c r="D938" s="17" t="inlineStr">
        <is>
          <t>Kernel Plant</t>
        </is>
      </c>
      <c r="E938" s="15" t="inlineStr">
        <is>
          <t>SPV-A</t>
        </is>
      </c>
      <c r="F938" s="15" t="inlineStr">
        <is>
          <t>- Ditolak — record tidak tersimpan.
- Pesannya menyebut bahwa minimal satu baris harus punya slot waktu dan minimal satu kolom bacaan terisi.
- Perilakunya sama dengan MB-FORM-05 di mobile.</t>
        </is>
      </c>
      <c r="G938" s="13" t="inlineStr">
        <is>
          <t>Tinggi</t>
        </is>
      </c>
      <c r="H938" s="18" t="n"/>
      <c r="I938" s="18" t="n"/>
      <c r="J938" s="18" t="n"/>
      <c r="K938" s="18" t="n"/>
      <c r="L938" s="18" t="n"/>
    </row>
    <row r="939" ht="56.8" customHeight="1">
      <c r="A939" s="10" t="n">
        <v>935</v>
      </c>
      <c r="B939" s="11" t="inlineStr">
        <is>
          <t>WB-FRM-06</t>
        </is>
      </c>
      <c r="C939" s="5" t="inlineStr">
        <is>
          <t>Minimal satu baris terisi</t>
        </is>
      </c>
      <c r="D939" s="12" t="inlineStr">
        <is>
          <t>Boiler Room</t>
        </is>
      </c>
      <c r="E939" s="5" t="inlineStr">
        <is>
          <t>SPV-A</t>
        </is>
      </c>
      <c r="F939" s="5" t="inlineStr">
        <is>
          <t>- Ditolak — record tidak tersimpan.
- Pesannya menyebut bahwa minimal satu baris harus punya slot waktu dan minimal satu kolom bacaan terisi.
- Perilakunya sama dengan MB-FORM-05 di mobile.</t>
        </is>
      </c>
      <c r="G939" s="13" t="inlineStr">
        <is>
          <t>Tinggi</t>
        </is>
      </c>
      <c r="H939" s="18" t="n"/>
      <c r="I939" s="18" t="n"/>
      <c r="J939" s="18" t="n"/>
      <c r="K939" s="18" t="n"/>
      <c r="L939" s="18" t="n"/>
    </row>
    <row r="940" ht="56.8" customHeight="1">
      <c r="A940" s="14" t="n">
        <v>936</v>
      </c>
      <c r="B940" s="16" t="inlineStr">
        <is>
          <t>WB-FRM-06</t>
        </is>
      </c>
      <c r="C940" s="15" t="inlineStr">
        <is>
          <t>Minimal satu baris terisi</t>
        </is>
      </c>
      <c r="D940" s="17" t="inlineStr">
        <is>
          <t>Effluent Plant</t>
        </is>
      </c>
      <c r="E940" s="15" t="inlineStr">
        <is>
          <t>SPV-A</t>
        </is>
      </c>
      <c r="F940" s="15" t="inlineStr">
        <is>
          <t>- Ditolak — record tidak tersimpan.
- Pesannya menyebut bahwa minimal satu baris harus punya slot waktu dan minimal satu kolom bacaan terisi.
- Perilakunya sama dengan MB-FORM-05 di mobile.</t>
        </is>
      </c>
      <c r="G940" s="13" t="inlineStr">
        <is>
          <t>Tinggi</t>
        </is>
      </c>
      <c r="H940" s="18" t="n"/>
      <c r="I940" s="18" t="n"/>
      <c r="J940" s="18" t="n"/>
      <c r="K940" s="18" t="n"/>
      <c r="L940" s="18" t="n"/>
    </row>
    <row r="941" ht="56.8" customHeight="1">
      <c r="A941" s="10" t="n">
        <v>937</v>
      </c>
      <c r="B941" s="11" t="inlineStr">
        <is>
          <t>WB-FRM-06</t>
        </is>
      </c>
      <c r="C941" s="5" t="inlineStr">
        <is>
          <t>Minimal satu baris terisi</t>
        </is>
      </c>
      <c r="D941" s="12" t="inlineStr">
        <is>
          <t>Depricarping</t>
        </is>
      </c>
      <c r="E941" s="5" t="inlineStr">
        <is>
          <t>SPV-A</t>
        </is>
      </c>
      <c r="F941" s="5" t="inlineStr">
        <is>
          <t>- Ditolak — record tidak tersimpan.
- Pesannya menyebut bahwa minimal satu baris harus punya slot waktu dan minimal satu kolom bacaan terisi.
- Perilakunya sama dengan MB-FORM-05 di mobile.</t>
        </is>
      </c>
      <c r="G941" s="13" t="inlineStr">
        <is>
          <t>Tinggi</t>
        </is>
      </c>
      <c r="H941" s="18" t="n"/>
      <c r="I941" s="18" t="n"/>
      <c r="J941" s="18" t="n"/>
      <c r="K941" s="18" t="n"/>
      <c r="L941" s="18" t="n"/>
    </row>
    <row r="942" ht="56.8" customHeight="1">
      <c r="A942" s="14" t="n">
        <v>938</v>
      </c>
      <c r="B942" s="16" t="inlineStr">
        <is>
          <t>WB-FRM-06</t>
        </is>
      </c>
      <c r="C942" s="15" t="inlineStr">
        <is>
          <t>Minimal satu baris terisi</t>
        </is>
      </c>
      <c r="D942" s="17" t="inlineStr">
        <is>
          <t>Engine Room</t>
        </is>
      </c>
      <c r="E942" s="15" t="inlineStr">
        <is>
          <t>SPV-A</t>
        </is>
      </c>
      <c r="F942" s="15" t="inlineStr">
        <is>
          <t>- Ditolak — record tidak tersimpan.
- Pesannya menyebut bahwa minimal satu baris harus punya slot waktu dan minimal satu kolom bacaan terisi.
- Perilakunya sama dengan MB-FORM-05 di mobile.</t>
        </is>
      </c>
      <c r="G942" s="13" t="inlineStr">
        <is>
          <t>Tinggi</t>
        </is>
      </c>
      <c r="H942" s="18" t="n"/>
      <c r="I942" s="18" t="n"/>
      <c r="J942" s="18" t="n"/>
      <c r="K942" s="18" t="n"/>
      <c r="L942" s="18" t="n"/>
    </row>
    <row r="943" ht="56.8" customHeight="1">
      <c r="A943" s="10" t="n">
        <v>939</v>
      </c>
      <c r="B943" s="11" t="inlineStr">
        <is>
          <t>WB-FRM-06</t>
        </is>
      </c>
      <c r="C943" s="5" t="inlineStr">
        <is>
          <t>Minimal satu baris terisi</t>
        </is>
      </c>
      <c r="D943" s="12" t="inlineStr">
        <is>
          <t>Process Water</t>
        </is>
      </c>
      <c r="E943" s="5" t="inlineStr">
        <is>
          <t>SPV-A</t>
        </is>
      </c>
      <c r="F943" s="5" t="inlineStr">
        <is>
          <t>- Ditolak — record tidak tersimpan.
- Pesannya menyebut bahwa minimal satu baris harus punya slot waktu dan minimal satu kolom bacaan terisi.
- Perilakunya sama dengan MB-FORM-05 di mobile.</t>
        </is>
      </c>
      <c r="G943" s="13" t="inlineStr">
        <is>
          <t>Tinggi</t>
        </is>
      </c>
      <c r="H943" s="18" t="n"/>
      <c r="I943" s="18" t="n"/>
      <c r="J943" s="18" t="n"/>
      <c r="K943" s="18" t="n"/>
      <c r="L943" s="18" t="n"/>
    </row>
    <row r="944" ht="56.8" customHeight="1">
      <c r="A944" s="14" t="n">
        <v>940</v>
      </c>
      <c r="B944" s="16" t="inlineStr">
        <is>
          <t>WB-FRM-06</t>
        </is>
      </c>
      <c r="C944" s="15" t="inlineStr">
        <is>
          <t>Minimal satu baris terisi</t>
        </is>
      </c>
      <c r="D944" s="17" t="inlineStr">
        <is>
          <t>Storage Tank</t>
        </is>
      </c>
      <c r="E944" s="15" t="inlineStr">
        <is>
          <t>SPV-A</t>
        </is>
      </c>
      <c r="F944" s="15" t="inlineStr">
        <is>
          <t>- Ditolak — record tidak tersimpan.
- Pesannya menyebut bahwa minimal satu baris harus punya slot waktu dan minimal satu kolom bacaan terisi.
- Perilakunya sama dengan MB-FORM-05 di mobile.</t>
        </is>
      </c>
      <c r="G944" s="13" t="inlineStr">
        <is>
          <t>Tinggi</t>
        </is>
      </c>
      <c r="H944" s="18" t="n"/>
      <c r="I944" s="18" t="n"/>
      <c r="J944" s="18" t="n"/>
      <c r="K944" s="18" t="n"/>
      <c r="L944" s="18" t="n"/>
    </row>
    <row r="945" ht="56.8" customHeight="1">
      <c r="A945" s="10" t="n">
        <v>941</v>
      </c>
      <c r="B945" s="11" t="inlineStr">
        <is>
          <t>WB-FRM-06</t>
        </is>
      </c>
      <c r="C945" s="5" t="inlineStr">
        <is>
          <t>Minimal satu baris terisi</t>
        </is>
      </c>
      <c r="D945" s="12" t="inlineStr">
        <is>
          <t>Solid Waste Disposal</t>
        </is>
      </c>
      <c r="E945" s="5" t="inlineStr">
        <is>
          <t>SPV-A</t>
        </is>
      </c>
      <c r="F945" s="5" t="inlineStr">
        <is>
          <t>- Ditolak — record tidak tersimpan.
- Pesannya menyebut bahwa minimal satu baris harus punya slot waktu dan minimal satu kolom bacaan terisi.
- Perilakunya sama dengan MB-FORM-05 di mobile.</t>
        </is>
      </c>
      <c r="G945" s="13" t="inlineStr">
        <is>
          <t>Tinggi</t>
        </is>
      </c>
      <c r="H945" s="18" t="n"/>
      <c r="I945" s="18" t="n"/>
      <c r="J945" s="18" t="n"/>
      <c r="K945" s="18" t="n"/>
      <c r="L945" s="18" t="n"/>
    </row>
    <row r="946" ht="56.8" customHeight="1">
      <c r="A946" s="14" t="n">
        <v>942</v>
      </c>
      <c r="B946" s="16" t="inlineStr">
        <is>
          <t>WB-FRM-06</t>
        </is>
      </c>
      <c r="C946" s="15" t="inlineStr">
        <is>
          <t>Minimal satu baris terisi</t>
        </is>
      </c>
      <c r="D946" s="17" t="inlineStr">
        <is>
          <t>Kernel Dispatch</t>
        </is>
      </c>
      <c r="E946" s="15" t="inlineStr">
        <is>
          <t>SPV-A</t>
        </is>
      </c>
      <c r="F946" s="15" t="inlineStr">
        <is>
          <t>- Ditolak — record tidak tersimpan.
- Pesannya menyebut bahwa minimal satu baris harus punya slot waktu dan minimal satu kolom bacaan terisi.
- Perilakunya sama dengan MB-FORM-05 di mobile.</t>
        </is>
      </c>
      <c r="G946" s="13" t="inlineStr">
        <is>
          <t>Tinggi</t>
        </is>
      </c>
      <c r="H946" s="18" t="n"/>
      <c r="I946" s="18" t="n"/>
      <c r="J946" s="18" t="n"/>
      <c r="K946" s="18" t="n"/>
      <c r="L946" s="18" t="n"/>
    </row>
    <row r="947" ht="56.8" customHeight="1">
      <c r="A947" s="10" t="n">
        <v>943</v>
      </c>
      <c r="B947" s="11" t="inlineStr">
        <is>
          <t>WB-FRM-06</t>
        </is>
      </c>
      <c r="C947" s="5" t="inlineStr">
        <is>
          <t>Minimal satu baris terisi</t>
        </is>
      </c>
      <c r="D947" s="12" t="inlineStr">
        <is>
          <t>CPO Dispatch</t>
        </is>
      </c>
      <c r="E947" s="5" t="inlineStr">
        <is>
          <t>SPV-A</t>
        </is>
      </c>
      <c r="F947" s="5" t="inlineStr">
        <is>
          <t>- Ditolak — record tidak tersimpan.
- Pesannya menyebut bahwa minimal satu baris harus punya slot waktu dan minimal satu kolom bacaan terisi.
- Perilakunya sama dengan MB-FORM-05 di mobile.</t>
        </is>
      </c>
      <c r="G947" s="13" t="inlineStr">
        <is>
          <t>Tinggi</t>
        </is>
      </c>
      <c r="H947" s="18" t="n"/>
      <c r="I947" s="18" t="n"/>
      <c r="J947" s="18" t="n"/>
      <c r="K947" s="18" t="n"/>
      <c r="L947" s="18" t="n"/>
    </row>
    <row r="948" ht="56.8" customHeight="1">
      <c r="A948" s="14" t="n">
        <v>944</v>
      </c>
      <c r="B948" s="16" t="inlineStr">
        <is>
          <t>WB-FRM-06</t>
        </is>
      </c>
      <c r="C948" s="15" t="inlineStr">
        <is>
          <t>Minimal satu baris terisi</t>
        </is>
      </c>
      <c r="D948" s="17" t="inlineStr">
        <is>
          <t>Process Quality Control</t>
        </is>
      </c>
      <c r="E948" s="15" t="inlineStr">
        <is>
          <t>SPV-A</t>
        </is>
      </c>
      <c r="F948" s="15" t="inlineStr">
        <is>
          <t>- Ditolak — record tidak tersimpan.
- Pesannya menyebut bahwa minimal satu baris harus punya slot waktu dan minimal satu kolom bacaan terisi.
- Perilakunya sama dengan MB-FORM-05 di mobile.</t>
        </is>
      </c>
      <c r="G948" s="13" t="inlineStr">
        <is>
          <t>Tinggi</t>
        </is>
      </c>
      <c r="H948" s="18" t="n"/>
      <c r="I948" s="18" t="n"/>
      <c r="J948" s="18" t="n"/>
      <c r="K948" s="18" t="n"/>
      <c r="L948" s="18" t="n"/>
    </row>
    <row r="949" ht="56.8" customHeight="1">
      <c r="A949" s="10" t="n">
        <v>945</v>
      </c>
      <c r="B949" s="11" t="inlineStr">
        <is>
          <t>WB-FRM-07</t>
        </is>
      </c>
      <c r="C949" s="5" t="inlineStr">
        <is>
          <t>Line tanpa stasiun aktif ditolak</t>
        </is>
      </c>
      <c r="D949" s="12" t="inlineStr">
        <is>
          <t>Weighbridge</t>
        </is>
      </c>
      <c r="E949" s="5" t="inlineStr">
        <is>
          <t>SPV-A</t>
        </is>
      </c>
      <c r="F949" s="5" t="inlineStr">
        <is>
          <t>- Ditolak dengan pesan yang menyebut bahwa Production Line itu tidak punya stasiun jenis ini yang aktif.
- BUKAN pesan galat teknis.
- Isi form tidak hilang.</t>
        </is>
      </c>
      <c r="G949" s="13" t="inlineStr">
        <is>
          <t>Tinggi</t>
        </is>
      </c>
      <c r="H949" s="18" t="n"/>
      <c r="I949" s="18" t="n"/>
      <c r="J949" s="18" t="n"/>
      <c r="K949" s="18" t="n"/>
      <c r="L949" s="18" t="n"/>
    </row>
    <row r="950" ht="56.8" customHeight="1">
      <c r="A950" s="14" t="n">
        <v>946</v>
      </c>
      <c r="B950" s="16" t="inlineStr">
        <is>
          <t>WB-FRM-07</t>
        </is>
      </c>
      <c r="C950" s="15" t="inlineStr">
        <is>
          <t>Line tanpa stasiun aktif ditolak</t>
        </is>
      </c>
      <c r="D950" s="17" t="inlineStr">
        <is>
          <t>Grading</t>
        </is>
      </c>
      <c r="E950" s="15" t="inlineStr">
        <is>
          <t>SPV-A</t>
        </is>
      </c>
      <c r="F950" s="15" t="inlineStr">
        <is>
          <t>- Ditolak dengan pesan yang menyebut bahwa Production Line itu tidak punya stasiun jenis ini yang aktif.
- BUKAN pesan galat teknis.
- Isi form tidak hilang.</t>
        </is>
      </c>
      <c r="G950" s="13" t="inlineStr">
        <is>
          <t>Tinggi</t>
        </is>
      </c>
      <c r="H950" s="18" t="n"/>
      <c r="I950" s="18" t="n"/>
      <c r="J950" s="18" t="n"/>
      <c r="K950" s="18" t="n"/>
      <c r="L950" s="18" t="n"/>
    </row>
    <row r="951" ht="56.8" customHeight="1">
      <c r="A951" s="10" t="n">
        <v>947</v>
      </c>
      <c r="B951" s="11" t="inlineStr">
        <is>
          <t>WB-FRM-07</t>
        </is>
      </c>
      <c r="C951" s="5" t="inlineStr">
        <is>
          <t>Line tanpa stasiun aktif ditolak</t>
        </is>
      </c>
      <c r="D951" s="12" t="inlineStr">
        <is>
          <t>Cages Track</t>
        </is>
      </c>
      <c r="E951" s="5" t="inlineStr">
        <is>
          <t>SPV-A</t>
        </is>
      </c>
      <c r="F951" s="5" t="inlineStr">
        <is>
          <t>- Ditolak dengan pesan yang menyebut bahwa Production Line itu tidak punya stasiun jenis ini yang aktif.
- BUKAN pesan galat teknis.
- Isi form tidak hilang.</t>
        </is>
      </c>
      <c r="G951" s="13" t="inlineStr">
        <is>
          <t>Tinggi</t>
        </is>
      </c>
      <c r="H951" s="18" t="n"/>
      <c r="I951" s="18" t="n"/>
      <c r="J951" s="18" t="n"/>
      <c r="K951" s="18" t="n"/>
      <c r="L951" s="18" t="n"/>
    </row>
    <row r="952" ht="56.8" customHeight="1">
      <c r="A952" s="14" t="n">
        <v>948</v>
      </c>
      <c r="B952" s="16" t="inlineStr">
        <is>
          <t>WB-FRM-07</t>
        </is>
      </c>
      <c r="C952" s="15" t="inlineStr">
        <is>
          <t>Line tanpa stasiun aktif ditolak</t>
        </is>
      </c>
      <c r="D952" s="17" t="inlineStr">
        <is>
          <t>Sterilizer</t>
        </is>
      </c>
      <c r="E952" s="15" t="inlineStr">
        <is>
          <t>SPV-A</t>
        </is>
      </c>
      <c r="F952" s="15" t="inlineStr">
        <is>
          <t>- Ditolak dengan pesan yang menyebut bahwa Production Line itu tidak punya stasiun jenis ini yang aktif.
- BUKAN pesan galat teknis.
- Isi form tidak hilang.</t>
        </is>
      </c>
      <c r="G952" s="13" t="inlineStr">
        <is>
          <t>Tinggi</t>
        </is>
      </c>
      <c r="H952" s="18" t="n"/>
      <c r="I952" s="18" t="n"/>
      <c r="J952" s="18" t="n"/>
      <c r="K952" s="18" t="n"/>
      <c r="L952" s="18" t="n"/>
    </row>
    <row r="953" ht="56.8" customHeight="1">
      <c r="A953" s="10" t="n">
        <v>949</v>
      </c>
      <c r="B953" s="11" t="inlineStr">
        <is>
          <t>WB-FRM-07</t>
        </is>
      </c>
      <c r="C953" s="5" t="inlineStr">
        <is>
          <t>Line tanpa stasiun aktif ditolak</t>
        </is>
      </c>
      <c r="D953" s="12" t="inlineStr">
        <is>
          <t>Threshing</t>
        </is>
      </c>
      <c r="E953" s="5" t="inlineStr">
        <is>
          <t>SPV-A</t>
        </is>
      </c>
      <c r="F953" s="5" t="inlineStr">
        <is>
          <t>- Ditolak dengan pesan yang menyebut bahwa Production Line itu tidak punya stasiun jenis ini yang aktif.
- BUKAN pesan galat teknis.
- Isi form tidak hilang.</t>
        </is>
      </c>
      <c r="G953" s="13" t="inlineStr">
        <is>
          <t>Tinggi</t>
        </is>
      </c>
      <c r="H953" s="18" t="n"/>
      <c r="I953" s="18" t="n"/>
      <c r="J953" s="18" t="n"/>
      <c r="K953" s="18" t="n"/>
      <c r="L953" s="18" t="n"/>
    </row>
    <row r="954" ht="56.8" customHeight="1">
      <c r="A954" s="14" t="n">
        <v>950</v>
      </c>
      <c r="B954" s="16" t="inlineStr">
        <is>
          <t>WB-FRM-07</t>
        </is>
      </c>
      <c r="C954" s="15" t="inlineStr">
        <is>
          <t>Line tanpa stasiun aktif ditolak</t>
        </is>
      </c>
      <c r="D954" s="17" t="inlineStr">
        <is>
          <t>Pressing</t>
        </is>
      </c>
      <c r="E954" s="15" t="inlineStr">
        <is>
          <t>SPV-A</t>
        </is>
      </c>
      <c r="F954" s="15" t="inlineStr">
        <is>
          <t>- Ditolak dengan pesan yang menyebut bahwa Production Line itu tidak punya stasiun jenis ini yang aktif.
- BUKAN pesan galat teknis.
- Isi form tidak hilang.</t>
        </is>
      </c>
      <c r="G954" s="13" t="inlineStr">
        <is>
          <t>Tinggi</t>
        </is>
      </c>
      <c r="H954" s="18" t="n"/>
      <c r="I954" s="18" t="n"/>
      <c r="J954" s="18" t="n"/>
      <c r="K954" s="18" t="n"/>
      <c r="L954" s="18" t="n"/>
    </row>
    <row r="955" ht="56.8" customHeight="1">
      <c r="A955" s="10" t="n">
        <v>951</v>
      </c>
      <c r="B955" s="11" t="inlineStr">
        <is>
          <t>WB-FRM-07</t>
        </is>
      </c>
      <c r="C955" s="5" t="inlineStr">
        <is>
          <t>Line tanpa stasiun aktif ditolak</t>
        </is>
      </c>
      <c r="D955" s="12" t="inlineStr">
        <is>
          <t>Clarification</t>
        </is>
      </c>
      <c r="E955" s="5" t="inlineStr">
        <is>
          <t>SPV-A</t>
        </is>
      </c>
      <c r="F955" s="5" t="inlineStr">
        <is>
          <t>- Ditolak dengan pesan yang menyebut bahwa Production Line itu tidak punya stasiun jenis ini yang aktif.
- BUKAN pesan galat teknis.
- Isi form tidak hilang.</t>
        </is>
      </c>
      <c r="G955" s="13" t="inlineStr">
        <is>
          <t>Tinggi</t>
        </is>
      </c>
      <c r="H955" s="18" t="n"/>
      <c r="I955" s="18" t="n"/>
      <c r="J955" s="18" t="n"/>
      <c r="K955" s="18" t="n"/>
      <c r="L955" s="18" t="n"/>
    </row>
    <row r="956" ht="56.8" customHeight="1">
      <c r="A956" s="14" t="n">
        <v>952</v>
      </c>
      <c r="B956" s="16" t="inlineStr">
        <is>
          <t>WB-FRM-07</t>
        </is>
      </c>
      <c r="C956" s="15" t="inlineStr">
        <is>
          <t>Line tanpa stasiun aktif ditolak</t>
        </is>
      </c>
      <c r="D956" s="17" t="inlineStr">
        <is>
          <t>Kernel Plant</t>
        </is>
      </c>
      <c r="E956" s="15" t="inlineStr">
        <is>
          <t>SPV-A</t>
        </is>
      </c>
      <c r="F956" s="15" t="inlineStr">
        <is>
          <t>- Ditolak dengan pesan yang menyebut bahwa Production Line itu tidak punya stasiun jenis ini yang aktif.
- BUKAN pesan galat teknis.
- Isi form tidak hilang.</t>
        </is>
      </c>
      <c r="G956" s="13" t="inlineStr">
        <is>
          <t>Tinggi</t>
        </is>
      </c>
      <c r="H956" s="18" t="n"/>
      <c r="I956" s="18" t="n"/>
      <c r="J956" s="18" t="n"/>
      <c r="K956" s="18" t="n"/>
      <c r="L956" s="18" t="n"/>
    </row>
    <row r="957" ht="56.8" customHeight="1">
      <c r="A957" s="10" t="n">
        <v>953</v>
      </c>
      <c r="B957" s="11" t="inlineStr">
        <is>
          <t>WB-FRM-07</t>
        </is>
      </c>
      <c r="C957" s="5" t="inlineStr">
        <is>
          <t>Line tanpa stasiun aktif ditolak</t>
        </is>
      </c>
      <c r="D957" s="12" t="inlineStr">
        <is>
          <t>Boiler Room</t>
        </is>
      </c>
      <c r="E957" s="5" t="inlineStr">
        <is>
          <t>SPV-A</t>
        </is>
      </c>
      <c r="F957" s="5" t="inlineStr">
        <is>
          <t>- Ditolak dengan pesan yang menyebut bahwa Production Line itu tidak punya stasiun jenis ini yang aktif.
- BUKAN pesan galat teknis.
- Isi form tidak hilang.</t>
        </is>
      </c>
      <c r="G957" s="13" t="inlineStr">
        <is>
          <t>Tinggi</t>
        </is>
      </c>
      <c r="H957" s="18" t="n"/>
      <c r="I957" s="18" t="n"/>
      <c r="J957" s="18" t="n"/>
      <c r="K957" s="18" t="n"/>
      <c r="L957" s="18" t="n"/>
    </row>
    <row r="958" ht="56.8" customHeight="1">
      <c r="A958" s="14" t="n">
        <v>954</v>
      </c>
      <c r="B958" s="16" t="inlineStr">
        <is>
          <t>WB-FRM-07</t>
        </is>
      </c>
      <c r="C958" s="15" t="inlineStr">
        <is>
          <t>Line tanpa stasiun aktif ditolak</t>
        </is>
      </c>
      <c r="D958" s="17" t="inlineStr">
        <is>
          <t>Effluent Plant</t>
        </is>
      </c>
      <c r="E958" s="15" t="inlineStr">
        <is>
          <t>SPV-A</t>
        </is>
      </c>
      <c r="F958" s="15" t="inlineStr">
        <is>
          <t>- Ditolak dengan pesan yang menyebut bahwa Production Line itu tidak punya stasiun jenis ini yang aktif.
- BUKAN pesan galat teknis.
- Isi form tidak hilang.</t>
        </is>
      </c>
      <c r="G958" s="13" t="inlineStr">
        <is>
          <t>Tinggi</t>
        </is>
      </c>
      <c r="H958" s="18" t="n"/>
      <c r="I958" s="18" t="n"/>
      <c r="J958" s="18" t="n"/>
      <c r="K958" s="18" t="n"/>
      <c r="L958" s="18" t="n"/>
    </row>
    <row r="959" ht="56.8" customHeight="1">
      <c r="A959" s="10" t="n">
        <v>955</v>
      </c>
      <c r="B959" s="11" t="inlineStr">
        <is>
          <t>WB-FRM-07</t>
        </is>
      </c>
      <c r="C959" s="5" t="inlineStr">
        <is>
          <t>Line tanpa stasiun aktif ditolak</t>
        </is>
      </c>
      <c r="D959" s="12" t="inlineStr">
        <is>
          <t>Depricarping</t>
        </is>
      </c>
      <c r="E959" s="5" t="inlineStr">
        <is>
          <t>SPV-A</t>
        </is>
      </c>
      <c r="F959" s="5" t="inlineStr">
        <is>
          <t>- Ditolak dengan pesan yang menyebut bahwa Production Line itu tidak punya stasiun jenis ini yang aktif.
- BUKAN pesan galat teknis.
- Isi form tidak hilang.</t>
        </is>
      </c>
      <c r="G959" s="13" t="inlineStr">
        <is>
          <t>Tinggi</t>
        </is>
      </c>
      <c r="H959" s="18" t="n"/>
      <c r="I959" s="18" t="n"/>
      <c r="J959" s="18" t="n"/>
      <c r="K959" s="18" t="n"/>
      <c r="L959" s="18" t="n"/>
    </row>
    <row r="960" ht="56.8" customHeight="1">
      <c r="A960" s="14" t="n">
        <v>956</v>
      </c>
      <c r="B960" s="16" t="inlineStr">
        <is>
          <t>WB-FRM-07</t>
        </is>
      </c>
      <c r="C960" s="15" t="inlineStr">
        <is>
          <t>Line tanpa stasiun aktif ditolak</t>
        </is>
      </c>
      <c r="D960" s="17" t="inlineStr">
        <is>
          <t>Engine Room</t>
        </is>
      </c>
      <c r="E960" s="15" t="inlineStr">
        <is>
          <t>SPV-A</t>
        </is>
      </c>
      <c r="F960" s="15" t="inlineStr">
        <is>
          <t>- Ditolak dengan pesan yang menyebut bahwa Production Line itu tidak punya stasiun jenis ini yang aktif.
- BUKAN pesan galat teknis.
- Isi form tidak hilang.</t>
        </is>
      </c>
      <c r="G960" s="13" t="inlineStr">
        <is>
          <t>Tinggi</t>
        </is>
      </c>
      <c r="H960" s="18" t="n"/>
      <c r="I960" s="18" t="n"/>
      <c r="J960" s="18" t="n"/>
      <c r="K960" s="18" t="n"/>
      <c r="L960" s="18" t="n"/>
    </row>
    <row r="961" ht="56.8" customHeight="1">
      <c r="A961" s="10" t="n">
        <v>957</v>
      </c>
      <c r="B961" s="11" t="inlineStr">
        <is>
          <t>WB-FRM-07</t>
        </is>
      </c>
      <c r="C961" s="5" t="inlineStr">
        <is>
          <t>Line tanpa stasiun aktif ditolak</t>
        </is>
      </c>
      <c r="D961" s="12" t="inlineStr">
        <is>
          <t>Process Water</t>
        </is>
      </c>
      <c r="E961" s="5" t="inlineStr">
        <is>
          <t>SPV-A</t>
        </is>
      </c>
      <c r="F961" s="5" t="inlineStr">
        <is>
          <t>- Ditolak dengan pesan yang menyebut bahwa Production Line itu tidak punya stasiun jenis ini yang aktif.
- BUKAN pesan galat teknis.
- Isi form tidak hilang.</t>
        </is>
      </c>
      <c r="G961" s="13" t="inlineStr">
        <is>
          <t>Tinggi</t>
        </is>
      </c>
      <c r="H961" s="18" t="n"/>
      <c r="I961" s="18" t="n"/>
      <c r="J961" s="18" t="n"/>
      <c r="K961" s="18" t="n"/>
      <c r="L961" s="18" t="n"/>
    </row>
    <row r="962" ht="56.8" customHeight="1">
      <c r="A962" s="14" t="n">
        <v>958</v>
      </c>
      <c r="B962" s="16" t="inlineStr">
        <is>
          <t>WB-FRM-07</t>
        </is>
      </c>
      <c r="C962" s="15" t="inlineStr">
        <is>
          <t>Line tanpa stasiun aktif ditolak</t>
        </is>
      </c>
      <c r="D962" s="17" t="inlineStr">
        <is>
          <t>Storage Tank</t>
        </is>
      </c>
      <c r="E962" s="15" t="inlineStr">
        <is>
          <t>SPV-A</t>
        </is>
      </c>
      <c r="F962" s="15" t="inlineStr">
        <is>
          <t>- Ditolak dengan pesan yang menyebut bahwa Production Line itu tidak punya stasiun jenis ini yang aktif.
- BUKAN pesan galat teknis.
- Isi form tidak hilang.</t>
        </is>
      </c>
      <c r="G962" s="13" t="inlineStr">
        <is>
          <t>Tinggi</t>
        </is>
      </c>
      <c r="H962" s="18" t="n"/>
      <c r="I962" s="18" t="n"/>
      <c r="J962" s="18" t="n"/>
      <c r="K962" s="18" t="n"/>
      <c r="L962" s="18" t="n"/>
    </row>
    <row r="963" ht="56.8" customHeight="1">
      <c r="A963" s="10" t="n">
        <v>959</v>
      </c>
      <c r="B963" s="11" t="inlineStr">
        <is>
          <t>WB-FRM-07</t>
        </is>
      </c>
      <c r="C963" s="5" t="inlineStr">
        <is>
          <t>Line tanpa stasiun aktif ditolak</t>
        </is>
      </c>
      <c r="D963" s="12" t="inlineStr">
        <is>
          <t>Solid Waste Disposal</t>
        </is>
      </c>
      <c r="E963" s="5" t="inlineStr">
        <is>
          <t>SPV-A</t>
        </is>
      </c>
      <c r="F963" s="5" t="inlineStr">
        <is>
          <t>- Ditolak dengan pesan yang menyebut bahwa Production Line itu tidak punya stasiun jenis ini yang aktif.
- BUKAN pesan galat teknis.
- Isi form tidak hilang.</t>
        </is>
      </c>
      <c r="G963" s="13" t="inlineStr">
        <is>
          <t>Tinggi</t>
        </is>
      </c>
      <c r="H963" s="18" t="n"/>
      <c r="I963" s="18" t="n"/>
      <c r="J963" s="18" t="n"/>
      <c r="K963" s="18" t="n"/>
      <c r="L963" s="18" t="n"/>
    </row>
    <row r="964" ht="56.8" customHeight="1">
      <c r="A964" s="14" t="n">
        <v>960</v>
      </c>
      <c r="B964" s="16" t="inlineStr">
        <is>
          <t>WB-FRM-07</t>
        </is>
      </c>
      <c r="C964" s="15" t="inlineStr">
        <is>
          <t>Line tanpa stasiun aktif ditolak</t>
        </is>
      </c>
      <c r="D964" s="17" t="inlineStr">
        <is>
          <t>Kernel Dispatch</t>
        </is>
      </c>
      <c r="E964" s="15" t="inlineStr">
        <is>
          <t>SPV-A</t>
        </is>
      </c>
      <c r="F964" s="15" t="inlineStr">
        <is>
          <t>- Ditolak dengan pesan yang menyebut bahwa Production Line itu tidak punya stasiun jenis ini yang aktif.
- BUKAN pesan galat teknis.
- Isi form tidak hilang.</t>
        </is>
      </c>
      <c r="G964" s="13" t="inlineStr">
        <is>
          <t>Tinggi</t>
        </is>
      </c>
      <c r="H964" s="18" t="n"/>
      <c r="I964" s="18" t="n"/>
      <c r="J964" s="18" t="n"/>
      <c r="K964" s="18" t="n"/>
      <c r="L964" s="18" t="n"/>
    </row>
    <row r="965" ht="56.8" customHeight="1">
      <c r="A965" s="10" t="n">
        <v>961</v>
      </c>
      <c r="B965" s="11" t="inlineStr">
        <is>
          <t>WB-FRM-07</t>
        </is>
      </c>
      <c r="C965" s="5" t="inlineStr">
        <is>
          <t>Line tanpa stasiun aktif ditolak</t>
        </is>
      </c>
      <c r="D965" s="12" t="inlineStr">
        <is>
          <t>CPO Dispatch</t>
        </is>
      </c>
      <c r="E965" s="5" t="inlineStr">
        <is>
          <t>SPV-A</t>
        </is>
      </c>
      <c r="F965" s="5" t="inlineStr">
        <is>
          <t>- Ditolak dengan pesan yang menyebut bahwa Production Line itu tidak punya stasiun jenis ini yang aktif.
- BUKAN pesan galat teknis.
- Isi form tidak hilang.</t>
        </is>
      </c>
      <c r="G965" s="13" t="inlineStr">
        <is>
          <t>Tinggi</t>
        </is>
      </c>
      <c r="H965" s="18" t="n"/>
      <c r="I965" s="18" t="n"/>
      <c r="J965" s="18" t="n"/>
      <c r="K965" s="18" t="n"/>
      <c r="L965" s="18" t="n"/>
    </row>
    <row r="966" ht="56.8" customHeight="1">
      <c r="A966" s="14" t="n">
        <v>962</v>
      </c>
      <c r="B966" s="16" t="inlineStr">
        <is>
          <t>WB-FRM-07</t>
        </is>
      </c>
      <c r="C966" s="15" t="inlineStr">
        <is>
          <t>Line tanpa stasiun aktif ditolak</t>
        </is>
      </c>
      <c r="D966" s="17" t="inlineStr">
        <is>
          <t>Process Quality Control</t>
        </is>
      </c>
      <c r="E966" s="15" t="inlineStr">
        <is>
          <t>SPV-A</t>
        </is>
      </c>
      <c r="F966" s="15" t="inlineStr">
        <is>
          <t>- Ditolak dengan pesan yang menyebut bahwa Production Line itu tidak punya stasiun jenis ini yang aktif.
- BUKAN pesan galat teknis.
- Isi form tidak hilang.</t>
        </is>
      </c>
      <c r="G966" s="13" t="inlineStr">
        <is>
          <t>Tinggi</t>
        </is>
      </c>
      <c r="H966" s="18" t="n"/>
      <c r="I966" s="18" t="n"/>
      <c r="J966" s="18" t="n"/>
      <c r="K966" s="18" t="n"/>
      <c r="L966" s="18" t="n"/>
    </row>
    <row r="967" ht="70" customHeight="1">
      <c r="A967" s="10" t="n">
        <v>963</v>
      </c>
      <c r="B967" s="11" t="inlineStr">
        <is>
          <t>WB-FRM-08</t>
        </is>
      </c>
      <c r="C967" s="5" t="inlineStr">
        <is>
          <t>Pembatasan peran pada verifikasi</t>
        </is>
      </c>
      <c r="D967" s="12" t="inlineStr">
        <is>
          <t>Weighbridge</t>
        </is>
      </c>
      <c r="E967" s="5" t="inlineStr">
        <is>
          <t>SPV-A, MGR-A, ADM</t>
        </is>
      </c>
      <c r="F967" s="5" t="inlineStr">
        <is>
          <t>- SPV-A: Checked By bisa, Acknowledged By tidak.
- MGR-A: Acknowledged By bisa, Checked By tidak.
- ADM: keduanya bisa.
- Kolom yang tidak boleh diisi disertai keterangan siapa yang berhak (lihat LS-14).</t>
        </is>
      </c>
      <c r="G967" s="13" t="inlineStr">
        <is>
          <t>Tinggi</t>
        </is>
      </c>
      <c r="H967" s="18" t="n"/>
      <c r="I967" s="18" t="n"/>
      <c r="J967" s="18" t="n"/>
      <c r="K967" s="18" t="n"/>
      <c r="L967" s="18" t="n"/>
    </row>
    <row r="968" ht="70" customHeight="1">
      <c r="A968" s="14" t="n">
        <v>964</v>
      </c>
      <c r="B968" s="16" t="inlineStr">
        <is>
          <t>WB-FRM-08</t>
        </is>
      </c>
      <c r="C968" s="15" t="inlineStr">
        <is>
          <t>Pembatasan peran pada verifikasi</t>
        </is>
      </c>
      <c r="D968" s="17" t="inlineStr">
        <is>
          <t>Grading</t>
        </is>
      </c>
      <c r="E968" s="15" t="inlineStr">
        <is>
          <t>SPV-A, MGR-A, ADM</t>
        </is>
      </c>
      <c r="F968" s="15" t="inlineStr">
        <is>
          <t>- SPV-A: Checked By bisa, Acknowledged By tidak.
- MGR-A: Acknowledged By bisa, Checked By tidak.
- ADM: keduanya bisa.
- Kolom yang tidak boleh diisi disertai keterangan siapa yang berhak (lihat LS-14).</t>
        </is>
      </c>
      <c r="G968" s="13" t="inlineStr">
        <is>
          <t>Tinggi</t>
        </is>
      </c>
      <c r="H968" s="18" t="n"/>
      <c r="I968" s="18" t="n"/>
      <c r="J968" s="18" t="n"/>
      <c r="K968" s="18" t="n"/>
      <c r="L968" s="18" t="n"/>
    </row>
    <row r="969" ht="70" customHeight="1">
      <c r="A969" s="10" t="n">
        <v>965</v>
      </c>
      <c r="B969" s="11" t="inlineStr">
        <is>
          <t>WB-FRM-08</t>
        </is>
      </c>
      <c r="C969" s="5" t="inlineStr">
        <is>
          <t>Pembatasan peran pada verifikasi</t>
        </is>
      </c>
      <c r="D969" s="12" t="inlineStr">
        <is>
          <t>Cages Track</t>
        </is>
      </c>
      <c r="E969" s="5" t="inlineStr">
        <is>
          <t>SPV-A, MGR-A, ADM</t>
        </is>
      </c>
      <c r="F969" s="5" t="inlineStr">
        <is>
          <t>- SPV-A: Checked By bisa, Acknowledged By tidak.
- MGR-A: Acknowledged By bisa, Checked By tidak.
- ADM: keduanya bisa.
- Kolom yang tidak boleh diisi disertai keterangan siapa yang berhak (lihat LS-14).</t>
        </is>
      </c>
      <c r="G969" s="13" t="inlineStr">
        <is>
          <t>Tinggi</t>
        </is>
      </c>
      <c r="H969" s="18" t="n"/>
      <c r="I969" s="18" t="n"/>
      <c r="J969" s="18" t="n"/>
      <c r="K969" s="18" t="n"/>
      <c r="L969" s="18" t="n"/>
    </row>
    <row r="970" ht="70" customHeight="1">
      <c r="A970" s="14" t="n">
        <v>966</v>
      </c>
      <c r="B970" s="16" t="inlineStr">
        <is>
          <t>WB-FRM-08</t>
        </is>
      </c>
      <c r="C970" s="15" t="inlineStr">
        <is>
          <t>Pembatasan peran pada verifikasi</t>
        </is>
      </c>
      <c r="D970" s="17" t="inlineStr">
        <is>
          <t>Sterilizer</t>
        </is>
      </c>
      <c r="E970" s="15" t="inlineStr">
        <is>
          <t>SPV-A, MGR-A, ADM</t>
        </is>
      </c>
      <c r="F970" s="15" t="inlineStr">
        <is>
          <t>- SPV-A: Checked By bisa, Acknowledged By tidak.
- MGR-A: Acknowledged By bisa, Checked By tidak.
- ADM: keduanya bisa.
- Kolom yang tidak boleh diisi disertai keterangan siapa yang berhak (lihat LS-14).</t>
        </is>
      </c>
      <c r="G970" s="13" t="inlineStr">
        <is>
          <t>Tinggi</t>
        </is>
      </c>
      <c r="H970" s="18" t="n"/>
      <c r="I970" s="18" t="n"/>
      <c r="J970" s="18" t="n"/>
      <c r="K970" s="18" t="n"/>
      <c r="L970" s="18" t="n"/>
    </row>
    <row r="971" ht="70" customHeight="1">
      <c r="A971" s="10" t="n">
        <v>967</v>
      </c>
      <c r="B971" s="11" t="inlineStr">
        <is>
          <t>WB-FRM-08</t>
        </is>
      </c>
      <c r="C971" s="5" t="inlineStr">
        <is>
          <t>Pembatasan peran pada verifikasi</t>
        </is>
      </c>
      <c r="D971" s="12" t="inlineStr">
        <is>
          <t>Threshing</t>
        </is>
      </c>
      <c r="E971" s="5" t="inlineStr">
        <is>
          <t>SPV-A, MGR-A, ADM</t>
        </is>
      </c>
      <c r="F971" s="5" t="inlineStr">
        <is>
          <t>- SPV-A: Checked By bisa, Acknowledged By tidak.
- MGR-A: Acknowledged By bisa, Checked By tidak.
- ADM: keduanya bisa.
- Kolom yang tidak boleh diisi disertai keterangan siapa yang berhak (lihat LS-14).</t>
        </is>
      </c>
      <c r="G971" s="13" t="inlineStr">
        <is>
          <t>Tinggi</t>
        </is>
      </c>
      <c r="H971" s="18" t="n"/>
      <c r="I971" s="18" t="n"/>
      <c r="J971" s="18" t="n"/>
      <c r="K971" s="18" t="n"/>
      <c r="L971" s="18" t="n"/>
    </row>
    <row r="972" ht="70" customHeight="1">
      <c r="A972" s="14" t="n">
        <v>968</v>
      </c>
      <c r="B972" s="16" t="inlineStr">
        <is>
          <t>WB-FRM-08</t>
        </is>
      </c>
      <c r="C972" s="15" t="inlineStr">
        <is>
          <t>Pembatasan peran pada verifikasi</t>
        </is>
      </c>
      <c r="D972" s="17" t="inlineStr">
        <is>
          <t>Pressing</t>
        </is>
      </c>
      <c r="E972" s="15" t="inlineStr">
        <is>
          <t>SPV-A, MGR-A, ADM</t>
        </is>
      </c>
      <c r="F972" s="15" t="inlineStr">
        <is>
          <t>- SPV-A: Checked By bisa, Acknowledged By tidak.
- MGR-A: Acknowledged By bisa, Checked By tidak.
- ADM: keduanya bisa.
- Kolom yang tidak boleh diisi disertai keterangan siapa yang berhak (lihat LS-14).</t>
        </is>
      </c>
      <c r="G972" s="13" t="inlineStr">
        <is>
          <t>Tinggi</t>
        </is>
      </c>
      <c r="H972" s="18" t="n"/>
      <c r="I972" s="18" t="n"/>
      <c r="J972" s="18" t="n"/>
      <c r="K972" s="18" t="n"/>
      <c r="L972" s="18" t="n"/>
    </row>
    <row r="973" ht="70" customHeight="1">
      <c r="A973" s="10" t="n">
        <v>969</v>
      </c>
      <c r="B973" s="11" t="inlineStr">
        <is>
          <t>WB-FRM-08</t>
        </is>
      </c>
      <c r="C973" s="5" t="inlineStr">
        <is>
          <t>Pembatasan peran pada verifikasi</t>
        </is>
      </c>
      <c r="D973" s="12" t="inlineStr">
        <is>
          <t>Clarification</t>
        </is>
      </c>
      <c r="E973" s="5" t="inlineStr">
        <is>
          <t>SPV-A, MGR-A, ADM</t>
        </is>
      </c>
      <c r="F973" s="5" t="inlineStr">
        <is>
          <t>- SPV-A: Checked By bisa, Acknowledged By tidak.
- MGR-A: Acknowledged By bisa, Checked By tidak.
- ADM: keduanya bisa.
- Kolom yang tidak boleh diisi disertai keterangan siapa yang berhak (lihat LS-14).</t>
        </is>
      </c>
      <c r="G973" s="13" t="inlineStr">
        <is>
          <t>Tinggi</t>
        </is>
      </c>
      <c r="H973" s="18" t="n"/>
      <c r="I973" s="18" t="n"/>
      <c r="J973" s="18" t="n"/>
      <c r="K973" s="18" t="n"/>
      <c r="L973" s="18" t="n"/>
    </row>
    <row r="974" ht="70" customHeight="1">
      <c r="A974" s="14" t="n">
        <v>970</v>
      </c>
      <c r="B974" s="16" t="inlineStr">
        <is>
          <t>WB-FRM-08</t>
        </is>
      </c>
      <c r="C974" s="15" t="inlineStr">
        <is>
          <t>Pembatasan peran pada verifikasi</t>
        </is>
      </c>
      <c r="D974" s="17" t="inlineStr">
        <is>
          <t>Kernel Plant</t>
        </is>
      </c>
      <c r="E974" s="15" t="inlineStr">
        <is>
          <t>SPV-A, MGR-A, ADM</t>
        </is>
      </c>
      <c r="F974" s="15" t="inlineStr">
        <is>
          <t>- SPV-A: Checked By bisa, Acknowledged By tidak.
- MGR-A: Acknowledged By bisa, Checked By tidak.
- ADM: keduanya bisa.
- Kolom yang tidak boleh diisi disertai keterangan siapa yang berhak (lihat LS-14).</t>
        </is>
      </c>
      <c r="G974" s="13" t="inlineStr">
        <is>
          <t>Tinggi</t>
        </is>
      </c>
      <c r="H974" s="18" t="n"/>
      <c r="I974" s="18" t="n"/>
      <c r="J974" s="18" t="n"/>
      <c r="K974" s="18" t="n"/>
      <c r="L974" s="18" t="n"/>
    </row>
    <row r="975" ht="70" customHeight="1">
      <c r="A975" s="10" t="n">
        <v>971</v>
      </c>
      <c r="B975" s="11" t="inlineStr">
        <is>
          <t>WB-FRM-08</t>
        </is>
      </c>
      <c r="C975" s="5" t="inlineStr">
        <is>
          <t>Pembatasan peran pada verifikasi</t>
        </is>
      </c>
      <c r="D975" s="12" t="inlineStr">
        <is>
          <t>Boiler Room</t>
        </is>
      </c>
      <c r="E975" s="5" t="inlineStr">
        <is>
          <t>SPV-A, MGR-A, ADM</t>
        </is>
      </c>
      <c r="F975" s="5" t="inlineStr">
        <is>
          <t>- SPV-A: Checked By bisa, Acknowledged By tidak.
- MGR-A: Acknowledged By bisa, Checked By tidak.
- ADM: keduanya bisa.
- Kolom yang tidak boleh diisi disertai keterangan siapa yang berhak (lihat LS-14).</t>
        </is>
      </c>
      <c r="G975" s="13" t="inlineStr">
        <is>
          <t>Tinggi</t>
        </is>
      </c>
      <c r="H975" s="18" t="n"/>
      <c r="I975" s="18" t="n"/>
      <c r="J975" s="18" t="n"/>
      <c r="K975" s="18" t="n"/>
      <c r="L975" s="18" t="n"/>
    </row>
    <row r="976" ht="70" customHeight="1">
      <c r="A976" s="14" t="n">
        <v>972</v>
      </c>
      <c r="B976" s="16" t="inlineStr">
        <is>
          <t>WB-FRM-08</t>
        </is>
      </c>
      <c r="C976" s="15" t="inlineStr">
        <is>
          <t>Pembatasan peran pada verifikasi</t>
        </is>
      </c>
      <c r="D976" s="17" t="inlineStr">
        <is>
          <t>Effluent Plant</t>
        </is>
      </c>
      <c r="E976" s="15" t="inlineStr">
        <is>
          <t>SPV-A, MGR-A, ADM</t>
        </is>
      </c>
      <c r="F976" s="15" t="inlineStr">
        <is>
          <t>- SPV-A: Checked By bisa, Acknowledged By tidak.
- MGR-A: Acknowledged By bisa, Checked By tidak.
- ADM: keduanya bisa.
- Kolom yang tidak boleh diisi disertai keterangan siapa yang berhak (lihat LS-14).</t>
        </is>
      </c>
      <c r="G976" s="13" t="inlineStr">
        <is>
          <t>Tinggi</t>
        </is>
      </c>
      <c r="H976" s="18" t="n"/>
      <c r="I976" s="18" t="n"/>
      <c r="J976" s="18" t="n"/>
      <c r="K976" s="18" t="n"/>
      <c r="L976" s="18" t="n"/>
    </row>
    <row r="977" ht="70" customHeight="1">
      <c r="A977" s="10" t="n">
        <v>973</v>
      </c>
      <c r="B977" s="11" t="inlineStr">
        <is>
          <t>WB-FRM-08</t>
        </is>
      </c>
      <c r="C977" s="5" t="inlineStr">
        <is>
          <t>Pembatasan peran pada verifikasi</t>
        </is>
      </c>
      <c r="D977" s="12" t="inlineStr">
        <is>
          <t>Depricarping</t>
        </is>
      </c>
      <c r="E977" s="5" t="inlineStr">
        <is>
          <t>SPV-A, MGR-A, ADM</t>
        </is>
      </c>
      <c r="F977" s="5" t="inlineStr">
        <is>
          <t>- SPV-A: Checked By bisa, Acknowledged By tidak.
- MGR-A: Acknowledged By bisa, Checked By tidak.
- ADM: keduanya bisa.
- Kolom yang tidak boleh diisi disertai keterangan siapa yang berhak (lihat LS-14).</t>
        </is>
      </c>
      <c r="G977" s="13" t="inlineStr">
        <is>
          <t>Tinggi</t>
        </is>
      </c>
      <c r="H977" s="18" t="n"/>
      <c r="I977" s="18" t="n"/>
      <c r="J977" s="18" t="n"/>
      <c r="K977" s="18" t="n"/>
      <c r="L977" s="18" t="n"/>
    </row>
    <row r="978" ht="70" customHeight="1">
      <c r="A978" s="14" t="n">
        <v>974</v>
      </c>
      <c r="B978" s="16" t="inlineStr">
        <is>
          <t>WB-FRM-08</t>
        </is>
      </c>
      <c r="C978" s="15" t="inlineStr">
        <is>
          <t>Pembatasan peran pada verifikasi</t>
        </is>
      </c>
      <c r="D978" s="17" t="inlineStr">
        <is>
          <t>Engine Room</t>
        </is>
      </c>
      <c r="E978" s="15" t="inlineStr">
        <is>
          <t>SPV-A, MGR-A, ADM</t>
        </is>
      </c>
      <c r="F978" s="15" t="inlineStr">
        <is>
          <t>- SPV-A: Checked By bisa, Acknowledged By tidak.
- MGR-A: Acknowledged By bisa, Checked By tidak.
- ADM: keduanya bisa.
- Kolom yang tidak boleh diisi disertai keterangan siapa yang berhak (lihat LS-14).</t>
        </is>
      </c>
      <c r="G978" s="13" t="inlineStr">
        <is>
          <t>Tinggi</t>
        </is>
      </c>
      <c r="H978" s="18" t="n"/>
      <c r="I978" s="18" t="n"/>
      <c r="J978" s="18" t="n"/>
      <c r="K978" s="18" t="n"/>
      <c r="L978" s="18" t="n"/>
    </row>
    <row r="979" ht="70" customHeight="1">
      <c r="A979" s="10" t="n">
        <v>975</v>
      </c>
      <c r="B979" s="11" t="inlineStr">
        <is>
          <t>WB-FRM-08</t>
        </is>
      </c>
      <c r="C979" s="5" t="inlineStr">
        <is>
          <t>Pembatasan peran pada verifikasi</t>
        </is>
      </c>
      <c r="D979" s="12" t="inlineStr">
        <is>
          <t>Process Water</t>
        </is>
      </c>
      <c r="E979" s="5" t="inlineStr">
        <is>
          <t>SPV-A, MGR-A, ADM</t>
        </is>
      </c>
      <c r="F979" s="5" t="inlineStr">
        <is>
          <t>- SPV-A: Checked By bisa, Acknowledged By tidak.
- MGR-A: Acknowledged By bisa, Checked By tidak.
- ADM: keduanya bisa.
- Kolom yang tidak boleh diisi disertai keterangan siapa yang berhak (lihat LS-14).</t>
        </is>
      </c>
      <c r="G979" s="13" t="inlineStr">
        <is>
          <t>Tinggi</t>
        </is>
      </c>
      <c r="H979" s="18" t="n"/>
      <c r="I979" s="18" t="n"/>
      <c r="J979" s="18" t="n"/>
      <c r="K979" s="18" t="n"/>
      <c r="L979" s="18" t="n"/>
    </row>
    <row r="980" ht="70" customHeight="1">
      <c r="A980" s="14" t="n">
        <v>976</v>
      </c>
      <c r="B980" s="16" t="inlineStr">
        <is>
          <t>WB-FRM-08</t>
        </is>
      </c>
      <c r="C980" s="15" t="inlineStr">
        <is>
          <t>Pembatasan peran pada verifikasi</t>
        </is>
      </c>
      <c r="D980" s="17" t="inlineStr">
        <is>
          <t>Storage Tank</t>
        </is>
      </c>
      <c r="E980" s="15" t="inlineStr">
        <is>
          <t>SPV-A, MGR-A, ADM</t>
        </is>
      </c>
      <c r="F980" s="15" t="inlineStr">
        <is>
          <t>- SPV-A: Checked By bisa, Acknowledged By tidak.
- MGR-A: Acknowledged By bisa, Checked By tidak.
- ADM: keduanya bisa.
- Kolom yang tidak boleh diisi disertai keterangan siapa yang berhak (lihat LS-14).</t>
        </is>
      </c>
      <c r="G980" s="13" t="inlineStr">
        <is>
          <t>Tinggi</t>
        </is>
      </c>
      <c r="H980" s="18" t="n"/>
      <c r="I980" s="18" t="n"/>
      <c r="J980" s="18" t="n"/>
      <c r="K980" s="18" t="n"/>
      <c r="L980" s="18" t="n"/>
    </row>
    <row r="981" ht="70" customHeight="1">
      <c r="A981" s="10" t="n">
        <v>977</v>
      </c>
      <c r="B981" s="11" t="inlineStr">
        <is>
          <t>WB-FRM-08</t>
        </is>
      </c>
      <c r="C981" s="5" t="inlineStr">
        <is>
          <t>Pembatasan peran pada verifikasi</t>
        </is>
      </c>
      <c r="D981" s="12" t="inlineStr">
        <is>
          <t>Solid Waste Disposal</t>
        </is>
      </c>
      <c r="E981" s="5" t="inlineStr">
        <is>
          <t>SPV-A, MGR-A, ADM</t>
        </is>
      </c>
      <c r="F981" s="5" t="inlineStr">
        <is>
          <t>- SPV-A: Checked By bisa, Acknowledged By tidak.
- MGR-A: Acknowledged By bisa, Checked By tidak.
- ADM: keduanya bisa.
- Kolom yang tidak boleh diisi disertai keterangan siapa yang berhak (lihat LS-14).</t>
        </is>
      </c>
      <c r="G981" s="13" t="inlineStr">
        <is>
          <t>Tinggi</t>
        </is>
      </c>
      <c r="H981" s="18" t="n"/>
      <c r="I981" s="18" t="n"/>
      <c r="J981" s="18" t="n"/>
      <c r="K981" s="18" t="n"/>
      <c r="L981" s="18" t="n"/>
    </row>
    <row r="982" ht="70" customHeight="1">
      <c r="A982" s="14" t="n">
        <v>978</v>
      </c>
      <c r="B982" s="16" t="inlineStr">
        <is>
          <t>WB-FRM-08</t>
        </is>
      </c>
      <c r="C982" s="15" t="inlineStr">
        <is>
          <t>Pembatasan peran pada verifikasi</t>
        </is>
      </c>
      <c r="D982" s="17" t="inlineStr">
        <is>
          <t>Kernel Dispatch</t>
        </is>
      </c>
      <c r="E982" s="15" t="inlineStr">
        <is>
          <t>SPV-A, MGR-A, ADM</t>
        </is>
      </c>
      <c r="F982" s="15" t="inlineStr">
        <is>
          <t>- SPV-A: Checked By bisa, Acknowledged By tidak.
- MGR-A: Acknowledged By bisa, Checked By tidak.
- ADM: keduanya bisa.
- Kolom yang tidak boleh diisi disertai keterangan siapa yang berhak (lihat LS-14).</t>
        </is>
      </c>
      <c r="G982" s="13" t="inlineStr">
        <is>
          <t>Tinggi</t>
        </is>
      </c>
      <c r="H982" s="18" t="n"/>
      <c r="I982" s="18" t="n"/>
      <c r="J982" s="18" t="n"/>
      <c r="K982" s="18" t="n"/>
      <c r="L982" s="18" t="n"/>
    </row>
    <row r="983" ht="70" customHeight="1">
      <c r="A983" s="10" t="n">
        <v>979</v>
      </c>
      <c r="B983" s="11" t="inlineStr">
        <is>
          <t>WB-FRM-08</t>
        </is>
      </c>
      <c r="C983" s="5" t="inlineStr">
        <is>
          <t>Pembatasan peran pada verifikasi</t>
        </is>
      </c>
      <c r="D983" s="12" t="inlineStr">
        <is>
          <t>CPO Dispatch</t>
        </is>
      </c>
      <c r="E983" s="5" t="inlineStr">
        <is>
          <t>SPV-A, MGR-A, ADM</t>
        </is>
      </c>
      <c r="F983" s="5" t="inlineStr">
        <is>
          <t>- SPV-A: Checked By bisa, Acknowledged By tidak.
- MGR-A: Acknowledged By bisa, Checked By tidak.
- ADM: keduanya bisa.
- Kolom yang tidak boleh diisi disertai keterangan siapa yang berhak (lihat LS-14).</t>
        </is>
      </c>
      <c r="G983" s="13" t="inlineStr">
        <is>
          <t>Tinggi</t>
        </is>
      </c>
      <c r="H983" s="18" t="n"/>
      <c r="I983" s="18" t="n"/>
      <c r="J983" s="18" t="n"/>
      <c r="K983" s="18" t="n"/>
      <c r="L983" s="18" t="n"/>
    </row>
    <row r="984" ht="70" customHeight="1">
      <c r="A984" s="14" t="n">
        <v>980</v>
      </c>
      <c r="B984" s="16" t="inlineStr">
        <is>
          <t>WB-FRM-08</t>
        </is>
      </c>
      <c r="C984" s="15" t="inlineStr">
        <is>
          <t>Pembatasan peran pada verifikasi</t>
        </is>
      </c>
      <c r="D984" s="17" t="inlineStr">
        <is>
          <t>Process Quality Control</t>
        </is>
      </c>
      <c r="E984" s="15" t="inlineStr">
        <is>
          <t>SPV-A, MGR-A, ADM</t>
        </is>
      </c>
      <c r="F984" s="15" t="inlineStr">
        <is>
          <t>- SPV-A: Checked By bisa, Acknowledged By tidak.
- MGR-A: Acknowledged By bisa, Checked By tidak.
- ADM: keduanya bisa.
- Kolom yang tidak boleh diisi disertai keterangan siapa yang berhak (lihat LS-14).</t>
        </is>
      </c>
      <c r="G984" s="13" t="inlineStr">
        <is>
          <t>Tinggi</t>
        </is>
      </c>
      <c r="H984" s="18" t="n"/>
      <c r="I984" s="18" t="n"/>
      <c r="J984" s="18" t="n"/>
      <c r="K984" s="18" t="n"/>
      <c r="L984" s="18" t="n"/>
    </row>
    <row r="985" ht="70" customHeight="1">
      <c r="A985" s="10" t="n">
        <v>981</v>
      </c>
      <c r="B985" s="11" t="inlineStr">
        <is>
          <t>WB-FRM-09</t>
        </is>
      </c>
      <c r="C985" s="5" t="inlineStr">
        <is>
          <t>Batal tidak menyimpan apa pun</t>
        </is>
      </c>
      <c r="D985" s="12" t="inlineStr">
        <is>
          <t>Weighbridge</t>
        </is>
      </c>
      <c r="E985" s="5" t="inlineStr">
        <is>
          <t>SPV-A</t>
        </is>
      </c>
      <c r="F985" s="5" t="inlineStr">
        <is>
          <t>- Kembali ke layar sebelumnya.
- Seluruh nilai record tidak berubah — tidak satu pun suntingan tersimpan.
- Bila ada dialog konfirmasi saat Batal, isinya menyebut bahwa perubahan akan dibuang.</t>
        </is>
      </c>
      <c r="G985" s="10" t="inlineStr">
        <is>
          <t>Sedang</t>
        </is>
      </c>
      <c r="H985" s="18" t="n"/>
      <c r="I985" s="18" t="n"/>
      <c r="J985" s="18" t="n"/>
      <c r="K985" s="18" t="n"/>
      <c r="L985" s="18" t="n"/>
    </row>
    <row r="986" ht="70" customHeight="1">
      <c r="A986" s="14" t="n">
        <v>982</v>
      </c>
      <c r="B986" s="16" t="inlineStr">
        <is>
          <t>WB-FRM-09</t>
        </is>
      </c>
      <c r="C986" s="15" t="inlineStr">
        <is>
          <t>Batal tidak menyimpan apa pun</t>
        </is>
      </c>
      <c r="D986" s="17" t="inlineStr">
        <is>
          <t>Grading</t>
        </is>
      </c>
      <c r="E986" s="15" t="inlineStr">
        <is>
          <t>SPV-A</t>
        </is>
      </c>
      <c r="F986" s="15" t="inlineStr">
        <is>
          <t>- Kembali ke layar sebelumnya.
- Seluruh nilai record tidak berubah — tidak satu pun suntingan tersimpan.
- Bila ada dialog konfirmasi saat Batal, isinya menyebut bahwa perubahan akan dibuang.</t>
        </is>
      </c>
      <c r="G986" s="14" t="inlineStr">
        <is>
          <t>Sedang</t>
        </is>
      </c>
      <c r="H986" s="18" t="n"/>
      <c r="I986" s="18" t="n"/>
      <c r="J986" s="18" t="n"/>
      <c r="K986" s="18" t="n"/>
      <c r="L986" s="18" t="n"/>
    </row>
    <row r="987" ht="70" customHeight="1">
      <c r="A987" s="10" t="n">
        <v>983</v>
      </c>
      <c r="B987" s="11" t="inlineStr">
        <is>
          <t>WB-FRM-09</t>
        </is>
      </c>
      <c r="C987" s="5" t="inlineStr">
        <is>
          <t>Batal tidak menyimpan apa pun</t>
        </is>
      </c>
      <c r="D987" s="12" t="inlineStr">
        <is>
          <t>Cages Track</t>
        </is>
      </c>
      <c r="E987" s="5" t="inlineStr">
        <is>
          <t>SPV-A</t>
        </is>
      </c>
      <c r="F987" s="5" t="inlineStr">
        <is>
          <t>- Kembali ke layar sebelumnya.
- Seluruh nilai record tidak berubah — tidak satu pun suntingan tersimpan.
- Bila ada dialog konfirmasi saat Batal, isinya menyebut bahwa perubahan akan dibuang.</t>
        </is>
      </c>
      <c r="G987" s="10" t="inlineStr">
        <is>
          <t>Sedang</t>
        </is>
      </c>
      <c r="H987" s="18" t="n"/>
      <c r="I987" s="18" t="n"/>
      <c r="J987" s="18" t="n"/>
      <c r="K987" s="18" t="n"/>
      <c r="L987" s="18" t="n"/>
    </row>
    <row r="988" ht="70" customHeight="1">
      <c r="A988" s="14" t="n">
        <v>984</v>
      </c>
      <c r="B988" s="16" t="inlineStr">
        <is>
          <t>WB-FRM-09</t>
        </is>
      </c>
      <c r="C988" s="15" t="inlineStr">
        <is>
          <t>Batal tidak menyimpan apa pun</t>
        </is>
      </c>
      <c r="D988" s="17" t="inlineStr">
        <is>
          <t>Sterilizer</t>
        </is>
      </c>
      <c r="E988" s="15" t="inlineStr">
        <is>
          <t>SPV-A</t>
        </is>
      </c>
      <c r="F988" s="15" t="inlineStr">
        <is>
          <t>- Kembali ke layar sebelumnya.
- Seluruh nilai record tidak berubah — tidak satu pun suntingan tersimpan.
- Bila ada dialog konfirmasi saat Batal, isinya menyebut bahwa perubahan akan dibuang.</t>
        </is>
      </c>
      <c r="G988" s="14" t="inlineStr">
        <is>
          <t>Sedang</t>
        </is>
      </c>
      <c r="H988" s="18" t="n"/>
      <c r="I988" s="18" t="n"/>
      <c r="J988" s="18" t="n"/>
      <c r="K988" s="18" t="n"/>
      <c r="L988" s="18" t="n"/>
    </row>
    <row r="989" ht="70" customHeight="1">
      <c r="A989" s="10" t="n">
        <v>985</v>
      </c>
      <c r="B989" s="11" t="inlineStr">
        <is>
          <t>WB-FRM-09</t>
        </is>
      </c>
      <c r="C989" s="5" t="inlineStr">
        <is>
          <t>Batal tidak menyimpan apa pun</t>
        </is>
      </c>
      <c r="D989" s="12" t="inlineStr">
        <is>
          <t>Threshing</t>
        </is>
      </c>
      <c r="E989" s="5" t="inlineStr">
        <is>
          <t>SPV-A</t>
        </is>
      </c>
      <c r="F989" s="5" t="inlineStr">
        <is>
          <t>- Kembali ke layar sebelumnya.
- Seluruh nilai record tidak berubah — tidak satu pun suntingan tersimpan.
- Bila ada dialog konfirmasi saat Batal, isinya menyebut bahwa perubahan akan dibuang.</t>
        </is>
      </c>
      <c r="G989" s="10" t="inlineStr">
        <is>
          <t>Sedang</t>
        </is>
      </c>
      <c r="H989" s="18" t="n"/>
      <c r="I989" s="18" t="n"/>
      <c r="J989" s="18" t="n"/>
      <c r="K989" s="18" t="n"/>
      <c r="L989" s="18" t="n"/>
    </row>
    <row r="990" ht="70" customHeight="1">
      <c r="A990" s="14" t="n">
        <v>986</v>
      </c>
      <c r="B990" s="16" t="inlineStr">
        <is>
          <t>WB-FRM-09</t>
        </is>
      </c>
      <c r="C990" s="15" t="inlineStr">
        <is>
          <t>Batal tidak menyimpan apa pun</t>
        </is>
      </c>
      <c r="D990" s="17" t="inlineStr">
        <is>
          <t>Pressing</t>
        </is>
      </c>
      <c r="E990" s="15" t="inlineStr">
        <is>
          <t>SPV-A</t>
        </is>
      </c>
      <c r="F990" s="15" t="inlineStr">
        <is>
          <t>- Kembali ke layar sebelumnya.
- Seluruh nilai record tidak berubah — tidak satu pun suntingan tersimpan.
- Bila ada dialog konfirmasi saat Batal, isinya menyebut bahwa perubahan akan dibuang.</t>
        </is>
      </c>
      <c r="G990" s="14" t="inlineStr">
        <is>
          <t>Sedang</t>
        </is>
      </c>
      <c r="H990" s="18" t="n"/>
      <c r="I990" s="18" t="n"/>
      <c r="J990" s="18" t="n"/>
      <c r="K990" s="18" t="n"/>
      <c r="L990" s="18" t="n"/>
    </row>
    <row r="991" ht="70" customHeight="1">
      <c r="A991" s="10" t="n">
        <v>987</v>
      </c>
      <c r="B991" s="11" t="inlineStr">
        <is>
          <t>WB-FRM-09</t>
        </is>
      </c>
      <c r="C991" s="5" t="inlineStr">
        <is>
          <t>Batal tidak menyimpan apa pun</t>
        </is>
      </c>
      <c r="D991" s="12" t="inlineStr">
        <is>
          <t>Clarification</t>
        </is>
      </c>
      <c r="E991" s="5" t="inlineStr">
        <is>
          <t>SPV-A</t>
        </is>
      </c>
      <c r="F991" s="5" t="inlineStr">
        <is>
          <t>- Kembali ke layar sebelumnya.
- Seluruh nilai record tidak berubah — tidak satu pun suntingan tersimpan.
- Bila ada dialog konfirmasi saat Batal, isinya menyebut bahwa perubahan akan dibuang.</t>
        </is>
      </c>
      <c r="G991" s="10" t="inlineStr">
        <is>
          <t>Sedang</t>
        </is>
      </c>
      <c r="H991" s="18" t="n"/>
      <c r="I991" s="18" t="n"/>
      <c r="J991" s="18" t="n"/>
      <c r="K991" s="18" t="n"/>
      <c r="L991" s="18" t="n"/>
    </row>
    <row r="992" ht="70" customHeight="1">
      <c r="A992" s="14" t="n">
        <v>988</v>
      </c>
      <c r="B992" s="16" t="inlineStr">
        <is>
          <t>WB-FRM-09</t>
        </is>
      </c>
      <c r="C992" s="15" t="inlineStr">
        <is>
          <t>Batal tidak menyimpan apa pun</t>
        </is>
      </c>
      <c r="D992" s="17" t="inlineStr">
        <is>
          <t>Kernel Plant</t>
        </is>
      </c>
      <c r="E992" s="15" t="inlineStr">
        <is>
          <t>SPV-A</t>
        </is>
      </c>
      <c r="F992" s="15" t="inlineStr">
        <is>
          <t>- Kembali ke layar sebelumnya.
- Seluruh nilai record tidak berubah — tidak satu pun suntingan tersimpan.
- Bila ada dialog konfirmasi saat Batal, isinya menyebut bahwa perubahan akan dibuang.</t>
        </is>
      </c>
      <c r="G992" s="14" t="inlineStr">
        <is>
          <t>Sedang</t>
        </is>
      </c>
      <c r="H992" s="18" t="n"/>
      <c r="I992" s="18" t="n"/>
      <c r="J992" s="18" t="n"/>
      <c r="K992" s="18" t="n"/>
      <c r="L992" s="18" t="n"/>
    </row>
    <row r="993" ht="70" customHeight="1">
      <c r="A993" s="10" t="n">
        <v>989</v>
      </c>
      <c r="B993" s="11" t="inlineStr">
        <is>
          <t>WB-FRM-09</t>
        </is>
      </c>
      <c r="C993" s="5" t="inlineStr">
        <is>
          <t>Batal tidak menyimpan apa pun</t>
        </is>
      </c>
      <c r="D993" s="12" t="inlineStr">
        <is>
          <t>Boiler Room</t>
        </is>
      </c>
      <c r="E993" s="5" t="inlineStr">
        <is>
          <t>SPV-A</t>
        </is>
      </c>
      <c r="F993" s="5" t="inlineStr">
        <is>
          <t>- Kembali ke layar sebelumnya.
- Seluruh nilai record tidak berubah — tidak satu pun suntingan tersimpan.
- Bila ada dialog konfirmasi saat Batal, isinya menyebut bahwa perubahan akan dibuang.</t>
        </is>
      </c>
      <c r="G993" s="10" t="inlineStr">
        <is>
          <t>Sedang</t>
        </is>
      </c>
      <c r="H993" s="18" t="n"/>
      <c r="I993" s="18" t="n"/>
      <c r="J993" s="18" t="n"/>
      <c r="K993" s="18" t="n"/>
      <c r="L993" s="18" t="n"/>
    </row>
    <row r="994" ht="70" customHeight="1">
      <c r="A994" s="14" t="n">
        <v>990</v>
      </c>
      <c r="B994" s="16" t="inlineStr">
        <is>
          <t>WB-FRM-09</t>
        </is>
      </c>
      <c r="C994" s="15" t="inlineStr">
        <is>
          <t>Batal tidak menyimpan apa pun</t>
        </is>
      </c>
      <c r="D994" s="17" t="inlineStr">
        <is>
          <t>Effluent Plant</t>
        </is>
      </c>
      <c r="E994" s="15" t="inlineStr">
        <is>
          <t>SPV-A</t>
        </is>
      </c>
      <c r="F994" s="15" t="inlineStr">
        <is>
          <t>- Kembali ke layar sebelumnya.
- Seluruh nilai record tidak berubah — tidak satu pun suntingan tersimpan.
- Bila ada dialog konfirmasi saat Batal, isinya menyebut bahwa perubahan akan dibuang.</t>
        </is>
      </c>
      <c r="G994" s="14" t="inlineStr">
        <is>
          <t>Sedang</t>
        </is>
      </c>
      <c r="H994" s="18" t="n"/>
      <c r="I994" s="18" t="n"/>
      <c r="J994" s="18" t="n"/>
      <c r="K994" s="18" t="n"/>
      <c r="L994" s="18" t="n"/>
    </row>
    <row r="995" ht="70" customHeight="1">
      <c r="A995" s="10" t="n">
        <v>991</v>
      </c>
      <c r="B995" s="11" t="inlineStr">
        <is>
          <t>WB-FRM-09</t>
        </is>
      </c>
      <c r="C995" s="5" t="inlineStr">
        <is>
          <t>Batal tidak menyimpan apa pun</t>
        </is>
      </c>
      <c r="D995" s="12" t="inlineStr">
        <is>
          <t>Depricarping</t>
        </is>
      </c>
      <c r="E995" s="5" t="inlineStr">
        <is>
          <t>SPV-A</t>
        </is>
      </c>
      <c r="F995" s="5" t="inlineStr">
        <is>
          <t>- Kembali ke layar sebelumnya.
- Seluruh nilai record tidak berubah — tidak satu pun suntingan tersimpan.
- Bila ada dialog konfirmasi saat Batal, isinya menyebut bahwa perubahan akan dibuang.</t>
        </is>
      </c>
      <c r="G995" s="10" t="inlineStr">
        <is>
          <t>Sedang</t>
        </is>
      </c>
      <c r="H995" s="18" t="n"/>
      <c r="I995" s="18" t="n"/>
      <c r="J995" s="18" t="n"/>
      <c r="K995" s="18" t="n"/>
      <c r="L995" s="18" t="n"/>
    </row>
    <row r="996" ht="70" customHeight="1">
      <c r="A996" s="14" t="n">
        <v>992</v>
      </c>
      <c r="B996" s="16" t="inlineStr">
        <is>
          <t>WB-FRM-09</t>
        </is>
      </c>
      <c r="C996" s="15" t="inlineStr">
        <is>
          <t>Batal tidak menyimpan apa pun</t>
        </is>
      </c>
      <c r="D996" s="17" t="inlineStr">
        <is>
          <t>Engine Room</t>
        </is>
      </c>
      <c r="E996" s="15" t="inlineStr">
        <is>
          <t>SPV-A</t>
        </is>
      </c>
      <c r="F996" s="15" t="inlineStr">
        <is>
          <t>- Kembali ke layar sebelumnya.
- Seluruh nilai record tidak berubah — tidak satu pun suntingan tersimpan.
- Bila ada dialog konfirmasi saat Batal, isinya menyebut bahwa perubahan akan dibuang.</t>
        </is>
      </c>
      <c r="G996" s="14" t="inlineStr">
        <is>
          <t>Sedang</t>
        </is>
      </c>
      <c r="H996" s="18" t="n"/>
      <c r="I996" s="18" t="n"/>
      <c r="J996" s="18" t="n"/>
      <c r="K996" s="18" t="n"/>
      <c r="L996" s="18" t="n"/>
    </row>
    <row r="997" ht="70" customHeight="1">
      <c r="A997" s="10" t="n">
        <v>993</v>
      </c>
      <c r="B997" s="11" t="inlineStr">
        <is>
          <t>WB-FRM-09</t>
        </is>
      </c>
      <c r="C997" s="5" t="inlineStr">
        <is>
          <t>Batal tidak menyimpan apa pun</t>
        </is>
      </c>
      <c r="D997" s="12" t="inlineStr">
        <is>
          <t>Process Water</t>
        </is>
      </c>
      <c r="E997" s="5" t="inlineStr">
        <is>
          <t>SPV-A</t>
        </is>
      </c>
      <c r="F997" s="5" t="inlineStr">
        <is>
          <t>- Kembali ke layar sebelumnya.
- Seluruh nilai record tidak berubah — tidak satu pun suntingan tersimpan.
- Bila ada dialog konfirmasi saat Batal, isinya menyebut bahwa perubahan akan dibuang.</t>
        </is>
      </c>
      <c r="G997" s="10" t="inlineStr">
        <is>
          <t>Sedang</t>
        </is>
      </c>
      <c r="H997" s="18" t="n"/>
      <c r="I997" s="18" t="n"/>
      <c r="J997" s="18" t="n"/>
      <c r="K997" s="18" t="n"/>
      <c r="L997" s="18" t="n"/>
    </row>
    <row r="998" ht="70" customHeight="1">
      <c r="A998" s="14" t="n">
        <v>994</v>
      </c>
      <c r="B998" s="16" t="inlineStr">
        <is>
          <t>WB-FRM-09</t>
        </is>
      </c>
      <c r="C998" s="15" t="inlineStr">
        <is>
          <t>Batal tidak menyimpan apa pun</t>
        </is>
      </c>
      <c r="D998" s="17" t="inlineStr">
        <is>
          <t>Storage Tank</t>
        </is>
      </c>
      <c r="E998" s="15" t="inlineStr">
        <is>
          <t>SPV-A</t>
        </is>
      </c>
      <c r="F998" s="15" t="inlineStr">
        <is>
          <t>- Kembali ke layar sebelumnya.
- Seluruh nilai record tidak berubah — tidak satu pun suntingan tersimpan.
- Bila ada dialog konfirmasi saat Batal, isinya menyebut bahwa perubahan akan dibuang.</t>
        </is>
      </c>
      <c r="G998" s="14" t="inlineStr">
        <is>
          <t>Sedang</t>
        </is>
      </c>
      <c r="H998" s="18" t="n"/>
      <c r="I998" s="18" t="n"/>
      <c r="J998" s="18" t="n"/>
      <c r="K998" s="18" t="n"/>
      <c r="L998" s="18" t="n"/>
    </row>
    <row r="999" ht="70" customHeight="1">
      <c r="A999" s="10" t="n">
        <v>995</v>
      </c>
      <c r="B999" s="11" t="inlineStr">
        <is>
          <t>WB-FRM-09</t>
        </is>
      </c>
      <c r="C999" s="5" t="inlineStr">
        <is>
          <t>Batal tidak menyimpan apa pun</t>
        </is>
      </c>
      <c r="D999" s="12" t="inlineStr">
        <is>
          <t>Solid Waste Disposal</t>
        </is>
      </c>
      <c r="E999" s="5" t="inlineStr">
        <is>
          <t>SPV-A</t>
        </is>
      </c>
      <c r="F999" s="5" t="inlineStr">
        <is>
          <t>- Kembali ke layar sebelumnya.
- Seluruh nilai record tidak berubah — tidak satu pun suntingan tersimpan.
- Bila ada dialog konfirmasi saat Batal, isinya menyebut bahwa perubahan akan dibuang.</t>
        </is>
      </c>
      <c r="G999" s="10" t="inlineStr">
        <is>
          <t>Sedang</t>
        </is>
      </c>
      <c r="H999" s="18" t="n"/>
      <c r="I999" s="18" t="n"/>
      <c r="J999" s="18" t="n"/>
      <c r="K999" s="18" t="n"/>
      <c r="L999" s="18" t="n"/>
    </row>
    <row r="1000" ht="70" customHeight="1">
      <c r="A1000" s="14" t="n">
        <v>996</v>
      </c>
      <c r="B1000" s="16" t="inlineStr">
        <is>
          <t>WB-FRM-09</t>
        </is>
      </c>
      <c r="C1000" s="15" t="inlineStr">
        <is>
          <t>Batal tidak menyimpan apa pun</t>
        </is>
      </c>
      <c r="D1000" s="17" t="inlineStr">
        <is>
          <t>Kernel Dispatch</t>
        </is>
      </c>
      <c r="E1000" s="15" t="inlineStr">
        <is>
          <t>SPV-A</t>
        </is>
      </c>
      <c r="F1000" s="15" t="inlineStr">
        <is>
          <t>- Kembali ke layar sebelumnya.
- Seluruh nilai record tidak berubah — tidak satu pun suntingan tersimpan.
- Bila ada dialog konfirmasi saat Batal, isinya menyebut bahwa perubahan akan dibuang.</t>
        </is>
      </c>
      <c r="G1000" s="14" t="inlineStr">
        <is>
          <t>Sedang</t>
        </is>
      </c>
      <c r="H1000" s="18" t="n"/>
      <c r="I1000" s="18" t="n"/>
      <c r="J1000" s="18" t="n"/>
      <c r="K1000" s="18" t="n"/>
      <c r="L1000" s="18" t="n"/>
    </row>
    <row r="1001" ht="70" customHeight="1">
      <c r="A1001" s="10" t="n">
        <v>997</v>
      </c>
      <c r="B1001" s="11" t="inlineStr">
        <is>
          <t>WB-FRM-09</t>
        </is>
      </c>
      <c r="C1001" s="5" t="inlineStr">
        <is>
          <t>Batal tidak menyimpan apa pun</t>
        </is>
      </c>
      <c r="D1001" s="12" t="inlineStr">
        <is>
          <t>CPO Dispatch</t>
        </is>
      </c>
      <c r="E1001" s="5" t="inlineStr">
        <is>
          <t>SPV-A</t>
        </is>
      </c>
      <c r="F1001" s="5" t="inlineStr">
        <is>
          <t>- Kembali ke layar sebelumnya.
- Seluruh nilai record tidak berubah — tidak satu pun suntingan tersimpan.
- Bila ada dialog konfirmasi saat Batal, isinya menyebut bahwa perubahan akan dibuang.</t>
        </is>
      </c>
      <c r="G1001" s="10" t="inlineStr">
        <is>
          <t>Sedang</t>
        </is>
      </c>
      <c r="H1001" s="18" t="n"/>
      <c r="I1001" s="18" t="n"/>
      <c r="J1001" s="18" t="n"/>
      <c r="K1001" s="18" t="n"/>
      <c r="L1001" s="18" t="n"/>
    </row>
    <row r="1002" ht="70" customHeight="1">
      <c r="A1002" s="14" t="n">
        <v>998</v>
      </c>
      <c r="B1002" s="16" t="inlineStr">
        <is>
          <t>WB-FRM-09</t>
        </is>
      </c>
      <c r="C1002" s="15" t="inlineStr">
        <is>
          <t>Batal tidak menyimpan apa pun</t>
        </is>
      </c>
      <c r="D1002" s="17" t="inlineStr">
        <is>
          <t>Process Quality Control</t>
        </is>
      </c>
      <c r="E1002" s="15" t="inlineStr">
        <is>
          <t>SPV-A</t>
        </is>
      </c>
      <c r="F1002" s="15" t="inlineStr">
        <is>
          <t>- Kembali ke layar sebelumnya.
- Seluruh nilai record tidak berubah — tidak satu pun suntingan tersimpan.
- Bila ada dialog konfirmasi saat Batal, isinya menyebut bahwa perubahan akan dibuang.</t>
        </is>
      </c>
      <c r="G1002" s="14" t="inlineStr">
        <is>
          <t>Sedang</t>
        </is>
      </c>
      <c r="H1002" s="18" t="n"/>
      <c r="I1002" s="18" t="n"/>
      <c r="J1002" s="18" t="n"/>
      <c r="K1002" s="18" t="n"/>
      <c r="L1002" s="18" t="n"/>
    </row>
    <row r="1003" ht="56.8" customHeight="1">
      <c r="A1003" s="10" t="n">
        <v>999</v>
      </c>
      <c r="B1003" s="11" t="inlineStr">
        <is>
          <t>WB-FRM-10</t>
        </is>
      </c>
      <c r="C1003" s="5" t="inlineStr">
        <is>
          <t>Ubah record berhasil dan terlihat di Detail</t>
        </is>
      </c>
      <c r="D1003" s="12" t="inlineStr">
        <is>
          <t>Weighbridge</t>
        </is>
      </c>
      <c r="E1003" s="5" t="inlineStr">
        <is>
          <t>SPV-A</t>
        </is>
      </c>
      <c r="F1003" s="5" t="inlineStr">
        <is>
          <t>- Simpan berhasil.
- Ketiga perubahan terlihat di Detail.
- Baris di Data Browser juga menunjukkan identitas yang baru.</t>
        </is>
      </c>
      <c r="G1003" s="13" t="inlineStr">
        <is>
          <t>Tinggi</t>
        </is>
      </c>
      <c r="H1003" s="18" t="n"/>
      <c r="I1003" s="18" t="n"/>
      <c r="J1003" s="18" t="n"/>
      <c r="K1003" s="18" t="n"/>
      <c r="L1003" s="18" t="n"/>
    </row>
    <row r="1004" ht="56.8" customHeight="1">
      <c r="A1004" s="14" t="n">
        <v>1000</v>
      </c>
      <c r="B1004" s="16" t="inlineStr">
        <is>
          <t>WB-FRM-10</t>
        </is>
      </c>
      <c r="C1004" s="15" t="inlineStr">
        <is>
          <t>Ubah record berhasil dan terlihat di Detail</t>
        </is>
      </c>
      <c r="D1004" s="17" t="inlineStr">
        <is>
          <t>Grading</t>
        </is>
      </c>
      <c r="E1004" s="15" t="inlineStr">
        <is>
          <t>SPV-A</t>
        </is>
      </c>
      <c r="F1004" s="15" t="inlineStr">
        <is>
          <t>- Simpan berhasil.
- Ketiga perubahan terlihat di Detail.
- Baris di Data Browser juga menunjukkan identitas yang baru.</t>
        </is>
      </c>
      <c r="G1004" s="13" t="inlineStr">
        <is>
          <t>Tinggi</t>
        </is>
      </c>
      <c r="H1004" s="18" t="n"/>
      <c r="I1004" s="18" t="n"/>
      <c r="J1004" s="18" t="n"/>
      <c r="K1004" s="18" t="n"/>
      <c r="L1004" s="18" t="n"/>
    </row>
    <row r="1005" ht="56.8" customHeight="1">
      <c r="A1005" s="10" t="n">
        <v>1001</v>
      </c>
      <c r="B1005" s="11" t="inlineStr">
        <is>
          <t>WB-FRM-10</t>
        </is>
      </c>
      <c r="C1005" s="5" t="inlineStr">
        <is>
          <t>Ubah record berhasil dan terlihat di Detail</t>
        </is>
      </c>
      <c r="D1005" s="12" t="inlineStr">
        <is>
          <t>Cages Track</t>
        </is>
      </c>
      <c r="E1005" s="5" t="inlineStr">
        <is>
          <t>SPV-A</t>
        </is>
      </c>
      <c r="F1005" s="5" t="inlineStr">
        <is>
          <t>- Simpan berhasil.
- Ketiga perubahan terlihat di Detail.
- Baris di Data Browser juga menunjukkan identitas yang baru.</t>
        </is>
      </c>
      <c r="G1005" s="13" t="inlineStr">
        <is>
          <t>Tinggi</t>
        </is>
      </c>
      <c r="H1005" s="18" t="n"/>
      <c r="I1005" s="18" t="n"/>
      <c r="J1005" s="18" t="n"/>
      <c r="K1005" s="18" t="n"/>
      <c r="L1005" s="18" t="n"/>
    </row>
    <row r="1006" ht="56.8" customHeight="1">
      <c r="A1006" s="14" t="n">
        <v>1002</v>
      </c>
      <c r="B1006" s="16" t="inlineStr">
        <is>
          <t>WB-FRM-10</t>
        </is>
      </c>
      <c r="C1006" s="15" t="inlineStr">
        <is>
          <t>Ubah record berhasil dan terlihat di Detail</t>
        </is>
      </c>
      <c r="D1006" s="17" t="inlineStr">
        <is>
          <t>Sterilizer</t>
        </is>
      </c>
      <c r="E1006" s="15" t="inlineStr">
        <is>
          <t>SPV-A</t>
        </is>
      </c>
      <c r="F1006" s="15" t="inlineStr">
        <is>
          <t>- Simpan berhasil.
- Ketiga perubahan terlihat di Detail.
- Baris di Data Browser juga menunjukkan identitas yang baru.</t>
        </is>
      </c>
      <c r="G1006" s="13" t="inlineStr">
        <is>
          <t>Tinggi</t>
        </is>
      </c>
      <c r="H1006" s="18" t="n"/>
      <c r="I1006" s="18" t="n"/>
      <c r="J1006" s="18" t="n"/>
      <c r="K1006" s="18" t="n"/>
      <c r="L1006" s="18" t="n"/>
    </row>
    <row r="1007" ht="56.8" customHeight="1">
      <c r="A1007" s="10" t="n">
        <v>1003</v>
      </c>
      <c r="B1007" s="11" t="inlineStr">
        <is>
          <t>WB-FRM-10</t>
        </is>
      </c>
      <c r="C1007" s="5" t="inlineStr">
        <is>
          <t>Ubah record berhasil dan terlihat di Detail</t>
        </is>
      </c>
      <c r="D1007" s="12" t="inlineStr">
        <is>
          <t>Threshing</t>
        </is>
      </c>
      <c r="E1007" s="5" t="inlineStr">
        <is>
          <t>SPV-A</t>
        </is>
      </c>
      <c r="F1007" s="5" t="inlineStr">
        <is>
          <t>- Simpan berhasil.
- Ketiga perubahan terlihat di Detail.
- Baris di Data Browser juga menunjukkan identitas yang baru.</t>
        </is>
      </c>
      <c r="G1007" s="13" t="inlineStr">
        <is>
          <t>Tinggi</t>
        </is>
      </c>
      <c r="H1007" s="18" t="n"/>
      <c r="I1007" s="18" t="n"/>
      <c r="J1007" s="18" t="n"/>
      <c r="K1007" s="18" t="n"/>
      <c r="L1007" s="18" t="n"/>
    </row>
    <row r="1008" ht="56.8" customHeight="1">
      <c r="A1008" s="14" t="n">
        <v>1004</v>
      </c>
      <c r="B1008" s="16" t="inlineStr">
        <is>
          <t>WB-FRM-10</t>
        </is>
      </c>
      <c r="C1008" s="15" t="inlineStr">
        <is>
          <t>Ubah record berhasil dan terlihat di Detail</t>
        </is>
      </c>
      <c r="D1008" s="17" t="inlineStr">
        <is>
          <t>Pressing</t>
        </is>
      </c>
      <c r="E1008" s="15" t="inlineStr">
        <is>
          <t>SPV-A</t>
        </is>
      </c>
      <c r="F1008" s="15" t="inlineStr">
        <is>
          <t>- Simpan berhasil.
- Ketiga perubahan terlihat di Detail.
- Baris di Data Browser juga menunjukkan identitas yang baru.</t>
        </is>
      </c>
      <c r="G1008" s="13" t="inlineStr">
        <is>
          <t>Tinggi</t>
        </is>
      </c>
      <c r="H1008" s="18" t="n"/>
      <c r="I1008" s="18" t="n"/>
      <c r="J1008" s="18" t="n"/>
      <c r="K1008" s="18" t="n"/>
      <c r="L1008" s="18" t="n"/>
    </row>
    <row r="1009" ht="56.8" customHeight="1">
      <c r="A1009" s="10" t="n">
        <v>1005</v>
      </c>
      <c r="B1009" s="11" t="inlineStr">
        <is>
          <t>WB-FRM-10</t>
        </is>
      </c>
      <c r="C1009" s="5" t="inlineStr">
        <is>
          <t>Ubah record berhasil dan terlihat di Detail</t>
        </is>
      </c>
      <c r="D1009" s="12" t="inlineStr">
        <is>
          <t>Clarification</t>
        </is>
      </c>
      <c r="E1009" s="5" t="inlineStr">
        <is>
          <t>SPV-A</t>
        </is>
      </c>
      <c r="F1009" s="5" t="inlineStr">
        <is>
          <t>- Simpan berhasil.
- Ketiga perubahan terlihat di Detail.
- Baris di Data Browser juga menunjukkan identitas yang baru.</t>
        </is>
      </c>
      <c r="G1009" s="13" t="inlineStr">
        <is>
          <t>Tinggi</t>
        </is>
      </c>
      <c r="H1009" s="18" t="n"/>
      <c r="I1009" s="18" t="n"/>
      <c r="J1009" s="18" t="n"/>
      <c r="K1009" s="18" t="n"/>
      <c r="L1009" s="18" t="n"/>
    </row>
    <row r="1010" ht="56.8" customHeight="1">
      <c r="A1010" s="14" t="n">
        <v>1006</v>
      </c>
      <c r="B1010" s="16" t="inlineStr">
        <is>
          <t>WB-FRM-10</t>
        </is>
      </c>
      <c r="C1010" s="15" t="inlineStr">
        <is>
          <t>Ubah record berhasil dan terlihat di Detail</t>
        </is>
      </c>
      <c r="D1010" s="17" t="inlineStr">
        <is>
          <t>Kernel Plant</t>
        </is>
      </c>
      <c r="E1010" s="15" t="inlineStr">
        <is>
          <t>SPV-A</t>
        </is>
      </c>
      <c r="F1010" s="15" t="inlineStr">
        <is>
          <t>- Simpan berhasil.
- Ketiga perubahan terlihat di Detail.
- Baris di Data Browser juga menunjukkan identitas yang baru.</t>
        </is>
      </c>
      <c r="G1010" s="13" t="inlineStr">
        <is>
          <t>Tinggi</t>
        </is>
      </c>
      <c r="H1010" s="18" t="n"/>
      <c r="I1010" s="18" t="n"/>
      <c r="J1010" s="18" t="n"/>
      <c r="K1010" s="18" t="n"/>
      <c r="L1010" s="18" t="n"/>
    </row>
    <row r="1011" ht="56.8" customHeight="1">
      <c r="A1011" s="10" t="n">
        <v>1007</v>
      </c>
      <c r="B1011" s="11" t="inlineStr">
        <is>
          <t>WB-FRM-10</t>
        </is>
      </c>
      <c r="C1011" s="5" t="inlineStr">
        <is>
          <t>Ubah record berhasil dan terlihat di Detail</t>
        </is>
      </c>
      <c r="D1011" s="12" t="inlineStr">
        <is>
          <t>Boiler Room</t>
        </is>
      </c>
      <c r="E1011" s="5" t="inlineStr">
        <is>
          <t>SPV-A</t>
        </is>
      </c>
      <c r="F1011" s="5" t="inlineStr">
        <is>
          <t>- Simpan berhasil.
- Ketiga perubahan terlihat di Detail.
- Baris di Data Browser juga menunjukkan identitas yang baru.</t>
        </is>
      </c>
      <c r="G1011" s="13" t="inlineStr">
        <is>
          <t>Tinggi</t>
        </is>
      </c>
      <c r="H1011" s="18" t="n"/>
      <c r="I1011" s="18" t="n"/>
      <c r="J1011" s="18" t="n"/>
      <c r="K1011" s="18" t="n"/>
      <c r="L1011" s="18" t="n"/>
    </row>
    <row r="1012" ht="56.8" customHeight="1">
      <c r="A1012" s="14" t="n">
        <v>1008</v>
      </c>
      <c r="B1012" s="16" t="inlineStr">
        <is>
          <t>WB-FRM-10</t>
        </is>
      </c>
      <c r="C1012" s="15" t="inlineStr">
        <is>
          <t>Ubah record berhasil dan terlihat di Detail</t>
        </is>
      </c>
      <c r="D1012" s="17" t="inlineStr">
        <is>
          <t>Effluent Plant</t>
        </is>
      </c>
      <c r="E1012" s="15" t="inlineStr">
        <is>
          <t>SPV-A</t>
        </is>
      </c>
      <c r="F1012" s="15" t="inlineStr">
        <is>
          <t>- Simpan berhasil.
- Ketiga perubahan terlihat di Detail.
- Baris di Data Browser juga menunjukkan identitas yang baru.</t>
        </is>
      </c>
      <c r="G1012" s="13" t="inlineStr">
        <is>
          <t>Tinggi</t>
        </is>
      </c>
      <c r="H1012" s="18" t="n"/>
      <c r="I1012" s="18" t="n"/>
      <c r="J1012" s="18" t="n"/>
      <c r="K1012" s="18" t="n"/>
      <c r="L1012" s="18" t="n"/>
    </row>
    <row r="1013" ht="56.8" customHeight="1">
      <c r="A1013" s="10" t="n">
        <v>1009</v>
      </c>
      <c r="B1013" s="11" t="inlineStr">
        <is>
          <t>WB-FRM-10</t>
        </is>
      </c>
      <c r="C1013" s="5" t="inlineStr">
        <is>
          <t>Ubah record berhasil dan terlihat di Detail</t>
        </is>
      </c>
      <c r="D1013" s="12" t="inlineStr">
        <is>
          <t>Depricarping</t>
        </is>
      </c>
      <c r="E1013" s="5" t="inlineStr">
        <is>
          <t>SPV-A</t>
        </is>
      </c>
      <c r="F1013" s="5" t="inlineStr">
        <is>
          <t>- Simpan berhasil.
- Ketiga perubahan terlihat di Detail.
- Baris di Data Browser juga menunjukkan identitas yang baru.</t>
        </is>
      </c>
      <c r="G1013" s="13" t="inlineStr">
        <is>
          <t>Tinggi</t>
        </is>
      </c>
      <c r="H1013" s="18" t="n"/>
      <c r="I1013" s="18" t="n"/>
      <c r="J1013" s="18" t="n"/>
      <c r="K1013" s="18" t="n"/>
      <c r="L1013" s="18" t="n"/>
    </row>
    <row r="1014" ht="56.8" customHeight="1">
      <c r="A1014" s="14" t="n">
        <v>1010</v>
      </c>
      <c r="B1014" s="16" t="inlineStr">
        <is>
          <t>WB-FRM-10</t>
        </is>
      </c>
      <c r="C1014" s="15" t="inlineStr">
        <is>
          <t>Ubah record berhasil dan terlihat di Detail</t>
        </is>
      </c>
      <c r="D1014" s="17" t="inlineStr">
        <is>
          <t>Engine Room</t>
        </is>
      </c>
      <c r="E1014" s="15" t="inlineStr">
        <is>
          <t>SPV-A</t>
        </is>
      </c>
      <c r="F1014" s="15" t="inlineStr">
        <is>
          <t>- Simpan berhasil.
- Ketiga perubahan terlihat di Detail.
- Baris di Data Browser juga menunjukkan identitas yang baru.</t>
        </is>
      </c>
      <c r="G1014" s="13" t="inlineStr">
        <is>
          <t>Tinggi</t>
        </is>
      </c>
      <c r="H1014" s="18" t="n"/>
      <c r="I1014" s="18" t="n"/>
      <c r="J1014" s="18" t="n"/>
      <c r="K1014" s="18" t="n"/>
      <c r="L1014" s="18" t="n"/>
    </row>
    <row r="1015" ht="56.8" customHeight="1">
      <c r="A1015" s="10" t="n">
        <v>1011</v>
      </c>
      <c r="B1015" s="11" t="inlineStr">
        <is>
          <t>WB-FRM-10</t>
        </is>
      </c>
      <c r="C1015" s="5" t="inlineStr">
        <is>
          <t>Ubah record berhasil dan terlihat di Detail</t>
        </is>
      </c>
      <c r="D1015" s="12" t="inlineStr">
        <is>
          <t>Process Water</t>
        </is>
      </c>
      <c r="E1015" s="5" t="inlineStr">
        <is>
          <t>SPV-A</t>
        </is>
      </c>
      <c r="F1015" s="5" t="inlineStr">
        <is>
          <t>- Simpan berhasil.
- Ketiga perubahan terlihat di Detail.
- Baris di Data Browser juga menunjukkan identitas yang baru.</t>
        </is>
      </c>
      <c r="G1015" s="13" t="inlineStr">
        <is>
          <t>Tinggi</t>
        </is>
      </c>
      <c r="H1015" s="18" t="n"/>
      <c r="I1015" s="18" t="n"/>
      <c r="J1015" s="18" t="n"/>
      <c r="K1015" s="18" t="n"/>
      <c r="L1015" s="18" t="n"/>
    </row>
    <row r="1016" ht="56.8" customHeight="1">
      <c r="A1016" s="14" t="n">
        <v>1012</v>
      </c>
      <c r="B1016" s="16" t="inlineStr">
        <is>
          <t>WB-FRM-10</t>
        </is>
      </c>
      <c r="C1016" s="15" t="inlineStr">
        <is>
          <t>Ubah record berhasil dan terlihat di Detail</t>
        </is>
      </c>
      <c r="D1016" s="17" t="inlineStr">
        <is>
          <t>Storage Tank</t>
        </is>
      </c>
      <c r="E1016" s="15" t="inlineStr">
        <is>
          <t>SPV-A</t>
        </is>
      </c>
      <c r="F1016" s="15" t="inlineStr">
        <is>
          <t>- Simpan berhasil.
- Ketiga perubahan terlihat di Detail.
- Baris di Data Browser juga menunjukkan identitas yang baru.</t>
        </is>
      </c>
      <c r="G1016" s="13" t="inlineStr">
        <is>
          <t>Tinggi</t>
        </is>
      </c>
      <c r="H1016" s="18" t="n"/>
      <c r="I1016" s="18" t="n"/>
      <c r="J1016" s="18" t="n"/>
      <c r="K1016" s="18" t="n"/>
      <c r="L1016" s="18" t="n"/>
    </row>
    <row r="1017" ht="56.8" customHeight="1">
      <c r="A1017" s="10" t="n">
        <v>1013</v>
      </c>
      <c r="B1017" s="11" t="inlineStr">
        <is>
          <t>WB-FRM-10</t>
        </is>
      </c>
      <c r="C1017" s="5" t="inlineStr">
        <is>
          <t>Ubah record berhasil dan terlihat di Detail</t>
        </is>
      </c>
      <c r="D1017" s="12" t="inlineStr">
        <is>
          <t>Solid Waste Disposal</t>
        </is>
      </c>
      <c r="E1017" s="5" t="inlineStr">
        <is>
          <t>SPV-A</t>
        </is>
      </c>
      <c r="F1017" s="5" t="inlineStr">
        <is>
          <t>- Simpan berhasil.
- Ketiga perubahan terlihat di Detail.
- Baris di Data Browser juga menunjukkan identitas yang baru.</t>
        </is>
      </c>
      <c r="G1017" s="13" t="inlineStr">
        <is>
          <t>Tinggi</t>
        </is>
      </c>
      <c r="H1017" s="18" t="n"/>
      <c r="I1017" s="18" t="n"/>
      <c r="J1017" s="18" t="n"/>
      <c r="K1017" s="18" t="n"/>
      <c r="L1017" s="18" t="n"/>
    </row>
    <row r="1018" ht="56.8" customHeight="1">
      <c r="A1018" s="14" t="n">
        <v>1014</v>
      </c>
      <c r="B1018" s="16" t="inlineStr">
        <is>
          <t>WB-FRM-10</t>
        </is>
      </c>
      <c r="C1018" s="15" t="inlineStr">
        <is>
          <t>Ubah record berhasil dan terlihat di Detail</t>
        </is>
      </c>
      <c r="D1018" s="17" t="inlineStr">
        <is>
          <t>Kernel Dispatch</t>
        </is>
      </c>
      <c r="E1018" s="15" t="inlineStr">
        <is>
          <t>SPV-A</t>
        </is>
      </c>
      <c r="F1018" s="15" t="inlineStr">
        <is>
          <t>- Simpan berhasil.
- Ketiga perubahan terlihat di Detail.
- Baris di Data Browser juga menunjukkan identitas yang baru.</t>
        </is>
      </c>
      <c r="G1018" s="13" t="inlineStr">
        <is>
          <t>Tinggi</t>
        </is>
      </c>
      <c r="H1018" s="18" t="n"/>
      <c r="I1018" s="18" t="n"/>
      <c r="J1018" s="18" t="n"/>
      <c r="K1018" s="18" t="n"/>
      <c r="L1018" s="18" t="n"/>
    </row>
    <row r="1019" ht="56.8" customHeight="1">
      <c r="A1019" s="10" t="n">
        <v>1015</v>
      </c>
      <c r="B1019" s="11" t="inlineStr">
        <is>
          <t>WB-FRM-10</t>
        </is>
      </c>
      <c r="C1019" s="5" t="inlineStr">
        <is>
          <t>Ubah record berhasil dan terlihat di Detail</t>
        </is>
      </c>
      <c r="D1019" s="12" t="inlineStr">
        <is>
          <t>CPO Dispatch</t>
        </is>
      </c>
      <c r="E1019" s="5" t="inlineStr">
        <is>
          <t>SPV-A</t>
        </is>
      </c>
      <c r="F1019" s="5" t="inlineStr">
        <is>
          <t>- Simpan berhasil.
- Ketiga perubahan terlihat di Detail.
- Baris di Data Browser juga menunjukkan identitas yang baru.</t>
        </is>
      </c>
      <c r="G1019" s="13" t="inlineStr">
        <is>
          <t>Tinggi</t>
        </is>
      </c>
      <c r="H1019" s="18" t="n"/>
      <c r="I1019" s="18" t="n"/>
      <c r="J1019" s="18" t="n"/>
      <c r="K1019" s="18" t="n"/>
      <c r="L1019" s="18" t="n"/>
    </row>
    <row r="1020" ht="56.8" customHeight="1">
      <c r="A1020" s="14" t="n">
        <v>1016</v>
      </c>
      <c r="B1020" s="16" t="inlineStr">
        <is>
          <t>WB-FRM-10</t>
        </is>
      </c>
      <c r="C1020" s="15" t="inlineStr">
        <is>
          <t>Ubah record berhasil dan terlihat di Detail</t>
        </is>
      </c>
      <c r="D1020" s="17" t="inlineStr">
        <is>
          <t>Process Quality Control</t>
        </is>
      </c>
      <c r="E1020" s="15" t="inlineStr">
        <is>
          <t>SPV-A</t>
        </is>
      </c>
      <c r="F1020" s="15" t="inlineStr">
        <is>
          <t>- Simpan berhasil.
- Ketiga perubahan terlihat di Detail.
- Baris di Data Browser juga menunjukkan identitas yang baru.</t>
        </is>
      </c>
      <c r="G1020" s="13" t="inlineStr">
        <is>
          <t>Tinggi</t>
        </is>
      </c>
      <c r="H1020" s="18" t="n"/>
      <c r="I1020" s="18" t="n"/>
      <c r="J1020" s="18" t="n"/>
      <c r="K1020" s="18" t="n"/>
      <c r="L1020" s="18" t="n"/>
    </row>
    <row r="1021" ht="56.8" customHeight="1">
      <c r="A1021" s="10" t="n">
        <v>1017</v>
      </c>
      <c r="B1021" s="11" t="inlineStr">
        <is>
          <t>WB-FRM-11</t>
        </is>
      </c>
      <c r="C1021" s="5" t="inlineStr">
        <is>
          <t>Hapus baris mengurangi "Jumlah Baris Terisi"</t>
        </is>
      </c>
      <c r="D1021" s="12" t="inlineStr">
        <is>
          <t>Weighbridge</t>
        </is>
      </c>
      <c r="E1021" s="5" t="inlineStr">
        <is>
          <t>SPV-A</t>
        </is>
      </c>
      <c r="F1021" s="5" t="inlineStr">
        <is>
          <t>- Angkanya turun dari 3 menjadi 2 — penyebutnya tetap 24.
- Detail record juga hanya menampilkan 2 baris.
- Baris yang dihapus tidak kembali setelah muat ulang.</t>
        </is>
      </c>
      <c r="G1021" s="10" t="inlineStr">
        <is>
          <t>Sedang</t>
        </is>
      </c>
      <c r="H1021" s="18" t="n"/>
      <c r="I1021" s="18" t="n"/>
      <c r="J1021" s="18" t="n"/>
      <c r="K1021" s="18" t="n"/>
      <c r="L1021" s="18" t="n"/>
    </row>
    <row r="1022" ht="56.8" customHeight="1">
      <c r="A1022" s="14" t="n">
        <v>1018</v>
      </c>
      <c r="B1022" s="16" t="inlineStr">
        <is>
          <t>WB-FRM-11</t>
        </is>
      </c>
      <c r="C1022" s="15" t="inlineStr">
        <is>
          <t>Hapus baris mengurangi "Jumlah Baris Terisi"</t>
        </is>
      </c>
      <c r="D1022" s="17" t="inlineStr">
        <is>
          <t>Grading</t>
        </is>
      </c>
      <c r="E1022" s="15" t="inlineStr">
        <is>
          <t>SPV-A</t>
        </is>
      </c>
      <c r="F1022" s="15" t="inlineStr">
        <is>
          <t>- Angkanya turun dari 3 menjadi 2 — penyebutnya tetap 24.
- Detail record juga hanya menampilkan 2 baris.
- Baris yang dihapus tidak kembali setelah muat ulang.</t>
        </is>
      </c>
      <c r="G1022" s="14" t="inlineStr">
        <is>
          <t>Sedang</t>
        </is>
      </c>
      <c r="H1022" s="18" t="n"/>
      <c r="I1022" s="18" t="n"/>
      <c r="J1022" s="18" t="n"/>
      <c r="K1022" s="18" t="n"/>
      <c r="L1022" s="18" t="n"/>
    </row>
    <row r="1023" ht="56.8" customHeight="1">
      <c r="A1023" s="10" t="n">
        <v>1019</v>
      </c>
      <c r="B1023" s="11" t="inlineStr">
        <is>
          <t>WB-FRM-11</t>
        </is>
      </c>
      <c r="C1023" s="5" t="inlineStr">
        <is>
          <t>Hapus baris mengurangi "Jumlah Baris Terisi"</t>
        </is>
      </c>
      <c r="D1023" s="12" t="inlineStr">
        <is>
          <t>Cages Track</t>
        </is>
      </c>
      <c r="E1023" s="5" t="inlineStr">
        <is>
          <t>SPV-A</t>
        </is>
      </c>
      <c r="F1023" s="5" t="inlineStr">
        <is>
          <t>- Angkanya turun dari 3 menjadi 2 — penyebutnya tetap 24.
- Detail record juga hanya menampilkan 2 baris.
- Baris yang dihapus tidak kembali setelah muat ulang.</t>
        </is>
      </c>
      <c r="G1023" s="10" t="inlineStr">
        <is>
          <t>Sedang</t>
        </is>
      </c>
      <c r="H1023" s="18" t="n"/>
      <c r="I1023" s="18" t="n"/>
      <c r="J1023" s="18" t="n"/>
      <c r="K1023" s="18" t="n"/>
      <c r="L1023" s="18" t="n"/>
    </row>
    <row r="1024" ht="56.8" customHeight="1">
      <c r="A1024" s="14" t="n">
        <v>1020</v>
      </c>
      <c r="B1024" s="16" t="inlineStr">
        <is>
          <t>WB-FRM-11</t>
        </is>
      </c>
      <c r="C1024" s="15" t="inlineStr">
        <is>
          <t>Hapus baris mengurangi "Jumlah Baris Terisi"</t>
        </is>
      </c>
      <c r="D1024" s="17" t="inlineStr">
        <is>
          <t>Sterilizer</t>
        </is>
      </c>
      <c r="E1024" s="15" t="inlineStr">
        <is>
          <t>SPV-A</t>
        </is>
      </c>
      <c r="F1024" s="15" t="inlineStr">
        <is>
          <t>- Angkanya turun dari 3 menjadi 2 — penyebutnya tetap 24.
- Detail record juga hanya menampilkan 2 baris.
- Baris yang dihapus tidak kembali setelah muat ulang.</t>
        </is>
      </c>
      <c r="G1024" s="14" t="inlineStr">
        <is>
          <t>Sedang</t>
        </is>
      </c>
      <c r="H1024" s="18" t="n"/>
      <c r="I1024" s="18" t="n"/>
      <c r="J1024" s="18" t="n"/>
      <c r="K1024" s="18" t="n"/>
      <c r="L1024" s="18" t="n"/>
    </row>
    <row r="1025" ht="56.8" customHeight="1">
      <c r="A1025" s="10" t="n">
        <v>1021</v>
      </c>
      <c r="B1025" s="11" t="inlineStr">
        <is>
          <t>WB-FRM-11</t>
        </is>
      </c>
      <c r="C1025" s="5" t="inlineStr">
        <is>
          <t>Hapus baris mengurangi "Jumlah Baris Terisi"</t>
        </is>
      </c>
      <c r="D1025" s="12" t="inlineStr">
        <is>
          <t>Threshing</t>
        </is>
      </c>
      <c r="E1025" s="5" t="inlineStr">
        <is>
          <t>SPV-A</t>
        </is>
      </c>
      <c r="F1025" s="5" t="inlineStr">
        <is>
          <t>- Angkanya turun dari 3 menjadi 2 — penyebutnya tetap 24.
- Detail record juga hanya menampilkan 2 baris.
- Baris yang dihapus tidak kembali setelah muat ulang.</t>
        </is>
      </c>
      <c r="G1025" s="10" t="inlineStr">
        <is>
          <t>Sedang</t>
        </is>
      </c>
      <c r="H1025" s="18" t="n"/>
      <c r="I1025" s="18" t="n"/>
      <c r="J1025" s="18" t="n"/>
      <c r="K1025" s="18" t="n"/>
      <c r="L1025" s="18" t="n"/>
    </row>
    <row r="1026" ht="56.8" customHeight="1">
      <c r="A1026" s="14" t="n">
        <v>1022</v>
      </c>
      <c r="B1026" s="16" t="inlineStr">
        <is>
          <t>WB-FRM-11</t>
        </is>
      </c>
      <c r="C1026" s="15" t="inlineStr">
        <is>
          <t>Hapus baris mengurangi "Jumlah Baris Terisi"</t>
        </is>
      </c>
      <c r="D1026" s="17" t="inlineStr">
        <is>
          <t>Pressing</t>
        </is>
      </c>
      <c r="E1026" s="15" t="inlineStr">
        <is>
          <t>SPV-A</t>
        </is>
      </c>
      <c r="F1026" s="15" t="inlineStr">
        <is>
          <t>- Angkanya turun dari 3 menjadi 2 — penyebutnya tetap 24.
- Detail record juga hanya menampilkan 2 baris.
- Baris yang dihapus tidak kembali setelah muat ulang.</t>
        </is>
      </c>
      <c r="G1026" s="14" t="inlineStr">
        <is>
          <t>Sedang</t>
        </is>
      </c>
      <c r="H1026" s="18" t="n"/>
      <c r="I1026" s="18" t="n"/>
      <c r="J1026" s="18" t="n"/>
      <c r="K1026" s="18" t="n"/>
      <c r="L1026" s="18" t="n"/>
    </row>
    <row r="1027" ht="56.8" customHeight="1">
      <c r="A1027" s="10" t="n">
        <v>1023</v>
      </c>
      <c r="B1027" s="11" t="inlineStr">
        <is>
          <t>WB-FRM-11</t>
        </is>
      </c>
      <c r="C1027" s="5" t="inlineStr">
        <is>
          <t>Hapus baris mengurangi "Jumlah Baris Terisi"</t>
        </is>
      </c>
      <c r="D1027" s="12" t="inlineStr">
        <is>
          <t>Clarification</t>
        </is>
      </c>
      <c r="E1027" s="5" t="inlineStr">
        <is>
          <t>SPV-A</t>
        </is>
      </c>
      <c r="F1027" s="5" t="inlineStr">
        <is>
          <t>- Angkanya turun dari 3 menjadi 2 — penyebutnya tetap 24.
- Detail record juga hanya menampilkan 2 baris.
- Baris yang dihapus tidak kembali setelah muat ulang.</t>
        </is>
      </c>
      <c r="G1027" s="10" t="inlineStr">
        <is>
          <t>Sedang</t>
        </is>
      </c>
      <c r="H1027" s="18" t="n"/>
      <c r="I1027" s="18" t="n"/>
      <c r="J1027" s="18" t="n"/>
      <c r="K1027" s="18" t="n"/>
      <c r="L1027" s="18" t="n"/>
    </row>
    <row r="1028" ht="56.8" customHeight="1">
      <c r="A1028" s="14" t="n">
        <v>1024</v>
      </c>
      <c r="B1028" s="16" t="inlineStr">
        <is>
          <t>WB-FRM-11</t>
        </is>
      </c>
      <c r="C1028" s="15" t="inlineStr">
        <is>
          <t>Hapus baris mengurangi "Jumlah Baris Terisi"</t>
        </is>
      </c>
      <c r="D1028" s="17" t="inlineStr">
        <is>
          <t>Kernel Plant</t>
        </is>
      </c>
      <c r="E1028" s="15" t="inlineStr">
        <is>
          <t>SPV-A</t>
        </is>
      </c>
      <c r="F1028" s="15" t="inlineStr">
        <is>
          <t>- Angkanya turun dari 3 menjadi 2 — penyebutnya tetap 24.
- Detail record juga hanya menampilkan 2 baris.
- Baris yang dihapus tidak kembali setelah muat ulang.</t>
        </is>
      </c>
      <c r="G1028" s="14" t="inlineStr">
        <is>
          <t>Sedang</t>
        </is>
      </c>
      <c r="H1028" s="18" t="n"/>
      <c r="I1028" s="18" t="n"/>
      <c r="J1028" s="18" t="n"/>
      <c r="K1028" s="18" t="n"/>
      <c r="L1028" s="18" t="n"/>
    </row>
    <row r="1029" ht="56.8" customHeight="1">
      <c r="A1029" s="10" t="n">
        <v>1025</v>
      </c>
      <c r="B1029" s="11" t="inlineStr">
        <is>
          <t>WB-FRM-11</t>
        </is>
      </c>
      <c r="C1029" s="5" t="inlineStr">
        <is>
          <t>Hapus baris mengurangi "Jumlah Baris Terisi"</t>
        </is>
      </c>
      <c r="D1029" s="12" t="inlineStr">
        <is>
          <t>Boiler Room</t>
        </is>
      </c>
      <c r="E1029" s="5" t="inlineStr">
        <is>
          <t>SPV-A</t>
        </is>
      </c>
      <c r="F1029" s="5" t="inlineStr">
        <is>
          <t>- Angkanya turun dari 3 menjadi 2 — penyebutnya tetap 24.
- Detail record juga hanya menampilkan 2 baris.
- Baris yang dihapus tidak kembali setelah muat ulang.</t>
        </is>
      </c>
      <c r="G1029" s="10" t="inlineStr">
        <is>
          <t>Sedang</t>
        </is>
      </c>
      <c r="H1029" s="18" t="n"/>
      <c r="I1029" s="18" t="n"/>
      <c r="J1029" s="18" t="n"/>
      <c r="K1029" s="18" t="n"/>
      <c r="L1029" s="18" t="n"/>
    </row>
    <row r="1030" ht="56.8" customHeight="1">
      <c r="A1030" s="14" t="n">
        <v>1026</v>
      </c>
      <c r="B1030" s="16" t="inlineStr">
        <is>
          <t>WB-FRM-11</t>
        </is>
      </c>
      <c r="C1030" s="15" t="inlineStr">
        <is>
          <t>Hapus baris mengurangi "Jumlah Baris Terisi"</t>
        </is>
      </c>
      <c r="D1030" s="17" t="inlineStr">
        <is>
          <t>Effluent Plant</t>
        </is>
      </c>
      <c r="E1030" s="15" t="inlineStr">
        <is>
          <t>SPV-A</t>
        </is>
      </c>
      <c r="F1030" s="15" t="inlineStr">
        <is>
          <t>- Angkanya turun dari 3 menjadi 2 — penyebutnya tetap 24.
- Detail record juga hanya menampilkan 2 baris.
- Baris yang dihapus tidak kembali setelah muat ulang.</t>
        </is>
      </c>
      <c r="G1030" s="14" t="inlineStr">
        <is>
          <t>Sedang</t>
        </is>
      </c>
      <c r="H1030" s="18" t="n"/>
      <c r="I1030" s="18" t="n"/>
      <c r="J1030" s="18" t="n"/>
      <c r="K1030" s="18" t="n"/>
      <c r="L1030" s="18" t="n"/>
    </row>
    <row r="1031" ht="56.8" customHeight="1">
      <c r="A1031" s="10" t="n">
        <v>1027</v>
      </c>
      <c r="B1031" s="11" t="inlineStr">
        <is>
          <t>WB-FRM-11</t>
        </is>
      </c>
      <c r="C1031" s="5" t="inlineStr">
        <is>
          <t>Hapus baris mengurangi "Jumlah Baris Terisi"</t>
        </is>
      </c>
      <c r="D1031" s="12" t="inlineStr">
        <is>
          <t>Depricarping</t>
        </is>
      </c>
      <c r="E1031" s="5" t="inlineStr">
        <is>
          <t>SPV-A</t>
        </is>
      </c>
      <c r="F1031" s="5" t="inlineStr">
        <is>
          <t>- Angkanya turun dari 3 menjadi 2 — penyebutnya tetap 24.
- Detail record juga hanya menampilkan 2 baris.
- Baris yang dihapus tidak kembali setelah muat ulang.</t>
        </is>
      </c>
      <c r="G1031" s="10" t="inlineStr">
        <is>
          <t>Sedang</t>
        </is>
      </c>
      <c r="H1031" s="18" t="n"/>
      <c r="I1031" s="18" t="n"/>
      <c r="J1031" s="18" t="n"/>
      <c r="K1031" s="18" t="n"/>
      <c r="L1031" s="18" t="n"/>
    </row>
    <row r="1032" ht="56.8" customHeight="1">
      <c r="A1032" s="14" t="n">
        <v>1028</v>
      </c>
      <c r="B1032" s="16" t="inlineStr">
        <is>
          <t>WB-FRM-11</t>
        </is>
      </c>
      <c r="C1032" s="15" t="inlineStr">
        <is>
          <t>Hapus baris mengurangi "Jumlah Baris Terisi"</t>
        </is>
      </c>
      <c r="D1032" s="17" t="inlineStr">
        <is>
          <t>Engine Room</t>
        </is>
      </c>
      <c r="E1032" s="15" t="inlineStr">
        <is>
          <t>SPV-A</t>
        </is>
      </c>
      <c r="F1032" s="15" t="inlineStr">
        <is>
          <t>- Angkanya turun dari 3 menjadi 2 — penyebutnya tetap 24.
- Detail record juga hanya menampilkan 2 baris.
- Baris yang dihapus tidak kembali setelah muat ulang.</t>
        </is>
      </c>
      <c r="G1032" s="14" t="inlineStr">
        <is>
          <t>Sedang</t>
        </is>
      </c>
      <c r="H1032" s="18" t="n"/>
      <c r="I1032" s="18" t="n"/>
      <c r="J1032" s="18" t="n"/>
      <c r="K1032" s="18" t="n"/>
      <c r="L1032" s="18" t="n"/>
    </row>
    <row r="1033" ht="56.8" customHeight="1">
      <c r="A1033" s="10" t="n">
        <v>1029</v>
      </c>
      <c r="B1033" s="11" t="inlineStr">
        <is>
          <t>WB-FRM-11</t>
        </is>
      </c>
      <c r="C1033" s="5" t="inlineStr">
        <is>
          <t>Hapus baris mengurangi "Jumlah Baris Terisi"</t>
        </is>
      </c>
      <c r="D1033" s="12" t="inlineStr">
        <is>
          <t>Process Water</t>
        </is>
      </c>
      <c r="E1033" s="5" t="inlineStr">
        <is>
          <t>SPV-A</t>
        </is>
      </c>
      <c r="F1033" s="5" t="inlineStr">
        <is>
          <t>- Angkanya turun dari 3 menjadi 2 — penyebutnya tetap 24.
- Detail record juga hanya menampilkan 2 baris.
- Baris yang dihapus tidak kembali setelah muat ulang.</t>
        </is>
      </c>
      <c r="G1033" s="10" t="inlineStr">
        <is>
          <t>Sedang</t>
        </is>
      </c>
      <c r="H1033" s="18" t="n"/>
      <c r="I1033" s="18" t="n"/>
      <c r="J1033" s="18" t="n"/>
      <c r="K1033" s="18" t="n"/>
      <c r="L1033" s="18" t="n"/>
    </row>
    <row r="1034" ht="56.8" customHeight="1">
      <c r="A1034" s="14" t="n">
        <v>1030</v>
      </c>
      <c r="B1034" s="16" t="inlineStr">
        <is>
          <t>WB-FRM-11</t>
        </is>
      </c>
      <c r="C1034" s="15" t="inlineStr">
        <is>
          <t>Hapus baris mengurangi "Jumlah Baris Terisi"</t>
        </is>
      </c>
      <c r="D1034" s="17" t="inlineStr">
        <is>
          <t>Storage Tank</t>
        </is>
      </c>
      <c r="E1034" s="15" t="inlineStr">
        <is>
          <t>SPV-A</t>
        </is>
      </c>
      <c r="F1034" s="15" t="inlineStr">
        <is>
          <t>- Angkanya turun dari 3 menjadi 2 — penyebutnya tetap 24.
- Detail record juga hanya menampilkan 2 baris.
- Baris yang dihapus tidak kembali setelah muat ulang.</t>
        </is>
      </c>
      <c r="G1034" s="14" t="inlineStr">
        <is>
          <t>Sedang</t>
        </is>
      </c>
      <c r="H1034" s="18" t="n"/>
      <c r="I1034" s="18" t="n"/>
      <c r="J1034" s="18" t="n"/>
      <c r="K1034" s="18" t="n"/>
      <c r="L1034" s="18" t="n"/>
    </row>
    <row r="1035" ht="56.8" customHeight="1">
      <c r="A1035" s="10" t="n">
        <v>1031</v>
      </c>
      <c r="B1035" s="11" t="inlineStr">
        <is>
          <t>WB-FRM-11</t>
        </is>
      </c>
      <c r="C1035" s="5" t="inlineStr">
        <is>
          <t>Hapus baris mengurangi "Jumlah Baris Terisi"</t>
        </is>
      </c>
      <c r="D1035" s="12" t="inlineStr">
        <is>
          <t>Solid Waste Disposal</t>
        </is>
      </c>
      <c r="E1035" s="5" t="inlineStr">
        <is>
          <t>SPV-A</t>
        </is>
      </c>
      <c r="F1035" s="5" t="inlineStr">
        <is>
          <t>- Angkanya turun dari 3 menjadi 2 — penyebutnya tetap 24.
- Detail record juga hanya menampilkan 2 baris.
- Baris yang dihapus tidak kembali setelah muat ulang.</t>
        </is>
      </c>
      <c r="G1035" s="10" t="inlineStr">
        <is>
          <t>Sedang</t>
        </is>
      </c>
      <c r="H1035" s="18" t="n"/>
      <c r="I1035" s="18" t="n"/>
      <c r="J1035" s="18" t="n"/>
      <c r="K1035" s="18" t="n"/>
      <c r="L1035" s="18" t="n"/>
    </row>
    <row r="1036" ht="56.8" customHeight="1">
      <c r="A1036" s="14" t="n">
        <v>1032</v>
      </c>
      <c r="B1036" s="16" t="inlineStr">
        <is>
          <t>WB-FRM-11</t>
        </is>
      </c>
      <c r="C1036" s="15" t="inlineStr">
        <is>
          <t>Hapus baris mengurangi "Jumlah Baris Terisi"</t>
        </is>
      </c>
      <c r="D1036" s="17" t="inlineStr">
        <is>
          <t>Kernel Dispatch</t>
        </is>
      </c>
      <c r="E1036" s="15" t="inlineStr">
        <is>
          <t>SPV-A</t>
        </is>
      </c>
      <c r="F1036" s="15" t="inlineStr">
        <is>
          <t>- Angkanya turun dari 3 menjadi 2 — penyebutnya tetap 24.
- Detail record juga hanya menampilkan 2 baris.
- Baris yang dihapus tidak kembali setelah muat ulang.</t>
        </is>
      </c>
      <c r="G1036" s="14" t="inlineStr">
        <is>
          <t>Sedang</t>
        </is>
      </c>
      <c r="H1036" s="18" t="n"/>
      <c r="I1036" s="18" t="n"/>
      <c r="J1036" s="18" t="n"/>
      <c r="K1036" s="18" t="n"/>
      <c r="L1036" s="18" t="n"/>
    </row>
    <row r="1037" ht="56.8" customHeight="1">
      <c r="A1037" s="10" t="n">
        <v>1033</v>
      </c>
      <c r="B1037" s="11" t="inlineStr">
        <is>
          <t>WB-FRM-11</t>
        </is>
      </c>
      <c r="C1037" s="5" t="inlineStr">
        <is>
          <t>Hapus baris mengurangi "Jumlah Baris Terisi"</t>
        </is>
      </c>
      <c r="D1037" s="12" t="inlineStr">
        <is>
          <t>CPO Dispatch</t>
        </is>
      </c>
      <c r="E1037" s="5" t="inlineStr">
        <is>
          <t>SPV-A</t>
        </is>
      </c>
      <c r="F1037" s="5" t="inlineStr">
        <is>
          <t>- Angkanya turun dari 3 menjadi 2 — penyebutnya tetap 24.
- Detail record juga hanya menampilkan 2 baris.
- Baris yang dihapus tidak kembali setelah muat ulang.</t>
        </is>
      </c>
      <c r="G1037" s="10" t="inlineStr">
        <is>
          <t>Sedang</t>
        </is>
      </c>
      <c r="H1037" s="18" t="n"/>
      <c r="I1037" s="18" t="n"/>
      <c r="J1037" s="18" t="n"/>
      <c r="K1037" s="18" t="n"/>
      <c r="L1037" s="18" t="n"/>
    </row>
    <row r="1038" ht="56.8" customHeight="1">
      <c r="A1038" s="14" t="n">
        <v>1034</v>
      </c>
      <c r="B1038" s="16" t="inlineStr">
        <is>
          <t>WB-FRM-11</t>
        </is>
      </c>
      <c r="C1038" s="15" t="inlineStr">
        <is>
          <t>Hapus baris mengurangi "Jumlah Baris Terisi"</t>
        </is>
      </c>
      <c r="D1038" s="17" t="inlineStr">
        <is>
          <t>Process Quality Control</t>
        </is>
      </c>
      <c r="E1038" s="15" t="inlineStr">
        <is>
          <t>SPV-A</t>
        </is>
      </c>
      <c r="F1038" s="15" t="inlineStr">
        <is>
          <t>- Angkanya turun dari 3 menjadi 2 — penyebutnya tetap 24.
- Detail record juga hanya menampilkan 2 baris.
- Baris yang dihapus tidak kembali setelah muat ulang.</t>
        </is>
      </c>
      <c r="G1038" s="14" t="inlineStr">
        <is>
          <t>Sedang</t>
        </is>
      </c>
      <c r="H1038" s="18" t="n"/>
      <c r="I1038" s="18" t="n"/>
      <c r="J1038" s="18" t="n"/>
      <c r="K1038" s="18" t="n"/>
      <c r="L1038" s="18" t="n"/>
    </row>
    <row r="1039" ht="96.39999999999999" customHeight="1">
      <c r="A1039" s="10" t="n">
        <v>1035</v>
      </c>
      <c r="B1039" s="11" t="inlineStr">
        <is>
          <t>LP-W-01</t>
        </is>
      </c>
      <c r="C1039" s="5" t="inlineStr">
        <is>
          <t>Laporan tampil lengkap setelah periode dan line dipilih</t>
        </is>
      </c>
      <c r="D1039" s="12" t="inlineStr">
        <is>
          <t>Weighbridge</t>
        </is>
      </c>
      <c r="E1039" s="5" t="inlineStr">
        <is>
          <t>SPV-A</t>
        </is>
      </c>
      <c r="F1039"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G1039" s="13" t="inlineStr">
        <is>
          <t>Tinggi</t>
        </is>
      </c>
      <c r="H1039" s="18" t="n"/>
      <c r="I1039" s="18" t="n"/>
      <c r="J1039" s="18" t="n"/>
      <c r="K1039" s="18" t="n"/>
      <c r="L1039" s="18" t="n"/>
    </row>
    <row r="1040" ht="96.39999999999999" customHeight="1">
      <c r="A1040" s="14" t="n">
        <v>1036</v>
      </c>
      <c r="B1040" s="16" t="inlineStr">
        <is>
          <t>LP-W-01</t>
        </is>
      </c>
      <c r="C1040" s="15" t="inlineStr">
        <is>
          <t>Laporan tampil lengkap setelah periode dan line dipilih</t>
        </is>
      </c>
      <c r="D1040" s="17" t="inlineStr">
        <is>
          <t>Grading</t>
        </is>
      </c>
      <c r="E1040" s="15" t="inlineStr">
        <is>
          <t>SPV-A</t>
        </is>
      </c>
      <c r="F1040" s="1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G1040" s="13" t="inlineStr">
        <is>
          <t>Tinggi</t>
        </is>
      </c>
      <c r="H1040" s="18" t="n"/>
      <c r="I1040" s="18" t="n"/>
      <c r="J1040" s="18" t="n"/>
      <c r="K1040" s="18" t="n"/>
      <c r="L1040" s="18" t="n"/>
    </row>
    <row r="1041" ht="96.39999999999999" customHeight="1">
      <c r="A1041" s="10" t="n">
        <v>1037</v>
      </c>
      <c r="B1041" s="11" t="inlineStr">
        <is>
          <t>LP-W-01</t>
        </is>
      </c>
      <c r="C1041" s="5" t="inlineStr">
        <is>
          <t>Laporan tampil lengkap setelah periode dan line dipilih</t>
        </is>
      </c>
      <c r="D1041" s="12" t="inlineStr">
        <is>
          <t>Cages Track</t>
        </is>
      </c>
      <c r="E1041" s="5" t="inlineStr">
        <is>
          <t>SPV-A</t>
        </is>
      </c>
      <c r="F1041"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G1041" s="13" t="inlineStr">
        <is>
          <t>Tinggi</t>
        </is>
      </c>
      <c r="H1041" s="18" t="n"/>
      <c r="I1041" s="18" t="n"/>
      <c r="J1041" s="18" t="n"/>
      <c r="K1041" s="18" t="n"/>
      <c r="L1041" s="18" t="n"/>
    </row>
    <row r="1042" ht="96.39999999999999" customHeight="1">
      <c r="A1042" s="14" t="n">
        <v>1038</v>
      </c>
      <c r="B1042" s="16" t="inlineStr">
        <is>
          <t>LP-W-01</t>
        </is>
      </c>
      <c r="C1042" s="15" t="inlineStr">
        <is>
          <t>Laporan tampil lengkap setelah periode dan line dipilih</t>
        </is>
      </c>
      <c r="D1042" s="17" t="inlineStr">
        <is>
          <t>Sterilizer</t>
        </is>
      </c>
      <c r="E1042" s="15" t="inlineStr">
        <is>
          <t>SPV-A</t>
        </is>
      </c>
      <c r="F1042" s="1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G1042" s="13" t="inlineStr">
        <is>
          <t>Tinggi</t>
        </is>
      </c>
      <c r="H1042" s="18" t="n"/>
      <c r="I1042" s="18" t="n"/>
      <c r="J1042" s="18" t="n"/>
      <c r="K1042" s="18" t="n"/>
      <c r="L1042" s="18" t="n"/>
    </row>
    <row r="1043" ht="96.39999999999999" customHeight="1">
      <c r="A1043" s="10" t="n">
        <v>1039</v>
      </c>
      <c r="B1043" s="11" t="inlineStr">
        <is>
          <t>LP-W-01</t>
        </is>
      </c>
      <c r="C1043" s="5" t="inlineStr">
        <is>
          <t>Laporan tampil lengkap setelah periode dan line dipilih</t>
        </is>
      </c>
      <c r="D1043" s="12" t="inlineStr">
        <is>
          <t>Threshing</t>
        </is>
      </c>
      <c r="E1043" s="5" t="inlineStr">
        <is>
          <t>SPV-A</t>
        </is>
      </c>
      <c r="F1043"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G1043" s="13" t="inlineStr">
        <is>
          <t>Tinggi</t>
        </is>
      </c>
      <c r="H1043" s="18" t="n"/>
      <c r="I1043" s="18" t="n"/>
      <c r="J1043" s="18" t="n"/>
      <c r="K1043" s="18" t="n"/>
      <c r="L1043" s="18" t="n"/>
    </row>
    <row r="1044" ht="96.39999999999999" customHeight="1">
      <c r="A1044" s="14" t="n">
        <v>1040</v>
      </c>
      <c r="B1044" s="16" t="inlineStr">
        <is>
          <t>LP-W-01</t>
        </is>
      </c>
      <c r="C1044" s="15" t="inlineStr">
        <is>
          <t>Laporan tampil lengkap setelah periode dan line dipilih</t>
        </is>
      </c>
      <c r="D1044" s="17" t="inlineStr">
        <is>
          <t>Pressing</t>
        </is>
      </c>
      <c r="E1044" s="15" t="inlineStr">
        <is>
          <t>SPV-A</t>
        </is>
      </c>
      <c r="F1044" s="1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G1044" s="13" t="inlineStr">
        <is>
          <t>Tinggi</t>
        </is>
      </c>
      <c r="H1044" s="18" t="n"/>
      <c r="I1044" s="18" t="n"/>
      <c r="J1044" s="18" t="n"/>
      <c r="K1044" s="18" t="n"/>
      <c r="L1044" s="18" t="n"/>
    </row>
    <row r="1045" ht="96.39999999999999" customHeight="1">
      <c r="A1045" s="10" t="n">
        <v>1041</v>
      </c>
      <c r="B1045" s="11" t="inlineStr">
        <is>
          <t>LP-W-01</t>
        </is>
      </c>
      <c r="C1045" s="5" t="inlineStr">
        <is>
          <t>Laporan tampil lengkap setelah periode dan line dipilih</t>
        </is>
      </c>
      <c r="D1045" s="12" t="inlineStr">
        <is>
          <t>Clarification</t>
        </is>
      </c>
      <c r="E1045" s="5" t="inlineStr">
        <is>
          <t>SPV-A</t>
        </is>
      </c>
      <c r="F1045"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G1045" s="13" t="inlineStr">
        <is>
          <t>Tinggi</t>
        </is>
      </c>
      <c r="H1045" s="18" t="n"/>
      <c r="I1045" s="18" t="n"/>
      <c r="J1045" s="18" t="n"/>
      <c r="K1045" s="18" t="n"/>
      <c r="L1045" s="18" t="n"/>
    </row>
    <row r="1046" ht="96.39999999999999" customHeight="1">
      <c r="A1046" s="14" t="n">
        <v>1042</v>
      </c>
      <c r="B1046" s="16" t="inlineStr">
        <is>
          <t>LP-W-01</t>
        </is>
      </c>
      <c r="C1046" s="15" t="inlineStr">
        <is>
          <t>Laporan tampil lengkap setelah periode dan line dipilih</t>
        </is>
      </c>
      <c r="D1046" s="17" t="inlineStr">
        <is>
          <t>Kernel Plant</t>
        </is>
      </c>
      <c r="E1046" s="15" t="inlineStr">
        <is>
          <t>SPV-A</t>
        </is>
      </c>
      <c r="F1046" s="1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G1046" s="13" t="inlineStr">
        <is>
          <t>Tinggi</t>
        </is>
      </c>
      <c r="H1046" s="18" t="n"/>
      <c r="I1046" s="18" t="n"/>
      <c r="J1046" s="18" t="n"/>
      <c r="K1046" s="18" t="n"/>
      <c r="L1046" s="18" t="n"/>
    </row>
    <row r="1047" ht="96.39999999999999" customHeight="1">
      <c r="A1047" s="10" t="n">
        <v>1043</v>
      </c>
      <c r="B1047" s="11" t="inlineStr">
        <is>
          <t>LP-W-01</t>
        </is>
      </c>
      <c r="C1047" s="5" t="inlineStr">
        <is>
          <t>Laporan tampil lengkap setelah periode dan line dipilih</t>
        </is>
      </c>
      <c r="D1047" s="12" t="inlineStr">
        <is>
          <t>Boiler Room</t>
        </is>
      </c>
      <c r="E1047" s="5" t="inlineStr">
        <is>
          <t>SPV-A</t>
        </is>
      </c>
      <c r="F1047"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G1047" s="13" t="inlineStr">
        <is>
          <t>Tinggi</t>
        </is>
      </c>
      <c r="H1047" s="18" t="n"/>
      <c r="I1047" s="18" t="n"/>
      <c r="J1047" s="18" t="n"/>
      <c r="K1047" s="18" t="n"/>
      <c r="L1047" s="18" t="n"/>
    </row>
    <row r="1048" ht="96.39999999999999" customHeight="1">
      <c r="A1048" s="14" t="n">
        <v>1044</v>
      </c>
      <c r="B1048" s="16" t="inlineStr">
        <is>
          <t>LP-W-01</t>
        </is>
      </c>
      <c r="C1048" s="15" t="inlineStr">
        <is>
          <t>Laporan tampil lengkap setelah periode dan line dipilih</t>
        </is>
      </c>
      <c r="D1048" s="17" t="inlineStr">
        <is>
          <t>Depricarping</t>
        </is>
      </c>
      <c r="E1048" s="15" t="inlineStr">
        <is>
          <t>SPV-A</t>
        </is>
      </c>
      <c r="F1048" s="1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G1048" s="13" t="inlineStr">
        <is>
          <t>Tinggi</t>
        </is>
      </c>
      <c r="H1048" s="18" t="n"/>
      <c r="I1048" s="18" t="n"/>
      <c r="J1048" s="18" t="n"/>
      <c r="K1048" s="18" t="n"/>
      <c r="L1048" s="18" t="n"/>
    </row>
    <row r="1049" ht="96.39999999999999" customHeight="1">
      <c r="A1049" s="10" t="n">
        <v>1045</v>
      </c>
      <c r="B1049" s="11" t="inlineStr">
        <is>
          <t>LP-W-01</t>
        </is>
      </c>
      <c r="C1049" s="5" t="inlineStr">
        <is>
          <t>Laporan tampil lengkap setelah periode dan line dipilih</t>
        </is>
      </c>
      <c r="D1049" s="12" t="inlineStr">
        <is>
          <t>Storage Tank</t>
        </is>
      </c>
      <c r="E1049" s="5" t="inlineStr">
        <is>
          <t>SPV-A</t>
        </is>
      </c>
      <c r="F1049" s="5"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G1049" s="13" t="inlineStr">
        <is>
          <t>Tinggi</t>
        </is>
      </c>
      <c r="H1049" s="18" t="n"/>
      <c r="I1049" s="18" t="n"/>
      <c r="J1049" s="18" t="n"/>
      <c r="K1049" s="18" t="n"/>
      <c r="L1049" s="18" t="n"/>
    </row>
    <row r="1050" ht="96.39999999999999" customHeight="1">
      <c r="A1050" s="14" t="n">
        <v>1046</v>
      </c>
      <c r="B1050" s="16" t="inlineStr">
        <is>
          <t>LP-W-02</t>
        </is>
      </c>
      <c r="C1050" s="15" t="inlineStr">
        <is>
          <t>Cakupan pencatatan berada DI ATAS semua angka lain</t>
        </is>
      </c>
      <c r="D1050" s="17" t="inlineStr">
        <is>
          <t>Weighbridge</t>
        </is>
      </c>
      <c r="E1050" s="15" t="inlineStr">
        <is>
          <t>SPV-A</t>
        </is>
      </c>
      <c r="F1050" s="15" t="inlineStr">
        <is>
          <t>- Bagian Cakupan Pencatatan berada di atas seluruh kartu parameter.
- Pembaca melihat seberapa lengkap datanya sebelum melihat angka rata-ratanya.
- Kalau cakupan ada di bawah, itu temuan: angka rata-rata dari 2 slot terbaca sama meyakinkan dengan dari 400 slot.</t>
        </is>
      </c>
      <c r="G1050" s="13" t="inlineStr">
        <is>
          <t>Tinggi</t>
        </is>
      </c>
      <c r="H1050" s="18" t="n"/>
      <c r="I1050" s="18" t="n"/>
      <c r="J1050" s="18" t="n"/>
      <c r="K1050" s="18" t="n"/>
      <c r="L1050" s="18" t="n"/>
    </row>
    <row r="1051" ht="96.39999999999999" customHeight="1">
      <c r="A1051" s="10" t="n">
        <v>1047</v>
      </c>
      <c r="B1051" s="11" t="inlineStr">
        <is>
          <t>LP-W-02</t>
        </is>
      </c>
      <c r="C1051" s="5" t="inlineStr">
        <is>
          <t>Cakupan pencatatan berada DI ATAS semua angka lain</t>
        </is>
      </c>
      <c r="D1051" s="12" t="inlineStr">
        <is>
          <t>Grading</t>
        </is>
      </c>
      <c r="E1051" s="5" t="inlineStr">
        <is>
          <t>SPV-A</t>
        </is>
      </c>
      <c r="F105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G1051" s="13" t="inlineStr">
        <is>
          <t>Tinggi</t>
        </is>
      </c>
      <c r="H1051" s="18" t="n"/>
      <c r="I1051" s="18" t="n"/>
      <c r="J1051" s="18" t="n"/>
      <c r="K1051" s="18" t="n"/>
      <c r="L1051" s="18" t="n"/>
    </row>
    <row r="1052" ht="96.39999999999999" customHeight="1">
      <c r="A1052" s="14" t="n">
        <v>1048</v>
      </c>
      <c r="B1052" s="16" t="inlineStr">
        <is>
          <t>LP-W-02</t>
        </is>
      </c>
      <c r="C1052" s="15" t="inlineStr">
        <is>
          <t>Cakupan pencatatan berada DI ATAS semua angka lain</t>
        </is>
      </c>
      <c r="D1052" s="17" t="inlineStr">
        <is>
          <t>Cages Track</t>
        </is>
      </c>
      <c r="E1052" s="15" t="inlineStr">
        <is>
          <t>SPV-A</t>
        </is>
      </c>
      <c r="F1052" s="15" t="inlineStr">
        <is>
          <t>- Bagian Cakupan Pencatatan berada di atas seluruh kartu parameter.
- Pembaca melihat seberapa lengkap datanya sebelum melihat angka rata-ratanya.
- Kalau cakupan ada di bawah, itu temuan: angka rata-rata dari 2 slot terbaca sama meyakinkan dengan dari 400 slot.</t>
        </is>
      </c>
      <c r="G1052" s="13" t="inlineStr">
        <is>
          <t>Tinggi</t>
        </is>
      </c>
      <c r="H1052" s="18" t="n"/>
      <c r="I1052" s="18" t="n"/>
      <c r="J1052" s="18" t="n"/>
      <c r="K1052" s="18" t="n"/>
      <c r="L1052" s="18" t="n"/>
    </row>
    <row r="1053" ht="96.39999999999999" customHeight="1">
      <c r="A1053" s="10" t="n">
        <v>1049</v>
      </c>
      <c r="B1053" s="11" t="inlineStr">
        <is>
          <t>LP-W-02</t>
        </is>
      </c>
      <c r="C1053" s="5" t="inlineStr">
        <is>
          <t>Cakupan pencatatan berada DI ATAS semua angka lain</t>
        </is>
      </c>
      <c r="D1053" s="12" t="inlineStr">
        <is>
          <t>Sterilizer</t>
        </is>
      </c>
      <c r="E1053" s="5" t="inlineStr">
        <is>
          <t>SPV-A</t>
        </is>
      </c>
      <c r="F105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G1053" s="13" t="inlineStr">
        <is>
          <t>Tinggi</t>
        </is>
      </c>
      <c r="H1053" s="18" t="n"/>
      <c r="I1053" s="18" t="n"/>
      <c r="J1053" s="18" t="n"/>
      <c r="K1053" s="18" t="n"/>
      <c r="L1053" s="18" t="n"/>
    </row>
    <row r="1054" ht="96.39999999999999" customHeight="1">
      <c r="A1054" s="14" t="n">
        <v>1050</v>
      </c>
      <c r="B1054" s="16" t="inlineStr">
        <is>
          <t>LP-W-02</t>
        </is>
      </c>
      <c r="C1054" s="15" t="inlineStr">
        <is>
          <t>Cakupan pencatatan berada DI ATAS semua angka lain</t>
        </is>
      </c>
      <c r="D1054" s="17" t="inlineStr">
        <is>
          <t>Threshing</t>
        </is>
      </c>
      <c r="E1054" s="15" t="inlineStr">
        <is>
          <t>SPV-A</t>
        </is>
      </c>
      <c r="F1054" s="15" t="inlineStr">
        <is>
          <t>- Bagian Cakupan Pencatatan berada di atas seluruh kartu parameter.
- Pembaca melihat seberapa lengkap datanya sebelum melihat angka rata-ratanya.
- Kalau cakupan ada di bawah, itu temuan: angka rata-rata dari 2 slot terbaca sama meyakinkan dengan dari 400 slot.</t>
        </is>
      </c>
      <c r="G1054" s="13" t="inlineStr">
        <is>
          <t>Tinggi</t>
        </is>
      </c>
      <c r="H1054" s="18" t="n"/>
      <c r="I1054" s="18" t="n"/>
      <c r="J1054" s="18" t="n"/>
      <c r="K1054" s="18" t="n"/>
      <c r="L1054" s="18" t="n"/>
    </row>
    <row r="1055" ht="96.39999999999999" customHeight="1">
      <c r="A1055" s="10" t="n">
        <v>1051</v>
      </c>
      <c r="B1055" s="11" t="inlineStr">
        <is>
          <t>LP-W-02</t>
        </is>
      </c>
      <c r="C1055" s="5" t="inlineStr">
        <is>
          <t>Cakupan pencatatan berada DI ATAS semua angka lain</t>
        </is>
      </c>
      <c r="D1055" s="12" t="inlineStr">
        <is>
          <t>Pressing</t>
        </is>
      </c>
      <c r="E1055" s="5" t="inlineStr">
        <is>
          <t>SPV-A</t>
        </is>
      </c>
      <c r="F105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G1055" s="13" t="inlineStr">
        <is>
          <t>Tinggi</t>
        </is>
      </c>
      <c r="H1055" s="18" t="n"/>
      <c r="I1055" s="18" t="n"/>
      <c r="J1055" s="18" t="n"/>
      <c r="K1055" s="18" t="n"/>
      <c r="L1055" s="18" t="n"/>
    </row>
    <row r="1056" ht="96.39999999999999" customHeight="1">
      <c r="A1056" s="14" t="n">
        <v>1052</v>
      </c>
      <c r="B1056" s="16" t="inlineStr">
        <is>
          <t>LP-W-02</t>
        </is>
      </c>
      <c r="C1056" s="15" t="inlineStr">
        <is>
          <t>Cakupan pencatatan berada DI ATAS semua angka lain</t>
        </is>
      </c>
      <c r="D1056" s="17" t="inlineStr">
        <is>
          <t>Clarification</t>
        </is>
      </c>
      <c r="E1056" s="15" t="inlineStr">
        <is>
          <t>SPV-A</t>
        </is>
      </c>
      <c r="F1056" s="15" t="inlineStr">
        <is>
          <t>- Bagian Cakupan Pencatatan berada di atas seluruh kartu parameter.
- Pembaca melihat seberapa lengkap datanya sebelum melihat angka rata-ratanya.
- Kalau cakupan ada di bawah, itu temuan: angka rata-rata dari 2 slot terbaca sama meyakinkan dengan dari 400 slot.</t>
        </is>
      </c>
      <c r="G1056" s="13" t="inlineStr">
        <is>
          <t>Tinggi</t>
        </is>
      </c>
      <c r="H1056" s="18" t="n"/>
      <c r="I1056" s="18" t="n"/>
      <c r="J1056" s="18" t="n"/>
      <c r="K1056" s="18" t="n"/>
      <c r="L1056" s="18" t="n"/>
    </row>
    <row r="1057" ht="96.39999999999999" customHeight="1">
      <c r="A1057" s="10" t="n">
        <v>1053</v>
      </c>
      <c r="B1057" s="11" t="inlineStr">
        <is>
          <t>LP-W-02</t>
        </is>
      </c>
      <c r="C1057" s="5" t="inlineStr">
        <is>
          <t>Cakupan pencatatan berada DI ATAS semua angka lain</t>
        </is>
      </c>
      <c r="D1057" s="12" t="inlineStr">
        <is>
          <t>Kernel Plant</t>
        </is>
      </c>
      <c r="E1057" s="5" t="inlineStr">
        <is>
          <t>SPV-A</t>
        </is>
      </c>
      <c r="F1057"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G1057" s="13" t="inlineStr">
        <is>
          <t>Tinggi</t>
        </is>
      </c>
      <c r="H1057" s="18" t="n"/>
      <c r="I1057" s="18" t="n"/>
      <c r="J1057" s="18" t="n"/>
      <c r="K1057" s="18" t="n"/>
      <c r="L1057" s="18" t="n"/>
    </row>
    <row r="1058" ht="96.39999999999999" customHeight="1">
      <c r="A1058" s="14" t="n">
        <v>1054</v>
      </c>
      <c r="B1058" s="16" t="inlineStr">
        <is>
          <t>LP-W-02</t>
        </is>
      </c>
      <c r="C1058" s="15" t="inlineStr">
        <is>
          <t>Cakupan pencatatan berada DI ATAS semua angka lain</t>
        </is>
      </c>
      <c r="D1058" s="17" t="inlineStr">
        <is>
          <t>Boiler Room</t>
        </is>
      </c>
      <c r="E1058" s="15" t="inlineStr">
        <is>
          <t>SPV-A</t>
        </is>
      </c>
      <c r="F1058" s="15" t="inlineStr">
        <is>
          <t>- Bagian Cakupan Pencatatan berada di atas seluruh kartu parameter.
- Pembaca melihat seberapa lengkap datanya sebelum melihat angka rata-ratanya.
- Kalau cakupan ada di bawah, itu temuan: angka rata-rata dari 2 slot terbaca sama meyakinkan dengan dari 400 slot.</t>
        </is>
      </c>
      <c r="G1058" s="13" t="inlineStr">
        <is>
          <t>Tinggi</t>
        </is>
      </c>
      <c r="H1058" s="18" t="n"/>
      <c r="I1058" s="18" t="n"/>
      <c r="J1058" s="18" t="n"/>
      <c r="K1058" s="18" t="n"/>
      <c r="L1058" s="18" t="n"/>
    </row>
    <row r="1059" ht="96.39999999999999" customHeight="1">
      <c r="A1059" s="10" t="n">
        <v>1055</v>
      </c>
      <c r="B1059" s="11" t="inlineStr">
        <is>
          <t>LP-W-02</t>
        </is>
      </c>
      <c r="C1059" s="5" t="inlineStr">
        <is>
          <t>Cakupan pencatatan berada DI ATAS semua angka lain</t>
        </is>
      </c>
      <c r="D1059" s="12" t="inlineStr">
        <is>
          <t>Depricarping</t>
        </is>
      </c>
      <c r="E1059" s="5" t="inlineStr">
        <is>
          <t>SPV-A</t>
        </is>
      </c>
      <c r="F105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G1059" s="13" t="inlineStr">
        <is>
          <t>Tinggi</t>
        </is>
      </c>
      <c r="H1059" s="18" t="n"/>
      <c r="I1059" s="18" t="n"/>
      <c r="J1059" s="18" t="n"/>
      <c r="K1059" s="18" t="n"/>
      <c r="L1059" s="18" t="n"/>
    </row>
    <row r="1060" ht="96.39999999999999" customHeight="1">
      <c r="A1060" s="14" t="n">
        <v>1056</v>
      </c>
      <c r="B1060" s="16" t="inlineStr">
        <is>
          <t>LP-W-02</t>
        </is>
      </c>
      <c r="C1060" s="15" t="inlineStr">
        <is>
          <t>Cakupan pencatatan berada DI ATAS semua angka lain</t>
        </is>
      </c>
      <c r="D1060" s="17" t="inlineStr">
        <is>
          <t>Storage Tank</t>
        </is>
      </c>
      <c r="E1060" s="15" t="inlineStr">
        <is>
          <t>SPV-A</t>
        </is>
      </c>
      <c r="F1060" s="15" t="inlineStr">
        <is>
          <t>- Bagian Cakupan Pencatatan berada di atas seluruh kartu parameter.
- Pembaca melihat seberapa lengkap datanya sebelum melihat angka rata-ratanya.
- Kalau cakupan ada di bawah, itu temuan: angka rata-rata dari 2 slot terbaca sama meyakinkan dengan dari 400 slot.</t>
        </is>
      </c>
      <c r="G1060" s="13" t="inlineStr">
        <is>
          <t>Tinggi</t>
        </is>
      </c>
      <c r="H1060" s="18" t="n"/>
      <c r="I1060" s="18" t="n"/>
      <c r="J1060" s="18" t="n"/>
      <c r="K1060" s="18" t="n"/>
      <c r="L1060" s="18" t="n"/>
    </row>
    <row r="1061" ht="122.8" customHeight="1">
      <c r="A1061" s="10" t="n">
        <v>1057</v>
      </c>
      <c r="B1061" s="11" t="inlineStr">
        <is>
          <t>LP-W-03</t>
        </is>
      </c>
      <c r="C1061" s="5" t="inlineStr">
        <is>
          <t>Setiap parameter mencetak penyebutnya sendiri</t>
        </is>
      </c>
      <c r="D1061" s="12" t="inlineStr">
        <is>
          <t>Weighbridge</t>
        </is>
      </c>
      <c r="E1061" s="5" t="inlineStr">
        <is>
          <t>SPV-A</t>
        </is>
      </c>
      <c r="F106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G1061" s="13" t="inlineStr">
        <is>
          <t>Tinggi</t>
        </is>
      </c>
      <c r="H1061" s="18" t="n"/>
      <c r="I1061" s="18" t="n"/>
      <c r="J1061" s="18" t="n"/>
      <c r="K1061" s="18" t="n"/>
      <c r="L1061" s="18" t="n"/>
    </row>
    <row r="1062" ht="122.8" customHeight="1">
      <c r="A1062" s="14" t="n">
        <v>1058</v>
      </c>
      <c r="B1062" s="16" t="inlineStr">
        <is>
          <t>LP-W-03</t>
        </is>
      </c>
      <c r="C1062" s="15" t="inlineStr">
        <is>
          <t>Setiap parameter mencetak penyebutnya sendiri</t>
        </is>
      </c>
      <c r="D1062" s="17" t="inlineStr">
        <is>
          <t>Grading</t>
        </is>
      </c>
      <c r="E1062" s="15" t="inlineStr">
        <is>
          <t>SPV-A</t>
        </is>
      </c>
      <c r="F1062" s="1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G1062" s="13" t="inlineStr">
        <is>
          <t>Tinggi</t>
        </is>
      </c>
      <c r="H1062" s="18" t="n"/>
      <c r="I1062" s="18" t="n"/>
      <c r="J1062" s="18" t="n"/>
      <c r="K1062" s="18" t="n"/>
      <c r="L1062" s="18" t="n"/>
    </row>
    <row r="1063" ht="122.8" customHeight="1">
      <c r="A1063" s="10" t="n">
        <v>1059</v>
      </c>
      <c r="B1063" s="11" t="inlineStr">
        <is>
          <t>LP-W-03</t>
        </is>
      </c>
      <c r="C1063" s="5" t="inlineStr">
        <is>
          <t>Setiap parameter mencetak penyebutnya sendiri</t>
        </is>
      </c>
      <c r="D1063" s="12" t="inlineStr">
        <is>
          <t>Cages Track</t>
        </is>
      </c>
      <c r="E1063" s="5" t="inlineStr">
        <is>
          <t>SPV-A</t>
        </is>
      </c>
      <c r="F106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G1063" s="13" t="inlineStr">
        <is>
          <t>Tinggi</t>
        </is>
      </c>
      <c r="H1063" s="18" t="n"/>
      <c r="I1063" s="18" t="n"/>
      <c r="J1063" s="18" t="n"/>
      <c r="K1063" s="18" t="n"/>
      <c r="L1063" s="18" t="n"/>
    </row>
    <row r="1064" ht="122.8" customHeight="1">
      <c r="A1064" s="14" t="n">
        <v>1060</v>
      </c>
      <c r="B1064" s="16" t="inlineStr">
        <is>
          <t>LP-W-03</t>
        </is>
      </c>
      <c r="C1064" s="15" t="inlineStr">
        <is>
          <t>Setiap parameter mencetak penyebutnya sendiri</t>
        </is>
      </c>
      <c r="D1064" s="17" t="inlineStr">
        <is>
          <t>Sterilizer</t>
        </is>
      </c>
      <c r="E1064" s="15" t="inlineStr">
        <is>
          <t>SPV-A</t>
        </is>
      </c>
      <c r="F1064" s="1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G1064" s="13" t="inlineStr">
        <is>
          <t>Tinggi</t>
        </is>
      </c>
      <c r="H1064" s="18" t="n"/>
      <c r="I1064" s="18" t="n"/>
      <c r="J1064" s="18" t="n"/>
      <c r="K1064" s="18" t="n"/>
      <c r="L1064" s="18" t="n"/>
    </row>
    <row r="1065" ht="122.8" customHeight="1">
      <c r="A1065" s="10" t="n">
        <v>1061</v>
      </c>
      <c r="B1065" s="11" t="inlineStr">
        <is>
          <t>LP-W-03</t>
        </is>
      </c>
      <c r="C1065" s="5" t="inlineStr">
        <is>
          <t>Setiap parameter mencetak penyebutnya sendiri</t>
        </is>
      </c>
      <c r="D1065" s="12" t="inlineStr">
        <is>
          <t>Threshing</t>
        </is>
      </c>
      <c r="E1065" s="5" t="inlineStr">
        <is>
          <t>SPV-A</t>
        </is>
      </c>
      <c r="F106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G1065" s="13" t="inlineStr">
        <is>
          <t>Tinggi</t>
        </is>
      </c>
      <c r="H1065" s="18" t="n"/>
      <c r="I1065" s="18" t="n"/>
      <c r="J1065" s="18" t="n"/>
      <c r="K1065" s="18" t="n"/>
      <c r="L1065" s="18" t="n"/>
    </row>
    <row r="1066" ht="122.8" customHeight="1">
      <c r="A1066" s="14" t="n">
        <v>1062</v>
      </c>
      <c r="B1066" s="16" t="inlineStr">
        <is>
          <t>LP-W-03</t>
        </is>
      </c>
      <c r="C1066" s="15" t="inlineStr">
        <is>
          <t>Setiap parameter mencetak penyebutnya sendiri</t>
        </is>
      </c>
      <c r="D1066" s="17" t="inlineStr">
        <is>
          <t>Pressing</t>
        </is>
      </c>
      <c r="E1066" s="15" t="inlineStr">
        <is>
          <t>SPV-A</t>
        </is>
      </c>
      <c r="F1066" s="1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G1066" s="13" t="inlineStr">
        <is>
          <t>Tinggi</t>
        </is>
      </c>
      <c r="H1066" s="18" t="n"/>
      <c r="I1066" s="18" t="n"/>
      <c r="J1066" s="18" t="n"/>
      <c r="K1066" s="18" t="n"/>
      <c r="L1066" s="18" t="n"/>
    </row>
    <row r="1067" ht="122.8" customHeight="1">
      <c r="A1067" s="10" t="n">
        <v>1063</v>
      </c>
      <c r="B1067" s="11" t="inlineStr">
        <is>
          <t>LP-W-03</t>
        </is>
      </c>
      <c r="C1067" s="5" t="inlineStr">
        <is>
          <t>Setiap parameter mencetak penyebutnya sendiri</t>
        </is>
      </c>
      <c r="D1067" s="12" t="inlineStr">
        <is>
          <t>Clarification</t>
        </is>
      </c>
      <c r="E1067" s="5" t="inlineStr">
        <is>
          <t>SPV-A</t>
        </is>
      </c>
      <c r="F106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G1067" s="13" t="inlineStr">
        <is>
          <t>Tinggi</t>
        </is>
      </c>
      <c r="H1067" s="18" t="n"/>
      <c r="I1067" s="18" t="n"/>
      <c r="J1067" s="18" t="n"/>
      <c r="K1067" s="18" t="n"/>
      <c r="L1067" s="18" t="n"/>
    </row>
    <row r="1068" ht="122.8" customHeight="1">
      <c r="A1068" s="14" t="n">
        <v>1064</v>
      </c>
      <c r="B1068" s="16" t="inlineStr">
        <is>
          <t>LP-W-03</t>
        </is>
      </c>
      <c r="C1068" s="15" t="inlineStr">
        <is>
          <t>Setiap parameter mencetak penyebutnya sendiri</t>
        </is>
      </c>
      <c r="D1068" s="17" t="inlineStr">
        <is>
          <t>Kernel Plant</t>
        </is>
      </c>
      <c r="E1068" s="15" t="inlineStr">
        <is>
          <t>SPV-A</t>
        </is>
      </c>
      <c r="F1068" s="1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G1068" s="13" t="inlineStr">
        <is>
          <t>Tinggi</t>
        </is>
      </c>
      <c r="H1068" s="18" t="n"/>
      <c r="I1068" s="18" t="n"/>
      <c r="J1068" s="18" t="n"/>
      <c r="K1068" s="18" t="n"/>
      <c r="L1068" s="18" t="n"/>
    </row>
    <row r="1069" ht="122.8" customHeight="1">
      <c r="A1069" s="10" t="n">
        <v>1065</v>
      </c>
      <c r="B1069" s="11" t="inlineStr">
        <is>
          <t>LP-W-03</t>
        </is>
      </c>
      <c r="C1069" s="5" t="inlineStr">
        <is>
          <t>Setiap parameter mencetak penyebutnya sendiri</t>
        </is>
      </c>
      <c r="D1069" s="12" t="inlineStr">
        <is>
          <t>Boiler Room</t>
        </is>
      </c>
      <c r="E1069" s="5" t="inlineStr">
        <is>
          <t>SPV-A</t>
        </is>
      </c>
      <c r="F106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G1069" s="13" t="inlineStr">
        <is>
          <t>Tinggi</t>
        </is>
      </c>
      <c r="H1069" s="18" t="n"/>
      <c r="I1069" s="18" t="n"/>
      <c r="J1069" s="18" t="n"/>
      <c r="K1069" s="18" t="n"/>
      <c r="L1069" s="18" t="n"/>
    </row>
    <row r="1070" ht="122.8" customHeight="1">
      <c r="A1070" s="14" t="n">
        <v>1066</v>
      </c>
      <c r="B1070" s="16" t="inlineStr">
        <is>
          <t>LP-W-03</t>
        </is>
      </c>
      <c r="C1070" s="15" t="inlineStr">
        <is>
          <t>Setiap parameter mencetak penyebutnya sendiri</t>
        </is>
      </c>
      <c r="D1070" s="17" t="inlineStr">
        <is>
          <t>Depricarping</t>
        </is>
      </c>
      <c r="E1070" s="15" t="inlineStr">
        <is>
          <t>SPV-A</t>
        </is>
      </c>
      <c r="F1070" s="1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G1070" s="13" t="inlineStr">
        <is>
          <t>Tinggi</t>
        </is>
      </c>
      <c r="H1070" s="18" t="n"/>
      <c r="I1070" s="18" t="n"/>
      <c r="J1070" s="18" t="n"/>
      <c r="K1070" s="18" t="n"/>
      <c r="L1070" s="18" t="n"/>
    </row>
    <row r="1071" ht="122.8" customHeight="1">
      <c r="A1071" s="10" t="n">
        <v>1067</v>
      </c>
      <c r="B1071" s="11" t="inlineStr">
        <is>
          <t>LP-W-03</t>
        </is>
      </c>
      <c r="C1071" s="5" t="inlineStr">
        <is>
          <t>Setiap parameter mencetak penyebutnya sendiri</t>
        </is>
      </c>
      <c r="D1071" s="12" t="inlineStr">
        <is>
          <t>Storage Tank</t>
        </is>
      </c>
      <c r="E1071" s="5" t="inlineStr">
        <is>
          <t>SPV-A</t>
        </is>
      </c>
      <c r="F107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G1071" s="13" t="inlineStr">
        <is>
          <t>Tinggi</t>
        </is>
      </c>
      <c r="H1071" s="18" t="n"/>
      <c r="I1071" s="18" t="n"/>
      <c r="J1071" s="18" t="n"/>
      <c r="K1071" s="18" t="n"/>
      <c r="L1071" s="18" t="n"/>
    </row>
    <row r="1072" ht="109.6" customHeight="1">
      <c r="A1072" s="14" t="n">
        <v>1068</v>
      </c>
      <c r="B1072" s="16" t="inlineStr">
        <is>
          <t>LP-W-04</t>
        </is>
      </c>
      <c r="C1072" s="15" t="inlineStr">
        <is>
          <t>Semua baris parameter tetap tampil, termasuk yang tak pernah diukur</t>
        </is>
      </c>
      <c r="D1072" s="17" t="inlineStr">
        <is>
          <t>Weighbridge</t>
        </is>
      </c>
      <c r="E1072" s="15" t="inlineStr">
        <is>
          <t>SPV-A</t>
        </is>
      </c>
      <c r="F1072" s="1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G1072" s="13" t="inlineStr">
        <is>
          <t>Tinggi</t>
        </is>
      </c>
      <c r="H1072" s="18" t="n"/>
      <c r="I1072" s="18" t="n"/>
      <c r="J1072" s="18" t="n"/>
      <c r="K1072" s="18" t="n"/>
      <c r="L1072" s="18" t="n"/>
    </row>
    <row r="1073" ht="109.6" customHeight="1">
      <c r="A1073" s="10" t="n">
        <v>1069</v>
      </c>
      <c r="B1073" s="11" t="inlineStr">
        <is>
          <t>LP-W-04</t>
        </is>
      </c>
      <c r="C1073" s="5" t="inlineStr">
        <is>
          <t>Semua baris parameter tetap tampil, termasuk yang tak pernah diukur</t>
        </is>
      </c>
      <c r="D1073" s="12" t="inlineStr">
        <is>
          <t>Grading</t>
        </is>
      </c>
      <c r="E1073" s="5" t="inlineStr">
        <is>
          <t>SPV-A</t>
        </is>
      </c>
      <c r="F107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G1073" s="13" t="inlineStr">
        <is>
          <t>Tinggi</t>
        </is>
      </c>
      <c r="H1073" s="18" t="n"/>
      <c r="I1073" s="18" t="n"/>
      <c r="J1073" s="18" t="n"/>
      <c r="K1073" s="18" t="n"/>
      <c r="L1073" s="18" t="n"/>
    </row>
    <row r="1074" ht="109.6" customHeight="1">
      <c r="A1074" s="14" t="n">
        <v>1070</v>
      </c>
      <c r="B1074" s="16" t="inlineStr">
        <is>
          <t>LP-W-04</t>
        </is>
      </c>
      <c r="C1074" s="15" t="inlineStr">
        <is>
          <t>Semua baris parameter tetap tampil, termasuk yang tak pernah diukur</t>
        </is>
      </c>
      <c r="D1074" s="17" t="inlineStr">
        <is>
          <t>Cages Track</t>
        </is>
      </c>
      <c r="E1074" s="15" t="inlineStr">
        <is>
          <t>SPV-A</t>
        </is>
      </c>
      <c r="F1074" s="1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G1074" s="13" t="inlineStr">
        <is>
          <t>Tinggi</t>
        </is>
      </c>
      <c r="H1074" s="18" t="n"/>
      <c r="I1074" s="18" t="n"/>
      <c r="J1074" s="18" t="n"/>
      <c r="K1074" s="18" t="n"/>
      <c r="L1074" s="18" t="n"/>
    </row>
    <row r="1075" ht="109.6" customHeight="1">
      <c r="A1075" s="10" t="n">
        <v>1071</v>
      </c>
      <c r="B1075" s="11" t="inlineStr">
        <is>
          <t>LP-W-04</t>
        </is>
      </c>
      <c r="C1075" s="5" t="inlineStr">
        <is>
          <t>Semua baris parameter tetap tampil, termasuk yang tak pernah diukur</t>
        </is>
      </c>
      <c r="D1075" s="12" t="inlineStr">
        <is>
          <t>Sterilizer</t>
        </is>
      </c>
      <c r="E1075" s="5" t="inlineStr">
        <is>
          <t>SPV-A</t>
        </is>
      </c>
      <c r="F107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G1075" s="13" t="inlineStr">
        <is>
          <t>Tinggi</t>
        </is>
      </c>
      <c r="H1075" s="18" t="n"/>
      <c r="I1075" s="18" t="n"/>
      <c r="J1075" s="18" t="n"/>
      <c r="K1075" s="18" t="n"/>
      <c r="L1075" s="18" t="n"/>
    </row>
    <row r="1076" ht="109.6" customHeight="1">
      <c r="A1076" s="14" t="n">
        <v>1072</v>
      </c>
      <c r="B1076" s="16" t="inlineStr">
        <is>
          <t>LP-W-04</t>
        </is>
      </c>
      <c r="C1076" s="15" t="inlineStr">
        <is>
          <t>Semua baris parameter tetap tampil, termasuk yang tak pernah diukur</t>
        </is>
      </c>
      <c r="D1076" s="17" t="inlineStr">
        <is>
          <t>Threshing</t>
        </is>
      </c>
      <c r="E1076" s="15" t="inlineStr">
        <is>
          <t>SPV-A</t>
        </is>
      </c>
      <c r="F1076" s="1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G1076" s="13" t="inlineStr">
        <is>
          <t>Tinggi</t>
        </is>
      </c>
      <c r="H1076" s="18" t="n"/>
      <c r="I1076" s="18" t="n"/>
      <c r="J1076" s="18" t="n"/>
      <c r="K1076" s="18" t="n"/>
      <c r="L1076" s="18" t="n"/>
    </row>
    <row r="1077" ht="109.6" customHeight="1">
      <c r="A1077" s="10" t="n">
        <v>1073</v>
      </c>
      <c r="B1077" s="11" t="inlineStr">
        <is>
          <t>LP-W-04</t>
        </is>
      </c>
      <c r="C1077" s="5" t="inlineStr">
        <is>
          <t>Semua baris parameter tetap tampil, termasuk yang tak pernah diukur</t>
        </is>
      </c>
      <c r="D1077" s="12" t="inlineStr">
        <is>
          <t>Pressing</t>
        </is>
      </c>
      <c r="E1077" s="5" t="inlineStr">
        <is>
          <t>SPV-A</t>
        </is>
      </c>
      <c r="F107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G1077" s="13" t="inlineStr">
        <is>
          <t>Tinggi</t>
        </is>
      </c>
      <c r="H1077" s="18" t="n"/>
      <c r="I1077" s="18" t="n"/>
      <c r="J1077" s="18" t="n"/>
      <c r="K1077" s="18" t="n"/>
      <c r="L1077" s="18" t="n"/>
    </row>
    <row r="1078" ht="109.6" customHeight="1">
      <c r="A1078" s="14" t="n">
        <v>1074</v>
      </c>
      <c r="B1078" s="16" t="inlineStr">
        <is>
          <t>LP-W-04</t>
        </is>
      </c>
      <c r="C1078" s="15" t="inlineStr">
        <is>
          <t>Semua baris parameter tetap tampil, termasuk yang tak pernah diukur</t>
        </is>
      </c>
      <c r="D1078" s="17" t="inlineStr">
        <is>
          <t>Clarification</t>
        </is>
      </c>
      <c r="E1078" s="15" t="inlineStr">
        <is>
          <t>SPV-A</t>
        </is>
      </c>
      <c r="F1078" s="1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G1078" s="13" t="inlineStr">
        <is>
          <t>Tinggi</t>
        </is>
      </c>
      <c r="H1078" s="18" t="n"/>
      <c r="I1078" s="18" t="n"/>
      <c r="J1078" s="18" t="n"/>
      <c r="K1078" s="18" t="n"/>
      <c r="L1078" s="18" t="n"/>
    </row>
    <row r="1079" ht="109.6" customHeight="1">
      <c r="A1079" s="10" t="n">
        <v>1075</v>
      </c>
      <c r="B1079" s="11" t="inlineStr">
        <is>
          <t>LP-W-04</t>
        </is>
      </c>
      <c r="C1079" s="5" t="inlineStr">
        <is>
          <t>Semua baris parameter tetap tampil, termasuk yang tak pernah diukur</t>
        </is>
      </c>
      <c r="D1079" s="12" t="inlineStr">
        <is>
          <t>Kernel Plant</t>
        </is>
      </c>
      <c r="E1079" s="5" t="inlineStr">
        <is>
          <t>SPV-A</t>
        </is>
      </c>
      <c r="F1079"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G1079" s="13" t="inlineStr">
        <is>
          <t>Tinggi</t>
        </is>
      </c>
      <c r="H1079" s="18" t="n"/>
      <c r="I1079" s="18" t="n"/>
      <c r="J1079" s="18" t="n"/>
      <c r="K1079" s="18" t="n"/>
      <c r="L1079" s="18" t="n"/>
    </row>
    <row r="1080" ht="109.6" customHeight="1">
      <c r="A1080" s="14" t="n">
        <v>1076</v>
      </c>
      <c r="B1080" s="16" t="inlineStr">
        <is>
          <t>LP-W-04</t>
        </is>
      </c>
      <c r="C1080" s="15" t="inlineStr">
        <is>
          <t>Semua baris parameter tetap tampil, termasuk yang tak pernah diukur</t>
        </is>
      </c>
      <c r="D1080" s="17" t="inlineStr">
        <is>
          <t>Boiler Room</t>
        </is>
      </c>
      <c r="E1080" s="15" t="inlineStr">
        <is>
          <t>SPV-A</t>
        </is>
      </c>
      <c r="F1080" s="1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G1080" s="13" t="inlineStr">
        <is>
          <t>Tinggi</t>
        </is>
      </c>
      <c r="H1080" s="18" t="n"/>
      <c r="I1080" s="18" t="n"/>
      <c r="J1080" s="18" t="n"/>
      <c r="K1080" s="18" t="n"/>
      <c r="L1080" s="18" t="n"/>
    </row>
    <row r="1081" ht="109.6" customHeight="1">
      <c r="A1081" s="10" t="n">
        <v>1077</v>
      </c>
      <c r="B1081" s="11" t="inlineStr">
        <is>
          <t>LP-W-04</t>
        </is>
      </c>
      <c r="C1081" s="5" t="inlineStr">
        <is>
          <t>Semua baris parameter tetap tampil, termasuk yang tak pernah diukur</t>
        </is>
      </c>
      <c r="D1081" s="12" t="inlineStr">
        <is>
          <t>Depricarping</t>
        </is>
      </c>
      <c r="E1081" s="5" t="inlineStr">
        <is>
          <t>SPV-A</t>
        </is>
      </c>
      <c r="F108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G1081" s="13" t="inlineStr">
        <is>
          <t>Tinggi</t>
        </is>
      </c>
      <c r="H1081" s="18" t="n"/>
      <c r="I1081" s="18" t="n"/>
      <c r="J1081" s="18" t="n"/>
      <c r="K1081" s="18" t="n"/>
      <c r="L1081" s="18" t="n"/>
    </row>
    <row r="1082" ht="109.6" customHeight="1">
      <c r="A1082" s="14" t="n">
        <v>1078</v>
      </c>
      <c r="B1082" s="16" t="inlineStr">
        <is>
          <t>LP-W-04</t>
        </is>
      </c>
      <c r="C1082" s="15" t="inlineStr">
        <is>
          <t>Semua baris parameter tetap tampil, termasuk yang tak pernah diukur</t>
        </is>
      </c>
      <c r="D1082" s="17" t="inlineStr">
        <is>
          <t>Storage Tank</t>
        </is>
      </c>
      <c r="E1082" s="15" t="inlineStr">
        <is>
          <t>SPV-A</t>
        </is>
      </c>
      <c r="F1082" s="1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G1082" s="13" t="inlineStr">
        <is>
          <t>Tinggi</t>
        </is>
      </c>
      <c r="H1082" s="18" t="n"/>
      <c r="I1082" s="18" t="n"/>
      <c r="J1082" s="18" t="n"/>
      <c r="K1082" s="18" t="n"/>
      <c r="L1082" s="18" t="n"/>
    </row>
    <row r="1083" ht="96.39999999999999" customHeight="1">
      <c r="A1083" s="10" t="n">
        <v>1079</v>
      </c>
      <c r="B1083" s="11" t="inlineStr">
        <is>
          <t>LP-W-05</t>
        </is>
      </c>
      <c r="C1083" s="5" t="inlineStr">
        <is>
          <t>Persen cakupan: tanda pisah vs 0,0%</t>
        </is>
      </c>
      <c r="D1083" s="12" t="inlineStr">
        <is>
          <t>Weighbridge</t>
        </is>
      </c>
      <c r="E1083" s="5" t="inlineStr">
        <is>
          <t>SPV-A</t>
        </is>
      </c>
      <c r="F108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G1083" s="13" t="inlineStr">
        <is>
          <t>Tinggi</t>
        </is>
      </c>
      <c r="H1083" s="18" t="n"/>
      <c r="I1083" s="18" t="n"/>
      <c r="J1083" s="18" t="n"/>
      <c r="K1083" s="18" t="n"/>
      <c r="L1083" s="18" t="n"/>
    </row>
    <row r="1084" ht="96.39999999999999" customHeight="1">
      <c r="A1084" s="14" t="n">
        <v>1080</v>
      </c>
      <c r="B1084" s="16" t="inlineStr">
        <is>
          <t>LP-W-05</t>
        </is>
      </c>
      <c r="C1084" s="15" t="inlineStr">
        <is>
          <t>Persen cakupan: tanda pisah vs 0,0%</t>
        </is>
      </c>
      <c r="D1084" s="17" t="inlineStr">
        <is>
          <t>Grading</t>
        </is>
      </c>
      <c r="E1084" s="15" t="inlineStr">
        <is>
          <t>SPV-A</t>
        </is>
      </c>
      <c r="F1084" s="1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G1084" s="13" t="inlineStr">
        <is>
          <t>Tinggi</t>
        </is>
      </c>
      <c r="H1084" s="18" t="n"/>
      <c r="I1084" s="18" t="n"/>
      <c r="J1084" s="18" t="n"/>
      <c r="K1084" s="18" t="n"/>
      <c r="L1084" s="18" t="n"/>
    </row>
    <row r="1085" ht="96.39999999999999" customHeight="1">
      <c r="A1085" s="10" t="n">
        <v>1081</v>
      </c>
      <c r="B1085" s="11" t="inlineStr">
        <is>
          <t>LP-W-05</t>
        </is>
      </c>
      <c r="C1085" s="5" t="inlineStr">
        <is>
          <t>Persen cakupan: tanda pisah vs 0,0%</t>
        </is>
      </c>
      <c r="D1085" s="12" t="inlineStr">
        <is>
          <t>Cages Track</t>
        </is>
      </c>
      <c r="E1085" s="5" t="inlineStr">
        <is>
          <t>SPV-A</t>
        </is>
      </c>
      <c r="F108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G1085" s="13" t="inlineStr">
        <is>
          <t>Tinggi</t>
        </is>
      </c>
      <c r="H1085" s="18" t="n"/>
      <c r="I1085" s="18" t="n"/>
      <c r="J1085" s="18" t="n"/>
      <c r="K1085" s="18" t="n"/>
      <c r="L1085" s="18" t="n"/>
    </row>
    <row r="1086" ht="96.39999999999999" customHeight="1">
      <c r="A1086" s="14" t="n">
        <v>1082</v>
      </c>
      <c r="B1086" s="16" t="inlineStr">
        <is>
          <t>LP-W-05</t>
        </is>
      </c>
      <c r="C1086" s="15" t="inlineStr">
        <is>
          <t>Persen cakupan: tanda pisah vs 0,0%</t>
        </is>
      </c>
      <c r="D1086" s="17" t="inlineStr">
        <is>
          <t>Sterilizer</t>
        </is>
      </c>
      <c r="E1086" s="15" t="inlineStr">
        <is>
          <t>SPV-A</t>
        </is>
      </c>
      <c r="F1086" s="1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G1086" s="13" t="inlineStr">
        <is>
          <t>Tinggi</t>
        </is>
      </c>
      <c r="H1086" s="18" t="n"/>
      <c r="I1086" s="18" t="n"/>
      <c r="J1086" s="18" t="n"/>
      <c r="K1086" s="18" t="n"/>
      <c r="L1086" s="18" t="n"/>
    </row>
    <row r="1087" ht="96.39999999999999" customHeight="1">
      <c r="A1087" s="10" t="n">
        <v>1083</v>
      </c>
      <c r="B1087" s="11" t="inlineStr">
        <is>
          <t>LP-W-05</t>
        </is>
      </c>
      <c r="C1087" s="5" t="inlineStr">
        <is>
          <t>Persen cakupan: tanda pisah vs 0,0%</t>
        </is>
      </c>
      <c r="D1087" s="12" t="inlineStr">
        <is>
          <t>Threshing</t>
        </is>
      </c>
      <c r="E1087" s="5" t="inlineStr">
        <is>
          <t>SPV-A</t>
        </is>
      </c>
      <c r="F108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G1087" s="13" t="inlineStr">
        <is>
          <t>Tinggi</t>
        </is>
      </c>
      <c r="H1087" s="18" t="n"/>
      <c r="I1087" s="18" t="n"/>
      <c r="J1087" s="18" t="n"/>
      <c r="K1087" s="18" t="n"/>
      <c r="L1087" s="18" t="n"/>
    </row>
    <row r="1088" ht="96.39999999999999" customHeight="1">
      <c r="A1088" s="14" t="n">
        <v>1084</v>
      </c>
      <c r="B1088" s="16" t="inlineStr">
        <is>
          <t>LP-W-05</t>
        </is>
      </c>
      <c r="C1088" s="15" t="inlineStr">
        <is>
          <t>Persen cakupan: tanda pisah vs 0,0%</t>
        </is>
      </c>
      <c r="D1088" s="17" t="inlineStr">
        <is>
          <t>Pressing</t>
        </is>
      </c>
      <c r="E1088" s="15" t="inlineStr">
        <is>
          <t>SPV-A</t>
        </is>
      </c>
      <c r="F1088" s="1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G1088" s="13" t="inlineStr">
        <is>
          <t>Tinggi</t>
        </is>
      </c>
      <c r="H1088" s="18" t="n"/>
      <c r="I1088" s="18" t="n"/>
      <c r="J1088" s="18" t="n"/>
      <c r="K1088" s="18" t="n"/>
      <c r="L1088" s="18" t="n"/>
    </row>
    <row r="1089" ht="96.39999999999999" customHeight="1">
      <c r="A1089" s="10" t="n">
        <v>1085</v>
      </c>
      <c r="B1089" s="11" t="inlineStr">
        <is>
          <t>LP-W-05</t>
        </is>
      </c>
      <c r="C1089" s="5" t="inlineStr">
        <is>
          <t>Persen cakupan: tanda pisah vs 0,0%</t>
        </is>
      </c>
      <c r="D1089" s="12" t="inlineStr">
        <is>
          <t>Clarification</t>
        </is>
      </c>
      <c r="E1089" s="5" t="inlineStr">
        <is>
          <t>SPV-A</t>
        </is>
      </c>
      <c r="F108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G1089" s="13" t="inlineStr">
        <is>
          <t>Tinggi</t>
        </is>
      </c>
      <c r="H1089" s="18" t="n"/>
      <c r="I1089" s="18" t="n"/>
      <c r="J1089" s="18" t="n"/>
      <c r="K1089" s="18" t="n"/>
      <c r="L1089" s="18" t="n"/>
    </row>
    <row r="1090" ht="96.39999999999999" customHeight="1">
      <c r="A1090" s="14" t="n">
        <v>1086</v>
      </c>
      <c r="B1090" s="16" t="inlineStr">
        <is>
          <t>LP-W-05</t>
        </is>
      </c>
      <c r="C1090" s="15" t="inlineStr">
        <is>
          <t>Persen cakupan: tanda pisah vs 0,0%</t>
        </is>
      </c>
      <c r="D1090" s="17" t="inlineStr">
        <is>
          <t>Kernel Plant</t>
        </is>
      </c>
      <c r="E1090" s="15" t="inlineStr">
        <is>
          <t>SPV-A</t>
        </is>
      </c>
      <c r="F1090" s="1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G1090" s="13" t="inlineStr">
        <is>
          <t>Tinggi</t>
        </is>
      </c>
      <c r="H1090" s="18" t="n"/>
      <c r="I1090" s="18" t="n"/>
      <c r="J1090" s="18" t="n"/>
      <c r="K1090" s="18" t="n"/>
      <c r="L1090" s="18" t="n"/>
    </row>
    <row r="1091" ht="96.39999999999999" customHeight="1">
      <c r="A1091" s="10" t="n">
        <v>1087</v>
      </c>
      <c r="B1091" s="11" t="inlineStr">
        <is>
          <t>LP-W-05</t>
        </is>
      </c>
      <c r="C1091" s="5" t="inlineStr">
        <is>
          <t>Persen cakupan: tanda pisah vs 0,0%</t>
        </is>
      </c>
      <c r="D1091" s="12" t="inlineStr">
        <is>
          <t>Boiler Room</t>
        </is>
      </c>
      <c r="E1091" s="5" t="inlineStr">
        <is>
          <t>SPV-A</t>
        </is>
      </c>
      <c r="F109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G1091" s="13" t="inlineStr">
        <is>
          <t>Tinggi</t>
        </is>
      </c>
      <c r="H1091" s="18" t="n"/>
      <c r="I1091" s="18" t="n"/>
      <c r="J1091" s="18" t="n"/>
      <c r="K1091" s="18" t="n"/>
      <c r="L1091" s="18" t="n"/>
    </row>
    <row r="1092" ht="96.39999999999999" customHeight="1">
      <c r="A1092" s="14" t="n">
        <v>1088</v>
      </c>
      <c r="B1092" s="16" t="inlineStr">
        <is>
          <t>LP-W-05</t>
        </is>
      </c>
      <c r="C1092" s="15" t="inlineStr">
        <is>
          <t>Persen cakupan: tanda pisah vs 0,0%</t>
        </is>
      </c>
      <c r="D1092" s="17" t="inlineStr">
        <is>
          <t>Depricarping</t>
        </is>
      </c>
      <c r="E1092" s="15" t="inlineStr">
        <is>
          <t>SPV-A</t>
        </is>
      </c>
      <c r="F1092" s="1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G1092" s="13" t="inlineStr">
        <is>
          <t>Tinggi</t>
        </is>
      </c>
      <c r="H1092" s="18" t="n"/>
      <c r="I1092" s="18" t="n"/>
      <c r="J1092" s="18" t="n"/>
      <c r="K1092" s="18" t="n"/>
      <c r="L1092" s="18" t="n"/>
    </row>
    <row r="1093" ht="96.39999999999999" customHeight="1">
      <c r="A1093" s="10" t="n">
        <v>1089</v>
      </c>
      <c r="B1093" s="11" t="inlineStr">
        <is>
          <t>LP-W-05</t>
        </is>
      </c>
      <c r="C1093" s="5" t="inlineStr">
        <is>
          <t>Persen cakupan: tanda pisah vs 0,0%</t>
        </is>
      </c>
      <c r="D1093" s="12" t="inlineStr">
        <is>
          <t>Storage Tank</t>
        </is>
      </c>
      <c r="E1093" s="5" t="inlineStr">
        <is>
          <t>SPV-A</t>
        </is>
      </c>
      <c r="F109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G1093" s="13" t="inlineStr">
        <is>
          <t>Tinggi</t>
        </is>
      </c>
      <c r="H1093" s="18" t="n"/>
      <c r="I1093" s="18" t="n"/>
      <c r="J1093" s="18" t="n"/>
      <c r="K1093" s="18" t="n"/>
      <c r="L1093" s="18" t="n"/>
    </row>
    <row r="1094" ht="96.39999999999999" customHeight="1">
      <c r="A1094" s="14" t="n">
        <v>1090</v>
      </c>
      <c r="B1094" s="16" t="inlineStr">
        <is>
          <t>LP-W-06</t>
        </is>
      </c>
      <c r="C1094" s="15" t="inlineStr">
        <is>
          <t>Periode belum mulai dijelaskan sebagai BELUM MULAI</t>
        </is>
      </c>
      <c r="D1094" s="17" t="inlineStr">
        <is>
          <t>Weighbridge</t>
        </is>
      </c>
      <c r="E1094" s="15" t="inlineStr">
        <is>
          <t>SPV-A</t>
        </is>
      </c>
      <c r="F1094" s="1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G1094" s="13" t="inlineStr">
        <is>
          <t>Tinggi</t>
        </is>
      </c>
      <c r="H1094" s="18" t="n"/>
      <c r="I1094" s="18" t="n"/>
      <c r="J1094" s="18" t="n"/>
      <c r="K1094" s="18" t="n"/>
      <c r="L1094" s="18" t="n"/>
    </row>
    <row r="1095" ht="96.39999999999999" customHeight="1">
      <c r="A1095" s="10" t="n">
        <v>1091</v>
      </c>
      <c r="B1095" s="11" t="inlineStr">
        <is>
          <t>LP-W-06</t>
        </is>
      </c>
      <c r="C1095" s="5" t="inlineStr">
        <is>
          <t>Periode belum mulai dijelaskan sebagai BELUM MULAI</t>
        </is>
      </c>
      <c r="D1095" s="12" t="inlineStr">
        <is>
          <t>Grading</t>
        </is>
      </c>
      <c r="E1095" s="5" t="inlineStr">
        <is>
          <t>SPV-A</t>
        </is>
      </c>
      <c r="F109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G1095" s="13" t="inlineStr">
        <is>
          <t>Tinggi</t>
        </is>
      </c>
      <c r="H1095" s="18" t="n"/>
      <c r="I1095" s="18" t="n"/>
      <c r="J1095" s="18" t="n"/>
      <c r="K1095" s="18" t="n"/>
      <c r="L1095" s="18" t="n"/>
    </row>
    <row r="1096" ht="96.39999999999999" customHeight="1">
      <c r="A1096" s="14" t="n">
        <v>1092</v>
      </c>
      <c r="B1096" s="16" t="inlineStr">
        <is>
          <t>LP-W-06</t>
        </is>
      </c>
      <c r="C1096" s="15" t="inlineStr">
        <is>
          <t>Periode belum mulai dijelaskan sebagai BELUM MULAI</t>
        </is>
      </c>
      <c r="D1096" s="17" t="inlineStr">
        <is>
          <t>Cages Track</t>
        </is>
      </c>
      <c r="E1096" s="15" t="inlineStr">
        <is>
          <t>SPV-A</t>
        </is>
      </c>
      <c r="F1096" s="1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G1096" s="13" t="inlineStr">
        <is>
          <t>Tinggi</t>
        </is>
      </c>
      <c r="H1096" s="18" t="n"/>
      <c r="I1096" s="18" t="n"/>
      <c r="J1096" s="18" t="n"/>
      <c r="K1096" s="18" t="n"/>
      <c r="L1096" s="18" t="n"/>
    </row>
    <row r="1097" ht="96.39999999999999" customHeight="1">
      <c r="A1097" s="10" t="n">
        <v>1093</v>
      </c>
      <c r="B1097" s="11" t="inlineStr">
        <is>
          <t>LP-W-06</t>
        </is>
      </c>
      <c r="C1097" s="5" t="inlineStr">
        <is>
          <t>Periode belum mulai dijelaskan sebagai BELUM MULAI</t>
        </is>
      </c>
      <c r="D1097" s="12" t="inlineStr">
        <is>
          <t>Sterilizer</t>
        </is>
      </c>
      <c r="E1097" s="5" t="inlineStr">
        <is>
          <t>SPV-A</t>
        </is>
      </c>
      <c r="F109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G1097" s="13" t="inlineStr">
        <is>
          <t>Tinggi</t>
        </is>
      </c>
      <c r="H1097" s="18" t="n"/>
      <c r="I1097" s="18" t="n"/>
      <c r="J1097" s="18" t="n"/>
      <c r="K1097" s="18" t="n"/>
      <c r="L1097" s="18" t="n"/>
    </row>
    <row r="1098" ht="96.39999999999999" customHeight="1">
      <c r="A1098" s="14" t="n">
        <v>1094</v>
      </c>
      <c r="B1098" s="16" t="inlineStr">
        <is>
          <t>LP-W-06</t>
        </is>
      </c>
      <c r="C1098" s="15" t="inlineStr">
        <is>
          <t>Periode belum mulai dijelaskan sebagai BELUM MULAI</t>
        </is>
      </c>
      <c r="D1098" s="17" t="inlineStr">
        <is>
          <t>Threshing</t>
        </is>
      </c>
      <c r="E1098" s="15" t="inlineStr">
        <is>
          <t>SPV-A</t>
        </is>
      </c>
      <c r="F1098" s="1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G1098" s="13" t="inlineStr">
        <is>
          <t>Tinggi</t>
        </is>
      </c>
      <c r="H1098" s="18" t="n"/>
      <c r="I1098" s="18" t="n"/>
      <c r="J1098" s="18" t="n"/>
      <c r="K1098" s="18" t="n"/>
      <c r="L1098" s="18" t="n"/>
    </row>
    <row r="1099" ht="96.39999999999999" customHeight="1">
      <c r="A1099" s="10" t="n">
        <v>1095</v>
      </c>
      <c r="B1099" s="11" t="inlineStr">
        <is>
          <t>LP-W-06</t>
        </is>
      </c>
      <c r="C1099" s="5" t="inlineStr">
        <is>
          <t>Periode belum mulai dijelaskan sebagai BELUM MULAI</t>
        </is>
      </c>
      <c r="D1099" s="12" t="inlineStr">
        <is>
          <t>Pressing</t>
        </is>
      </c>
      <c r="E1099" s="5" t="inlineStr">
        <is>
          <t>SPV-A</t>
        </is>
      </c>
      <c r="F109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G1099" s="13" t="inlineStr">
        <is>
          <t>Tinggi</t>
        </is>
      </c>
      <c r="H1099" s="18" t="n"/>
      <c r="I1099" s="18" t="n"/>
      <c r="J1099" s="18" t="n"/>
      <c r="K1099" s="18" t="n"/>
      <c r="L1099" s="18" t="n"/>
    </row>
    <row r="1100" ht="96.39999999999999" customHeight="1">
      <c r="A1100" s="14" t="n">
        <v>1096</v>
      </c>
      <c r="B1100" s="16" t="inlineStr">
        <is>
          <t>LP-W-06</t>
        </is>
      </c>
      <c r="C1100" s="15" t="inlineStr">
        <is>
          <t>Periode belum mulai dijelaskan sebagai BELUM MULAI</t>
        </is>
      </c>
      <c r="D1100" s="17" t="inlineStr">
        <is>
          <t>Clarification</t>
        </is>
      </c>
      <c r="E1100" s="15" t="inlineStr">
        <is>
          <t>SPV-A</t>
        </is>
      </c>
      <c r="F1100" s="1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G1100" s="13" t="inlineStr">
        <is>
          <t>Tinggi</t>
        </is>
      </c>
      <c r="H1100" s="18" t="n"/>
      <c r="I1100" s="18" t="n"/>
      <c r="J1100" s="18" t="n"/>
      <c r="K1100" s="18" t="n"/>
      <c r="L1100" s="18" t="n"/>
    </row>
    <row r="1101" ht="96.39999999999999" customHeight="1">
      <c r="A1101" s="10" t="n">
        <v>1097</v>
      </c>
      <c r="B1101" s="11" t="inlineStr">
        <is>
          <t>LP-W-06</t>
        </is>
      </c>
      <c r="C1101" s="5" t="inlineStr">
        <is>
          <t>Periode belum mulai dijelaskan sebagai BELUM MULAI</t>
        </is>
      </c>
      <c r="D1101" s="12" t="inlineStr">
        <is>
          <t>Kernel Plant</t>
        </is>
      </c>
      <c r="E1101" s="5" t="inlineStr">
        <is>
          <t>SPV-A</t>
        </is>
      </c>
      <c r="F1101"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G1101" s="13" t="inlineStr">
        <is>
          <t>Tinggi</t>
        </is>
      </c>
      <c r="H1101" s="18" t="n"/>
      <c r="I1101" s="18" t="n"/>
      <c r="J1101" s="18" t="n"/>
      <c r="K1101" s="18" t="n"/>
      <c r="L1101" s="18" t="n"/>
    </row>
    <row r="1102" ht="96.39999999999999" customHeight="1">
      <c r="A1102" s="14" t="n">
        <v>1098</v>
      </c>
      <c r="B1102" s="16" t="inlineStr">
        <is>
          <t>LP-W-06</t>
        </is>
      </c>
      <c r="C1102" s="15" t="inlineStr">
        <is>
          <t>Periode belum mulai dijelaskan sebagai BELUM MULAI</t>
        </is>
      </c>
      <c r="D1102" s="17" t="inlineStr">
        <is>
          <t>Boiler Room</t>
        </is>
      </c>
      <c r="E1102" s="15" t="inlineStr">
        <is>
          <t>SPV-A</t>
        </is>
      </c>
      <c r="F1102" s="1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G1102" s="13" t="inlineStr">
        <is>
          <t>Tinggi</t>
        </is>
      </c>
      <c r="H1102" s="18" t="n"/>
      <c r="I1102" s="18" t="n"/>
      <c r="J1102" s="18" t="n"/>
      <c r="K1102" s="18" t="n"/>
      <c r="L1102" s="18" t="n"/>
    </row>
    <row r="1103" ht="96.39999999999999" customHeight="1">
      <c r="A1103" s="10" t="n">
        <v>1099</v>
      </c>
      <c r="B1103" s="11" t="inlineStr">
        <is>
          <t>LP-W-06</t>
        </is>
      </c>
      <c r="C1103" s="5" t="inlineStr">
        <is>
          <t>Periode belum mulai dijelaskan sebagai BELUM MULAI</t>
        </is>
      </c>
      <c r="D1103" s="12" t="inlineStr">
        <is>
          <t>Depricarping</t>
        </is>
      </c>
      <c r="E1103" s="5" t="inlineStr">
        <is>
          <t>SPV-A</t>
        </is>
      </c>
      <c r="F110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G1103" s="13" t="inlineStr">
        <is>
          <t>Tinggi</t>
        </is>
      </c>
      <c r="H1103" s="18" t="n"/>
      <c r="I1103" s="18" t="n"/>
      <c r="J1103" s="18" t="n"/>
      <c r="K1103" s="18" t="n"/>
      <c r="L1103" s="18" t="n"/>
    </row>
    <row r="1104" ht="96.39999999999999" customHeight="1">
      <c r="A1104" s="14" t="n">
        <v>1100</v>
      </c>
      <c r="B1104" s="16" t="inlineStr">
        <is>
          <t>LP-W-06</t>
        </is>
      </c>
      <c r="C1104" s="15" t="inlineStr">
        <is>
          <t>Periode belum mulai dijelaskan sebagai BELUM MULAI</t>
        </is>
      </c>
      <c r="D1104" s="17" t="inlineStr">
        <is>
          <t>Storage Tank</t>
        </is>
      </c>
      <c r="E1104" s="15" t="inlineStr">
        <is>
          <t>SPV-A</t>
        </is>
      </c>
      <c r="F1104" s="1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G1104" s="13" t="inlineStr">
        <is>
          <t>Tinggi</t>
        </is>
      </c>
      <c r="H1104" s="18" t="n"/>
      <c r="I1104" s="18" t="n"/>
      <c r="J1104" s="18" t="n"/>
      <c r="K1104" s="18" t="n"/>
      <c r="L1104" s="18" t="n"/>
    </row>
    <row r="1105" ht="83.19999999999999" customHeight="1">
      <c r="A1105" s="10" t="n">
        <v>1101</v>
      </c>
      <c r="B1105" s="11" t="inlineStr">
        <is>
          <t>LP-W-07</t>
        </is>
      </c>
      <c r="C1105" s="5" t="inlineStr">
        <is>
          <t>Periode sedang berjalan: penyebut berhenti di hari ini</t>
        </is>
      </c>
      <c r="D1105" s="12" t="inlineStr">
        <is>
          <t>Weighbridge</t>
        </is>
      </c>
      <c r="E1105" s="5" t="inlineStr">
        <is>
          <t>SPV-A</t>
        </is>
      </c>
      <c r="F1105" s="5" t="inlineStr">
        <is>
          <t>- Keterangannya menyebut periode sedang berjalan.
- Jumlah hari yang dihitung berhenti di hari ini — bukan seluruh panjang periode.
- Kalau yang dipakai seluruh panjang periode, persen cakupan akan selalu terlihat rendah sampai periode berakhir; itu temuan.</t>
        </is>
      </c>
      <c r="G1105" s="13" t="inlineStr">
        <is>
          <t>Tinggi</t>
        </is>
      </c>
      <c r="H1105" s="18" t="n"/>
      <c r="I1105" s="18" t="n"/>
      <c r="J1105" s="18" t="n"/>
      <c r="K1105" s="18" t="n"/>
      <c r="L1105" s="18" t="n"/>
    </row>
    <row r="1106" ht="83.19999999999999" customHeight="1">
      <c r="A1106" s="14" t="n">
        <v>1102</v>
      </c>
      <c r="B1106" s="16" t="inlineStr">
        <is>
          <t>LP-W-07</t>
        </is>
      </c>
      <c r="C1106" s="15" t="inlineStr">
        <is>
          <t>Periode sedang berjalan: penyebut berhenti di hari ini</t>
        </is>
      </c>
      <c r="D1106" s="17" t="inlineStr">
        <is>
          <t>Grading</t>
        </is>
      </c>
      <c r="E1106" s="15" t="inlineStr">
        <is>
          <t>SPV-A</t>
        </is>
      </c>
      <c r="F1106" s="15" t="inlineStr">
        <is>
          <t>- Keterangannya menyebut periode sedang berjalan.
- Jumlah hari yang dihitung berhenti di hari ini — bukan seluruh panjang periode.
- Kalau yang dipakai seluruh panjang periode, persen cakupan akan selalu terlihat rendah sampai periode berakhir; itu temuan.</t>
        </is>
      </c>
      <c r="G1106" s="13" t="inlineStr">
        <is>
          <t>Tinggi</t>
        </is>
      </c>
      <c r="H1106" s="18" t="n"/>
      <c r="I1106" s="18" t="n"/>
      <c r="J1106" s="18" t="n"/>
      <c r="K1106" s="18" t="n"/>
      <c r="L1106" s="18" t="n"/>
    </row>
    <row r="1107" ht="83.19999999999999" customHeight="1">
      <c r="A1107" s="10" t="n">
        <v>1103</v>
      </c>
      <c r="B1107" s="11" t="inlineStr">
        <is>
          <t>LP-W-07</t>
        </is>
      </c>
      <c r="C1107" s="5" t="inlineStr">
        <is>
          <t>Periode sedang berjalan: penyebut berhenti di hari ini</t>
        </is>
      </c>
      <c r="D1107" s="12" t="inlineStr">
        <is>
          <t>Cages Track</t>
        </is>
      </c>
      <c r="E1107" s="5" t="inlineStr">
        <is>
          <t>SPV-A</t>
        </is>
      </c>
      <c r="F1107" s="5" t="inlineStr">
        <is>
          <t>- Keterangannya menyebut periode sedang berjalan.
- Jumlah hari yang dihitung berhenti di hari ini — bukan seluruh panjang periode.
- Kalau yang dipakai seluruh panjang periode, persen cakupan akan selalu terlihat rendah sampai periode berakhir; itu temuan.</t>
        </is>
      </c>
      <c r="G1107" s="13" t="inlineStr">
        <is>
          <t>Tinggi</t>
        </is>
      </c>
      <c r="H1107" s="18" t="n"/>
      <c r="I1107" s="18" t="n"/>
      <c r="J1107" s="18" t="n"/>
      <c r="K1107" s="18" t="n"/>
      <c r="L1107" s="18" t="n"/>
    </row>
    <row r="1108" ht="83.19999999999999" customHeight="1">
      <c r="A1108" s="14" t="n">
        <v>1104</v>
      </c>
      <c r="B1108" s="16" t="inlineStr">
        <is>
          <t>LP-W-07</t>
        </is>
      </c>
      <c r="C1108" s="15" t="inlineStr">
        <is>
          <t>Periode sedang berjalan: penyebut berhenti di hari ini</t>
        </is>
      </c>
      <c r="D1108" s="17" t="inlineStr">
        <is>
          <t>Sterilizer</t>
        </is>
      </c>
      <c r="E1108" s="15" t="inlineStr">
        <is>
          <t>SPV-A</t>
        </is>
      </c>
      <c r="F1108" s="15" t="inlineStr">
        <is>
          <t>- Keterangannya menyebut periode sedang berjalan.
- Jumlah hari yang dihitung berhenti di hari ini — bukan seluruh panjang periode.
- Kalau yang dipakai seluruh panjang periode, persen cakupan akan selalu terlihat rendah sampai periode berakhir; itu temuan.</t>
        </is>
      </c>
      <c r="G1108" s="13" t="inlineStr">
        <is>
          <t>Tinggi</t>
        </is>
      </c>
      <c r="H1108" s="18" t="n"/>
      <c r="I1108" s="18" t="n"/>
      <c r="J1108" s="18" t="n"/>
      <c r="K1108" s="18" t="n"/>
      <c r="L1108" s="18" t="n"/>
    </row>
    <row r="1109" ht="83.19999999999999" customHeight="1">
      <c r="A1109" s="10" t="n">
        <v>1105</v>
      </c>
      <c r="B1109" s="11" t="inlineStr">
        <is>
          <t>LP-W-07</t>
        </is>
      </c>
      <c r="C1109" s="5" t="inlineStr">
        <is>
          <t>Periode sedang berjalan: penyebut berhenti di hari ini</t>
        </is>
      </c>
      <c r="D1109" s="12" t="inlineStr">
        <is>
          <t>Threshing</t>
        </is>
      </c>
      <c r="E1109" s="5" t="inlineStr">
        <is>
          <t>SPV-A</t>
        </is>
      </c>
      <c r="F1109" s="5" t="inlineStr">
        <is>
          <t>- Keterangannya menyebut periode sedang berjalan.
- Jumlah hari yang dihitung berhenti di hari ini — bukan seluruh panjang periode.
- Kalau yang dipakai seluruh panjang periode, persen cakupan akan selalu terlihat rendah sampai periode berakhir; itu temuan.</t>
        </is>
      </c>
      <c r="G1109" s="13" t="inlineStr">
        <is>
          <t>Tinggi</t>
        </is>
      </c>
      <c r="H1109" s="18" t="n"/>
      <c r="I1109" s="18" t="n"/>
      <c r="J1109" s="18" t="n"/>
      <c r="K1109" s="18" t="n"/>
      <c r="L1109" s="18" t="n"/>
    </row>
    <row r="1110" ht="83.19999999999999" customHeight="1">
      <c r="A1110" s="14" t="n">
        <v>1106</v>
      </c>
      <c r="B1110" s="16" t="inlineStr">
        <is>
          <t>LP-W-07</t>
        </is>
      </c>
      <c r="C1110" s="15" t="inlineStr">
        <is>
          <t>Periode sedang berjalan: penyebut berhenti di hari ini</t>
        </is>
      </c>
      <c r="D1110" s="17" t="inlineStr">
        <is>
          <t>Pressing</t>
        </is>
      </c>
      <c r="E1110" s="15" t="inlineStr">
        <is>
          <t>SPV-A</t>
        </is>
      </c>
      <c r="F1110" s="15" t="inlineStr">
        <is>
          <t>- Keterangannya menyebut periode sedang berjalan.
- Jumlah hari yang dihitung berhenti di hari ini — bukan seluruh panjang periode.
- Kalau yang dipakai seluruh panjang periode, persen cakupan akan selalu terlihat rendah sampai periode berakhir; itu temuan.</t>
        </is>
      </c>
      <c r="G1110" s="13" t="inlineStr">
        <is>
          <t>Tinggi</t>
        </is>
      </c>
      <c r="H1110" s="18" t="n"/>
      <c r="I1110" s="18" t="n"/>
      <c r="J1110" s="18" t="n"/>
      <c r="K1110" s="18" t="n"/>
      <c r="L1110" s="18" t="n"/>
    </row>
    <row r="1111" ht="83.19999999999999" customHeight="1">
      <c r="A1111" s="10" t="n">
        <v>1107</v>
      </c>
      <c r="B1111" s="11" t="inlineStr">
        <is>
          <t>LP-W-07</t>
        </is>
      </c>
      <c r="C1111" s="5" t="inlineStr">
        <is>
          <t>Periode sedang berjalan: penyebut berhenti di hari ini</t>
        </is>
      </c>
      <c r="D1111" s="12" t="inlineStr">
        <is>
          <t>Clarification</t>
        </is>
      </c>
      <c r="E1111" s="5" t="inlineStr">
        <is>
          <t>SPV-A</t>
        </is>
      </c>
      <c r="F1111" s="5" t="inlineStr">
        <is>
          <t>- Keterangannya menyebut periode sedang berjalan.
- Jumlah hari yang dihitung berhenti di hari ini — bukan seluruh panjang periode.
- Kalau yang dipakai seluruh panjang periode, persen cakupan akan selalu terlihat rendah sampai periode berakhir; itu temuan.</t>
        </is>
      </c>
      <c r="G1111" s="13" t="inlineStr">
        <is>
          <t>Tinggi</t>
        </is>
      </c>
      <c r="H1111" s="18" t="n"/>
      <c r="I1111" s="18" t="n"/>
      <c r="J1111" s="18" t="n"/>
      <c r="K1111" s="18" t="n"/>
      <c r="L1111" s="18" t="n"/>
    </row>
    <row r="1112" ht="83.19999999999999" customHeight="1">
      <c r="A1112" s="14" t="n">
        <v>1108</v>
      </c>
      <c r="B1112" s="16" t="inlineStr">
        <is>
          <t>LP-W-07</t>
        </is>
      </c>
      <c r="C1112" s="15" t="inlineStr">
        <is>
          <t>Periode sedang berjalan: penyebut berhenti di hari ini</t>
        </is>
      </c>
      <c r="D1112" s="17" t="inlineStr">
        <is>
          <t>Kernel Plant</t>
        </is>
      </c>
      <c r="E1112" s="15" t="inlineStr">
        <is>
          <t>SPV-A</t>
        </is>
      </c>
      <c r="F1112" s="15" t="inlineStr">
        <is>
          <t>- Keterangannya menyebut periode sedang berjalan.
- Jumlah hari yang dihitung berhenti di hari ini — bukan seluruh panjang periode.
- Kalau yang dipakai seluruh panjang periode, persen cakupan akan selalu terlihat rendah sampai periode berakhir; itu temuan.</t>
        </is>
      </c>
      <c r="G1112" s="13" t="inlineStr">
        <is>
          <t>Tinggi</t>
        </is>
      </c>
      <c r="H1112" s="18" t="n"/>
      <c r="I1112" s="18" t="n"/>
      <c r="J1112" s="18" t="n"/>
      <c r="K1112" s="18" t="n"/>
      <c r="L1112" s="18" t="n"/>
    </row>
    <row r="1113" ht="83.19999999999999" customHeight="1">
      <c r="A1113" s="10" t="n">
        <v>1109</v>
      </c>
      <c r="B1113" s="11" t="inlineStr">
        <is>
          <t>LP-W-07</t>
        </is>
      </c>
      <c r="C1113" s="5" t="inlineStr">
        <is>
          <t>Periode sedang berjalan: penyebut berhenti di hari ini</t>
        </is>
      </c>
      <c r="D1113" s="12" t="inlineStr">
        <is>
          <t>Boiler Room</t>
        </is>
      </c>
      <c r="E1113" s="5" t="inlineStr">
        <is>
          <t>SPV-A</t>
        </is>
      </c>
      <c r="F1113" s="5" t="inlineStr">
        <is>
          <t>- Keterangannya menyebut periode sedang berjalan.
- Jumlah hari yang dihitung berhenti di hari ini — bukan seluruh panjang periode.
- Kalau yang dipakai seluruh panjang periode, persen cakupan akan selalu terlihat rendah sampai periode berakhir; itu temuan.</t>
        </is>
      </c>
      <c r="G1113" s="13" t="inlineStr">
        <is>
          <t>Tinggi</t>
        </is>
      </c>
      <c r="H1113" s="18" t="n"/>
      <c r="I1113" s="18" t="n"/>
      <c r="J1113" s="18" t="n"/>
      <c r="K1113" s="18" t="n"/>
      <c r="L1113" s="18" t="n"/>
    </row>
    <row r="1114" ht="83.19999999999999" customHeight="1">
      <c r="A1114" s="14" t="n">
        <v>1110</v>
      </c>
      <c r="B1114" s="16" t="inlineStr">
        <is>
          <t>LP-W-07</t>
        </is>
      </c>
      <c r="C1114" s="15" t="inlineStr">
        <is>
          <t>Periode sedang berjalan: penyebut berhenti di hari ini</t>
        </is>
      </c>
      <c r="D1114" s="17" t="inlineStr">
        <is>
          <t>Depricarping</t>
        </is>
      </c>
      <c r="E1114" s="15" t="inlineStr">
        <is>
          <t>SPV-A</t>
        </is>
      </c>
      <c r="F1114" s="15" t="inlineStr">
        <is>
          <t>- Keterangannya menyebut periode sedang berjalan.
- Jumlah hari yang dihitung berhenti di hari ini — bukan seluruh panjang periode.
- Kalau yang dipakai seluruh panjang periode, persen cakupan akan selalu terlihat rendah sampai periode berakhir; itu temuan.</t>
        </is>
      </c>
      <c r="G1114" s="13" t="inlineStr">
        <is>
          <t>Tinggi</t>
        </is>
      </c>
      <c r="H1114" s="18" t="n"/>
      <c r="I1114" s="18" t="n"/>
      <c r="J1114" s="18" t="n"/>
      <c r="K1114" s="18" t="n"/>
      <c r="L1114" s="18" t="n"/>
    </row>
    <row r="1115" ht="83.19999999999999" customHeight="1">
      <c r="A1115" s="10" t="n">
        <v>1111</v>
      </c>
      <c r="B1115" s="11" t="inlineStr">
        <is>
          <t>LP-W-07</t>
        </is>
      </c>
      <c r="C1115" s="5" t="inlineStr">
        <is>
          <t>Periode sedang berjalan: penyebut berhenti di hari ini</t>
        </is>
      </c>
      <c r="D1115" s="12" t="inlineStr">
        <is>
          <t>Storage Tank</t>
        </is>
      </c>
      <c r="E1115" s="5" t="inlineStr">
        <is>
          <t>SPV-A</t>
        </is>
      </c>
      <c r="F1115" s="5" t="inlineStr">
        <is>
          <t>- Keterangannya menyebut periode sedang berjalan.
- Jumlah hari yang dihitung berhenti di hari ini — bukan seluruh panjang periode.
- Kalau yang dipakai seluruh panjang periode, persen cakupan akan selalu terlihat rendah sampai periode berakhir; itu temuan.</t>
        </is>
      </c>
      <c r="G1115" s="13" t="inlineStr">
        <is>
          <t>Tinggi</t>
        </is>
      </c>
      <c r="H1115" s="18" t="n"/>
      <c r="I1115" s="18" t="n"/>
      <c r="J1115" s="18" t="n"/>
      <c r="K1115" s="18" t="n"/>
      <c r="L1115" s="18" t="n"/>
    </row>
    <row r="1116" ht="70" customHeight="1">
      <c r="A1116" s="14" t="n">
        <v>1112</v>
      </c>
      <c r="B1116" s="16" t="inlineStr">
        <is>
          <t>LP-W-08</t>
        </is>
      </c>
      <c r="C1116" s="15" t="inlineStr">
        <is>
          <t>Mill tanpa periode stasiun itu memberi arahan</t>
        </is>
      </c>
      <c r="D1116" s="17" t="inlineStr">
        <is>
          <t>Weighbridge</t>
        </is>
      </c>
      <c r="E1116" s="15" t="inlineStr">
        <is>
          <t>SPV-A</t>
        </is>
      </c>
      <c r="F1116" s="15" t="inlineStr">
        <is>
          <t>- Muncul arahan yang menyebut periode — mis. agar Admin membuat periode lebih dulu.
- Pemilih periode tetap ada, dalam keadaan kosong.
- BUKAN layar kosong, BUKAN tabel nol baris, BUKAN angka 0.</t>
        </is>
      </c>
      <c r="G1116" s="14" t="inlineStr">
        <is>
          <t>Sedang</t>
        </is>
      </c>
      <c r="H1116" s="18" t="n"/>
      <c r="I1116" s="18" t="n"/>
      <c r="J1116" s="18" t="n"/>
      <c r="K1116" s="18" t="n"/>
      <c r="L1116" s="18" t="n"/>
    </row>
    <row r="1117" ht="70" customHeight="1">
      <c r="A1117" s="10" t="n">
        <v>1113</v>
      </c>
      <c r="B1117" s="11" t="inlineStr">
        <is>
          <t>LP-W-08</t>
        </is>
      </c>
      <c r="C1117" s="5" t="inlineStr">
        <is>
          <t>Mill tanpa periode stasiun itu memberi arahan</t>
        </is>
      </c>
      <c r="D1117" s="12" t="inlineStr">
        <is>
          <t>Grading</t>
        </is>
      </c>
      <c r="E1117" s="5" t="inlineStr">
        <is>
          <t>SPV-A</t>
        </is>
      </c>
      <c r="F1117" s="5" t="inlineStr">
        <is>
          <t>- Muncul arahan yang menyebut periode — mis. agar Admin membuat periode lebih dulu.
- Pemilih periode tetap ada, dalam keadaan kosong.
- BUKAN layar kosong, BUKAN tabel nol baris, BUKAN angka 0.</t>
        </is>
      </c>
      <c r="G1117" s="10" t="inlineStr">
        <is>
          <t>Sedang</t>
        </is>
      </c>
      <c r="H1117" s="18" t="n"/>
      <c r="I1117" s="18" t="n"/>
      <c r="J1117" s="18" t="n"/>
      <c r="K1117" s="18" t="n"/>
      <c r="L1117" s="18" t="n"/>
    </row>
    <row r="1118" ht="70" customHeight="1">
      <c r="A1118" s="14" t="n">
        <v>1114</v>
      </c>
      <c r="B1118" s="16" t="inlineStr">
        <is>
          <t>LP-W-08</t>
        </is>
      </c>
      <c r="C1118" s="15" t="inlineStr">
        <is>
          <t>Mill tanpa periode stasiun itu memberi arahan</t>
        </is>
      </c>
      <c r="D1118" s="17" t="inlineStr">
        <is>
          <t>Cages Track</t>
        </is>
      </c>
      <c r="E1118" s="15" t="inlineStr">
        <is>
          <t>SPV-A</t>
        </is>
      </c>
      <c r="F1118" s="15" t="inlineStr">
        <is>
          <t>- Muncul arahan yang menyebut periode — mis. agar Admin membuat periode lebih dulu.
- Pemilih periode tetap ada, dalam keadaan kosong.
- BUKAN layar kosong, BUKAN tabel nol baris, BUKAN angka 0.</t>
        </is>
      </c>
      <c r="G1118" s="14" t="inlineStr">
        <is>
          <t>Sedang</t>
        </is>
      </c>
      <c r="H1118" s="18" t="n"/>
      <c r="I1118" s="18" t="n"/>
      <c r="J1118" s="18" t="n"/>
      <c r="K1118" s="18" t="n"/>
      <c r="L1118" s="18" t="n"/>
    </row>
    <row r="1119" ht="70" customHeight="1">
      <c r="A1119" s="10" t="n">
        <v>1115</v>
      </c>
      <c r="B1119" s="11" t="inlineStr">
        <is>
          <t>LP-W-08</t>
        </is>
      </c>
      <c r="C1119" s="5" t="inlineStr">
        <is>
          <t>Mill tanpa periode stasiun itu memberi arahan</t>
        </is>
      </c>
      <c r="D1119" s="12" t="inlineStr">
        <is>
          <t>Sterilizer</t>
        </is>
      </c>
      <c r="E1119" s="5" t="inlineStr">
        <is>
          <t>SPV-A</t>
        </is>
      </c>
      <c r="F1119" s="5" t="inlineStr">
        <is>
          <t>- Muncul arahan yang menyebut periode — mis. agar Admin membuat periode lebih dulu.
- Pemilih periode tetap ada, dalam keadaan kosong.
- BUKAN layar kosong, BUKAN tabel nol baris, BUKAN angka 0.</t>
        </is>
      </c>
      <c r="G1119" s="10" t="inlineStr">
        <is>
          <t>Sedang</t>
        </is>
      </c>
      <c r="H1119" s="18" t="n"/>
      <c r="I1119" s="18" t="n"/>
      <c r="J1119" s="18" t="n"/>
      <c r="K1119" s="18" t="n"/>
      <c r="L1119" s="18" t="n"/>
    </row>
    <row r="1120" ht="70" customHeight="1">
      <c r="A1120" s="14" t="n">
        <v>1116</v>
      </c>
      <c r="B1120" s="16" t="inlineStr">
        <is>
          <t>LP-W-08</t>
        </is>
      </c>
      <c r="C1120" s="15" t="inlineStr">
        <is>
          <t>Mill tanpa periode stasiun itu memberi arahan</t>
        </is>
      </c>
      <c r="D1120" s="17" t="inlineStr">
        <is>
          <t>Threshing</t>
        </is>
      </c>
      <c r="E1120" s="15" t="inlineStr">
        <is>
          <t>SPV-A</t>
        </is>
      </c>
      <c r="F1120" s="15" t="inlineStr">
        <is>
          <t>- Muncul arahan yang menyebut periode — mis. agar Admin membuat periode lebih dulu.
- Pemilih periode tetap ada, dalam keadaan kosong.
- BUKAN layar kosong, BUKAN tabel nol baris, BUKAN angka 0.</t>
        </is>
      </c>
      <c r="G1120" s="14" t="inlineStr">
        <is>
          <t>Sedang</t>
        </is>
      </c>
      <c r="H1120" s="18" t="n"/>
      <c r="I1120" s="18" t="n"/>
      <c r="J1120" s="18" t="n"/>
      <c r="K1120" s="18" t="n"/>
      <c r="L1120" s="18" t="n"/>
    </row>
    <row r="1121" ht="70" customHeight="1">
      <c r="A1121" s="10" t="n">
        <v>1117</v>
      </c>
      <c r="B1121" s="11" t="inlineStr">
        <is>
          <t>LP-W-08</t>
        </is>
      </c>
      <c r="C1121" s="5" t="inlineStr">
        <is>
          <t>Mill tanpa periode stasiun itu memberi arahan</t>
        </is>
      </c>
      <c r="D1121" s="12" t="inlineStr">
        <is>
          <t>Pressing</t>
        </is>
      </c>
      <c r="E1121" s="5" t="inlineStr">
        <is>
          <t>SPV-A</t>
        </is>
      </c>
      <c r="F1121" s="5" t="inlineStr">
        <is>
          <t>- Muncul arahan yang menyebut periode — mis. agar Admin membuat periode lebih dulu.
- Pemilih periode tetap ada, dalam keadaan kosong.
- BUKAN layar kosong, BUKAN tabel nol baris, BUKAN angka 0.</t>
        </is>
      </c>
      <c r="G1121" s="10" t="inlineStr">
        <is>
          <t>Sedang</t>
        </is>
      </c>
      <c r="H1121" s="18" t="n"/>
      <c r="I1121" s="18" t="n"/>
      <c r="J1121" s="18" t="n"/>
      <c r="K1121" s="18" t="n"/>
      <c r="L1121" s="18" t="n"/>
    </row>
    <row r="1122" ht="70" customHeight="1">
      <c r="A1122" s="14" t="n">
        <v>1118</v>
      </c>
      <c r="B1122" s="16" t="inlineStr">
        <is>
          <t>LP-W-08</t>
        </is>
      </c>
      <c r="C1122" s="15" t="inlineStr">
        <is>
          <t>Mill tanpa periode stasiun itu memberi arahan</t>
        </is>
      </c>
      <c r="D1122" s="17" t="inlineStr">
        <is>
          <t>Clarification</t>
        </is>
      </c>
      <c r="E1122" s="15" t="inlineStr">
        <is>
          <t>SPV-A</t>
        </is>
      </c>
      <c r="F1122" s="15" t="inlineStr">
        <is>
          <t>- Muncul arahan yang menyebut periode — mis. agar Admin membuat periode lebih dulu.
- Pemilih periode tetap ada, dalam keadaan kosong.
- BUKAN layar kosong, BUKAN tabel nol baris, BUKAN angka 0.</t>
        </is>
      </c>
      <c r="G1122" s="14" t="inlineStr">
        <is>
          <t>Sedang</t>
        </is>
      </c>
      <c r="H1122" s="18" t="n"/>
      <c r="I1122" s="18" t="n"/>
      <c r="J1122" s="18" t="n"/>
      <c r="K1122" s="18" t="n"/>
      <c r="L1122" s="18" t="n"/>
    </row>
    <row r="1123" ht="70" customHeight="1">
      <c r="A1123" s="10" t="n">
        <v>1119</v>
      </c>
      <c r="B1123" s="11" t="inlineStr">
        <is>
          <t>LP-W-08</t>
        </is>
      </c>
      <c r="C1123" s="5" t="inlineStr">
        <is>
          <t>Mill tanpa periode stasiun itu memberi arahan</t>
        </is>
      </c>
      <c r="D1123" s="12" t="inlineStr">
        <is>
          <t>Kernel Plant</t>
        </is>
      </c>
      <c r="E1123" s="5" t="inlineStr">
        <is>
          <t>SPV-A</t>
        </is>
      </c>
      <c r="F1123" s="5" t="inlineStr">
        <is>
          <t>- Muncul arahan yang menyebut periode — mis. agar Admin membuat periode lebih dulu.
- Pemilih periode tetap ada, dalam keadaan kosong.
- BUKAN layar kosong, BUKAN tabel nol baris, BUKAN angka 0.</t>
        </is>
      </c>
      <c r="G1123" s="10" t="inlineStr">
        <is>
          <t>Sedang</t>
        </is>
      </c>
      <c r="H1123" s="18" t="n"/>
      <c r="I1123" s="18" t="n"/>
      <c r="J1123" s="18" t="n"/>
      <c r="K1123" s="18" t="n"/>
      <c r="L1123" s="18" t="n"/>
    </row>
    <row r="1124" ht="70" customHeight="1">
      <c r="A1124" s="14" t="n">
        <v>1120</v>
      </c>
      <c r="B1124" s="16" t="inlineStr">
        <is>
          <t>LP-W-08</t>
        </is>
      </c>
      <c r="C1124" s="15" t="inlineStr">
        <is>
          <t>Mill tanpa periode stasiun itu memberi arahan</t>
        </is>
      </c>
      <c r="D1124" s="17" t="inlineStr">
        <is>
          <t>Boiler Room</t>
        </is>
      </c>
      <c r="E1124" s="15" t="inlineStr">
        <is>
          <t>SPV-A</t>
        </is>
      </c>
      <c r="F1124" s="15" t="inlineStr">
        <is>
          <t>- Muncul arahan yang menyebut periode — mis. agar Admin membuat periode lebih dulu.
- Pemilih periode tetap ada, dalam keadaan kosong.
- BUKAN layar kosong, BUKAN tabel nol baris, BUKAN angka 0.</t>
        </is>
      </c>
      <c r="G1124" s="14" t="inlineStr">
        <is>
          <t>Sedang</t>
        </is>
      </c>
      <c r="H1124" s="18" t="n"/>
      <c r="I1124" s="18" t="n"/>
      <c r="J1124" s="18" t="n"/>
      <c r="K1124" s="18" t="n"/>
      <c r="L1124" s="18" t="n"/>
    </row>
    <row r="1125" ht="70" customHeight="1">
      <c r="A1125" s="10" t="n">
        <v>1121</v>
      </c>
      <c r="B1125" s="11" t="inlineStr">
        <is>
          <t>LP-W-08</t>
        </is>
      </c>
      <c r="C1125" s="5" t="inlineStr">
        <is>
          <t>Mill tanpa periode stasiun itu memberi arahan</t>
        </is>
      </c>
      <c r="D1125" s="12" t="inlineStr">
        <is>
          <t>Depricarping</t>
        </is>
      </c>
      <c r="E1125" s="5" t="inlineStr">
        <is>
          <t>SPV-A</t>
        </is>
      </c>
      <c r="F1125" s="5" t="inlineStr">
        <is>
          <t>- Muncul arahan yang menyebut periode — mis. agar Admin membuat periode lebih dulu.
- Pemilih periode tetap ada, dalam keadaan kosong.
- BUKAN layar kosong, BUKAN tabel nol baris, BUKAN angka 0.</t>
        </is>
      </c>
      <c r="G1125" s="10" t="inlineStr">
        <is>
          <t>Sedang</t>
        </is>
      </c>
      <c r="H1125" s="18" t="n"/>
      <c r="I1125" s="18" t="n"/>
      <c r="J1125" s="18" t="n"/>
      <c r="K1125" s="18" t="n"/>
      <c r="L1125" s="18" t="n"/>
    </row>
    <row r="1126" ht="70" customHeight="1">
      <c r="A1126" s="14" t="n">
        <v>1122</v>
      </c>
      <c r="B1126" s="16" t="inlineStr">
        <is>
          <t>LP-W-08</t>
        </is>
      </c>
      <c r="C1126" s="15" t="inlineStr">
        <is>
          <t>Mill tanpa periode stasiun itu memberi arahan</t>
        </is>
      </c>
      <c r="D1126" s="17" t="inlineStr">
        <is>
          <t>Storage Tank</t>
        </is>
      </c>
      <c r="E1126" s="15" t="inlineStr">
        <is>
          <t>SPV-A</t>
        </is>
      </c>
      <c r="F1126" s="15" t="inlineStr">
        <is>
          <t>- Muncul arahan yang menyebut periode — mis. agar Admin membuat periode lebih dulu.
- Pemilih periode tetap ada, dalam keadaan kosong.
- BUKAN layar kosong, BUKAN tabel nol baris, BUKAN angka 0.</t>
        </is>
      </c>
      <c r="G1126" s="14" t="inlineStr">
        <is>
          <t>Sedang</t>
        </is>
      </c>
      <c r="H1126" s="18" t="n"/>
      <c r="I1126" s="18" t="n"/>
      <c r="J1126" s="18" t="n"/>
      <c r="K1126" s="18" t="n"/>
      <c r="L1126" s="18" t="n"/>
    </row>
    <row r="1127" ht="83.19999999999999" customHeight="1">
      <c r="A1127" s="10" t="n">
        <v>1123</v>
      </c>
      <c r="B1127" s="11" t="inlineStr">
        <is>
          <t>LP-W-09</t>
        </is>
      </c>
      <c r="C1127" s="5" t="inlineStr">
        <is>
          <t>Admin berganti mill mereset pilihan periode dan line</t>
        </is>
      </c>
      <c r="D1127" s="12" t="inlineStr">
        <is>
          <t>Weighbridge</t>
        </is>
      </c>
      <c r="E1127" s="5" t="inlineStr">
        <is>
          <t>ADM</t>
        </is>
      </c>
      <c r="F112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G1127" s="13" t="inlineStr">
        <is>
          <t>Tinggi</t>
        </is>
      </c>
      <c r="H1127" s="18" t="n"/>
      <c r="I1127" s="18" t="n"/>
      <c r="J1127" s="18" t="n"/>
      <c r="K1127" s="18" t="n"/>
      <c r="L1127" s="18" t="n"/>
    </row>
    <row r="1128" ht="83.19999999999999" customHeight="1">
      <c r="A1128" s="14" t="n">
        <v>1124</v>
      </c>
      <c r="B1128" s="16" t="inlineStr">
        <is>
          <t>LP-W-09</t>
        </is>
      </c>
      <c r="C1128" s="15" t="inlineStr">
        <is>
          <t>Admin berganti mill mereset pilihan periode dan line</t>
        </is>
      </c>
      <c r="D1128" s="17" t="inlineStr">
        <is>
          <t>Grading</t>
        </is>
      </c>
      <c r="E1128" s="15" t="inlineStr">
        <is>
          <t>ADM</t>
        </is>
      </c>
      <c r="F1128" s="1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G1128" s="13" t="inlineStr">
        <is>
          <t>Tinggi</t>
        </is>
      </c>
      <c r="H1128" s="18" t="n"/>
      <c r="I1128" s="18" t="n"/>
      <c r="J1128" s="18" t="n"/>
      <c r="K1128" s="18" t="n"/>
      <c r="L1128" s="18" t="n"/>
    </row>
    <row r="1129" ht="83.19999999999999" customHeight="1">
      <c r="A1129" s="10" t="n">
        <v>1125</v>
      </c>
      <c r="B1129" s="11" t="inlineStr">
        <is>
          <t>LP-W-09</t>
        </is>
      </c>
      <c r="C1129" s="5" t="inlineStr">
        <is>
          <t>Admin berganti mill mereset pilihan periode dan line</t>
        </is>
      </c>
      <c r="D1129" s="12" t="inlineStr">
        <is>
          <t>Cages Track</t>
        </is>
      </c>
      <c r="E1129" s="5" t="inlineStr">
        <is>
          <t>ADM</t>
        </is>
      </c>
      <c r="F112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G1129" s="13" t="inlineStr">
        <is>
          <t>Tinggi</t>
        </is>
      </c>
      <c r="H1129" s="18" t="n"/>
      <c r="I1129" s="18" t="n"/>
      <c r="J1129" s="18" t="n"/>
      <c r="K1129" s="18" t="n"/>
      <c r="L1129" s="18" t="n"/>
    </row>
    <row r="1130" ht="83.19999999999999" customHeight="1">
      <c r="A1130" s="14" t="n">
        <v>1126</v>
      </c>
      <c r="B1130" s="16" t="inlineStr">
        <is>
          <t>LP-W-09</t>
        </is>
      </c>
      <c r="C1130" s="15" t="inlineStr">
        <is>
          <t>Admin berganti mill mereset pilihan periode dan line</t>
        </is>
      </c>
      <c r="D1130" s="17" t="inlineStr">
        <is>
          <t>Sterilizer</t>
        </is>
      </c>
      <c r="E1130" s="15" t="inlineStr">
        <is>
          <t>ADM</t>
        </is>
      </c>
      <c r="F1130" s="1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G1130" s="13" t="inlineStr">
        <is>
          <t>Tinggi</t>
        </is>
      </c>
      <c r="H1130" s="18" t="n"/>
      <c r="I1130" s="18" t="n"/>
      <c r="J1130" s="18" t="n"/>
      <c r="K1130" s="18" t="n"/>
      <c r="L1130" s="18" t="n"/>
    </row>
    <row r="1131" ht="83.19999999999999" customHeight="1">
      <c r="A1131" s="10" t="n">
        <v>1127</v>
      </c>
      <c r="B1131" s="11" t="inlineStr">
        <is>
          <t>LP-W-09</t>
        </is>
      </c>
      <c r="C1131" s="5" t="inlineStr">
        <is>
          <t>Admin berganti mill mereset pilihan periode dan line</t>
        </is>
      </c>
      <c r="D1131" s="12" t="inlineStr">
        <is>
          <t>Threshing</t>
        </is>
      </c>
      <c r="E1131" s="5" t="inlineStr">
        <is>
          <t>ADM</t>
        </is>
      </c>
      <c r="F113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G1131" s="13" t="inlineStr">
        <is>
          <t>Tinggi</t>
        </is>
      </c>
      <c r="H1131" s="18" t="n"/>
      <c r="I1131" s="18" t="n"/>
      <c r="J1131" s="18" t="n"/>
      <c r="K1131" s="18" t="n"/>
      <c r="L1131" s="18" t="n"/>
    </row>
    <row r="1132" ht="83.19999999999999" customHeight="1">
      <c r="A1132" s="14" t="n">
        <v>1128</v>
      </c>
      <c r="B1132" s="16" t="inlineStr">
        <is>
          <t>LP-W-09</t>
        </is>
      </c>
      <c r="C1132" s="15" t="inlineStr">
        <is>
          <t>Admin berganti mill mereset pilihan periode dan line</t>
        </is>
      </c>
      <c r="D1132" s="17" t="inlineStr">
        <is>
          <t>Pressing</t>
        </is>
      </c>
      <c r="E1132" s="15" t="inlineStr">
        <is>
          <t>ADM</t>
        </is>
      </c>
      <c r="F1132" s="1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G1132" s="13" t="inlineStr">
        <is>
          <t>Tinggi</t>
        </is>
      </c>
      <c r="H1132" s="18" t="n"/>
      <c r="I1132" s="18" t="n"/>
      <c r="J1132" s="18" t="n"/>
      <c r="K1132" s="18" t="n"/>
      <c r="L1132" s="18" t="n"/>
    </row>
    <row r="1133" ht="83.19999999999999" customHeight="1">
      <c r="A1133" s="10" t="n">
        <v>1129</v>
      </c>
      <c r="B1133" s="11" t="inlineStr">
        <is>
          <t>LP-W-09</t>
        </is>
      </c>
      <c r="C1133" s="5" t="inlineStr">
        <is>
          <t>Admin berganti mill mereset pilihan periode dan line</t>
        </is>
      </c>
      <c r="D1133" s="12" t="inlineStr">
        <is>
          <t>Clarification</t>
        </is>
      </c>
      <c r="E1133" s="5" t="inlineStr">
        <is>
          <t>ADM</t>
        </is>
      </c>
      <c r="F113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G1133" s="13" t="inlineStr">
        <is>
          <t>Tinggi</t>
        </is>
      </c>
      <c r="H1133" s="18" t="n"/>
      <c r="I1133" s="18" t="n"/>
      <c r="J1133" s="18" t="n"/>
      <c r="K1133" s="18" t="n"/>
      <c r="L1133" s="18" t="n"/>
    </row>
    <row r="1134" ht="83.19999999999999" customHeight="1">
      <c r="A1134" s="14" t="n">
        <v>1130</v>
      </c>
      <c r="B1134" s="16" t="inlineStr">
        <is>
          <t>LP-W-09</t>
        </is>
      </c>
      <c r="C1134" s="15" t="inlineStr">
        <is>
          <t>Admin berganti mill mereset pilihan periode dan line</t>
        </is>
      </c>
      <c r="D1134" s="17" t="inlineStr">
        <is>
          <t>Kernel Plant</t>
        </is>
      </c>
      <c r="E1134" s="15" t="inlineStr">
        <is>
          <t>ADM</t>
        </is>
      </c>
      <c r="F1134" s="1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G1134" s="13" t="inlineStr">
        <is>
          <t>Tinggi</t>
        </is>
      </c>
      <c r="H1134" s="18" t="n"/>
      <c r="I1134" s="18" t="n"/>
      <c r="J1134" s="18" t="n"/>
      <c r="K1134" s="18" t="n"/>
      <c r="L1134" s="18" t="n"/>
    </row>
    <row r="1135" ht="83.19999999999999" customHeight="1">
      <c r="A1135" s="10" t="n">
        <v>1131</v>
      </c>
      <c r="B1135" s="11" t="inlineStr">
        <is>
          <t>LP-W-09</t>
        </is>
      </c>
      <c r="C1135" s="5" t="inlineStr">
        <is>
          <t>Admin berganti mill mereset pilihan periode dan line</t>
        </is>
      </c>
      <c r="D1135" s="12" t="inlineStr">
        <is>
          <t>Boiler Room</t>
        </is>
      </c>
      <c r="E1135" s="5" t="inlineStr">
        <is>
          <t>ADM</t>
        </is>
      </c>
      <c r="F113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G1135" s="13" t="inlineStr">
        <is>
          <t>Tinggi</t>
        </is>
      </c>
      <c r="H1135" s="18" t="n"/>
      <c r="I1135" s="18" t="n"/>
      <c r="J1135" s="18" t="n"/>
      <c r="K1135" s="18" t="n"/>
      <c r="L1135" s="18" t="n"/>
    </row>
    <row r="1136" ht="83.19999999999999" customHeight="1">
      <c r="A1136" s="14" t="n">
        <v>1132</v>
      </c>
      <c r="B1136" s="16" t="inlineStr">
        <is>
          <t>LP-W-09</t>
        </is>
      </c>
      <c r="C1136" s="15" t="inlineStr">
        <is>
          <t>Admin berganti mill mereset pilihan periode dan line</t>
        </is>
      </c>
      <c r="D1136" s="17" t="inlineStr">
        <is>
          <t>Depricarping</t>
        </is>
      </c>
      <c r="E1136" s="15" t="inlineStr">
        <is>
          <t>ADM</t>
        </is>
      </c>
      <c r="F1136" s="1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G1136" s="13" t="inlineStr">
        <is>
          <t>Tinggi</t>
        </is>
      </c>
      <c r="H1136" s="18" t="n"/>
      <c r="I1136" s="18" t="n"/>
      <c r="J1136" s="18" t="n"/>
      <c r="K1136" s="18" t="n"/>
      <c r="L1136" s="18" t="n"/>
    </row>
    <row r="1137" ht="83.19999999999999" customHeight="1">
      <c r="A1137" s="10" t="n">
        <v>1133</v>
      </c>
      <c r="B1137" s="11" t="inlineStr">
        <is>
          <t>LP-W-09</t>
        </is>
      </c>
      <c r="C1137" s="5" t="inlineStr">
        <is>
          <t>Admin berganti mill mereset pilihan periode dan line</t>
        </is>
      </c>
      <c r="D1137" s="12" t="inlineStr">
        <is>
          <t>Storage Tank</t>
        </is>
      </c>
      <c r="E1137" s="5" t="inlineStr">
        <is>
          <t>ADM</t>
        </is>
      </c>
      <c r="F113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G1137" s="13" t="inlineStr">
        <is>
          <t>Tinggi</t>
        </is>
      </c>
      <c r="H1137" s="18" t="n"/>
      <c r="I1137" s="18" t="n"/>
      <c r="J1137" s="18" t="n"/>
      <c r="K1137" s="18" t="n"/>
      <c r="L1137" s="18" t="n"/>
    </row>
    <row r="1138" ht="56.8" customHeight="1">
      <c r="A1138" s="14" t="n">
        <v>1134</v>
      </c>
      <c r="B1138" s="16" t="inlineStr">
        <is>
          <t>LP-W-10</t>
        </is>
      </c>
      <c r="C1138" s="15" t="inlineStr">
        <is>
          <t>Rekap harian dapat ditutup tanpa mengubah angka</t>
        </is>
      </c>
      <c r="D1138" s="17" t="inlineStr">
        <is>
          <t>Weighbridge</t>
        </is>
      </c>
      <c r="E1138" s="15" t="inlineStr">
        <is>
          <t>SPV-A</t>
        </is>
      </c>
      <c r="F1138" s="15" t="inlineStr">
        <is>
          <t>- Rekap Harian terbuka secara bawaan.
- Menutupnya tidak mengubah satu angka pun di bagian lain.
- Membukanya kembali menampilkan isi yang sama.</t>
        </is>
      </c>
      <c r="G1138" s="14" t="inlineStr">
        <is>
          <t>Rendah</t>
        </is>
      </c>
      <c r="H1138" s="18" t="n"/>
      <c r="I1138" s="18" t="n"/>
      <c r="J1138" s="18" t="n"/>
      <c r="K1138" s="18" t="n"/>
      <c r="L1138" s="18" t="n"/>
    </row>
    <row r="1139" ht="56.8" customHeight="1">
      <c r="A1139" s="10" t="n">
        <v>1135</v>
      </c>
      <c r="B1139" s="11" t="inlineStr">
        <is>
          <t>LP-W-10</t>
        </is>
      </c>
      <c r="C1139" s="5" t="inlineStr">
        <is>
          <t>Rekap harian dapat ditutup tanpa mengubah angka</t>
        </is>
      </c>
      <c r="D1139" s="12" t="inlineStr">
        <is>
          <t>Grading</t>
        </is>
      </c>
      <c r="E1139" s="5" t="inlineStr">
        <is>
          <t>SPV-A</t>
        </is>
      </c>
      <c r="F1139" s="5" t="inlineStr">
        <is>
          <t>- Rekap Harian terbuka secara bawaan.
- Menutupnya tidak mengubah satu angka pun di bagian lain.
- Membukanya kembali menampilkan isi yang sama.</t>
        </is>
      </c>
      <c r="G1139" s="10" t="inlineStr">
        <is>
          <t>Rendah</t>
        </is>
      </c>
      <c r="H1139" s="18" t="n"/>
      <c r="I1139" s="18" t="n"/>
      <c r="J1139" s="18" t="n"/>
      <c r="K1139" s="18" t="n"/>
      <c r="L1139" s="18" t="n"/>
    </row>
    <row r="1140" ht="56.8" customHeight="1">
      <c r="A1140" s="14" t="n">
        <v>1136</v>
      </c>
      <c r="B1140" s="16" t="inlineStr">
        <is>
          <t>LP-W-10</t>
        </is>
      </c>
      <c r="C1140" s="15" t="inlineStr">
        <is>
          <t>Rekap harian dapat ditutup tanpa mengubah angka</t>
        </is>
      </c>
      <c r="D1140" s="17" t="inlineStr">
        <is>
          <t>Cages Track</t>
        </is>
      </c>
      <c r="E1140" s="15" t="inlineStr">
        <is>
          <t>SPV-A</t>
        </is>
      </c>
      <c r="F1140" s="15" t="inlineStr">
        <is>
          <t>- Rekap Harian terbuka secara bawaan.
- Menutupnya tidak mengubah satu angka pun di bagian lain.
- Membukanya kembali menampilkan isi yang sama.</t>
        </is>
      </c>
      <c r="G1140" s="14" t="inlineStr">
        <is>
          <t>Rendah</t>
        </is>
      </c>
      <c r="H1140" s="18" t="n"/>
      <c r="I1140" s="18" t="n"/>
      <c r="J1140" s="18" t="n"/>
      <c r="K1140" s="18" t="n"/>
      <c r="L1140" s="18" t="n"/>
    </row>
    <row r="1141" ht="56.8" customHeight="1">
      <c r="A1141" s="10" t="n">
        <v>1137</v>
      </c>
      <c r="B1141" s="11" t="inlineStr">
        <is>
          <t>LP-W-10</t>
        </is>
      </c>
      <c r="C1141" s="5" t="inlineStr">
        <is>
          <t>Rekap harian dapat ditutup tanpa mengubah angka</t>
        </is>
      </c>
      <c r="D1141" s="12" t="inlineStr">
        <is>
          <t>Sterilizer</t>
        </is>
      </c>
      <c r="E1141" s="5" t="inlineStr">
        <is>
          <t>SPV-A</t>
        </is>
      </c>
      <c r="F1141" s="5" t="inlineStr">
        <is>
          <t>- Rekap Harian terbuka secara bawaan.
- Menutupnya tidak mengubah satu angka pun di bagian lain.
- Membukanya kembali menampilkan isi yang sama.</t>
        </is>
      </c>
      <c r="G1141" s="10" t="inlineStr">
        <is>
          <t>Rendah</t>
        </is>
      </c>
      <c r="H1141" s="18" t="n"/>
      <c r="I1141" s="18" t="n"/>
      <c r="J1141" s="18" t="n"/>
      <c r="K1141" s="18" t="n"/>
      <c r="L1141" s="18" t="n"/>
    </row>
    <row r="1142" ht="56.8" customHeight="1">
      <c r="A1142" s="14" t="n">
        <v>1138</v>
      </c>
      <c r="B1142" s="16" t="inlineStr">
        <is>
          <t>LP-W-10</t>
        </is>
      </c>
      <c r="C1142" s="15" t="inlineStr">
        <is>
          <t>Rekap harian dapat ditutup tanpa mengubah angka</t>
        </is>
      </c>
      <c r="D1142" s="17" t="inlineStr">
        <is>
          <t>Threshing</t>
        </is>
      </c>
      <c r="E1142" s="15" t="inlineStr">
        <is>
          <t>SPV-A</t>
        </is>
      </c>
      <c r="F1142" s="15" t="inlineStr">
        <is>
          <t>- Rekap Harian terbuka secara bawaan.
- Menutupnya tidak mengubah satu angka pun di bagian lain.
- Membukanya kembali menampilkan isi yang sama.</t>
        </is>
      </c>
      <c r="G1142" s="14" t="inlineStr">
        <is>
          <t>Rendah</t>
        </is>
      </c>
      <c r="H1142" s="18" t="n"/>
      <c r="I1142" s="18" t="n"/>
      <c r="J1142" s="18" t="n"/>
      <c r="K1142" s="18" t="n"/>
      <c r="L1142" s="18" t="n"/>
    </row>
    <row r="1143" ht="56.8" customHeight="1">
      <c r="A1143" s="10" t="n">
        <v>1139</v>
      </c>
      <c r="B1143" s="11" t="inlineStr">
        <is>
          <t>LP-W-10</t>
        </is>
      </c>
      <c r="C1143" s="5" t="inlineStr">
        <is>
          <t>Rekap harian dapat ditutup tanpa mengubah angka</t>
        </is>
      </c>
      <c r="D1143" s="12" t="inlineStr">
        <is>
          <t>Pressing</t>
        </is>
      </c>
      <c r="E1143" s="5" t="inlineStr">
        <is>
          <t>SPV-A</t>
        </is>
      </c>
      <c r="F1143" s="5" t="inlineStr">
        <is>
          <t>- Rekap Harian terbuka secara bawaan.
- Menutupnya tidak mengubah satu angka pun di bagian lain.
- Membukanya kembali menampilkan isi yang sama.</t>
        </is>
      </c>
      <c r="G1143" s="10" t="inlineStr">
        <is>
          <t>Rendah</t>
        </is>
      </c>
      <c r="H1143" s="18" t="n"/>
      <c r="I1143" s="18" t="n"/>
      <c r="J1143" s="18" t="n"/>
      <c r="K1143" s="18" t="n"/>
      <c r="L1143" s="18" t="n"/>
    </row>
    <row r="1144" ht="56.8" customHeight="1">
      <c r="A1144" s="14" t="n">
        <v>1140</v>
      </c>
      <c r="B1144" s="16" t="inlineStr">
        <is>
          <t>LP-W-10</t>
        </is>
      </c>
      <c r="C1144" s="15" t="inlineStr">
        <is>
          <t>Rekap harian dapat ditutup tanpa mengubah angka</t>
        </is>
      </c>
      <c r="D1144" s="17" t="inlineStr">
        <is>
          <t>Clarification</t>
        </is>
      </c>
      <c r="E1144" s="15" t="inlineStr">
        <is>
          <t>SPV-A</t>
        </is>
      </c>
      <c r="F1144" s="15" t="inlineStr">
        <is>
          <t>- Rekap Harian terbuka secara bawaan.
- Menutupnya tidak mengubah satu angka pun di bagian lain.
- Membukanya kembali menampilkan isi yang sama.</t>
        </is>
      </c>
      <c r="G1144" s="14" t="inlineStr">
        <is>
          <t>Rendah</t>
        </is>
      </c>
      <c r="H1144" s="18" t="n"/>
      <c r="I1144" s="18" t="n"/>
      <c r="J1144" s="18" t="n"/>
      <c r="K1144" s="18" t="n"/>
      <c r="L1144" s="18" t="n"/>
    </row>
    <row r="1145" ht="56.8" customHeight="1">
      <c r="A1145" s="10" t="n">
        <v>1141</v>
      </c>
      <c r="B1145" s="11" t="inlineStr">
        <is>
          <t>LP-W-10</t>
        </is>
      </c>
      <c r="C1145" s="5" t="inlineStr">
        <is>
          <t>Rekap harian dapat ditutup tanpa mengubah angka</t>
        </is>
      </c>
      <c r="D1145" s="12" t="inlineStr">
        <is>
          <t>Kernel Plant</t>
        </is>
      </c>
      <c r="E1145" s="5" t="inlineStr">
        <is>
          <t>SPV-A</t>
        </is>
      </c>
      <c r="F1145" s="5" t="inlineStr">
        <is>
          <t>- Rekap Harian terbuka secara bawaan.
- Menutupnya tidak mengubah satu angka pun di bagian lain.
- Membukanya kembali menampilkan isi yang sama.</t>
        </is>
      </c>
      <c r="G1145" s="10" t="inlineStr">
        <is>
          <t>Rendah</t>
        </is>
      </c>
      <c r="H1145" s="18" t="n"/>
      <c r="I1145" s="18" t="n"/>
      <c r="J1145" s="18" t="n"/>
      <c r="K1145" s="18" t="n"/>
      <c r="L1145" s="18" t="n"/>
    </row>
    <row r="1146" ht="56.8" customHeight="1">
      <c r="A1146" s="14" t="n">
        <v>1142</v>
      </c>
      <c r="B1146" s="16" t="inlineStr">
        <is>
          <t>LP-W-10</t>
        </is>
      </c>
      <c r="C1146" s="15" t="inlineStr">
        <is>
          <t>Rekap harian dapat ditutup tanpa mengubah angka</t>
        </is>
      </c>
      <c r="D1146" s="17" t="inlineStr">
        <is>
          <t>Boiler Room</t>
        </is>
      </c>
      <c r="E1146" s="15" t="inlineStr">
        <is>
          <t>SPV-A</t>
        </is>
      </c>
      <c r="F1146" s="15" t="inlineStr">
        <is>
          <t>- Rekap Harian terbuka secara bawaan.
- Menutupnya tidak mengubah satu angka pun di bagian lain.
- Membukanya kembali menampilkan isi yang sama.</t>
        </is>
      </c>
      <c r="G1146" s="14" t="inlineStr">
        <is>
          <t>Rendah</t>
        </is>
      </c>
      <c r="H1146" s="18" t="n"/>
      <c r="I1146" s="18" t="n"/>
      <c r="J1146" s="18" t="n"/>
      <c r="K1146" s="18" t="n"/>
      <c r="L1146" s="18" t="n"/>
    </row>
    <row r="1147" ht="56.8" customHeight="1">
      <c r="A1147" s="10" t="n">
        <v>1143</v>
      </c>
      <c r="B1147" s="11" t="inlineStr">
        <is>
          <t>LP-W-10</t>
        </is>
      </c>
      <c r="C1147" s="5" t="inlineStr">
        <is>
          <t>Rekap harian dapat ditutup tanpa mengubah angka</t>
        </is>
      </c>
      <c r="D1147" s="12" t="inlineStr">
        <is>
          <t>Depricarping</t>
        </is>
      </c>
      <c r="E1147" s="5" t="inlineStr">
        <is>
          <t>SPV-A</t>
        </is>
      </c>
      <c r="F1147" s="5" t="inlineStr">
        <is>
          <t>- Rekap Harian terbuka secara bawaan.
- Menutupnya tidak mengubah satu angka pun di bagian lain.
- Membukanya kembali menampilkan isi yang sama.</t>
        </is>
      </c>
      <c r="G1147" s="10" t="inlineStr">
        <is>
          <t>Rendah</t>
        </is>
      </c>
      <c r="H1147" s="18" t="n"/>
      <c r="I1147" s="18" t="n"/>
      <c r="J1147" s="18" t="n"/>
      <c r="K1147" s="18" t="n"/>
      <c r="L1147" s="18" t="n"/>
    </row>
    <row r="1148" ht="56.8" customHeight="1">
      <c r="A1148" s="14" t="n">
        <v>1144</v>
      </c>
      <c r="B1148" s="16" t="inlineStr">
        <is>
          <t>LP-W-10</t>
        </is>
      </c>
      <c r="C1148" s="15" t="inlineStr">
        <is>
          <t>Rekap harian dapat ditutup tanpa mengubah angka</t>
        </is>
      </c>
      <c r="D1148" s="17" t="inlineStr">
        <is>
          <t>Storage Tank</t>
        </is>
      </c>
      <c r="E1148" s="15" t="inlineStr">
        <is>
          <t>SPV-A</t>
        </is>
      </c>
      <c r="F1148" s="15" t="inlineStr">
        <is>
          <t>- Rekap Harian terbuka secara bawaan.
- Menutupnya tidak mengubah satu angka pun di bagian lain.
- Membukanya kembali menampilkan isi yang sama.</t>
        </is>
      </c>
      <c r="G1148" s="14" t="inlineStr">
        <is>
          <t>Rendah</t>
        </is>
      </c>
      <c r="H1148" s="18" t="n"/>
      <c r="I1148" s="18" t="n"/>
      <c r="J1148" s="18" t="n"/>
      <c r="K1148" s="18" t="n"/>
      <c r="L1148" s="18" t="n"/>
    </row>
    <row r="1149" ht="83.19999999999999" customHeight="1">
      <c r="A1149" s="10" t="n">
        <v>1145</v>
      </c>
      <c r="B1149" s="11" t="inlineStr">
        <is>
          <t>LP-W-11</t>
        </is>
      </c>
      <c r="C1149" s="5" t="inlineStr">
        <is>
          <t>Baris total periode bukan rata-rata dari rata-rata harian</t>
        </is>
      </c>
      <c r="D1149" s="12" t="inlineStr">
        <is>
          <t>Weighbridge</t>
        </is>
      </c>
      <c r="E1149" s="5" t="inlineStr">
        <is>
          <t>SPV-A</t>
        </is>
      </c>
      <c r="F1149" s="5" t="inlineStr">
        <is>
          <t>- Angka total periode berbeda dari hasil hitungan langkah 4.
- Total periode dihitung ulang dari seluruh slot, bukan dirata-ratakan dari rata-rata harian.
- Kalau keduanya sama, itu temuan: hari dengan 2 slot akan berbobot sama dengan hari 20 slot.</t>
        </is>
      </c>
      <c r="G1149" s="10" t="inlineStr">
        <is>
          <t>Sedang</t>
        </is>
      </c>
      <c r="H1149" s="18" t="n"/>
      <c r="I1149" s="18" t="n"/>
      <c r="J1149" s="18" t="n"/>
      <c r="K1149" s="18" t="n"/>
      <c r="L1149" s="18" t="n"/>
    </row>
    <row r="1150" ht="83.19999999999999" customHeight="1">
      <c r="A1150" s="14" t="n">
        <v>1146</v>
      </c>
      <c r="B1150" s="16" t="inlineStr">
        <is>
          <t>LP-W-11</t>
        </is>
      </c>
      <c r="C1150" s="15" t="inlineStr">
        <is>
          <t>Baris total periode bukan rata-rata dari rata-rata harian</t>
        </is>
      </c>
      <c r="D1150" s="17" t="inlineStr">
        <is>
          <t>Grading</t>
        </is>
      </c>
      <c r="E1150" s="15" t="inlineStr">
        <is>
          <t>SPV-A</t>
        </is>
      </c>
      <c r="F1150" s="15" t="inlineStr">
        <is>
          <t>- Angka total periode berbeda dari hasil hitungan langkah 4.
- Total periode dihitung ulang dari seluruh slot, bukan dirata-ratakan dari rata-rata harian.
- Kalau keduanya sama, itu temuan: hari dengan 2 slot akan berbobot sama dengan hari 20 slot.</t>
        </is>
      </c>
      <c r="G1150" s="14" t="inlineStr">
        <is>
          <t>Sedang</t>
        </is>
      </c>
      <c r="H1150" s="18" t="n"/>
      <c r="I1150" s="18" t="n"/>
      <c r="J1150" s="18" t="n"/>
      <c r="K1150" s="18" t="n"/>
      <c r="L1150" s="18" t="n"/>
    </row>
    <row r="1151" ht="83.19999999999999" customHeight="1">
      <c r="A1151" s="10" t="n">
        <v>1147</v>
      </c>
      <c r="B1151" s="11" t="inlineStr">
        <is>
          <t>LP-W-11</t>
        </is>
      </c>
      <c r="C1151" s="5" t="inlineStr">
        <is>
          <t>Baris total periode bukan rata-rata dari rata-rata harian</t>
        </is>
      </c>
      <c r="D1151" s="12" t="inlineStr">
        <is>
          <t>Cages Track</t>
        </is>
      </c>
      <c r="E1151" s="5" t="inlineStr">
        <is>
          <t>SPV-A</t>
        </is>
      </c>
      <c r="F1151" s="5" t="inlineStr">
        <is>
          <t>- Angka total periode berbeda dari hasil hitungan langkah 4.
- Total periode dihitung ulang dari seluruh slot, bukan dirata-ratakan dari rata-rata harian.
- Kalau keduanya sama, itu temuan: hari dengan 2 slot akan berbobot sama dengan hari 20 slot.</t>
        </is>
      </c>
      <c r="G1151" s="10" t="inlineStr">
        <is>
          <t>Sedang</t>
        </is>
      </c>
      <c r="H1151" s="18" t="n"/>
      <c r="I1151" s="18" t="n"/>
      <c r="J1151" s="18" t="n"/>
      <c r="K1151" s="18" t="n"/>
      <c r="L1151" s="18" t="n"/>
    </row>
    <row r="1152" ht="83.19999999999999" customHeight="1">
      <c r="A1152" s="14" t="n">
        <v>1148</v>
      </c>
      <c r="B1152" s="16" t="inlineStr">
        <is>
          <t>LP-W-11</t>
        </is>
      </c>
      <c r="C1152" s="15" t="inlineStr">
        <is>
          <t>Baris total periode bukan rata-rata dari rata-rata harian</t>
        </is>
      </c>
      <c r="D1152" s="17" t="inlineStr">
        <is>
          <t>Sterilizer</t>
        </is>
      </c>
      <c r="E1152" s="15" t="inlineStr">
        <is>
          <t>SPV-A</t>
        </is>
      </c>
      <c r="F1152" s="15" t="inlineStr">
        <is>
          <t>- Angka total periode berbeda dari hasil hitungan langkah 4.
- Total periode dihitung ulang dari seluruh slot, bukan dirata-ratakan dari rata-rata harian.
- Kalau keduanya sama, itu temuan: hari dengan 2 slot akan berbobot sama dengan hari 20 slot.</t>
        </is>
      </c>
      <c r="G1152" s="14" t="inlineStr">
        <is>
          <t>Sedang</t>
        </is>
      </c>
      <c r="H1152" s="18" t="n"/>
      <c r="I1152" s="18" t="n"/>
      <c r="J1152" s="18" t="n"/>
      <c r="K1152" s="18" t="n"/>
      <c r="L1152" s="18" t="n"/>
    </row>
    <row r="1153" ht="83.19999999999999" customHeight="1">
      <c r="A1153" s="10" t="n">
        <v>1149</v>
      </c>
      <c r="B1153" s="11" t="inlineStr">
        <is>
          <t>LP-W-11</t>
        </is>
      </c>
      <c r="C1153" s="5" t="inlineStr">
        <is>
          <t>Baris total periode bukan rata-rata dari rata-rata harian</t>
        </is>
      </c>
      <c r="D1153" s="12" t="inlineStr">
        <is>
          <t>Threshing</t>
        </is>
      </c>
      <c r="E1153" s="5" t="inlineStr">
        <is>
          <t>SPV-A</t>
        </is>
      </c>
      <c r="F1153" s="5" t="inlineStr">
        <is>
          <t>- Angka total periode berbeda dari hasil hitungan langkah 4.
- Total periode dihitung ulang dari seluruh slot, bukan dirata-ratakan dari rata-rata harian.
- Kalau keduanya sama, itu temuan: hari dengan 2 slot akan berbobot sama dengan hari 20 slot.</t>
        </is>
      </c>
      <c r="G1153" s="10" t="inlineStr">
        <is>
          <t>Sedang</t>
        </is>
      </c>
      <c r="H1153" s="18" t="n"/>
      <c r="I1153" s="18" t="n"/>
      <c r="J1153" s="18" t="n"/>
      <c r="K1153" s="18" t="n"/>
      <c r="L1153" s="18" t="n"/>
    </row>
    <row r="1154" ht="83.19999999999999" customHeight="1">
      <c r="A1154" s="14" t="n">
        <v>1150</v>
      </c>
      <c r="B1154" s="16" t="inlineStr">
        <is>
          <t>LP-W-11</t>
        </is>
      </c>
      <c r="C1154" s="15" t="inlineStr">
        <is>
          <t>Baris total periode bukan rata-rata dari rata-rata harian</t>
        </is>
      </c>
      <c r="D1154" s="17" t="inlineStr">
        <is>
          <t>Pressing</t>
        </is>
      </c>
      <c r="E1154" s="15" t="inlineStr">
        <is>
          <t>SPV-A</t>
        </is>
      </c>
      <c r="F1154" s="15" t="inlineStr">
        <is>
          <t>- Angka total periode berbeda dari hasil hitungan langkah 4.
- Total periode dihitung ulang dari seluruh slot, bukan dirata-ratakan dari rata-rata harian.
- Kalau keduanya sama, itu temuan: hari dengan 2 slot akan berbobot sama dengan hari 20 slot.</t>
        </is>
      </c>
      <c r="G1154" s="14" t="inlineStr">
        <is>
          <t>Sedang</t>
        </is>
      </c>
      <c r="H1154" s="18" t="n"/>
      <c r="I1154" s="18" t="n"/>
      <c r="J1154" s="18" t="n"/>
      <c r="K1154" s="18" t="n"/>
      <c r="L1154" s="18" t="n"/>
    </row>
    <row r="1155" ht="83.19999999999999" customHeight="1">
      <c r="A1155" s="10" t="n">
        <v>1151</v>
      </c>
      <c r="B1155" s="11" t="inlineStr">
        <is>
          <t>LP-W-11</t>
        </is>
      </c>
      <c r="C1155" s="5" t="inlineStr">
        <is>
          <t>Baris total periode bukan rata-rata dari rata-rata harian</t>
        </is>
      </c>
      <c r="D1155" s="12" t="inlineStr">
        <is>
          <t>Clarification</t>
        </is>
      </c>
      <c r="E1155" s="5" t="inlineStr">
        <is>
          <t>SPV-A</t>
        </is>
      </c>
      <c r="F1155" s="5" t="inlineStr">
        <is>
          <t>- Angka total periode berbeda dari hasil hitungan langkah 4.
- Total periode dihitung ulang dari seluruh slot, bukan dirata-ratakan dari rata-rata harian.
- Kalau keduanya sama, itu temuan: hari dengan 2 slot akan berbobot sama dengan hari 20 slot.</t>
        </is>
      </c>
      <c r="G1155" s="10" t="inlineStr">
        <is>
          <t>Sedang</t>
        </is>
      </c>
      <c r="H1155" s="18" t="n"/>
      <c r="I1155" s="18" t="n"/>
      <c r="J1155" s="18" t="n"/>
      <c r="K1155" s="18" t="n"/>
      <c r="L1155" s="18" t="n"/>
    </row>
    <row r="1156" ht="83.19999999999999" customHeight="1">
      <c r="A1156" s="14" t="n">
        <v>1152</v>
      </c>
      <c r="B1156" s="16" t="inlineStr">
        <is>
          <t>LP-W-11</t>
        </is>
      </c>
      <c r="C1156" s="15" t="inlineStr">
        <is>
          <t>Baris total periode bukan rata-rata dari rata-rata harian</t>
        </is>
      </c>
      <c r="D1156" s="17" t="inlineStr">
        <is>
          <t>Kernel Plant</t>
        </is>
      </c>
      <c r="E1156" s="15" t="inlineStr">
        <is>
          <t>SPV-A</t>
        </is>
      </c>
      <c r="F1156" s="15" t="inlineStr">
        <is>
          <t>- Angka total periode berbeda dari hasil hitungan langkah 4.
- Total periode dihitung ulang dari seluruh slot, bukan dirata-ratakan dari rata-rata harian.
- Kalau keduanya sama, itu temuan: hari dengan 2 slot akan berbobot sama dengan hari 20 slot.</t>
        </is>
      </c>
      <c r="G1156" s="14" t="inlineStr">
        <is>
          <t>Sedang</t>
        </is>
      </c>
      <c r="H1156" s="18" t="n"/>
      <c r="I1156" s="18" t="n"/>
      <c r="J1156" s="18" t="n"/>
      <c r="K1156" s="18" t="n"/>
      <c r="L1156" s="18" t="n"/>
    </row>
    <row r="1157" ht="83.19999999999999" customHeight="1">
      <c r="A1157" s="10" t="n">
        <v>1153</v>
      </c>
      <c r="B1157" s="11" t="inlineStr">
        <is>
          <t>LP-W-11</t>
        </is>
      </c>
      <c r="C1157" s="5" t="inlineStr">
        <is>
          <t>Baris total periode bukan rata-rata dari rata-rata harian</t>
        </is>
      </c>
      <c r="D1157" s="12" t="inlineStr">
        <is>
          <t>Boiler Room</t>
        </is>
      </c>
      <c r="E1157" s="5" t="inlineStr">
        <is>
          <t>SPV-A</t>
        </is>
      </c>
      <c r="F1157" s="5" t="inlineStr">
        <is>
          <t>- Angka total periode berbeda dari hasil hitungan langkah 4.
- Total periode dihitung ulang dari seluruh slot, bukan dirata-ratakan dari rata-rata harian.
- Kalau keduanya sama, itu temuan: hari dengan 2 slot akan berbobot sama dengan hari 20 slot.</t>
        </is>
      </c>
      <c r="G1157" s="10" t="inlineStr">
        <is>
          <t>Sedang</t>
        </is>
      </c>
      <c r="H1157" s="18" t="n"/>
      <c r="I1157" s="18" t="n"/>
      <c r="J1157" s="18" t="n"/>
      <c r="K1157" s="18" t="n"/>
      <c r="L1157" s="18" t="n"/>
    </row>
    <row r="1158" ht="83.19999999999999" customHeight="1">
      <c r="A1158" s="14" t="n">
        <v>1154</v>
      </c>
      <c r="B1158" s="16" t="inlineStr">
        <is>
          <t>LP-W-11</t>
        </is>
      </c>
      <c r="C1158" s="15" t="inlineStr">
        <is>
          <t>Baris total periode bukan rata-rata dari rata-rata harian</t>
        </is>
      </c>
      <c r="D1158" s="17" t="inlineStr">
        <is>
          <t>Depricarping</t>
        </is>
      </c>
      <c r="E1158" s="15" t="inlineStr">
        <is>
          <t>SPV-A</t>
        </is>
      </c>
      <c r="F1158" s="15" t="inlineStr">
        <is>
          <t>- Angka total periode berbeda dari hasil hitungan langkah 4.
- Total periode dihitung ulang dari seluruh slot, bukan dirata-ratakan dari rata-rata harian.
- Kalau keduanya sama, itu temuan: hari dengan 2 slot akan berbobot sama dengan hari 20 slot.</t>
        </is>
      </c>
      <c r="G1158" s="14" t="inlineStr">
        <is>
          <t>Sedang</t>
        </is>
      </c>
      <c r="H1158" s="18" t="n"/>
      <c r="I1158" s="18" t="n"/>
      <c r="J1158" s="18" t="n"/>
      <c r="K1158" s="18" t="n"/>
      <c r="L1158" s="18" t="n"/>
    </row>
    <row r="1159" ht="83.19999999999999" customHeight="1">
      <c r="A1159" s="10" t="n">
        <v>1155</v>
      </c>
      <c r="B1159" s="11" t="inlineStr">
        <is>
          <t>LP-W-11</t>
        </is>
      </c>
      <c r="C1159" s="5" t="inlineStr">
        <is>
          <t>Baris total periode bukan rata-rata dari rata-rata harian</t>
        </is>
      </c>
      <c r="D1159" s="12" t="inlineStr">
        <is>
          <t>Storage Tank</t>
        </is>
      </c>
      <c r="E1159" s="5" t="inlineStr">
        <is>
          <t>SPV-A</t>
        </is>
      </c>
      <c r="F1159" s="5" t="inlineStr">
        <is>
          <t>- Angka total periode berbeda dari hasil hitungan langkah 4.
- Total periode dihitung ulang dari seluruh slot, bukan dirata-ratakan dari rata-rata harian.
- Kalau keduanya sama, itu temuan: hari dengan 2 slot akan berbobot sama dengan hari 20 slot.</t>
        </is>
      </c>
      <c r="G1159" s="10" t="inlineStr">
        <is>
          <t>Sedang</t>
        </is>
      </c>
      <c r="H1159" s="18" t="n"/>
      <c r="I1159" s="18" t="n"/>
      <c r="J1159" s="18" t="n"/>
      <c r="K1159" s="18" t="n"/>
      <c r="L1159" s="18" t="n"/>
    </row>
    <row r="1160" ht="83.19999999999999" customHeight="1">
      <c r="A1160" s="14" t="n">
        <v>1156</v>
      </c>
      <c r="B1160" s="16" t="inlineStr">
        <is>
          <t>LP-W-12</t>
        </is>
      </c>
      <c r="C1160" s="15" t="inlineStr">
        <is>
          <t>Downtime: tanda pisah vs nol yang tercatat</t>
        </is>
      </c>
      <c r="D1160" s="17" t="inlineStr">
        <is>
          <t>Weighbridge</t>
        </is>
      </c>
      <c r="E1160" s="15" t="inlineStr">
        <is>
          <t>SPV-A</t>
        </is>
      </c>
      <c r="F1160" s="15" t="inlineStr">
        <is>
          <t>- Periode (a): downtime tampil sebagai tanda pisah "—" atau keterangan ketiadaan, bukan 0 menit.
- Periode (b): downtime tampil sebagai 0 menit — nol yang benar-benar terukur.
- Keduanya berbeda: tidak pernah dicatat bukan hal yang sama dengan dicatat nol.</t>
        </is>
      </c>
      <c r="G1160" s="13" t="inlineStr">
        <is>
          <t>Tinggi</t>
        </is>
      </c>
      <c r="H1160" s="18" t="n"/>
      <c r="I1160" s="18" t="n"/>
      <c r="J1160" s="18" t="n"/>
      <c r="K1160" s="18" t="n"/>
      <c r="L1160" s="18" t="n"/>
    </row>
    <row r="1161" ht="83.19999999999999" customHeight="1">
      <c r="A1161" s="10" t="n">
        <v>1157</v>
      </c>
      <c r="B1161" s="11" t="inlineStr">
        <is>
          <t>LP-W-12</t>
        </is>
      </c>
      <c r="C1161" s="5" t="inlineStr">
        <is>
          <t>Downtime: tanda pisah vs nol yang tercatat</t>
        </is>
      </c>
      <c r="D1161" s="12" t="inlineStr">
        <is>
          <t>Grading</t>
        </is>
      </c>
      <c r="E1161" s="5" t="inlineStr">
        <is>
          <t>SPV-A</t>
        </is>
      </c>
      <c r="F1161" s="5" t="inlineStr">
        <is>
          <t>- Periode (a): downtime tampil sebagai tanda pisah "—" atau keterangan ketiadaan, bukan 0 menit.
- Periode (b): downtime tampil sebagai 0 menit — nol yang benar-benar terukur.
- Keduanya berbeda: tidak pernah dicatat bukan hal yang sama dengan dicatat nol.</t>
        </is>
      </c>
      <c r="G1161" s="13" t="inlineStr">
        <is>
          <t>Tinggi</t>
        </is>
      </c>
      <c r="H1161" s="18" t="n"/>
      <c r="I1161" s="18" t="n"/>
      <c r="J1161" s="18" t="n"/>
      <c r="K1161" s="18" t="n"/>
      <c r="L1161" s="18" t="n"/>
    </row>
    <row r="1162" ht="83.19999999999999" customHeight="1">
      <c r="A1162" s="14" t="n">
        <v>1158</v>
      </c>
      <c r="B1162" s="16" t="inlineStr">
        <is>
          <t>LP-W-12</t>
        </is>
      </c>
      <c r="C1162" s="15" t="inlineStr">
        <is>
          <t>Downtime: tanda pisah vs nol yang tercatat</t>
        </is>
      </c>
      <c r="D1162" s="17" t="inlineStr">
        <is>
          <t>Cages Track</t>
        </is>
      </c>
      <c r="E1162" s="15" t="inlineStr">
        <is>
          <t>SPV-A</t>
        </is>
      </c>
      <c r="F1162" s="15" t="inlineStr">
        <is>
          <t>- Periode (a): downtime tampil sebagai tanda pisah "—" atau keterangan ketiadaan, bukan 0 menit.
- Periode (b): downtime tampil sebagai 0 menit — nol yang benar-benar terukur.
- Keduanya berbeda: tidak pernah dicatat bukan hal yang sama dengan dicatat nol.</t>
        </is>
      </c>
      <c r="G1162" s="13" t="inlineStr">
        <is>
          <t>Tinggi</t>
        </is>
      </c>
      <c r="H1162" s="18" t="n"/>
      <c r="I1162" s="18" t="n"/>
      <c r="J1162" s="18" t="n"/>
      <c r="K1162" s="18" t="n"/>
      <c r="L1162" s="18" t="n"/>
    </row>
    <row r="1163" ht="83.19999999999999" customHeight="1">
      <c r="A1163" s="10" t="n">
        <v>1159</v>
      </c>
      <c r="B1163" s="11" t="inlineStr">
        <is>
          <t>LP-W-12</t>
        </is>
      </c>
      <c r="C1163" s="5" t="inlineStr">
        <is>
          <t>Downtime: tanda pisah vs nol yang tercatat</t>
        </is>
      </c>
      <c r="D1163" s="12" t="inlineStr">
        <is>
          <t>Sterilizer</t>
        </is>
      </c>
      <c r="E1163" s="5" t="inlineStr">
        <is>
          <t>SPV-A</t>
        </is>
      </c>
      <c r="F1163" s="5" t="inlineStr">
        <is>
          <t>- Periode (a): downtime tampil sebagai tanda pisah "—" atau keterangan ketiadaan, bukan 0 menit.
- Periode (b): downtime tampil sebagai 0 menit — nol yang benar-benar terukur.
- Keduanya berbeda: tidak pernah dicatat bukan hal yang sama dengan dicatat nol.</t>
        </is>
      </c>
      <c r="G1163" s="13" t="inlineStr">
        <is>
          <t>Tinggi</t>
        </is>
      </c>
      <c r="H1163" s="18" t="n"/>
      <c r="I1163" s="18" t="n"/>
      <c r="J1163" s="18" t="n"/>
      <c r="K1163" s="18" t="n"/>
      <c r="L1163" s="18" t="n"/>
    </row>
    <row r="1164" ht="83.19999999999999" customHeight="1">
      <c r="A1164" s="14" t="n">
        <v>1160</v>
      </c>
      <c r="B1164" s="16" t="inlineStr">
        <is>
          <t>LP-W-12</t>
        </is>
      </c>
      <c r="C1164" s="15" t="inlineStr">
        <is>
          <t>Downtime: tanda pisah vs nol yang tercatat</t>
        </is>
      </c>
      <c r="D1164" s="17" t="inlineStr">
        <is>
          <t>Threshing</t>
        </is>
      </c>
      <c r="E1164" s="15" t="inlineStr">
        <is>
          <t>SPV-A</t>
        </is>
      </c>
      <c r="F1164" s="15" t="inlineStr">
        <is>
          <t>- Periode (a): downtime tampil sebagai tanda pisah "—" atau keterangan ketiadaan, bukan 0 menit.
- Periode (b): downtime tampil sebagai 0 menit — nol yang benar-benar terukur.
- Keduanya berbeda: tidak pernah dicatat bukan hal yang sama dengan dicatat nol.</t>
        </is>
      </c>
      <c r="G1164" s="13" t="inlineStr">
        <is>
          <t>Tinggi</t>
        </is>
      </c>
      <c r="H1164" s="18" t="n"/>
      <c r="I1164" s="18" t="n"/>
      <c r="J1164" s="18" t="n"/>
      <c r="K1164" s="18" t="n"/>
      <c r="L1164" s="18" t="n"/>
    </row>
    <row r="1165" ht="83.19999999999999" customHeight="1">
      <c r="A1165" s="10" t="n">
        <v>1161</v>
      </c>
      <c r="B1165" s="11" t="inlineStr">
        <is>
          <t>LP-W-12</t>
        </is>
      </c>
      <c r="C1165" s="5" t="inlineStr">
        <is>
          <t>Downtime: tanda pisah vs nol yang tercatat</t>
        </is>
      </c>
      <c r="D1165" s="12" t="inlineStr">
        <is>
          <t>Pressing</t>
        </is>
      </c>
      <c r="E1165" s="5" t="inlineStr">
        <is>
          <t>SPV-A</t>
        </is>
      </c>
      <c r="F1165" s="5" t="inlineStr">
        <is>
          <t>- Periode (a): downtime tampil sebagai tanda pisah "—" atau keterangan ketiadaan, bukan 0 menit.
- Periode (b): downtime tampil sebagai 0 menit — nol yang benar-benar terukur.
- Keduanya berbeda: tidak pernah dicatat bukan hal yang sama dengan dicatat nol.</t>
        </is>
      </c>
      <c r="G1165" s="13" t="inlineStr">
        <is>
          <t>Tinggi</t>
        </is>
      </c>
      <c r="H1165" s="18" t="n"/>
      <c r="I1165" s="18" t="n"/>
      <c r="J1165" s="18" t="n"/>
      <c r="K1165" s="18" t="n"/>
      <c r="L1165" s="18" t="n"/>
    </row>
    <row r="1166" ht="83.19999999999999" customHeight="1">
      <c r="A1166" s="14" t="n">
        <v>1162</v>
      </c>
      <c r="B1166" s="16" t="inlineStr">
        <is>
          <t>LP-W-12</t>
        </is>
      </c>
      <c r="C1166" s="15" t="inlineStr">
        <is>
          <t>Downtime: tanda pisah vs nol yang tercatat</t>
        </is>
      </c>
      <c r="D1166" s="17" t="inlineStr">
        <is>
          <t>Clarification</t>
        </is>
      </c>
      <c r="E1166" s="15" t="inlineStr">
        <is>
          <t>SPV-A</t>
        </is>
      </c>
      <c r="F1166" s="15" t="inlineStr">
        <is>
          <t>- Periode (a): downtime tampil sebagai tanda pisah "—" atau keterangan ketiadaan, bukan 0 menit.
- Periode (b): downtime tampil sebagai 0 menit — nol yang benar-benar terukur.
- Keduanya berbeda: tidak pernah dicatat bukan hal yang sama dengan dicatat nol.</t>
        </is>
      </c>
      <c r="G1166" s="13" t="inlineStr">
        <is>
          <t>Tinggi</t>
        </is>
      </c>
      <c r="H1166" s="18" t="n"/>
      <c r="I1166" s="18" t="n"/>
      <c r="J1166" s="18" t="n"/>
      <c r="K1166" s="18" t="n"/>
      <c r="L1166" s="18" t="n"/>
    </row>
    <row r="1167" ht="83.19999999999999" customHeight="1">
      <c r="A1167" s="10" t="n">
        <v>1163</v>
      </c>
      <c r="B1167" s="11" t="inlineStr">
        <is>
          <t>LP-W-12</t>
        </is>
      </c>
      <c r="C1167" s="5" t="inlineStr">
        <is>
          <t>Downtime: tanda pisah vs nol yang tercatat</t>
        </is>
      </c>
      <c r="D1167" s="12" t="inlineStr">
        <is>
          <t>Kernel Plant</t>
        </is>
      </c>
      <c r="E1167" s="5" t="inlineStr">
        <is>
          <t>SPV-A</t>
        </is>
      </c>
      <c r="F1167" s="5" t="inlineStr">
        <is>
          <t>- Periode (a): downtime tampil sebagai tanda pisah "—" atau keterangan ketiadaan, bukan 0 menit.
- Periode (b): downtime tampil sebagai 0 menit — nol yang benar-benar terukur.
- Keduanya berbeda: tidak pernah dicatat bukan hal yang sama dengan dicatat nol.</t>
        </is>
      </c>
      <c r="G1167" s="13" t="inlineStr">
        <is>
          <t>Tinggi</t>
        </is>
      </c>
      <c r="H1167" s="18" t="n"/>
      <c r="I1167" s="18" t="n"/>
      <c r="J1167" s="18" t="n"/>
      <c r="K1167" s="18" t="n"/>
      <c r="L1167" s="18" t="n"/>
    </row>
    <row r="1168" ht="83.19999999999999" customHeight="1">
      <c r="A1168" s="14" t="n">
        <v>1164</v>
      </c>
      <c r="B1168" s="16" t="inlineStr">
        <is>
          <t>LP-W-12</t>
        </is>
      </c>
      <c r="C1168" s="15" t="inlineStr">
        <is>
          <t>Downtime: tanda pisah vs nol yang tercatat</t>
        </is>
      </c>
      <c r="D1168" s="17" t="inlineStr">
        <is>
          <t>Boiler Room</t>
        </is>
      </c>
      <c r="E1168" s="15" t="inlineStr">
        <is>
          <t>SPV-A</t>
        </is>
      </c>
      <c r="F1168" s="15" t="inlineStr">
        <is>
          <t>- Periode (a): downtime tampil sebagai tanda pisah "—" atau keterangan ketiadaan, bukan 0 menit.
- Periode (b): downtime tampil sebagai 0 menit — nol yang benar-benar terukur.
- Keduanya berbeda: tidak pernah dicatat bukan hal yang sama dengan dicatat nol.</t>
        </is>
      </c>
      <c r="G1168" s="13" t="inlineStr">
        <is>
          <t>Tinggi</t>
        </is>
      </c>
      <c r="H1168" s="18" t="n"/>
      <c r="I1168" s="18" t="n"/>
      <c r="J1168" s="18" t="n"/>
      <c r="K1168" s="18" t="n"/>
      <c r="L1168" s="18" t="n"/>
    </row>
    <row r="1169" ht="83.19999999999999" customHeight="1">
      <c r="A1169" s="10" t="n">
        <v>1165</v>
      </c>
      <c r="B1169" s="11" t="inlineStr">
        <is>
          <t>LP-W-12</t>
        </is>
      </c>
      <c r="C1169" s="5" t="inlineStr">
        <is>
          <t>Downtime: tanda pisah vs nol yang tercatat</t>
        </is>
      </c>
      <c r="D1169" s="12" t="inlineStr">
        <is>
          <t>Depricarping</t>
        </is>
      </c>
      <c r="E1169" s="5" t="inlineStr">
        <is>
          <t>SPV-A</t>
        </is>
      </c>
      <c r="F1169" s="5" t="inlineStr">
        <is>
          <t>- Periode (a): downtime tampil sebagai tanda pisah "—" atau keterangan ketiadaan, bukan 0 menit.
- Periode (b): downtime tampil sebagai 0 menit — nol yang benar-benar terukur.
- Keduanya berbeda: tidak pernah dicatat bukan hal yang sama dengan dicatat nol.</t>
        </is>
      </c>
      <c r="G1169" s="13" t="inlineStr">
        <is>
          <t>Tinggi</t>
        </is>
      </c>
      <c r="H1169" s="18" t="n"/>
      <c r="I1169" s="18" t="n"/>
      <c r="J1169" s="18" t="n"/>
      <c r="K1169" s="18" t="n"/>
      <c r="L1169" s="18" t="n"/>
    </row>
    <row r="1170" ht="83.19999999999999" customHeight="1">
      <c r="A1170" s="14" t="n">
        <v>1166</v>
      </c>
      <c r="B1170" s="16" t="inlineStr">
        <is>
          <t>LP-W-12</t>
        </is>
      </c>
      <c r="C1170" s="15" t="inlineStr">
        <is>
          <t>Downtime: tanda pisah vs nol yang tercatat</t>
        </is>
      </c>
      <c r="D1170" s="17" t="inlineStr">
        <is>
          <t>Storage Tank</t>
        </is>
      </c>
      <c r="E1170" s="15" t="inlineStr">
        <is>
          <t>SPV-A</t>
        </is>
      </c>
      <c r="F1170" s="15" t="inlineStr">
        <is>
          <t>- Periode (a): downtime tampil sebagai tanda pisah "—" atau keterangan ketiadaan, bukan 0 menit.
- Periode (b): downtime tampil sebagai 0 menit — nol yang benar-benar terukur.
- Keduanya berbeda: tidak pernah dicatat bukan hal yang sama dengan dicatat nol.</t>
        </is>
      </c>
      <c r="G1170" s="13" t="inlineStr">
        <is>
          <t>Tinggi</t>
        </is>
      </c>
      <c r="H1170" s="18" t="n"/>
      <c r="I1170" s="18" t="n"/>
      <c r="J1170" s="18" t="n"/>
      <c r="K1170" s="18" t="n"/>
      <c r="L1170" s="18" t="n"/>
    </row>
    <row r="1171" ht="70" customHeight="1">
      <c r="A1171" s="10" t="n">
        <v>1167</v>
      </c>
      <c r="B1171" s="11" t="inlineStr">
        <is>
          <t>LP-W-13</t>
        </is>
      </c>
      <c r="C1171" s="5" t="inlineStr">
        <is>
          <t>Temuan dikelompokkan harfiah, dua ejaan jadi dua baris</t>
        </is>
      </c>
      <c r="D1171" s="12" t="inlineStr">
        <is>
          <t>Weighbridge</t>
        </is>
      </c>
      <c r="E1171" s="5" t="inlineStr">
        <is>
          <t>SPV-A</t>
        </is>
      </c>
      <c r="F1171" s="5" t="inlineStr">
        <is>
          <t>- Muncul dua baris terpisah — pengelompokannya harfiah, apa adanya.
- Sistem tidak menyatukan ejaan yang berbeda; menyatukannya berarti menebak maksud operator.
- Masing-masing membawa jumlah kemunculannya sendiri.</t>
        </is>
      </c>
      <c r="G1171" s="10" t="inlineStr">
        <is>
          <t>Sedang</t>
        </is>
      </c>
      <c r="H1171" s="18" t="n"/>
      <c r="I1171" s="18" t="n"/>
      <c r="J1171" s="18" t="n"/>
      <c r="K1171" s="18" t="n"/>
      <c r="L1171" s="18" t="n"/>
    </row>
    <row r="1172" ht="70" customHeight="1">
      <c r="A1172" s="14" t="n">
        <v>1168</v>
      </c>
      <c r="B1172" s="16" t="inlineStr">
        <is>
          <t>LP-W-13</t>
        </is>
      </c>
      <c r="C1172" s="15" t="inlineStr">
        <is>
          <t>Temuan dikelompokkan harfiah, dua ejaan jadi dua baris</t>
        </is>
      </c>
      <c r="D1172" s="17" t="inlineStr">
        <is>
          <t>Grading</t>
        </is>
      </c>
      <c r="E1172" s="15" t="inlineStr">
        <is>
          <t>SPV-A</t>
        </is>
      </c>
      <c r="F1172" s="15" t="inlineStr">
        <is>
          <t>- Muncul dua baris terpisah — pengelompokannya harfiah, apa adanya.
- Sistem tidak menyatukan ejaan yang berbeda; menyatukannya berarti menebak maksud operator.
- Masing-masing membawa jumlah kemunculannya sendiri.</t>
        </is>
      </c>
      <c r="G1172" s="14" t="inlineStr">
        <is>
          <t>Sedang</t>
        </is>
      </c>
      <c r="H1172" s="18" t="n"/>
      <c r="I1172" s="18" t="n"/>
      <c r="J1172" s="18" t="n"/>
      <c r="K1172" s="18" t="n"/>
      <c r="L1172" s="18" t="n"/>
    </row>
    <row r="1173" ht="70" customHeight="1">
      <c r="A1173" s="10" t="n">
        <v>1169</v>
      </c>
      <c r="B1173" s="11" t="inlineStr">
        <is>
          <t>LP-W-13</t>
        </is>
      </c>
      <c r="C1173" s="5" t="inlineStr">
        <is>
          <t>Temuan dikelompokkan harfiah, dua ejaan jadi dua baris</t>
        </is>
      </c>
      <c r="D1173" s="12" t="inlineStr">
        <is>
          <t>Cages Track</t>
        </is>
      </c>
      <c r="E1173" s="5" t="inlineStr">
        <is>
          <t>SPV-A</t>
        </is>
      </c>
      <c r="F1173" s="5" t="inlineStr">
        <is>
          <t>- Muncul dua baris terpisah — pengelompokannya harfiah, apa adanya.
- Sistem tidak menyatukan ejaan yang berbeda; menyatukannya berarti menebak maksud operator.
- Masing-masing membawa jumlah kemunculannya sendiri.</t>
        </is>
      </c>
      <c r="G1173" s="10" t="inlineStr">
        <is>
          <t>Sedang</t>
        </is>
      </c>
      <c r="H1173" s="18" t="n"/>
      <c r="I1173" s="18" t="n"/>
      <c r="J1173" s="18" t="n"/>
      <c r="K1173" s="18" t="n"/>
      <c r="L1173" s="18" t="n"/>
    </row>
    <row r="1174" ht="70" customHeight="1">
      <c r="A1174" s="14" t="n">
        <v>1170</v>
      </c>
      <c r="B1174" s="16" t="inlineStr">
        <is>
          <t>LP-W-13</t>
        </is>
      </c>
      <c r="C1174" s="15" t="inlineStr">
        <is>
          <t>Temuan dikelompokkan harfiah, dua ejaan jadi dua baris</t>
        </is>
      </c>
      <c r="D1174" s="17" t="inlineStr">
        <is>
          <t>Sterilizer</t>
        </is>
      </c>
      <c r="E1174" s="15" t="inlineStr">
        <is>
          <t>SPV-A</t>
        </is>
      </c>
      <c r="F1174" s="15" t="inlineStr">
        <is>
          <t>- Muncul dua baris terpisah — pengelompokannya harfiah, apa adanya.
- Sistem tidak menyatukan ejaan yang berbeda; menyatukannya berarti menebak maksud operator.
- Masing-masing membawa jumlah kemunculannya sendiri.</t>
        </is>
      </c>
      <c r="G1174" s="14" t="inlineStr">
        <is>
          <t>Sedang</t>
        </is>
      </c>
      <c r="H1174" s="18" t="n"/>
      <c r="I1174" s="18" t="n"/>
      <c r="J1174" s="18" t="n"/>
      <c r="K1174" s="18" t="n"/>
      <c r="L1174" s="18" t="n"/>
    </row>
    <row r="1175" ht="70" customHeight="1">
      <c r="A1175" s="10" t="n">
        <v>1171</v>
      </c>
      <c r="B1175" s="11" t="inlineStr">
        <is>
          <t>LP-W-13</t>
        </is>
      </c>
      <c r="C1175" s="5" t="inlineStr">
        <is>
          <t>Temuan dikelompokkan harfiah, dua ejaan jadi dua baris</t>
        </is>
      </c>
      <c r="D1175" s="12" t="inlineStr">
        <is>
          <t>Threshing</t>
        </is>
      </c>
      <c r="E1175" s="5" t="inlineStr">
        <is>
          <t>SPV-A</t>
        </is>
      </c>
      <c r="F1175" s="5" t="inlineStr">
        <is>
          <t>- Muncul dua baris terpisah — pengelompokannya harfiah, apa adanya.
- Sistem tidak menyatukan ejaan yang berbeda; menyatukannya berarti menebak maksud operator.
- Masing-masing membawa jumlah kemunculannya sendiri.</t>
        </is>
      </c>
      <c r="G1175" s="10" t="inlineStr">
        <is>
          <t>Sedang</t>
        </is>
      </c>
      <c r="H1175" s="18" t="n"/>
      <c r="I1175" s="18" t="n"/>
      <c r="J1175" s="18" t="n"/>
      <c r="K1175" s="18" t="n"/>
      <c r="L1175" s="18" t="n"/>
    </row>
    <row r="1176" ht="70" customHeight="1">
      <c r="A1176" s="14" t="n">
        <v>1172</v>
      </c>
      <c r="B1176" s="16" t="inlineStr">
        <is>
          <t>LP-W-13</t>
        </is>
      </c>
      <c r="C1176" s="15" t="inlineStr">
        <is>
          <t>Temuan dikelompokkan harfiah, dua ejaan jadi dua baris</t>
        </is>
      </c>
      <c r="D1176" s="17" t="inlineStr">
        <is>
          <t>Pressing</t>
        </is>
      </c>
      <c r="E1176" s="15" t="inlineStr">
        <is>
          <t>SPV-A</t>
        </is>
      </c>
      <c r="F1176" s="15" t="inlineStr">
        <is>
          <t>- Muncul dua baris terpisah — pengelompokannya harfiah, apa adanya.
- Sistem tidak menyatukan ejaan yang berbeda; menyatukannya berarti menebak maksud operator.
- Masing-masing membawa jumlah kemunculannya sendiri.</t>
        </is>
      </c>
      <c r="G1176" s="14" t="inlineStr">
        <is>
          <t>Sedang</t>
        </is>
      </c>
      <c r="H1176" s="18" t="n"/>
      <c r="I1176" s="18" t="n"/>
      <c r="J1176" s="18" t="n"/>
      <c r="K1176" s="18" t="n"/>
      <c r="L1176" s="18" t="n"/>
    </row>
    <row r="1177" ht="70" customHeight="1">
      <c r="A1177" s="10" t="n">
        <v>1173</v>
      </c>
      <c r="B1177" s="11" t="inlineStr">
        <is>
          <t>LP-W-13</t>
        </is>
      </c>
      <c r="C1177" s="5" t="inlineStr">
        <is>
          <t>Temuan dikelompokkan harfiah, dua ejaan jadi dua baris</t>
        </is>
      </c>
      <c r="D1177" s="12" t="inlineStr">
        <is>
          <t>Clarification</t>
        </is>
      </c>
      <c r="E1177" s="5" t="inlineStr">
        <is>
          <t>SPV-A</t>
        </is>
      </c>
      <c r="F1177" s="5" t="inlineStr">
        <is>
          <t>- Muncul dua baris terpisah — pengelompokannya harfiah, apa adanya.
- Sistem tidak menyatukan ejaan yang berbeda; menyatukannya berarti menebak maksud operator.
- Masing-masing membawa jumlah kemunculannya sendiri.</t>
        </is>
      </c>
      <c r="G1177" s="10" t="inlineStr">
        <is>
          <t>Sedang</t>
        </is>
      </c>
      <c r="H1177" s="18" t="n"/>
      <c r="I1177" s="18" t="n"/>
      <c r="J1177" s="18" t="n"/>
      <c r="K1177" s="18" t="n"/>
      <c r="L1177" s="18" t="n"/>
    </row>
    <row r="1178" ht="70" customHeight="1">
      <c r="A1178" s="14" t="n">
        <v>1174</v>
      </c>
      <c r="B1178" s="16" t="inlineStr">
        <is>
          <t>LP-W-13</t>
        </is>
      </c>
      <c r="C1178" s="15" t="inlineStr">
        <is>
          <t>Temuan dikelompokkan harfiah, dua ejaan jadi dua baris</t>
        </is>
      </c>
      <c r="D1178" s="17" t="inlineStr">
        <is>
          <t>Kernel Plant</t>
        </is>
      </c>
      <c r="E1178" s="15" t="inlineStr">
        <is>
          <t>SPV-A</t>
        </is>
      </c>
      <c r="F1178" s="15" t="inlineStr">
        <is>
          <t>- Muncul dua baris terpisah — pengelompokannya harfiah, apa adanya.
- Sistem tidak menyatukan ejaan yang berbeda; menyatukannya berarti menebak maksud operator.
- Masing-masing membawa jumlah kemunculannya sendiri.</t>
        </is>
      </c>
      <c r="G1178" s="14" t="inlineStr">
        <is>
          <t>Sedang</t>
        </is>
      </c>
      <c r="H1178" s="18" t="n"/>
      <c r="I1178" s="18" t="n"/>
      <c r="J1178" s="18" t="n"/>
      <c r="K1178" s="18" t="n"/>
      <c r="L1178" s="18" t="n"/>
    </row>
    <row r="1179" ht="70" customHeight="1">
      <c r="A1179" s="10" t="n">
        <v>1175</v>
      </c>
      <c r="B1179" s="11" t="inlineStr">
        <is>
          <t>LP-W-13</t>
        </is>
      </c>
      <c r="C1179" s="5" t="inlineStr">
        <is>
          <t>Temuan dikelompokkan harfiah, dua ejaan jadi dua baris</t>
        </is>
      </c>
      <c r="D1179" s="12" t="inlineStr">
        <is>
          <t>Boiler Room</t>
        </is>
      </c>
      <c r="E1179" s="5" t="inlineStr">
        <is>
          <t>SPV-A</t>
        </is>
      </c>
      <c r="F1179" s="5" t="inlineStr">
        <is>
          <t>- Muncul dua baris terpisah — pengelompokannya harfiah, apa adanya.
- Sistem tidak menyatukan ejaan yang berbeda; menyatukannya berarti menebak maksud operator.
- Masing-masing membawa jumlah kemunculannya sendiri.</t>
        </is>
      </c>
      <c r="G1179" s="10" t="inlineStr">
        <is>
          <t>Sedang</t>
        </is>
      </c>
      <c r="H1179" s="18" t="n"/>
      <c r="I1179" s="18" t="n"/>
      <c r="J1179" s="18" t="n"/>
      <c r="K1179" s="18" t="n"/>
      <c r="L1179" s="18" t="n"/>
    </row>
    <row r="1180" ht="70" customHeight="1">
      <c r="A1180" s="14" t="n">
        <v>1176</v>
      </c>
      <c r="B1180" s="16" t="inlineStr">
        <is>
          <t>LP-W-13</t>
        </is>
      </c>
      <c r="C1180" s="15" t="inlineStr">
        <is>
          <t>Temuan dikelompokkan harfiah, dua ejaan jadi dua baris</t>
        </is>
      </c>
      <c r="D1180" s="17" t="inlineStr">
        <is>
          <t>Depricarping</t>
        </is>
      </c>
      <c r="E1180" s="15" t="inlineStr">
        <is>
          <t>SPV-A</t>
        </is>
      </c>
      <c r="F1180" s="15" t="inlineStr">
        <is>
          <t>- Muncul dua baris terpisah — pengelompokannya harfiah, apa adanya.
- Sistem tidak menyatukan ejaan yang berbeda; menyatukannya berarti menebak maksud operator.
- Masing-masing membawa jumlah kemunculannya sendiri.</t>
        </is>
      </c>
      <c r="G1180" s="14" t="inlineStr">
        <is>
          <t>Sedang</t>
        </is>
      </c>
      <c r="H1180" s="18" t="n"/>
      <c r="I1180" s="18" t="n"/>
      <c r="J1180" s="18" t="n"/>
      <c r="K1180" s="18" t="n"/>
      <c r="L1180" s="18" t="n"/>
    </row>
    <row r="1181" ht="70" customHeight="1">
      <c r="A1181" s="10" t="n">
        <v>1177</v>
      </c>
      <c r="B1181" s="11" t="inlineStr">
        <is>
          <t>LP-W-13</t>
        </is>
      </c>
      <c r="C1181" s="5" t="inlineStr">
        <is>
          <t>Temuan dikelompokkan harfiah, dua ejaan jadi dua baris</t>
        </is>
      </c>
      <c r="D1181" s="12" t="inlineStr">
        <is>
          <t>Storage Tank</t>
        </is>
      </c>
      <c r="E1181" s="5" t="inlineStr">
        <is>
          <t>SPV-A</t>
        </is>
      </c>
      <c r="F1181" s="5" t="inlineStr">
        <is>
          <t>- Muncul dua baris terpisah — pengelompokannya harfiah, apa adanya.
- Sistem tidak menyatukan ejaan yang berbeda; menyatukannya berarti menebak maksud operator.
- Masing-masing membawa jumlah kemunculannya sendiri.</t>
        </is>
      </c>
      <c r="G1181" s="10" t="inlineStr">
        <is>
          <t>Sedang</t>
        </is>
      </c>
      <c r="H1181" s="18" t="n"/>
      <c r="I1181" s="18" t="n"/>
      <c r="J1181" s="18" t="n"/>
      <c r="K1181" s="18" t="n"/>
      <c r="L1181" s="18" t="n"/>
    </row>
    <row r="1182" ht="70" customHeight="1">
      <c r="A1182" s="14" t="n">
        <v>1178</v>
      </c>
      <c r="B1182" s="16" t="inlineStr">
        <is>
          <t>LP-W-14</t>
        </is>
      </c>
      <c r="C1182" s="15" t="inlineStr">
        <is>
          <t>Temuan terpisah dari downtime</t>
        </is>
      </c>
      <c r="D1182" s="17" t="inlineStr">
        <is>
          <t>Weighbridge</t>
        </is>
      </c>
      <c r="E1182" s="15" t="inlineStr">
        <is>
          <t>SPV-A</t>
        </is>
      </c>
      <c r="F1182" s="15" t="inlineStr">
        <is>
          <t>- Keduanya dihitung terpisah: slot yang hanya mengisi temuan tidak menambah menit downtime.
- Slot yang mengisi keduanya muncul di kedua tempat.
- Daftar temuan tidak hanya memuat temuan yang punya downtime.</t>
        </is>
      </c>
      <c r="G1182" s="14" t="inlineStr">
        <is>
          <t>Sedang</t>
        </is>
      </c>
      <c r="H1182" s="18" t="n"/>
      <c r="I1182" s="18" t="n"/>
      <c r="J1182" s="18" t="n"/>
      <c r="K1182" s="18" t="n"/>
      <c r="L1182" s="18" t="n"/>
    </row>
    <row r="1183" ht="70" customHeight="1">
      <c r="A1183" s="10" t="n">
        <v>1179</v>
      </c>
      <c r="B1183" s="11" t="inlineStr">
        <is>
          <t>LP-W-14</t>
        </is>
      </c>
      <c r="C1183" s="5" t="inlineStr">
        <is>
          <t>Temuan terpisah dari downtime</t>
        </is>
      </c>
      <c r="D1183" s="12" t="inlineStr">
        <is>
          <t>Grading</t>
        </is>
      </c>
      <c r="E1183" s="5" t="inlineStr">
        <is>
          <t>SPV-A</t>
        </is>
      </c>
      <c r="F1183" s="5" t="inlineStr">
        <is>
          <t>- Keduanya dihitung terpisah: slot yang hanya mengisi temuan tidak menambah menit downtime.
- Slot yang mengisi keduanya muncul di kedua tempat.
- Daftar temuan tidak hanya memuat temuan yang punya downtime.</t>
        </is>
      </c>
      <c r="G1183" s="10" t="inlineStr">
        <is>
          <t>Sedang</t>
        </is>
      </c>
      <c r="H1183" s="18" t="n"/>
      <c r="I1183" s="18" t="n"/>
      <c r="J1183" s="18" t="n"/>
      <c r="K1183" s="18" t="n"/>
      <c r="L1183" s="18" t="n"/>
    </row>
    <row r="1184" ht="70" customHeight="1">
      <c r="A1184" s="14" t="n">
        <v>1180</v>
      </c>
      <c r="B1184" s="16" t="inlineStr">
        <is>
          <t>LP-W-14</t>
        </is>
      </c>
      <c r="C1184" s="15" t="inlineStr">
        <is>
          <t>Temuan terpisah dari downtime</t>
        </is>
      </c>
      <c r="D1184" s="17" t="inlineStr">
        <is>
          <t>Cages Track</t>
        </is>
      </c>
      <c r="E1184" s="15" t="inlineStr">
        <is>
          <t>SPV-A</t>
        </is>
      </c>
      <c r="F1184" s="15" t="inlineStr">
        <is>
          <t>- Keduanya dihitung terpisah: slot yang hanya mengisi temuan tidak menambah menit downtime.
- Slot yang mengisi keduanya muncul di kedua tempat.
- Daftar temuan tidak hanya memuat temuan yang punya downtime.</t>
        </is>
      </c>
      <c r="G1184" s="14" t="inlineStr">
        <is>
          <t>Sedang</t>
        </is>
      </c>
      <c r="H1184" s="18" t="n"/>
      <c r="I1184" s="18" t="n"/>
      <c r="J1184" s="18" t="n"/>
      <c r="K1184" s="18" t="n"/>
      <c r="L1184" s="18" t="n"/>
    </row>
    <row r="1185" ht="70" customHeight="1">
      <c r="A1185" s="10" t="n">
        <v>1181</v>
      </c>
      <c r="B1185" s="11" t="inlineStr">
        <is>
          <t>LP-W-14</t>
        </is>
      </c>
      <c r="C1185" s="5" t="inlineStr">
        <is>
          <t>Temuan terpisah dari downtime</t>
        </is>
      </c>
      <c r="D1185" s="12" t="inlineStr">
        <is>
          <t>Sterilizer</t>
        </is>
      </c>
      <c r="E1185" s="5" t="inlineStr">
        <is>
          <t>SPV-A</t>
        </is>
      </c>
      <c r="F1185" s="5" t="inlineStr">
        <is>
          <t>- Keduanya dihitung terpisah: slot yang hanya mengisi temuan tidak menambah menit downtime.
- Slot yang mengisi keduanya muncul di kedua tempat.
- Daftar temuan tidak hanya memuat temuan yang punya downtime.</t>
        </is>
      </c>
      <c r="G1185" s="10" t="inlineStr">
        <is>
          <t>Sedang</t>
        </is>
      </c>
      <c r="H1185" s="18" t="n"/>
      <c r="I1185" s="18" t="n"/>
      <c r="J1185" s="18" t="n"/>
      <c r="K1185" s="18" t="n"/>
      <c r="L1185" s="18" t="n"/>
    </row>
    <row r="1186" ht="70" customHeight="1">
      <c r="A1186" s="14" t="n">
        <v>1182</v>
      </c>
      <c r="B1186" s="16" t="inlineStr">
        <is>
          <t>LP-W-14</t>
        </is>
      </c>
      <c r="C1186" s="15" t="inlineStr">
        <is>
          <t>Temuan terpisah dari downtime</t>
        </is>
      </c>
      <c r="D1186" s="17" t="inlineStr">
        <is>
          <t>Threshing</t>
        </is>
      </c>
      <c r="E1186" s="15" t="inlineStr">
        <is>
          <t>SPV-A</t>
        </is>
      </c>
      <c r="F1186" s="15" t="inlineStr">
        <is>
          <t>- Keduanya dihitung terpisah: slot yang hanya mengisi temuan tidak menambah menit downtime.
- Slot yang mengisi keduanya muncul di kedua tempat.
- Daftar temuan tidak hanya memuat temuan yang punya downtime.</t>
        </is>
      </c>
      <c r="G1186" s="14" t="inlineStr">
        <is>
          <t>Sedang</t>
        </is>
      </c>
      <c r="H1186" s="18" t="n"/>
      <c r="I1186" s="18" t="n"/>
      <c r="J1186" s="18" t="n"/>
      <c r="K1186" s="18" t="n"/>
      <c r="L1186" s="18" t="n"/>
    </row>
    <row r="1187" ht="70" customHeight="1">
      <c r="A1187" s="10" t="n">
        <v>1183</v>
      </c>
      <c r="B1187" s="11" t="inlineStr">
        <is>
          <t>LP-W-14</t>
        </is>
      </c>
      <c r="C1187" s="5" t="inlineStr">
        <is>
          <t>Temuan terpisah dari downtime</t>
        </is>
      </c>
      <c r="D1187" s="12" t="inlineStr">
        <is>
          <t>Pressing</t>
        </is>
      </c>
      <c r="E1187" s="5" t="inlineStr">
        <is>
          <t>SPV-A</t>
        </is>
      </c>
      <c r="F1187" s="5" t="inlineStr">
        <is>
          <t>- Keduanya dihitung terpisah: slot yang hanya mengisi temuan tidak menambah menit downtime.
- Slot yang mengisi keduanya muncul di kedua tempat.
- Daftar temuan tidak hanya memuat temuan yang punya downtime.</t>
        </is>
      </c>
      <c r="G1187" s="10" t="inlineStr">
        <is>
          <t>Sedang</t>
        </is>
      </c>
      <c r="H1187" s="18" t="n"/>
      <c r="I1187" s="18" t="n"/>
      <c r="J1187" s="18" t="n"/>
      <c r="K1187" s="18" t="n"/>
      <c r="L1187" s="18" t="n"/>
    </row>
    <row r="1188" ht="70" customHeight="1">
      <c r="A1188" s="14" t="n">
        <v>1184</v>
      </c>
      <c r="B1188" s="16" t="inlineStr">
        <is>
          <t>LP-W-14</t>
        </is>
      </c>
      <c r="C1188" s="15" t="inlineStr">
        <is>
          <t>Temuan terpisah dari downtime</t>
        </is>
      </c>
      <c r="D1188" s="17" t="inlineStr">
        <is>
          <t>Clarification</t>
        </is>
      </c>
      <c r="E1188" s="15" t="inlineStr">
        <is>
          <t>SPV-A</t>
        </is>
      </c>
      <c r="F1188" s="15" t="inlineStr">
        <is>
          <t>- Keduanya dihitung terpisah: slot yang hanya mengisi temuan tidak menambah menit downtime.
- Slot yang mengisi keduanya muncul di kedua tempat.
- Daftar temuan tidak hanya memuat temuan yang punya downtime.</t>
        </is>
      </c>
      <c r="G1188" s="14" t="inlineStr">
        <is>
          <t>Sedang</t>
        </is>
      </c>
      <c r="H1188" s="18" t="n"/>
      <c r="I1188" s="18" t="n"/>
      <c r="J1188" s="18" t="n"/>
      <c r="K1188" s="18" t="n"/>
      <c r="L1188" s="18" t="n"/>
    </row>
    <row r="1189" ht="70" customHeight="1">
      <c r="A1189" s="10" t="n">
        <v>1185</v>
      </c>
      <c r="B1189" s="11" t="inlineStr">
        <is>
          <t>LP-W-14</t>
        </is>
      </c>
      <c r="C1189" s="5" t="inlineStr">
        <is>
          <t>Temuan terpisah dari downtime</t>
        </is>
      </c>
      <c r="D1189" s="12" t="inlineStr">
        <is>
          <t>Kernel Plant</t>
        </is>
      </c>
      <c r="E1189" s="5" t="inlineStr">
        <is>
          <t>SPV-A</t>
        </is>
      </c>
      <c r="F1189" s="5" t="inlineStr">
        <is>
          <t>- Keduanya dihitung terpisah: slot yang hanya mengisi temuan tidak menambah menit downtime.
- Slot yang mengisi keduanya muncul di kedua tempat.
- Daftar temuan tidak hanya memuat temuan yang punya downtime.</t>
        </is>
      </c>
      <c r="G1189" s="10" t="inlineStr">
        <is>
          <t>Sedang</t>
        </is>
      </c>
      <c r="H1189" s="18" t="n"/>
      <c r="I1189" s="18" t="n"/>
      <c r="J1189" s="18" t="n"/>
      <c r="K1189" s="18" t="n"/>
      <c r="L1189" s="18" t="n"/>
    </row>
    <row r="1190" ht="70" customHeight="1">
      <c r="A1190" s="14" t="n">
        <v>1186</v>
      </c>
      <c r="B1190" s="16" t="inlineStr">
        <is>
          <t>LP-W-14</t>
        </is>
      </c>
      <c r="C1190" s="15" t="inlineStr">
        <is>
          <t>Temuan terpisah dari downtime</t>
        </is>
      </c>
      <c r="D1190" s="17" t="inlineStr">
        <is>
          <t>Boiler Room</t>
        </is>
      </c>
      <c r="E1190" s="15" t="inlineStr">
        <is>
          <t>SPV-A</t>
        </is>
      </c>
      <c r="F1190" s="15" t="inlineStr">
        <is>
          <t>- Keduanya dihitung terpisah: slot yang hanya mengisi temuan tidak menambah menit downtime.
- Slot yang mengisi keduanya muncul di kedua tempat.
- Daftar temuan tidak hanya memuat temuan yang punya downtime.</t>
        </is>
      </c>
      <c r="G1190" s="14" t="inlineStr">
        <is>
          <t>Sedang</t>
        </is>
      </c>
      <c r="H1190" s="18" t="n"/>
      <c r="I1190" s="18" t="n"/>
      <c r="J1190" s="18" t="n"/>
      <c r="K1190" s="18" t="n"/>
      <c r="L1190" s="18" t="n"/>
    </row>
    <row r="1191" ht="70" customHeight="1">
      <c r="A1191" s="10" t="n">
        <v>1187</v>
      </c>
      <c r="B1191" s="11" t="inlineStr">
        <is>
          <t>LP-W-14</t>
        </is>
      </c>
      <c r="C1191" s="5" t="inlineStr">
        <is>
          <t>Temuan terpisah dari downtime</t>
        </is>
      </c>
      <c r="D1191" s="12" t="inlineStr">
        <is>
          <t>Depricarping</t>
        </is>
      </c>
      <c r="E1191" s="5" t="inlineStr">
        <is>
          <t>SPV-A</t>
        </is>
      </c>
      <c r="F1191" s="5" t="inlineStr">
        <is>
          <t>- Keduanya dihitung terpisah: slot yang hanya mengisi temuan tidak menambah menit downtime.
- Slot yang mengisi keduanya muncul di kedua tempat.
- Daftar temuan tidak hanya memuat temuan yang punya downtime.</t>
        </is>
      </c>
      <c r="G1191" s="10" t="inlineStr">
        <is>
          <t>Sedang</t>
        </is>
      </c>
      <c r="H1191" s="18" t="n"/>
      <c r="I1191" s="18" t="n"/>
      <c r="J1191" s="18" t="n"/>
      <c r="K1191" s="18" t="n"/>
      <c r="L1191" s="18" t="n"/>
    </row>
    <row r="1192" ht="70" customHeight="1">
      <c r="A1192" s="14" t="n">
        <v>1188</v>
      </c>
      <c r="B1192" s="16" t="inlineStr">
        <is>
          <t>LP-W-14</t>
        </is>
      </c>
      <c r="C1192" s="15" t="inlineStr">
        <is>
          <t>Temuan terpisah dari downtime</t>
        </is>
      </c>
      <c r="D1192" s="17" t="inlineStr">
        <is>
          <t>Storage Tank</t>
        </is>
      </c>
      <c r="E1192" s="15" t="inlineStr">
        <is>
          <t>SPV-A</t>
        </is>
      </c>
      <c r="F1192" s="15" t="inlineStr">
        <is>
          <t>- Keduanya dihitung terpisah: slot yang hanya mengisi temuan tidak menambah menit downtime.
- Slot yang mengisi keduanya muncul di kedua tempat.
- Daftar temuan tidak hanya memuat temuan yang punya downtime.</t>
        </is>
      </c>
      <c r="G1192" s="14" t="inlineStr">
        <is>
          <t>Sedang</t>
        </is>
      </c>
      <c r="H1192" s="18" t="n"/>
      <c r="I1192" s="18" t="n"/>
      <c r="J1192" s="18" t="n"/>
      <c r="K1192" s="18" t="n"/>
      <c r="L1192" s="18" t="n"/>
    </row>
    <row r="1193" ht="109.6" customHeight="1">
      <c r="A1193" s="10" t="n">
        <v>1189</v>
      </c>
      <c r="B1193" s="11" t="inlineStr">
        <is>
          <t>LP-W-15</t>
        </is>
      </c>
      <c r="C1193" s="5" t="inlineStr">
        <is>
          <t>Bagian "standar tanpa pengukuran" tetap digambar walau kosong</t>
        </is>
      </c>
      <c r="D1193" s="12" t="inlineStr">
        <is>
          <t>Weighbridge</t>
        </is>
      </c>
      <c r="E1193" s="5" t="inlineStr">
        <is>
          <t>SPV-A</t>
        </is>
      </c>
      <c r="F119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G1193" s="10" t="inlineStr">
        <is>
          <t>Sedang</t>
        </is>
      </c>
      <c r="H1193" s="18" t="n"/>
      <c r="I1193" s="18" t="n"/>
      <c r="J1193" s="18" t="n"/>
      <c r="K1193" s="18" t="n"/>
      <c r="L1193" s="18" t="n"/>
    </row>
    <row r="1194" ht="109.6" customHeight="1">
      <c r="A1194" s="14" t="n">
        <v>1190</v>
      </c>
      <c r="B1194" s="16" t="inlineStr">
        <is>
          <t>LP-W-15</t>
        </is>
      </c>
      <c r="C1194" s="15" t="inlineStr">
        <is>
          <t>Bagian "standar tanpa pengukuran" tetap digambar walau kosong</t>
        </is>
      </c>
      <c r="D1194" s="17" t="inlineStr">
        <is>
          <t>Grading</t>
        </is>
      </c>
      <c r="E1194" s="15" t="inlineStr">
        <is>
          <t>SPV-A</t>
        </is>
      </c>
      <c r="F1194" s="1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G1194" s="14" t="inlineStr">
        <is>
          <t>Sedang</t>
        </is>
      </c>
      <c r="H1194" s="18" t="n"/>
      <c r="I1194" s="18" t="n"/>
      <c r="J1194" s="18" t="n"/>
      <c r="K1194" s="18" t="n"/>
      <c r="L1194" s="18" t="n"/>
    </row>
    <row r="1195" ht="109.6" customHeight="1">
      <c r="A1195" s="10" t="n">
        <v>1191</v>
      </c>
      <c r="B1195" s="11" t="inlineStr">
        <is>
          <t>LP-W-15</t>
        </is>
      </c>
      <c r="C1195" s="5" t="inlineStr">
        <is>
          <t>Bagian "standar tanpa pengukuran" tetap digambar walau kosong</t>
        </is>
      </c>
      <c r="D1195" s="12" t="inlineStr">
        <is>
          <t>Cages Track</t>
        </is>
      </c>
      <c r="E1195" s="5" t="inlineStr">
        <is>
          <t>SPV-A</t>
        </is>
      </c>
      <c r="F119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G1195" s="10" t="inlineStr">
        <is>
          <t>Sedang</t>
        </is>
      </c>
      <c r="H1195" s="18" t="n"/>
      <c r="I1195" s="18" t="n"/>
      <c r="J1195" s="18" t="n"/>
      <c r="K1195" s="18" t="n"/>
      <c r="L1195" s="18" t="n"/>
    </row>
    <row r="1196" ht="109.6" customHeight="1">
      <c r="A1196" s="14" t="n">
        <v>1192</v>
      </c>
      <c r="B1196" s="16" t="inlineStr">
        <is>
          <t>LP-W-15</t>
        </is>
      </c>
      <c r="C1196" s="15" t="inlineStr">
        <is>
          <t>Bagian "standar tanpa pengukuran" tetap digambar walau kosong</t>
        </is>
      </c>
      <c r="D1196" s="17" t="inlineStr">
        <is>
          <t>Sterilizer</t>
        </is>
      </c>
      <c r="E1196" s="15" t="inlineStr">
        <is>
          <t>SPV-A</t>
        </is>
      </c>
      <c r="F1196" s="1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G1196" s="14" t="inlineStr">
        <is>
          <t>Sedang</t>
        </is>
      </c>
      <c r="H1196" s="18" t="n"/>
      <c r="I1196" s="18" t="n"/>
      <c r="J1196" s="18" t="n"/>
      <c r="K1196" s="18" t="n"/>
      <c r="L1196" s="18" t="n"/>
    </row>
    <row r="1197" ht="109.6" customHeight="1">
      <c r="A1197" s="10" t="n">
        <v>1193</v>
      </c>
      <c r="B1197" s="11" t="inlineStr">
        <is>
          <t>LP-W-15</t>
        </is>
      </c>
      <c r="C1197" s="5" t="inlineStr">
        <is>
          <t>Bagian "standar tanpa pengukuran" tetap digambar walau kosong</t>
        </is>
      </c>
      <c r="D1197" s="12" t="inlineStr">
        <is>
          <t>Threshing</t>
        </is>
      </c>
      <c r="E1197" s="5" t="inlineStr">
        <is>
          <t>SPV-A</t>
        </is>
      </c>
      <c r="F119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G1197" s="10" t="inlineStr">
        <is>
          <t>Sedang</t>
        </is>
      </c>
      <c r="H1197" s="18" t="n"/>
      <c r="I1197" s="18" t="n"/>
      <c r="J1197" s="18" t="n"/>
      <c r="K1197" s="18" t="n"/>
      <c r="L1197" s="18" t="n"/>
    </row>
    <row r="1198" ht="109.6" customHeight="1">
      <c r="A1198" s="14" t="n">
        <v>1194</v>
      </c>
      <c r="B1198" s="16" t="inlineStr">
        <is>
          <t>LP-W-15</t>
        </is>
      </c>
      <c r="C1198" s="15" t="inlineStr">
        <is>
          <t>Bagian "standar tanpa pengukuran" tetap digambar walau kosong</t>
        </is>
      </c>
      <c r="D1198" s="17" t="inlineStr">
        <is>
          <t>Pressing</t>
        </is>
      </c>
      <c r="E1198" s="15" t="inlineStr">
        <is>
          <t>SPV-A</t>
        </is>
      </c>
      <c r="F1198" s="1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G1198" s="14" t="inlineStr">
        <is>
          <t>Sedang</t>
        </is>
      </c>
      <c r="H1198" s="18" t="n"/>
      <c r="I1198" s="18" t="n"/>
      <c r="J1198" s="18" t="n"/>
      <c r="K1198" s="18" t="n"/>
      <c r="L1198" s="18" t="n"/>
    </row>
    <row r="1199" ht="109.6" customHeight="1">
      <c r="A1199" s="10" t="n">
        <v>1195</v>
      </c>
      <c r="B1199" s="11" t="inlineStr">
        <is>
          <t>LP-W-15</t>
        </is>
      </c>
      <c r="C1199" s="5" t="inlineStr">
        <is>
          <t>Bagian "standar tanpa pengukuran" tetap digambar walau kosong</t>
        </is>
      </c>
      <c r="D1199" s="12" t="inlineStr">
        <is>
          <t>Clarification</t>
        </is>
      </c>
      <c r="E1199" s="5" t="inlineStr">
        <is>
          <t>SPV-A</t>
        </is>
      </c>
      <c r="F119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G1199" s="10" t="inlineStr">
        <is>
          <t>Sedang</t>
        </is>
      </c>
      <c r="H1199" s="18" t="n"/>
      <c r="I1199" s="18" t="n"/>
      <c r="J1199" s="18" t="n"/>
      <c r="K1199" s="18" t="n"/>
      <c r="L1199" s="18" t="n"/>
    </row>
    <row r="1200" ht="109.6" customHeight="1">
      <c r="A1200" s="14" t="n">
        <v>1196</v>
      </c>
      <c r="B1200" s="16" t="inlineStr">
        <is>
          <t>LP-W-15</t>
        </is>
      </c>
      <c r="C1200" s="15" t="inlineStr">
        <is>
          <t>Bagian "standar tanpa pengukuran" tetap digambar walau kosong</t>
        </is>
      </c>
      <c r="D1200" s="17" t="inlineStr">
        <is>
          <t>Kernel Plant</t>
        </is>
      </c>
      <c r="E1200" s="15" t="inlineStr">
        <is>
          <t>SPV-A</t>
        </is>
      </c>
      <c r="F1200" s="1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G1200" s="14" t="inlineStr">
        <is>
          <t>Sedang</t>
        </is>
      </c>
      <c r="H1200" s="18" t="n"/>
      <c r="I1200" s="18" t="n"/>
      <c r="J1200" s="18" t="n"/>
      <c r="K1200" s="18" t="n"/>
      <c r="L1200" s="18" t="n"/>
    </row>
    <row r="1201" ht="109.6" customHeight="1">
      <c r="A1201" s="10" t="n">
        <v>1197</v>
      </c>
      <c r="B1201" s="11" t="inlineStr">
        <is>
          <t>LP-W-15</t>
        </is>
      </c>
      <c r="C1201" s="5" t="inlineStr">
        <is>
          <t>Bagian "standar tanpa pengukuran" tetap digambar walau kosong</t>
        </is>
      </c>
      <c r="D1201" s="12" t="inlineStr">
        <is>
          <t>Boiler Room</t>
        </is>
      </c>
      <c r="E1201" s="5" t="inlineStr">
        <is>
          <t>SPV-A</t>
        </is>
      </c>
      <c r="F120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G1201" s="10" t="inlineStr">
        <is>
          <t>Sedang</t>
        </is>
      </c>
      <c r="H1201" s="18" t="n"/>
      <c r="I1201" s="18" t="n"/>
      <c r="J1201" s="18" t="n"/>
      <c r="K1201" s="18" t="n"/>
      <c r="L1201" s="18" t="n"/>
    </row>
    <row r="1202" ht="109.6" customHeight="1">
      <c r="A1202" s="14" t="n">
        <v>1198</v>
      </c>
      <c r="B1202" s="16" t="inlineStr">
        <is>
          <t>LP-W-15</t>
        </is>
      </c>
      <c r="C1202" s="15" t="inlineStr">
        <is>
          <t>Bagian "standar tanpa pengukuran" tetap digambar walau kosong</t>
        </is>
      </c>
      <c r="D1202" s="17" t="inlineStr">
        <is>
          <t>Depricarping</t>
        </is>
      </c>
      <c r="E1202" s="15" t="inlineStr">
        <is>
          <t>SPV-A</t>
        </is>
      </c>
      <c r="F1202" s="1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G1202" s="14" t="inlineStr">
        <is>
          <t>Sedang</t>
        </is>
      </c>
      <c r="H1202" s="18" t="n"/>
      <c r="I1202" s="18" t="n"/>
      <c r="J1202" s="18" t="n"/>
      <c r="K1202" s="18" t="n"/>
      <c r="L1202" s="18" t="n"/>
    </row>
    <row r="1203" ht="109.6" customHeight="1">
      <c r="A1203" s="10" t="n">
        <v>1199</v>
      </c>
      <c r="B1203" s="11" t="inlineStr">
        <is>
          <t>LP-W-15</t>
        </is>
      </c>
      <c r="C1203" s="5" t="inlineStr">
        <is>
          <t>Bagian "standar tanpa pengukuran" tetap digambar walau kosong</t>
        </is>
      </c>
      <c r="D1203" s="12" t="inlineStr">
        <is>
          <t>Storage Tank</t>
        </is>
      </c>
      <c r="E1203" s="5" t="inlineStr">
        <is>
          <t>SPV-A</t>
        </is>
      </c>
      <c r="F120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G1203" s="10" t="inlineStr">
        <is>
          <t>Sedang</t>
        </is>
      </c>
      <c r="H1203" s="18" t="n"/>
      <c r="I1203" s="18" t="n"/>
      <c r="J1203" s="18" t="n"/>
      <c r="K1203" s="18" t="n"/>
      <c r="L1203" s="18" t="n"/>
    </row>
    <row r="1204" ht="70" customHeight="1">
      <c r="A1204" s="14" t="n">
        <v>1200</v>
      </c>
      <c r="B1204" s="16" t="inlineStr">
        <is>
          <t>LP-W-16</t>
        </is>
      </c>
      <c r="C1204" s="15" t="inlineStr">
        <is>
          <t>Kolom target dirender utuh, termasuk keterangan dalam tanda kurung</t>
        </is>
      </c>
      <c r="D1204" s="17" t="inlineStr">
        <is>
          <t>Weighbridge</t>
        </is>
      </c>
      <c r="E1204" s="15" t="inlineStr">
        <is>
          <t>SPV-A</t>
        </is>
      </c>
      <c r="F1204" s="15" t="inlineStr">
        <is>
          <t>- Teks targetnya dirender utuh, termasuk keterangan dalam tanda kurung — mis. ≤ 7.0% (Prevents mold growth).
- Tidak dipotong, tidak dibuang tanda kurungnya, tidak diuraikan menjadi angka saja.
- Isinya sama dengan tabel Target Operasional di Form.</t>
        </is>
      </c>
      <c r="G1204" s="14" t="inlineStr">
        <is>
          <t>Sedang</t>
        </is>
      </c>
      <c r="H1204" s="18" t="n"/>
      <c r="I1204" s="18" t="n"/>
      <c r="J1204" s="18" t="n"/>
      <c r="K1204" s="18" t="n"/>
      <c r="L1204" s="18" t="n"/>
    </row>
    <row r="1205" ht="70" customHeight="1">
      <c r="A1205" s="10" t="n">
        <v>1201</v>
      </c>
      <c r="B1205" s="11" t="inlineStr">
        <is>
          <t>LP-W-16</t>
        </is>
      </c>
      <c r="C1205" s="5" t="inlineStr">
        <is>
          <t>Kolom target dirender utuh, termasuk keterangan dalam tanda kurung</t>
        </is>
      </c>
      <c r="D1205" s="12" t="inlineStr">
        <is>
          <t>Grading</t>
        </is>
      </c>
      <c r="E1205" s="5" t="inlineStr">
        <is>
          <t>SPV-A</t>
        </is>
      </c>
      <c r="F1205" s="5" t="inlineStr">
        <is>
          <t>- Teks targetnya dirender utuh, termasuk keterangan dalam tanda kurung — mis. ≤ 7.0% (Prevents mold growth).
- Tidak dipotong, tidak dibuang tanda kurungnya, tidak diuraikan menjadi angka saja.
- Isinya sama dengan tabel Target Operasional di Form.</t>
        </is>
      </c>
      <c r="G1205" s="10" t="inlineStr">
        <is>
          <t>Sedang</t>
        </is>
      </c>
      <c r="H1205" s="18" t="n"/>
      <c r="I1205" s="18" t="n"/>
      <c r="J1205" s="18" t="n"/>
      <c r="K1205" s="18" t="n"/>
      <c r="L1205" s="18" t="n"/>
    </row>
    <row r="1206" ht="70" customHeight="1">
      <c r="A1206" s="14" t="n">
        <v>1202</v>
      </c>
      <c r="B1206" s="16" t="inlineStr">
        <is>
          <t>LP-W-16</t>
        </is>
      </c>
      <c r="C1206" s="15" t="inlineStr">
        <is>
          <t>Kolom target dirender utuh, termasuk keterangan dalam tanda kurung</t>
        </is>
      </c>
      <c r="D1206" s="17" t="inlineStr">
        <is>
          <t>Cages Track</t>
        </is>
      </c>
      <c r="E1206" s="15" t="inlineStr">
        <is>
          <t>SPV-A</t>
        </is>
      </c>
      <c r="F1206" s="15" t="inlineStr">
        <is>
          <t>- Teks targetnya dirender utuh, termasuk keterangan dalam tanda kurung — mis. ≤ 7.0% (Prevents mold growth).
- Tidak dipotong, tidak dibuang tanda kurungnya, tidak diuraikan menjadi angka saja.
- Isinya sama dengan tabel Target Operasional di Form.</t>
        </is>
      </c>
      <c r="G1206" s="14" t="inlineStr">
        <is>
          <t>Sedang</t>
        </is>
      </c>
      <c r="H1206" s="18" t="n"/>
      <c r="I1206" s="18" t="n"/>
      <c r="J1206" s="18" t="n"/>
      <c r="K1206" s="18" t="n"/>
      <c r="L1206" s="18" t="n"/>
    </row>
    <row r="1207" ht="70" customHeight="1">
      <c r="A1207" s="10" t="n">
        <v>1203</v>
      </c>
      <c r="B1207" s="11" t="inlineStr">
        <is>
          <t>LP-W-16</t>
        </is>
      </c>
      <c r="C1207" s="5" t="inlineStr">
        <is>
          <t>Kolom target dirender utuh, termasuk keterangan dalam tanda kurung</t>
        </is>
      </c>
      <c r="D1207" s="12" t="inlineStr">
        <is>
          <t>Sterilizer</t>
        </is>
      </c>
      <c r="E1207" s="5" t="inlineStr">
        <is>
          <t>SPV-A</t>
        </is>
      </c>
      <c r="F1207" s="5" t="inlineStr">
        <is>
          <t>- Teks targetnya dirender utuh, termasuk keterangan dalam tanda kurung — mis. ≤ 7.0% (Prevents mold growth).
- Tidak dipotong, tidak dibuang tanda kurungnya, tidak diuraikan menjadi angka saja.
- Isinya sama dengan tabel Target Operasional di Form.</t>
        </is>
      </c>
      <c r="G1207" s="10" t="inlineStr">
        <is>
          <t>Sedang</t>
        </is>
      </c>
      <c r="H1207" s="18" t="n"/>
      <c r="I1207" s="18" t="n"/>
      <c r="J1207" s="18" t="n"/>
      <c r="K1207" s="18" t="n"/>
      <c r="L1207" s="18" t="n"/>
    </row>
    <row r="1208" ht="70" customHeight="1">
      <c r="A1208" s="14" t="n">
        <v>1204</v>
      </c>
      <c r="B1208" s="16" t="inlineStr">
        <is>
          <t>LP-W-16</t>
        </is>
      </c>
      <c r="C1208" s="15" t="inlineStr">
        <is>
          <t>Kolom target dirender utuh, termasuk keterangan dalam tanda kurung</t>
        </is>
      </c>
      <c r="D1208" s="17" t="inlineStr">
        <is>
          <t>Threshing</t>
        </is>
      </c>
      <c r="E1208" s="15" t="inlineStr">
        <is>
          <t>SPV-A</t>
        </is>
      </c>
      <c r="F1208" s="15" t="inlineStr">
        <is>
          <t>- Teks targetnya dirender utuh, termasuk keterangan dalam tanda kurung — mis. ≤ 7.0% (Prevents mold growth).
- Tidak dipotong, tidak dibuang tanda kurungnya, tidak diuraikan menjadi angka saja.
- Isinya sama dengan tabel Target Operasional di Form.</t>
        </is>
      </c>
      <c r="G1208" s="14" t="inlineStr">
        <is>
          <t>Sedang</t>
        </is>
      </c>
      <c r="H1208" s="18" t="n"/>
      <c r="I1208" s="18" t="n"/>
      <c r="J1208" s="18" t="n"/>
      <c r="K1208" s="18" t="n"/>
      <c r="L1208" s="18" t="n"/>
    </row>
    <row r="1209" ht="70" customHeight="1">
      <c r="A1209" s="10" t="n">
        <v>1205</v>
      </c>
      <c r="B1209" s="11" t="inlineStr">
        <is>
          <t>LP-W-16</t>
        </is>
      </c>
      <c r="C1209" s="5" t="inlineStr">
        <is>
          <t>Kolom target dirender utuh, termasuk keterangan dalam tanda kurung</t>
        </is>
      </c>
      <c r="D1209" s="12" t="inlineStr">
        <is>
          <t>Pressing</t>
        </is>
      </c>
      <c r="E1209" s="5" t="inlineStr">
        <is>
          <t>SPV-A</t>
        </is>
      </c>
      <c r="F1209" s="5" t="inlineStr">
        <is>
          <t>- Teks targetnya dirender utuh, termasuk keterangan dalam tanda kurung — mis. ≤ 7.0% (Prevents mold growth).
- Tidak dipotong, tidak dibuang tanda kurungnya, tidak diuraikan menjadi angka saja.
- Isinya sama dengan tabel Target Operasional di Form.</t>
        </is>
      </c>
      <c r="G1209" s="10" t="inlineStr">
        <is>
          <t>Sedang</t>
        </is>
      </c>
      <c r="H1209" s="18" t="n"/>
      <c r="I1209" s="18" t="n"/>
      <c r="J1209" s="18" t="n"/>
      <c r="K1209" s="18" t="n"/>
      <c r="L1209" s="18" t="n"/>
    </row>
    <row r="1210" ht="70" customHeight="1">
      <c r="A1210" s="14" t="n">
        <v>1206</v>
      </c>
      <c r="B1210" s="16" t="inlineStr">
        <is>
          <t>LP-W-16</t>
        </is>
      </c>
      <c r="C1210" s="15" t="inlineStr">
        <is>
          <t>Kolom target dirender utuh, termasuk keterangan dalam tanda kurung</t>
        </is>
      </c>
      <c r="D1210" s="17" t="inlineStr">
        <is>
          <t>Clarification</t>
        </is>
      </c>
      <c r="E1210" s="15" t="inlineStr">
        <is>
          <t>SPV-A</t>
        </is>
      </c>
      <c r="F1210" s="15" t="inlineStr">
        <is>
          <t>- Teks targetnya dirender utuh, termasuk keterangan dalam tanda kurung — mis. ≤ 7.0% (Prevents mold growth).
- Tidak dipotong, tidak dibuang tanda kurungnya, tidak diuraikan menjadi angka saja.
- Isinya sama dengan tabel Target Operasional di Form.</t>
        </is>
      </c>
      <c r="G1210" s="14" t="inlineStr">
        <is>
          <t>Sedang</t>
        </is>
      </c>
      <c r="H1210" s="18" t="n"/>
      <c r="I1210" s="18" t="n"/>
      <c r="J1210" s="18" t="n"/>
      <c r="K1210" s="18" t="n"/>
      <c r="L1210" s="18" t="n"/>
    </row>
    <row r="1211" ht="70" customHeight="1">
      <c r="A1211" s="10" t="n">
        <v>1207</v>
      </c>
      <c r="B1211" s="11" t="inlineStr">
        <is>
          <t>LP-W-16</t>
        </is>
      </c>
      <c r="C1211" s="5" t="inlineStr">
        <is>
          <t>Kolom target dirender utuh, termasuk keterangan dalam tanda kurung</t>
        </is>
      </c>
      <c r="D1211" s="12" t="inlineStr">
        <is>
          <t>Kernel Plant</t>
        </is>
      </c>
      <c r="E1211" s="5" t="inlineStr">
        <is>
          <t>SPV-A</t>
        </is>
      </c>
      <c r="F1211" s="5" t="inlineStr">
        <is>
          <t>- Teks targetnya dirender utuh, termasuk keterangan dalam tanda kurung — mis. ≤ 7.0% (Prevents mold growth).
- Tidak dipotong, tidak dibuang tanda kurungnya, tidak diuraikan menjadi angka saja.
- Isinya sama dengan tabel Target Operasional di Form.</t>
        </is>
      </c>
      <c r="G1211" s="10" t="inlineStr">
        <is>
          <t>Sedang</t>
        </is>
      </c>
      <c r="H1211" s="18" t="n"/>
      <c r="I1211" s="18" t="n"/>
      <c r="J1211" s="18" t="n"/>
      <c r="K1211" s="18" t="n"/>
      <c r="L1211" s="18" t="n"/>
    </row>
    <row r="1212" ht="70" customHeight="1">
      <c r="A1212" s="14" t="n">
        <v>1208</v>
      </c>
      <c r="B1212" s="16" t="inlineStr">
        <is>
          <t>LP-W-16</t>
        </is>
      </c>
      <c r="C1212" s="15" t="inlineStr">
        <is>
          <t>Kolom target dirender utuh, termasuk keterangan dalam tanda kurung</t>
        </is>
      </c>
      <c r="D1212" s="17" t="inlineStr">
        <is>
          <t>Boiler Room</t>
        </is>
      </c>
      <c r="E1212" s="15" t="inlineStr">
        <is>
          <t>SPV-A</t>
        </is>
      </c>
      <c r="F1212" s="15" t="inlineStr">
        <is>
          <t>- Teks targetnya dirender utuh, termasuk keterangan dalam tanda kurung — mis. ≤ 7.0% (Prevents mold growth).
- Tidak dipotong, tidak dibuang tanda kurungnya, tidak diuraikan menjadi angka saja.
- Isinya sama dengan tabel Target Operasional di Form.</t>
        </is>
      </c>
      <c r="G1212" s="14" t="inlineStr">
        <is>
          <t>Sedang</t>
        </is>
      </c>
      <c r="H1212" s="18" t="n"/>
      <c r="I1212" s="18" t="n"/>
      <c r="J1212" s="18" t="n"/>
      <c r="K1212" s="18" t="n"/>
      <c r="L1212" s="18" t="n"/>
    </row>
    <row r="1213" ht="70" customHeight="1">
      <c r="A1213" s="10" t="n">
        <v>1209</v>
      </c>
      <c r="B1213" s="11" t="inlineStr">
        <is>
          <t>LP-W-16</t>
        </is>
      </c>
      <c r="C1213" s="5" t="inlineStr">
        <is>
          <t>Kolom target dirender utuh, termasuk keterangan dalam tanda kurung</t>
        </is>
      </c>
      <c r="D1213" s="12" t="inlineStr">
        <is>
          <t>Depricarping</t>
        </is>
      </c>
      <c r="E1213" s="5" t="inlineStr">
        <is>
          <t>SPV-A</t>
        </is>
      </c>
      <c r="F1213" s="5" t="inlineStr">
        <is>
          <t>- Teks targetnya dirender utuh, termasuk keterangan dalam tanda kurung — mis. ≤ 7.0% (Prevents mold growth).
- Tidak dipotong, tidak dibuang tanda kurungnya, tidak diuraikan menjadi angka saja.
- Isinya sama dengan tabel Target Operasional di Form.</t>
        </is>
      </c>
      <c r="G1213" s="10" t="inlineStr">
        <is>
          <t>Sedang</t>
        </is>
      </c>
      <c r="H1213" s="18" t="n"/>
      <c r="I1213" s="18" t="n"/>
      <c r="J1213" s="18" t="n"/>
      <c r="K1213" s="18" t="n"/>
      <c r="L1213" s="18" t="n"/>
    </row>
    <row r="1214" ht="70" customHeight="1">
      <c r="A1214" s="14" t="n">
        <v>1210</v>
      </c>
      <c r="B1214" s="16" t="inlineStr">
        <is>
          <t>LP-W-16</t>
        </is>
      </c>
      <c r="C1214" s="15" t="inlineStr">
        <is>
          <t>Kolom target dirender utuh, termasuk keterangan dalam tanda kurung</t>
        </is>
      </c>
      <c r="D1214" s="17" t="inlineStr">
        <is>
          <t>Storage Tank</t>
        </is>
      </c>
      <c r="E1214" s="15" t="inlineStr">
        <is>
          <t>SPV-A</t>
        </is>
      </c>
      <c r="F1214" s="15" t="inlineStr">
        <is>
          <t>- Teks targetnya dirender utuh, termasuk keterangan dalam tanda kurung — mis. ≤ 7.0% (Prevents mold growth).
- Tidak dipotong, tidak dibuang tanda kurungnya, tidak diuraikan menjadi angka saja.
- Isinya sama dengan tabel Target Operasional di Form.</t>
        </is>
      </c>
      <c r="G1214" s="14" t="inlineStr">
        <is>
          <t>Sedang</t>
        </is>
      </c>
      <c r="H1214" s="18" t="n"/>
      <c r="I1214" s="18" t="n"/>
      <c r="J1214" s="18" t="n"/>
      <c r="K1214" s="18" t="n"/>
      <c r="L1214" s="18" t="n"/>
    </row>
    <row r="1215" ht="96.39999999999999" customHeight="1">
      <c r="A1215" s="10" t="n">
        <v>1211</v>
      </c>
      <c r="B1215" s="11" t="inlineStr">
        <is>
          <t>LP-W-17</t>
        </is>
      </c>
      <c r="C1215" s="5" t="inlineStr">
        <is>
          <t>Kolom yang berbagi satu standar ditandai, dan angkanya tidak dirata-ratakan</t>
        </is>
      </c>
      <c r="D1215" s="12" t="inlineStr">
        <is>
          <t>Weighbridge</t>
        </is>
      </c>
      <c r="E1215" s="5" t="inlineStr">
        <is>
          <t>SPV-A</t>
        </is>
      </c>
      <c r="F121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G1215" s="13" t="inlineStr">
        <is>
          <t>Tinggi</t>
        </is>
      </c>
      <c r="H1215" s="18" t="n"/>
      <c r="I1215" s="18" t="n"/>
      <c r="J1215" s="18" t="n"/>
      <c r="K1215" s="18" t="n"/>
      <c r="L1215" s="18" t="n"/>
    </row>
    <row r="1216" ht="96.39999999999999" customHeight="1">
      <c r="A1216" s="14" t="n">
        <v>1212</v>
      </c>
      <c r="B1216" s="16" t="inlineStr">
        <is>
          <t>LP-W-17</t>
        </is>
      </c>
      <c r="C1216" s="15" t="inlineStr">
        <is>
          <t>Kolom yang berbagi satu standar ditandai, dan angkanya tidak dirata-ratakan</t>
        </is>
      </c>
      <c r="D1216" s="17" t="inlineStr">
        <is>
          <t>Grading</t>
        </is>
      </c>
      <c r="E1216" s="15" t="inlineStr">
        <is>
          <t>SPV-A</t>
        </is>
      </c>
      <c r="F1216" s="1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G1216" s="13" t="inlineStr">
        <is>
          <t>Tinggi</t>
        </is>
      </c>
      <c r="H1216" s="18" t="n"/>
      <c r="I1216" s="18" t="n"/>
      <c r="J1216" s="18" t="n"/>
      <c r="K1216" s="18" t="n"/>
      <c r="L1216" s="18" t="n"/>
    </row>
    <row r="1217" ht="96.39999999999999" customHeight="1">
      <c r="A1217" s="10" t="n">
        <v>1213</v>
      </c>
      <c r="B1217" s="11" t="inlineStr">
        <is>
          <t>LP-W-17</t>
        </is>
      </c>
      <c r="C1217" s="5" t="inlineStr">
        <is>
          <t>Kolom yang berbagi satu standar ditandai, dan angkanya tidak dirata-ratakan</t>
        </is>
      </c>
      <c r="D1217" s="12" t="inlineStr">
        <is>
          <t>Cages Track</t>
        </is>
      </c>
      <c r="E1217" s="5" t="inlineStr">
        <is>
          <t>SPV-A</t>
        </is>
      </c>
      <c r="F121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G1217" s="13" t="inlineStr">
        <is>
          <t>Tinggi</t>
        </is>
      </c>
      <c r="H1217" s="18" t="n"/>
      <c r="I1217" s="18" t="n"/>
      <c r="J1217" s="18" t="n"/>
      <c r="K1217" s="18" t="n"/>
      <c r="L1217" s="18" t="n"/>
    </row>
    <row r="1218" ht="96.39999999999999" customHeight="1">
      <c r="A1218" s="14" t="n">
        <v>1214</v>
      </c>
      <c r="B1218" s="16" t="inlineStr">
        <is>
          <t>LP-W-17</t>
        </is>
      </c>
      <c r="C1218" s="15" t="inlineStr">
        <is>
          <t>Kolom yang berbagi satu standar ditandai, dan angkanya tidak dirata-ratakan</t>
        </is>
      </c>
      <c r="D1218" s="17" t="inlineStr">
        <is>
          <t>Sterilizer</t>
        </is>
      </c>
      <c r="E1218" s="15" t="inlineStr">
        <is>
          <t>SPV-A</t>
        </is>
      </c>
      <c r="F1218" s="1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G1218" s="13" t="inlineStr">
        <is>
          <t>Tinggi</t>
        </is>
      </c>
      <c r="H1218" s="18" t="n"/>
      <c r="I1218" s="18" t="n"/>
      <c r="J1218" s="18" t="n"/>
      <c r="K1218" s="18" t="n"/>
      <c r="L1218" s="18" t="n"/>
    </row>
    <row r="1219" ht="96.39999999999999" customHeight="1">
      <c r="A1219" s="10" t="n">
        <v>1215</v>
      </c>
      <c r="B1219" s="11" t="inlineStr">
        <is>
          <t>LP-W-17</t>
        </is>
      </c>
      <c r="C1219" s="5" t="inlineStr">
        <is>
          <t>Kolom yang berbagi satu standar ditandai, dan angkanya tidak dirata-ratakan</t>
        </is>
      </c>
      <c r="D1219" s="12" t="inlineStr">
        <is>
          <t>Threshing</t>
        </is>
      </c>
      <c r="E1219" s="5" t="inlineStr">
        <is>
          <t>SPV-A</t>
        </is>
      </c>
      <c r="F121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G1219" s="13" t="inlineStr">
        <is>
          <t>Tinggi</t>
        </is>
      </c>
      <c r="H1219" s="18" t="n"/>
      <c r="I1219" s="18" t="n"/>
      <c r="J1219" s="18" t="n"/>
      <c r="K1219" s="18" t="n"/>
      <c r="L1219" s="18" t="n"/>
    </row>
    <row r="1220" ht="96.39999999999999" customHeight="1">
      <c r="A1220" s="14" t="n">
        <v>1216</v>
      </c>
      <c r="B1220" s="16" t="inlineStr">
        <is>
          <t>LP-W-17</t>
        </is>
      </c>
      <c r="C1220" s="15" t="inlineStr">
        <is>
          <t>Kolom yang berbagi satu standar ditandai, dan angkanya tidak dirata-ratakan</t>
        </is>
      </c>
      <c r="D1220" s="17" t="inlineStr">
        <is>
          <t>Pressing</t>
        </is>
      </c>
      <c r="E1220" s="15" t="inlineStr">
        <is>
          <t>SPV-A</t>
        </is>
      </c>
      <c r="F1220" s="1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G1220" s="13" t="inlineStr">
        <is>
          <t>Tinggi</t>
        </is>
      </c>
      <c r="H1220" s="18" t="n"/>
      <c r="I1220" s="18" t="n"/>
      <c r="J1220" s="18" t="n"/>
      <c r="K1220" s="18" t="n"/>
      <c r="L1220" s="18" t="n"/>
    </row>
    <row r="1221" ht="96.39999999999999" customHeight="1">
      <c r="A1221" s="10" t="n">
        <v>1217</v>
      </c>
      <c r="B1221" s="11" t="inlineStr">
        <is>
          <t>LP-W-17</t>
        </is>
      </c>
      <c r="C1221" s="5" t="inlineStr">
        <is>
          <t>Kolom yang berbagi satu standar ditandai, dan angkanya tidak dirata-ratakan</t>
        </is>
      </c>
      <c r="D1221" s="12" t="inlineStr">
        <is>
          <t>Clarification</t>
        </is>
      </c>
      <c r="E1221" s="5" t="inlineStr">
        <is>
          <t>SPV-A</t>
        </is>
      </c>
      <c r="F122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G1221" s="13" t="inlineStr">
        <is>
          <t>Tinggi</t>
        </is>
      </c>
      <c r="H1221" s="18" t="n"/>
      <c r="I1221" s="18" t="n"/>
      <c r="J1221" s="18" t="n"/>
      <c r="K1221" s="18" t="n"/>
      <c r="L1221" s="18" t="n"/>
    </row>
    <row r="1222" ht="96.39999999999999" customHeight="1">
      <c r="A1222" s="14" t="n">
        <v>1218</v>
      </c>
      <c r="B1222" s="16" t="inlineStr">
        <is>
          <t>LP-W-17</t>
        </is>
      </c>
      <c r="C1222" s="15" t="inlineStr">
        <is>
          <t>Kolom yang berbagi satu standar ditandai, dan angkanya tidak dirata-ratakan</t>
        </is>
      </c>
      <c r="D1222" s="17" t="inlineStr">
        <is>
          <t>Kernel Plant</t>
        </is>
      </c>
      <c r="E1222" s="15" t="inlineStr">
        <is>
          <t>SPV-A</t>
        </is>
      </c>
      <c r="F1222" s="1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G1222" s="13" t="inlineStr">
        <is>
          <t>Tinggi</t>
        </is>
      </c>
      <c r="H1222" s="18" t="n"/>
      <c r="I1222" s="18" t="n"/>
      <c r="J1222" s="18" t="n"/>
      <c r="K1222" s="18" t="n"/>
      <c r="L1222" s="18" t="n"/>
    </row>
    <row r="1223" ht="96.39999999999999" customHeight="1">
      <c r="A1223" s="10" t="n">
        <v>1219</v>
      </c>
      <c r="B1223" s="11" t="inlineStr">
        <is>
          <t>LP-W-17</t>
        </is>
      </c>
      <c r="C1223" s="5" t="inlineStr">
        <is>
          <t>Kolom yang berbagi satu standar ditandai, dan angkanya tidak dirata-ratakan</t>
        </is>
      </c>
      <c r="D1223" s="12" t="inlineStr">
        <is>
          <t>Boiler Room</t>
        </is>
      </c>
      <c r="E1223" s="5" t="inlineStr">
        <is>
          <t>SPV-A</t>
        </is>
      </c>
      <c r="F122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G1223" s="13" t="inlineStr">
        <is>
          <t>Tinggi</t>
        </is>
      </c>
      <c r="H1223" s="18" t="n"/>
      <c r="I1223" s="18" t="n"/>
      <c r="J1223" s="18" t="n"/>
      <c r="K1223" s="18" t="n"/>
      <c r="L1223" s="18" t="n"/>
    </row>
    <row r="1224" ht="96.39999999999999" customHeight="1">
      <c r="A1224" s="14" t="n">
        <v>1220</v>
      </c>
      <c r="B1224" s="16" t="inlineStr">
        <is>
          <t>LP-W-17</t>
        </is>
      </c>
      <c r="C1224" s="15" t="inlineStr">
        <is>
          <t>Kolom yang berbagi satu standar ditandai, dan angkanya tidak dirata-ratakan</t>
        </is>
      </c>
      <c r="D1224" s="17" t="inlineStr">
        <is>
          <t>Depricarping</t>
        </is>
      </c>
      <c r="E1224" s="15" t="inlineStr">
        <is>
          <t>SPV-A</t>
        </is>
      </c>
      <c r="F1224" s="1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G1224" s="13" t="inlineStr">
        <is>
          <t>Tinggi</t>
        </is>
      </c>
      <c r="H1224" s="18" t="n"/>
      <c r="I1224" s="18" t="n"/>
      <c r="J1224" s="18" t="n"/>
      <c r="K1224" s="18" t="n"/>
      <c r="L1224" s="18" t="n"/>
    </row>
    <row r="1225" ht="96.39999999999999" customHeight="1">
      <c r="A1225" s="10" t="n">
        <v>1221</v>
      </c>
      <c r="B1225" s="11" t="inlineStr">
        <is>
          <t>LP-W-17</t>
        </is>
      </c>
      <c r="C1225" s="5" t="inlineStr">
        <is>
          <t>Kolom yang berbagi satu standar ditandai, dan angkanya tidak dirata-ratakan</t>
        </is>
      </c>
      <c r="D1225" s="12" t="inlineStr">
        <is>
          <t>Storage Tank</t>
        </is>
      </c>
      <c r="E1225" s="5" t="inlineStr">
        <is>
          <t>SPV-A</t>
        </is>
      </c>
      <c r="F122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G1225" s="13" t="inlineStr">
        <is>
          <t>Tinggi</t>
        </is>
      </c>
      <c r="H1225" s="18" t="n"/>
      <c r="I1225" s="18" t="n"/>
      <c r="J1225" s="18" t="n"/>
      <c r="K1225" s="18" t="n"/>
      <c r="L1225" s="18" t="n"/>
    </row>
    <row r="1226" ht="83.19999999999999" customHeight="1">
      <c r="A1226" s="14" t="n">
        <v>1222</v>
      </c>
      <c r="B1226" s="16" t="inlineStr">
        <is>
          <t>LP-W-18</t>
        </is>
      </c>
      <c r="C1226" s="15" t="inlineStr">
        <is>
          <t>Ekspor mengikuti periode dan line yang terpilih</t>
        </is>
      </c>
      <c r="D1226" s="17" t="inlineStr">
        <is>
          <t>Weighbridge</t>
        </is>
      </c>
      <c r="E1226" s="15" t="inlineStr">
        <is>
          <t>SPV-A</t>
        </is>
      </c>
      <c r="F1226" s="15" t="inlineStr">
        <is>
          <t>- Berkas pertama memuat data Periode A / Line 1 saja.
- Berkas kedua berbeda isinya, mengikuti pilihan baru.
- Nama periode dan Production Line tertulis di dalam berkas, bukan hanya di layar.
- Tidak ada baris dari periode atau line yang tidak terpilih.</t>
        </is>
      </c>
      <c r="G1226" s="13" t="inlineStr">
        <is>
          <t>Tinggi</t>
        </is>
      </c>
      <c r="H1226" s="18" t="n"/>
      <c r="I1226" s="18" t="n"/>
      <c r="J1226" s="18" t="n"/>
      <c r="K1226" s="18" t="n"/>
      <c r="L1226" s="18" t="n"/>
    </row>
    <row r="1227" ht="83.19999999999999" customHeight="1">
      <c r="A1227" s="10" t="n">
        <v>1223</v>
      </c>
      <c r="B1227" s="11" t="inlineStr">
        <is>
          <t>LP-W-18</t>
        </is>
      </c>
      <c r="C1227" s="5" t="inlineStr">
        <is>
          <t>Ekspor mengikuti periode dan line yang terpilih</t>
        </is>
      </c>
      <c r="D1227" s="12" t="inlineStr">
        <is>
          <t>Grading</t>
        </is>
      </c>
      <c r="E1227" s="5" t="inlineStr">
        <is>
          <t>SPV-A</t>
        </is>
      </c>
      <c r="F1227" s="5" t="inlineStr">
        <is>
          <t>- Berkas pertama memuat data Periode A / Line 1 saja.
- Berkas kedua berbeda isinya, mengikuti pilihan baru.
- Nama periode dan Production Line tertulis di dalam berkas, bukan hanya di layar.
- Tidak ada baris dari periode atau line yang tidak terpilih.</t>
        </is>
      </c>
      <c r="G1227" s="13" t="inlineStr">
        <is>
          <t>Tinggi</t>
        </is>
      </c>
      <c r="H1227" s="18" t="n"/>
      <c r="I1227" s="18" t="n"/>
      <c r="J1227" s="18" t="n"/>
      <c r="K1227" s="18" t="n"/>
      <c r="L1227" s="18" t="n"/>
    </row>
    <row r="1228" ht="83.19999999999999" customHeight="1">
      <c r="A1228" s="14" t="n">
        <v>1224</v>
      </c>
      <c r="B1228" s="16" t="inlineStr">
        <is>
          <t>LP-W-18</t>
        </is>
      </c>
      <c r="C1228" s="15" t="inlineStr">
        <is>
          <t>Ekspor mengikuti periode dan line yang terpilih</t>
        </is>
      </c>
      <c r="D1228" s="17" t="inlineStr">
        <is>
          <t>Cages Track</t>
        </is>
      </c>
      <c r="E1228" s="15" t="inlineStr">
        <is>
          <t>SPV-A</t>
        </is>
      </c>
      <c r="F1228" s="15" t="inlineStr">
        <is>
          <t>- Berkas pertama memuat data Periode A / Line 1 saja.
- Berkas kedua berbeda isinya, mengikuti pilihan baru.
- Nama periode dan Production Line tertulis di dalam berkas, bukan hanya di layar.
- Tidak ada baris dari periode atau line yang tidak terpilih.</t>
        </is>
      </c>
      <c r="G1228" s="13" t="inlineStr">
        <is>
          <t>Tinggi</t>
        </is>
      </c>
      <c r="H1228" s="18" t="n"/>
      <c r="I1228" s="18" t="n"/>
      <c r="J1228" s="18" t="n"/>
      <c r="K1228" s="18" t="n"/>
      <c r="L1228" s="18" t="n"/>
    </row>
    <row r="1229" ht="83.19999999999999" customHeight="1">
      <c r="A1229" s="10" t="n">
        <v>1225</v>
      </c>
      <c r="B1229" s="11" t="inlineStr">
        <is>
          <t>LP-W-18</t>
        </is>
      </c>
      <c r="C1229" s="5" t="inlineStr">
        <is>
          <t>Ekspor mengikuti periode dan line yang terpilih</t>
        </is>
      </c>
      <c r="D1229" s="12" t="inlineStr">
        <is>
          <t>Sterilizer</t>
        </is>
      </c>
      <c r="E1229" s="5" t="inlineStr">
        <is>
          <t>SPV-A</t>
        </is>
      </c>
      <c r="F1229" s="5" t="inlineStr">
        <is>
          <t>- Berkas pertama memuat data Periode A / Line 1 saja.
- Berkas kedua berbeda isinya, mengikuti pilihan baru.
- Nama periode dan Production Line tertulis di dalam berkas, bukan hanya di layar.
- Tidak ada baris dari periode atau line yang tidak terpilih.</t>
        </is>
      </c>
      <c r="G1229" s="13" t="inlineStr">
        <is>
          <t>Tinggi</t>
        </is>
      </c>
      <c r="H1229" s="18" t="n"/>
      <c r="I1229" s="18" t="n"/>
      <c r="J1229" s="18" t="n"/>
      <c r="K1229" s="18" t="n"/>
      <c r="L1229" s="18" t="n"/>
    </row>
    <row r="1230" ht="83.19999999999999" customHeight="1">
      <c r="A1230" s="14" t="n">
        <v>1226</v>
      </c>
      <c r="B1230" s="16" t="inlineStr">
        <is>
          <t>LP-W-18</t>
        </is>
      </c>
      <c r="C1230" s="15" t="inlineStr">
        <is>
          <t>Ekspor mengikuti periode dan line yang terpilih</t>
        </is>
      </c>
      <c r="D1230" s="17" t="inlineStr">
        <is>
          <t>Threshing</t>
        </is>
      </c>
      <c r="E1230" s="15" t="inlineStr">
        <is>
          <t>SPV-A</t>
        </is>
      </c>
      <c r="F1230" s="15" t="inlineStr">
        <is>
          <t>- Berkas pertama memuat data Periode A / Line 1 saja.
- Berkas kedua berbeda isinya, mengikuti pilihan baru.
- Nama periode dan Production Line tertulis di dalam berkas, bukan hanya di layar.
- Tidak ada baris dari periode atau line yang tidak terpilih.</t>
        </is>
      </c>
      <c r="G1230" s="13" t="inlineStr">
        <is>
          <t>Tinggi</t>
        </is>
      </c>
      <c r="H1230" s="18" t="n"/>
      <c r="I1230" s="18" t="n"/>
      <c r="J1230" s="18" t="n"/>
      <c r="K1230" s="18" t="n"/>
      <c r="L1230" s="18" t="n"/>
    </row>
    <row r="1231" ht="83.19999999999999" customHeight="1">
      <c r="A1231" s="10" t="n">
        <v>1227</v>
      </c>
      <c r="B1231" s="11" t="inlineStr">
        <is>
          <t>LP-W-18</t>
        </is>
      </c>
      <c r="C1231" s="5" t="inlineStr">
        <is>
          <t>Ekspor mengikuti periode dan line yang terpilih</t>
        </is>
      </c>
      <c r="D1231" s="12" t="inlineStr">
        <is>
          <t>Pressing</t>
        </is>
      </c>
      <c r="E1231" s="5" t="inlineStr">
        <is>
          <t>SPV-A</t>
        </is>
      </c>
      <c r="F1231" s="5" t="inlineStr">
        <is>
          <t>- Berkas pertama memuat data Periode A / Line 1 saja.
- Berkas kedua berbeda isinya, mengikuti pilihan baru.
- Nama periode dan Production Line tertulis di dalam berkas, bukan hanya di layar.
- Tidak ada baris dari periode atau line yang tidak terpilih.</t>
        </is>
      </c>
      <c r="G1231" s="13" t="inlineStr">
        <is>
          <t>Tinggi</t>
        </is>
      </c>
      <c r="H1231" s="18" t="n"/>
      <c r="I1231" s="18" t="n"/>
      <c r="J1231" s="18" t="n"/>
      <c r="K1231" s="18" t="n"/>
      <c r="L1231" s="18" t="n"/>
    </row>
    <row r="1232" ht="83.19999999999999" customHeight="1">
      <c r="A1232" s="14" t="n">
        <v>1228</v>
      </c>
      <c r="B1232" s="16" t="inlineStr">
        <is>
          <t>LP-W-18</t>
        </is>
      </c>
      <c r="C1232" s="15" t="inlineStr">
        <is>
          <t>Ekspor mengikuti periode dan line yang terpilih</t>
        </is>
      </c>
      <c r="D1232" s="17" t="inlineStr">
        <is>
          <t>Clarification</t>
        </is>
      </c>
      <c r="E1232" s="15" t="inlineStr">
        <is>
          <t>SPV-A</t>
        </is>
      </c>
      <c r="F1232" s="15" t="inlineStr">
        <is>
          <t>- Berkas pertama memuat data Periode A / Line 1 saja.
- Berkas kedua berbeda isinya, mengikuti pilihan baru.
- Nama periode dan Production Line tertulis di dalam berkas, bukan hanya di layar.
- Tidak ada baris dari periode atau line yang tidak terpilih.</t>
        </is>
      </c>
      <c r="G1232" s="13" t="inlineStr">
        <is>
          <t>Tinggi</t>
        </is>
      </c>
      <c r="H1232" s="18" t="n"/>
      <c r="I1232" s="18" t="n"/>
      <c r="J1232" s="18" t="n"/>
      <c r="K1232" s="18" t="n"/>
      <c r="L1232" s="18" t="n"/>
    </row>
    <row r="1233" ht="83.19999999999999" customHeight="1">
      <c r="A1233" s="10" t="n">
        <v>1229</v>
      </c>
      <c r="B1233" s="11" t="inlineStr">
        <is>
          <t>LP-W-18</t>
        </is>
      </c>
      <c r="C1233" s="5" t="inlineStr">
        <is>
          <t>Ekspor mengikuti periode dan line yang terpilih</t>
        </is>
      </c>
      <c r="D1233" s="12" t="inlineStr">
        <is>
          <t>Kernel Plant</t>
        </is>
      </c>
      <c r="E1233" s="5" t="inlineStr">
        <is>
          <t>SPV-A</t>
        </is>
      </c>
      <c r="F1233" s="5" t="inlineStr">
        <is>
          <t>- Berkas pertama memuat data Periode A / Line 1 saja.
- Berkas kedua berbeda isinya, mengikuti pilihan baru.
- Nama periode dan Production Line tertulis di dalam berkas, bukan hanya di layar.
- Tidak ada baris dari periode atau line yang tidak terpilih.</t>
        </is>
      </c>
      <c r="G1233" s="13" t="inlineStr">
        <is>
          <t>Tinggi</t>
        </is>
      </c>
      <c r="H1233" s="18" t="n"/>
      <c r="I1233" s="18" t="n"/>
      <c r="J1233" s="18" t="n"/>
      <c r="K1233" s="18" t="n"/>
      <c r="L1233" s="18" t="n"/>
    </row>
    <row r="1234" ht="83.19999999999999" customHeight="1">
      <c r="A1234" s="14" t="n">
        <v>1230</v>
      </c>
      <c r="B1234" s="16" t="inlineStr">
        <is>
          <t>LP-W-18</t>
        </is>
      </c>
      <c r="C1234" s="15" t="inlineStr">
        <is>
          <t>Ekspor mengikuti periode dan line yang terpilih</t>
        </is>
      </c>
      <c r="D1234" s="17" t="inlineStr">
        <is>
          <t>Boiler Room</t>
        </is>
      </c>
      <c r="E1234" s="15" t="inlineStr">
        <is>
          <t>SPV-A</t>
        </is>
      </c>
      <c r="F1234" s="15" t="inlineStr">
        <is>
          <t>- Berkas pertama memuat data Periode A / Line 1 saja.
- Berkas kedua berbeda isinya, mengikuti pilihan baru.
- Nama periode dan Production Line tertulis di dalam berkas, bukan hanya di layar.
- Tidak ada baris dari periode atau line yang tidak terpilih.</t>
        </is>
      </c>
      <c r="G1234" s="13" t="inlineStr">
        <is>
          <t>Tinggi</t>
        </is>
      </c>
      <c r="H1234" s="18" t="n"/>
      <c r="I1234" s="18" t="n"/>
      <c r="J1234" s="18" t="n"/>
      <c r="K1234" s="18" t="n"/>
      <c r="L1234" s="18" t="n"/>
    </row>
    <row r="1235" ht="83.19999999999999" customHeight="1">
      <c r="A1235" s="10" t="n">
        <v>1231</v>
      </c>
      <c r="B1235" s="11" t="inlineStr">
        <is>
          <t>LP-W-18</t>
        </is>
      </c>
      <c r="C1235" s="5" t="inlineStr">
        <is>
          <t>Ekspor mengikuti periode dan line yang terpilih</t>
        </is>
      </c>
      <c r="D1235" s="12" t="inlineStr">
        <is>
          <t>Depricarping</t>
        </is>
      </c>
      <c r="E1235" s="5" t="inlineStr">
        <is>
          <t>SPV-A</t>
        </is>
      </c>
      <c r="F1235" s="5" t="inlineStr">
        <is>
          <t>- Berkas pertama memuat data Periode A / Line 1 saja.
- Berkas kedua berbeda isinya, mengikuti pilihan baru.
- Nama periode dan Production Line tertulis di dalam berkas, bukan hanya di layar.
- Tidak ada baris dari periode atau line yang tidak terpilih.</t>
        </is>
      </c>
      <c r="G1235" s="13" t="inlineStr">
        <is>
          <t>Tinggi</t>
        </is>
      </c>
      <c r="H1235" s="18" t="n"/>
      <c r="I1235" s="18" t="n"/>
      <c r="J1235" s="18" t="n"/>
      <c r="K1235" s="18" t="n"/>
      <c r="L1235" s="18" t="n"/>
    </row>
    <row r="1236" ht="83.19999999999999" customHeight="1">
      <c r="A1236" s="14" t="n">
        <v>1232</v>
      </c>
      <c r="B1236" s="16" t="inlineStr">
        <is>
          <t>LP-W-18</t>
        </is>
      </c>
      <c r="C1236" s="15" t="inlineStr">
        <is>
          <t>Ekspor mengikuti periode dan line yang terpilih</t>
        </is>
      </c>
      <c r="D1236" s="17" t="inlineStr">
        <is>
          <t>Storage Tank</t>
        </is>
      </c>
      <c r="E1236" s="15" t="inlineStr">
        <is>
          <t>SPV-A</t>
        </is>
      </c>
      <c r="F1236" s="15" t="inlineStr">
        <is>
          <t>- Berkas pertama memuat data Periode A / Line 1 saja.
- Berkas kedua berbeda isinya, mengikuti pilihan baru.
- Nama periode dan Production Line tertulis di dalam berkas, bukan hanya di layar.
- Tidak ada baris dari periode atau line yang tidak terpilih.</t>
        </is>
      </c>
      <c r="G1236" s="13" t="inlineStr">
        <is>
          <t>Tinggi</t>
        </is>
      </c>
      <c r="H1236" s="18" t="n"/>
      <c r="I1236" s="18" t="n"/>
      <c r="J1236" s="18" t="n"/>
      <c r="K1236" s="18" t="n"/>
      <c r="L1236" s="18" t="n"/>
    </row>
    <row r="1237" ht="56.8" customHeight="1">
      <c r="A1237" s="10" t="n">
        <v>1233</v>
      </c>
      <c r="B1237" s="11" t="inlineStr">
        <is>
          <t>LP-W-19</t>
        </is>
      </c>
      <c r="C1237" s="5" t="inlineStr">
        <is>
          <t>Laporan tidak pernah mengubah data</t>
        </is>
      </c>
      <c r="D1237" s="12" t="inlineStr">
        <is>
          <t>Weighbridge</t>
        </is>
      </c>
      <c r="E1237" s="5" t="inlineStr">
        <is>
          <t>SPV-A</t>
        </is>
      </c>
      <c r="F1237" s="5" t="inlineStr">
        <is>
          <t>- Layar laporan tidak punya satu pun tombol yang mengubah data — hanya pemilih, pengulang, dan ekspor.
- Jumlah data dan status seluruh record tidak berubah.
- Ekspor tidak mengubah status record menjadi apa pun.</t>
        </is>
      </c>
      <c r="G1237" s="13" t="inlineStr">
        <is>
          <t>Tinggi</t>
        </is>
      </c>
      <c r="H1237" s="18" t="n"/>
      <c r="I1237" s="18" t="n"/>
      <c r="J1237" s="18" t="n"/>
      <c r="K1237" s="18" t="n"/>
      <c r="L1237" s="18" t="n"/>
    </row>
    <row r="1238" ht="56.8" customHeight="1">
      <c r="A1238" s="14" t="n">
        <v>1234</v>
      </c>
      <c r="B1238" s="16" t="inlineStr">
        <is>
          <t>LP-W-19</t>
        </is>
      </c>
      <c r="C1238" s="15" t="inlineStr">
        <is>
          <t>Laporan tidak pernah mengubah data</t>
        </is>
      </c>
      <c r="D1238" s="17" t="inlineStr">
        <is>
          <t>Grading</t>
        </is>
      </c>
      <c r="E1238" s="15" t="inlineStr">
        <is>
          <t>SPV-A</t>
        </is>
      </c>
      <c r="F1238" s="15" t="inlineStr">
        <is>
          <t>- Layar laporan tidak punya satu pun tombol yang mengubah data — hanya pemilih, pengulang, dan ekspor.
- Jumlah data dan status seluruh record tidak berubah.
- Ekspor tidak mengubah status record menjadi apa pun.</t>
        </is>
      </c>
      <c r="G1238" s="13" t="inlineStr">
        <is>
          <t>Tinggi</t>
        </is>
      </c>
      <c r="H1238" s="18" t="n"/>
      <c r="I1238" s="18" t="n"/>
      <c r="J1238" s="18" t="n"/>
      <c r="K1238" s="18" t="n"/>
      <c r="L1238" s="18" t="n"/>
    </row>
    <row r="1239" ht="56.8" customHeight="1">
      <c r="A1239" s="10" t="n">
        <v>1235</v>
      </c>
      <c r="B1239" s="11" t="inlineStr">
        <is>
          <t>LP-W-19</t>
        </is>
      </c>
      <c r="C1239" s="5" t="inlineStr">
        <is>
          <t>Laporan tidak pernah mengubah data</t>
        </is>
      </c>
      <c r="D1239" s="12" t="inlineStr">
        <is>
          <t>Cages Track</t>
        </is>
      </c>
      <c r="E1239" s="5" t="inlineStr">
        <is>
          <t>SPV-A</t>
        </is>
      </c>
      <c r="F1239" s="5" t="inlineStr">
        <is>
          <t>- Layar laporan tidak punya satu pun tombol yang mengubah data — hanya pemilih, pengulang, dan ekspor.
- Jumlah data dan status seluruh record tidak berubah.
- Ekspor tidak mengubah status record menjadi apa pun.</t>
        </is>
      </c>
      <c r="G1239" s="13" t="inlineStr">
        <is>
          <t>Tinggi</t>
        </is>
      </c>
      <c r="H1239" s="18" t="n"/>
      <c r="I1239" s="18" t="n"/>
      <c r="J1239" s="18" t="n"/>
      <c r="K1239" s="18" t="n"/>
      <c r="L1239" s="18" t="n"/>
    </row>
    <row r="1240" ht="56.8" customHeight="1">
      <c r="A1240" s="14" t="n">
        <v>1236</v>
      </c>
      <c r="B1240" s="16" t="inlineStr">
        <is>
          <t>LP-W-19</t>
        </is>
      </c>
      <c r="C1240" s="15" t="inlineStr">
        <is>
          <t>Laporan tidak pernah mengubah data</t>
        </is>
      </c>
      <c r="D1240" s="17" t="inlineStr">
        <is>
          <t>Sterilizer</t>
        </is>
      </c>
      <c r="E1240" s="15" t="inlineStr">
        <is>
          <t>SPV-A</t>
        </is>
      </c>
      <c r="F1240" s="15" t="inlineStr">
        <is>
          <t>- Layar laporan tidak punya satu pun tombol yang mengubah data — hanya pemilih, pengulang, dan ekspor.
- Jumlah data dan status seluruh record tidak berubah.
- Ekspor tidak mengubah status record menjadi apa pun.</t>
        </is>
      </c>
      <c r="G1240" s="13" t="inlineStr">
        <is>
          <t>Tinggi</t>
        </is>
      </c>
      <c r="H1240" s="18" t="n"/>
      <c r="I1240" s="18" t="n"/>
      <c r="J1240" s="18" t="n"/>
      <c r="K1240" s="18" t="n"/>
      <c r="L1240" s="18" t="n"/>
    </row>
    <row r="1241" ht="56.8" customHeight="1">
      <c r="A1241" s="10" t="n">
        <v>1237</v>
      </c>
      <c r="B1241" s="11" t="inlineStr">
        <is>
          <t>LP-W-19</t>
        </is>
      </c>
      <c r="C1241" s="5" t="inlineStr">
        <is>
          <t>Laporan tidak pernah mengubah data</t>
        </is>
      </c>
      <c r="D1241" s="12" t="inlineStr">
        <is>
          <t>Threshing</t>
        </is>
      </c>
      <c r="E1241" s="5" t="inlineStr">
        <is>
          <t>SPV-A</t>
        </is>
      </c>
      <c r="F1241" s="5" t="inlineStr">
        <is>
          <t>- Layar laporan tidak punya satu pun tombol yang mengubah data — hanya pemilih, pengulang, dan ekspor.
- Jumlah data dan status seluruh record tidak berubah.
- Ekspor tidak mengubah status record menjadi apa pun.</t>
        </is>
      </c>
      <c r="G1241" s="13" t="inlineStr">
        <is>
          <t>Tinggi</t>
        </is>
      </c>
      <c r="H1241" s="18" t="n"/>
      <c r="I1241" s="18" t="n"/>
      <c r="J1241" s="18" t="n"/>
      <c r="K1241" s="18" t="n"/>
      <c r="L1241" s="18" t="n"/>
    </row>
    <row r="1242" ht="56.8" customHeight="1">
      <c r="A1242" s="14" t="n">
        <v>1238</v>
      </c>
      <c r="B1242" s="16" t="inlineStr">
        <is>
          <t>LP-W-19</t>
        </is>
      </c>
      <c r="C1242" s="15" t="inlineStr">
        <is>
          <t>Laporan tidak pernah mengubah data</t>
        </is>
      </c>
      <c r="D1242" s="17" t="inlineStr">
        <is>
          <t>Pressing</t>
        </is>
      </c>
      <c r="E1242" s="15" t="inlineStr">
        <is>
          <t>SPV-A</t>
        </is>
      </c>
      <c r="F1242" s="15" t="inlineStr">
        <is>
          <t>- Layar laporan tidak punya satu pun tombol yang mengubah data — hanya pemilih, pengulang, dan ekspor.
- Jumlah data dan status seluruh record tidak berubah.
- Ekspor tidak mengubah status record menjadi apa pun.</t>
        </is>
      </c>
      <c r="G1242" s="13" t="inlineStr">
        <is>
          <t>Tinggi</t>
        </is>
      </c>
      <c r="H1242" s="18" t="n"/>
      <c r="I1242" s="18" t="n"/>
      <c r="J1242" s="18" t="n"/>
      <c r="K1242" s="18" t="n"/>
      <c r="L1242" s="18" t="n"/>
    </row>
    <row r="1243" ht="56.8" customHeight="1">
      <c r="A1243" s="10" t="n">
        <v>1239</v>
      </c>
      <c r="B1243" s="11" t="inlineStr">
        <is>
          <t>LP-W-19</t>
        </is>
      </c>
      <c r="C1243" s="5" t="inlineStr">
        <is>
          <t>Laporan tidak pernah mengubah data</t>
        </is>
      </c>
      <c r="D1243" s="12" t="inlineStr">
        <is>
          <t>Clarification</t>
        </is>
      </c>
      <c r="E1243" s="5" t="inlineStr">
        <is>
          <t>SPV-A</t>
        </is>
      </c>
      <c r="F1243" s="5" t="inlineStr">
        <is>
          <t>- Layar laporan tidak punya satu pun tombol yang mengubah data — hanya pemilih, pengulang, dan ekspor.
- Jumlah data dan status seluruh record tidak berubah.
- Ekspor tidak mengubah status record menjadi apa pun.</t>
        </is>
      </c>
      <c r="G1243" s="13" t="inlineStr">
        <is>
          <t>Tinggi</t>
        </is>
      </c>
      <c r="H1243" s="18" t="n"/>
      <c r="I1243" s="18" t="n"/>
      <c r="J1243" s="18" t="n"/>
      <c r="K1243" s="18" t="n"/>
      <c r="L1243" s="18" t="n"/>
    </row>
    <row r="1244" ht="56.8" customHeight="1">
      <c r="A1244" s="14" t="n">
        <v>1240</v>
      </c>
      <c r="B1244" s="16" t="inlineStr">
        <is>
          <t>LP-W-19</t>
        </is>
      </c>
      <c r="C1244" s="15" t="inlineStr">
        <is>
          <t>Laporan tidak pernah mengubah data</t>
        </is>
      </c>
      <c r="D1244" s="17" t="inlineStr">
        <is>
          <t>Kernel Plant</t>
        </is>
      </c>
      <c r="E1244" s="15" t="inlineStr">
        <is>
          <t>SPV-A</t>
        </is>
      </c>
      <c r="F1244" s="15" t="inlineStr">
        <is>
          <t>- Layar laporan tidak punya satu pun tombol yang mengubah data — hanya pemilih, pengulang, dan ekspor.
- Jumlah data dan status seluruh record tidak berubah.
- Ekspor tidak mengubah status record menjadi apa pun.</t>
        </is>
      </c>
      <c r="G1244" s="13" t="inlineStr">
        <is>
          <t>Tinggi</t>
        </is>
      </c>
      <c r="H1244" s="18" t="n"/>
      <c r="I1244" s="18" t="n"/>
      <c r="J1244" s="18" t="n"/>
      <c r="K1244" s="18" t="n"/>
      <c r="L1244" s="18" t="n"/>
    </row>
    <row r="1245" ht="56.8" customHeight="1">
      <c r="A1245" s="10" t="n">
        <v>1241</v>
      </c>
      <c r="B1245" s="11" t="inlineStr">
        <is>
          <t>LP-W-19</t>
        </is>
      </c>
      <c r="C1245" s="5" t="inlineStr">
        <is>
          <t>Laporan tidak pernah mengubah data</t>
        </is>
      </c>
      <c r="D1245" s="12" t="inlineStr">
        <is>
          <t>Boiler Room</t>
        </is>
      </c>
      <c r="E1245" s="5" t="inlineStr">
        <is>
          <t>SPV-A</t>
        </is>
      </c>
      <c r="F1245" s="5" t="inlineStr">
        <is>
          <t>- Layar laporan tidak punya satu pun tombol yang mengubah data — hanya pemilih, pengulang, dan ekspor.
- Jumlah data dan status seluruh record tidak berubah.
- Ekspor tidak mengubah status record menjadi apa pun.</t>
        </is>
      </c>
      <c r="G1245" s="13" t="inlineStr">
        <is>
          <t>Tinggi</t>
        </is>
      </c>
      <c r="H1245" s="18" t="n"/>
      <c r="I1245" s="18" t="n"/>
      <c r="J1245" s="18" t="n"/>
      <c r="K1245" s="18" t="n"/>
      <c r="L1245" s="18" t="n"/>
    </row>
    <row r="1246" ht="56.8" customHeight="1">
      <c r="A1246" s="14" t="n">
        <v>1242</v>
      </c>
      <c r="B1246" s="16" t="inlineStr">
        <is>
          <t>LP-W-19</t>
        </is>
      </c>
      <c r="C1246" s="15" t="inlineStr">
        <is>
          <t>Laporan tidak pernah mengubah data</t>
        </is>
      </c>
      <c r="D1246" s="17" t="inlineStr">
        <is>
          <t>Depricarping</t>
        </is>
      </c>
      <c r="E1246" s="15" t="inlineStr">
        <is>
          <t>SPV-A</t>
        </is>
      </c>
      <c r="F1246" s="15" t="inlineStr">
        <is>
          <t>- Layar laporan tidak punya satu pun tombol yang mengubah data — hanya pemilih, pengulang, dan ekspor.
- Jumlah data dan status seluruh record tidak berubah.
- Ekspor tidak mengubah status record menjadi apa pun.</t>
        </is>
      </c>
      <c r="G1246" s="13" t="inlineStr">
        <is>
          <t>Tinggi</t>
        </is>
      </c>
      <c r="H1246" s="18" t="n"/>
      <c r="I1246" s="18" t="n"/>
      <c r="J1246" s="18" t="n"/>
      <c r="K1246" s="18" t="n"/>
      <c r="L1246" s="18" t="n"/>
    </row>
    <row r="1247" ht="56.8" customHeight="1">
      <c r="A1247" s="10" t="n">
        <v>1243</v>
      </c>
      <c r="B1247" s="11" t="inlineStr">
        <is>
          <t>LP-W-19</t>
        </is>
      </c>
      <c r="C1247" s="5" t="inlineStr">
        <is>
          <t>Laporan tidak pernah mengubah data</t>
        </is>
      </c>
      <c r="D1247" s="12" t="inlineStr">
        <is>
          <t>Storage Tank</t>
        </is>
      </c>
      <c r="E1247" s="5" t="inlineStr">
        <is>
          <t>SPV-A</t>
        </is>
      </c>
      <c r="F1247" s="5" t="inlineStr">
        <is>
          <t>- Layar laporan tidak punya satu pun tombol yang mengubah data — hanya pemilih, pengulang, dan ekspor.
- Jumlah data dan status seluruh record tidak berubah.
- Ekspor tidak mengubah status record menjadi apa pun.</t>
        </is>
      </c>
      <c r="G1247" s="13" t="inlineStr">
        <is>
          <t>Tinggi</t>
        </is>
      </c>
      <c r="H1247" s="18" t="n"/>
      <c r="I1247" s="18" t="n"/>
      <c r="J1247" s="18" t="n"/>
      <c r="K1247" s="18" t="n"/>
      <c r="L1247" s="18" t="n"/>
    </row>
    <row r="1248" ht="83.19999999999999" customHeight="1">
      <c r="A1248" s="14" t="n">
        <v>1244</v>
      </c>
      <c r="B1248" s="16" t="inlineStr">
        <is>
          <t>LP-M-01</t>
        </is>
      </c>
      <c r="C1248" s="15" t="inlineStr">
        <is>
          <t>Isi laporan sama dengan versi web</t>
        </is>
      </c>
      <c r="D1248" s="17" t="inlineStr">
        <is>
          <t>Weighbridge</t>
        </is>
      </c>
      <c r="E1248" s="15" t="inlineStr">
        <is>
          <t>OPR-A (mobile) + SPV-A (web)</t>
        </is>
      </c>
      <c r="F1248" s="15" t="inlineStr">
        <is>
          <t>- Setiap angka sama antara web dan mobile — termasuk penyebut tiap kartu.
- Jumlah kartu parameter sama.
- Keterangan cakupannya menyampaikan hal yang sama.
- Perbedaan angka mana pun adalah temuan, dan sebutkan angka mana yang berbeda.</t>
        </is>
      </c>
      <c r="G1248" s="13" t="inlineStr">
        <is>
          <t>Tinggi</t>
        </is>
      </c>
      <c r="H1248" s="18" t="n"/>
      <c r="I1248" s="18" t="n"/>
      <c r="J1248" s="18" t="n"/>
      <c r="K1248" s="18" t="n"/>
      <c r="L1248" s="18" t="n"/>
    </row>
    <row r="1249" ht="83.19999999999999" customHeight="1">
      <c r="A1249" s="10" t="n">
        <v>1245</v>
      </c>
      <c r="B1249" s="11" t="inlineStr">
        <is>
          <t>LP-M-01</t>
        </is>
      </c>
      <c r="C1249" s="5" t="inlineStr">
        <is>
          <t>Isi laporan sama dengan versi web</t>
        </is>
      </c>
      <c r="D1249" s="12" t="inlineStr">
        <is>
          <t>Grading</t>
        </is>
      </c>
      <c r="E1249" s="5" t="inlineStr">
        <is>
          <t>OPR-A (mobile) + SPV-A (web)</t>
        </is>
      </c>
      <c r="F1249" s="5" t="inlineStr">
        <is>
          <t>- Setiap angka sama antara web dan mobile — termasuk penyebut tiap kartu.
- Jumlah kartu parameter sama.
- Keterangan cakupannya menyampaikan hal yang sama.
- Perbedaan angka mana pun adalah temuan, dan sebutkan angka mana yang berbeda.</t>
        </is>
      </c>
      <c r="G1249" s="13" t="inlineStr">
        <is>
          <t>Tinggi</t>
        </is>
      </c>
      <c r="H1249" s="18" t="n"/>
      <c r="I1249" s="18" t="n"/>
      <c r="J1249" s="18" t="n"/>
      <c r="K1249" s="18" t="n"/>
      <c r="L1249" s="18" t="n"/>
    </row>
    <row r="1250" ht="83.19999999999999" customHeight="1">
      <c r="A1250" s="14" t="n">
        <v>1246</v>
      </c>
      <c r="B1250" s="16" t="inlineStr">
        <is>
          <t>LP-M-01</t>
        </is>
      </c>
      <c r="C1250" s="15" t="inlineStr">
        <is>
          <t>Isi laporan sama dengan versi web</t>
        </is>
      </c>
      <c r="D1250" s="17" t="inlineStr">
        <is>
          <t>Cages Track</t>
        </is>
      </c>
      <c r="E1250" s="15" t="inlineStr">
        <is>
          <t>OPR-A (mobile) + SPV-A (web)</t>
        </is>
      </c>
      <c r="F1250" s="15" t="inlineStr">
        <is>
          <t>- Setiap angka sama antara web dan mobile — termasuk penyebut tiap kartu.
- Jumlah kartu parameter sama.
- Keterangan cakupannya menyampaikan hal yang sama.
- Perbedaan angka mana pun adalah temuan, dan sebutkan angka mana yang berbeda.</t>
        </is>
      </c>
      <c r="G1250" s="13" t="inlineStr">
        <is>
          <t>Tinggi</t>
        </is>
      </c>
      <c r="H1250" s="18" t="n"/>
      <c r="I1250" s="18" t="n"/>
      <c r="J1250" s="18" t="n"/>
      <c r="K1250" s="18" t="n"/>
      <c r="L1250" s="18" t="n"/>
    </row>
    <row r="1251" ht="83.19999999999999" customHeight="1">
      <c r="A1251" s="10" t="n">
        <v>1247</v>
      </c>
      <c r="B1251" s="11" t="inlineStr">
        <is>
          <t>LP-M-01</t>
        </is>
      </c>
      <c r="C1251" s="5" t="inlineStr">
        <is>
          <t>Isi laporan sama dengan versi web</t>
        </is>
      </c>
      <c r="D1251" s="12" t="inlineStr">
        <is>
          <t>Sterilizer</t>
        </is>
      </c>
      <c r="E1251" s="5" t="inlineStr">
        <is>
          <t>OPR-A (mobile) + SPV-A (web)</t>
        </is>
      </c>
      <c r="F1251" s="5" t="inlineStr">
        <is>
          <t>- Setiap angka sama antara web dan mobile — termasuk penyebut tiap kartu.
- Jumlah kartu parameter sama.
- Keterangan cakupannya menyampaikan hal yang sama.
- Perbedaan angka mana pun adalah temuan, dan sebutkan angka mana yang berbeda.</t>
        </is>
      </c>
      <c r="G1251" s="13" t="inlineStr">
        <is>
          <t>Tinggi</t>
        </is>
      </c>
      <c r="H1251" s="18" t="n"/>
      <c r="I1251" s="18" t="n"/>
      <c r="J1251" s="18" t="n"/>
      <c r="K1251" s="18" t="n"/>
      <c r="L1251" s="18" t="n"/>
    </row>
    <row r="1252" ht="83.19999999999999" customHeight="1">
      <c r="A1252" s="14" t="n">
        <v>1248</v>
      </c>
      <c r="B1252" s="16" t="inlineStr">
        <is>
          <t>LP-M-01</t>
        </is>
      </c>
      <c r="C1252" s="15" t="inlineStr">
        <is>
          <t>Isi laporan sama dengan versi web</t>
        </is>
      </c>
      <c r="D1252" s="17" t="inlineStr">
        <is>
          <t>Threshing</t>
        </is>
      </c>
      <c r="E1252" s="15" t="inlineStr">
        <is>
          <t>OPR-A (mobile) + SPV-A (web)</t>
        </is>
      </c>
      <c r="F1252" s="15" t="inlineStr">
        <is>
          <t>- Setiap angka sama antara web dan mobile — termasuk penyebut tiap kartu.
- Jumlah kartu parameter sama.
- Keterangan cakupannya menyampaikan hal yang sama.
- Perbedaan angka mana pun adalah temuan, dan sebutkan angka mana yang berbeda.</t>
        </is>
      </c>
      <c r="G1252" s="13" t="inlineStr">
        <is>
          <t>Tinggi</t>
        </is>
      </c>
      <c r="H1252" s="18" t="n"/>
      <c r="I1252" s="18" t="n"/>
      <c r="J1252" s="18" t="n"/>
      <c r="K1252" s="18" t="n"/>
      <c r="L1252" s="18" t="n"/>
    </row>
    <row r="1253" ht="83.19999999999999" customHeight="1">
      <c r="A1253" s="10" t="n">
        <v>1249</v>
      </c>
      <c r="B1253" s="11" t="inlineStr">
        <is>
          <t>LP-M-01</t>
        </is>
      </c>
      <c r="C1253" s="5" t="inlineStr">
        <is>
          <t>Isi laporan sama dengan versi web</t>
        </is>
      </c>
      <c r="D1253" s="12" t="inlineStr">
        <is>
          <t>Pressing</t>
        </is>
      </c>
      <c r="E1253" s="5" t="inlineStr">
        <is>
          <t>OPR-A (mobile) + SPV-A (web)</t>
        </is>
      </c>
      <c r="F1253" s="5" t="inlineStr">
        <is>
          <t>- Setiap angka sama antara web dan mobile — termasuk penyebut tiap kartu.
- Jumlah kartu parameter sama.
- Keterangan cakupannya menyampaikan hal yang sama.
- Perbedaan angka mana pun adalah temuan, dan sebutkan angka mana yang berbeda.</t>
        </is>
      </c>
      <c r="G1253" s="13" t="inlineStr">
        <is>
          <t>Tinggi</t>
        </is>
      </c>
      <c r="H1253" s="18" t="n"/>
      <c r="I1253" s="18" t="n"/>
      <c r="J1253" s="18" t="n"/>
      <c r="K1253" s="18" t="n"/>
      <c r="L1253" s="18" t="n"/>
    </row>
    <row r="1254" ht="83.19999999999999" customHeight="1">
      <c r="A1254" s="14" t="n">
        <v>1250</v>
      </c>
      <c r="B1254" s="16" t="inlineStr">
        <is>
          <t>LP-M-01</t>
        </is>
      </c>
      <c r="C1254" s="15" t="inlineStr">
        <is>
          <t>Isi laporan sama dengan versi web</t>
        </is>
      </c>
      <c r="D1254" s="17" t="inlineStr">
        <is>
          <t>Clarification</t>
        </is>
      </c>
      <c r="E1254" s="15" t="inlineStr">
        <is>
          <t>OPR-A (mobile) + SPV-A (web)</t>
        </is>
      </c>
      <c r="F1254" s="15" t="inlineStr">
        <is>
          <t>- Setiap angka sama antara web dan mobile — termasuk penyebut tiap kartu.
- Jumlah kartu parameter sama.
- Keterangan cakupannya menyampaikan hal yang sama.
- Perbedaan angka mana pun adalah temuan, dan sebutkan angka mana yang berbeda.</t>
        </is>
      </c>
      <c r="G1254" s="13" t="inlineStr">
        <is>
          <t>Tinggi</t>
        </is>
      </c>
      <c r="H1254" s="18" t="n"/>
      <c r="I1254" s="18" t="n"/>
      <c r="J1254" s="18" t="n"/>
      <c r="K1254" s="18" t="n"/>
      <c r="L1254" s="18" t="n"/>
    </row>
    <row r="1255" ht="83.19999999999999" customHeight="1">
      <c r="A1255" s="10" t="n">
        <v>1251</v>
      </c>
      <c r="B1255" s="11" t="inlineStr">
        <is>
          <t>LP-M-01</t>
        </is>
      </c>
      <c r="C1255" s="5" t="inlineStr">
        <is>
          <t>Isi laporan sama dengan versi web</t>
        </is>
      </c>
      <c r="D1255" s="12" t="inlineStr">
        <is>
          <t>Kernel Plant</t>
        </is>
      </c>
      <c r="E1255" s="5" t="inlineStr">
        <is>
          <t>OPR-A (mobile) + SPV-A (web)</t>
        </is>
      </c>
      <c r="F1255" s="5" t="inlineStr">
        <is>
          <t>- Setiap angka sama antara web dan mobile — termasuk penyebut tiap kartu.
- Jumlah kartu parameter sama.
- Keterangan cakupannya menyampaikan hal yang sama.
- Perbedaan angka mana pun adalah temuan, dan sebutkan angka mana yang berbeda.</t>
        </is>
      </c>
      <c r="G1255" s="13" t="inlineStr">
        <is>
          <t>Tinggi</t>
        </is>
      </c>
      <c r="H1255" s="18" t="n"/>
      <c r="I1255" s="18" t="n"/>
      <c r="J1255" s="18" t="n"/>
      <c r="K1255" s="18" t="n"/>
      <c r="L1255" s="18" t="n"/>
    </row>
    <row r="1256" ht="83.19999999999999" customHeight="1">
      <c r="A1256" s="14" t="n">
        <v>1252</v>
      </c>
      <c r="B1256" s="16" t="inlineStr">
        <is>
          <t>LP-M-01</t>
        </is>
      </c>
      <c r="C1256" s="15" t="inlineStr">
        <is>
          <t>Isi laporan sama dengan versi web</t>
        </is>
      </c>
      <c r="D1256" s="17" t="inlineStr">
        <is>
          <t>Boiler Room</t>
        </is>
      </c>
      <c r="E1256" s="15" t="inlineStr">
        <is>
          <t>OPR-A (mobile) + SPV-A (web)</t>
        </is>
      </c>
      <c r="F1256" s="15" t="inlineStr">
        <is>
          <t>- Setiap angka sama antara web dan mobile — termasuk penyebut tiap kartu.
- Jumlah kartu parameter sama.
- Keterangan cakupannya menyampaikan hal yang sama.
- Perbedaan angka mana pun adalah temuan, dan sebutkan angka mana yang berbeda.</t>
        </is>
      </c>
      <c r="G1256" s="13" t="inlineStr">
        <is>
          <t>Tinggi</t>
        </is>
      </c>
      <c r="H1256" s="18" t="n"/>
      <c r="I1256" s="18" t="n"/>
      <c r="J1256" s="18" t="n"/>
      <c r="K1256" s="18" t="n"/>
      <c r="L1256" s="18" t="n"/>
    </row>
    <row r="1257" ht="83.19999999999999" customHeight="1">
      <c r="A1257" s="10" t="n">
        <v>1253</v>
      </c>
      <c r="B1257" s="11" t="inlineStr">
        <is>
          <t>LP-M-01</t>
        </is>
      </c>
      <c r="C1257" s="5" t="inlineStr">
        <is>
          <t>Isi laporan sama dengan versi web</t>
        </is>
      </c>
      <c r="D1257" s="12" t="inlineStr">
        <is>
          <t>Depricarping</t>
        </is>
      </c>
      <c r="E1257" s="5" t="inlineStr">
        <is>
          <t>OPR-A (mobile) + SPV-A (web)</t>
        </is>
      </c>
      <c r="F1257" s="5" t="inlineStr">
        <is>
          <t>- Setiap angka sama antara web dan mobile — termasuk penyebut tiap kartu.
- Jumlah kartu parameter sama.
- Keterangan cakupannya menyampaikan hal yang sama.
- Perbedaan angka mana pun adalah temuan, dan sebutkan angka mana yang berbeda.</t>
        </is>
      </c>
      <c r="G1257" s="13" t="inlineStr">
        <is>
          <t>Tinggi</t>
        </is>
      </c>
      <c r="H1257" s="18" t="n"/>
      <c r="I1257" s="18" t="n"/>
      <c r="J1257" s="18" t="n"/>
      <c r="K1257" s="18" t="n"/>
      <c r="L1257" s="18" t="n"/>
    </row>
    <row r="1258" ht="83.19999999999999" customHeight="1">
      <c r="A1258" s="14" t="n">
        <v>1254</v>
      </c>
      <c r="B1258" s="16" t="inlineStr">
        <is>
          <t>LP-M-01</t>
        </is>
      </c>
      <c r="C1258" s="15" t="inlineStr">
        <is>
          <t>Isi laporan sama dengan versi web</t>
        </is>
      </c>
      <c r="D1258" s="17" t="inlineStr">
        <is>
          <t>Storage Tank</t>
        </is>
      </c>
      <c r="E1258" s="15" t="inlineStr">
        <is>
          <t>OPR-A (mobile) + SPV-A (web)</t>
        </is>
      </c>
      <c r="F1258" s="15" t="inlineStr">
        <is>
          <t>- Setiap angka sama antara web dan mobile — termasuk penyebut tiap kartu.
- Jumlah kartu parameter sama.
- Keterangan cakupannya menyampaikan hal yang sama.
- Perbedaan angka mana pun adalah temuan, dan sebutkan angka mana yang berbeda.</t>
        </is>
      </c>
      <c r="G1258" s="13" t="inlineStr">
        <is>
          <t>Tinggi</t>
        </is>
      </c>
      <c r="H1258" s="18" t="n"/>
      <c r="I1258" s="18" t="n"/>
      <c r="J1258" s="18" t="n"/>
      <c r="K1258" s="18" t="n"/>
      <c r="L1258" s="18" t="n"/>
    </row>
    <row r="1259" ht="70" customHeight="1">
      <c r="A1259" s="10" t="n">
        <v>1255</v>
      </c>
      <c r="B1259" s="11" t="inlineStr">
        <is>
          <t>LP-M-02</t>
        </is>
      </c>
      <c r="C1259" s="5" t="inlineStr">
        <is>
          <t>Tabel menjadi kartu bertumpuk, isinya tidak berkurang</t>
        </is>
      </c>
      <c r="D1259" s="12" t="inlineStr">
        <is>
          <t>Weighbridge</t>
        </is>
      </c>
      <c r="E1259" s="5" t="inlineStr">
        <is>
          <t>OPR-A</t>
        </is>
      </c>
      <c r="F1259" s="5" t="inlineStr">
        <is>
          <t>- Di mobile, tabel berubah menjadi kartu bertumpuk (satu kartu per hari / per unit).
- Setiap kolom web punya padanan berlabel di dalam kartu — tidak ada kolom yang dibuang demi ruang.
- Labelnya terbaca, bukan disingkat sampai tidak jelas.</t>
        </is>
      </c>
      <c r="G1259" s="13" t="inlineStr">
        <is>
          <t>Tinggi</t>
        </is>
      </c>
      <c r="H1259" s="18" t="n"/>
      <c r="I1259" s="18" t="n"/>
      <c r="J1259" s="18" t="n"/>
      <c r="K1259" s="18" t="n"/>
      <c r="L1259" s="18" t="n"/>
    </row>
    <row r="1260" ht="70" customHeight="1">
      <c r="A1260" s="14" t="n">
        <v>1256</v>
      </c>
      <c r="B1260" s="16" t="inlineStr">
        <is>
          <t>LP-M-02</t>
        </is>
      </c>
      <c r="C1260" s="15" t="inlineStr">
        <is>
          <t>Tabel menjadi kartu bertumpuk, isinya tidak berkurang</t>
        </is>
      </c>
      <c r="D1260" s="17" t="inlineStr">
        <is>
          <t>Grading</t>
        </is>
      </c>
      <c r="E1260" s="15" t="inlineStr">
        <is>
          <t>OPR-A</t>
        </is>
      </c>
      <c r="F1260" s="15" t="inlineStr">
        <is>
          <t>- Di mobile, tabel berubah menjadi kartu bertumpuk (satu kartu per hari / per unit).
- Setiap kolom web punya padanan berlabel di dalam kartu — tidak ada kolom yang dibuang demi ruang.
- Labelnya terbaca, bukan disingkat sampai tidak jelas.</t>
        </is>
      </c>
      <c r="G1260" s="13" t="inlineStr">
        <is>
          <t>Tinggi</t>
        </is>
      </c>
      <c r="H1260" s="18" t="n"/>
      <c r="I1260" s="18" t="n"/>
      <c r="J1260" s="18" t="n"/>
      <c r="K1260" s="18" t="n"/>
      <c r="L1260" s="18" t="n"/>
    </row>
    <row r="1261" ht="70" customHeight="1">
      <c r="A1261" s="10" t="n">
        <v>1257</v>
      </c>
      <c r="B1261" s="11" t="inlineStr">
        <is>
          <t>LP-M-02</t>
        </is>
      </c>
      <c r="C1261" s="5" t="inlineStr">
        <is>
          <t>Tabel menjadi kartu bertumpuk, isinya tidak berkurang</t>
        </is>
      </c>
      <c r="D1261" s="12" t="inlineStr">
        <is>
          <t>Cages Track</t>
        </is>
      </c>
      <c r="E1261" s="5" t="inlineStr">
        <is>
          <t>OPR-A</t>
        </is>
      </c>
      <c r="F1261" s="5" t="inlineStr">
        <is>
          <t>- Di mobile, tabel berubah menjadi kartu bertumpuk (satu kartu per hari / per unit).
- Setiap kolom web punya padanan berlabel di dalam kartu — tidak ada kolom yang dibuang demi ruang.
- Labelnya terbaca, bukan disingkat sampai tidak jelas.</t>
        </is>
      </c>
      <c r="G1261" s="13" t="inlineStr">
        <is>
          <t>Tinggi</t>
        </is>
      </c>
      <c r="H1261" s="18" t="n"/>
      <c r="I1261" s="18" t="n"/>
      <c r="J1261" s="18" t="n"/>
      <c r="K1261" s="18" t="n"/>
      <c r="L1261" s="18" t="n"/>
    </row>
    <row r="1262" ht="70" customHeight="1">
      <c r="A1262" s="14" t="n">
        <v>1258</v>
      </c>
      <c r="B1262" s="16" t="inlineStr">
        <is>
          <t>LP-M-02</t>
        </is>
      </c>
      <c r="C1262" s="15" t="inlineStr">
        <is>
          <t>Tabel menjadi kartu bertumpuk, isinya tidak berkurang</t>
        </is>
      </c>
      <c r="D1262" s="17" t="inlineStr">
        <is>
          <t>Sterilizer</t>
        </is>
      </c>
      <c r="E1262" s="15" t="inlineStr">
        <is>
          <t>OPR-A</t>
        </is>
      </c>
      <c r="F1262" s="15" t="inlineStr">
        <is>
          <t>- Di mobile, tabel berubah menjadi kartu bertumpuk (satu kartu per hari / per unit).
- Setiap kolom web punya padanan berlabel di dalam kartu — tidak ada kolom yang dibuang demi ruang.
- Labelnya terbaca, bukan disingkat sampai tidak jelas.</t>
        </is>
      </c>
      <c r="G1262" s="13" t="inlineStr">
        <is>
          <t>Tinggi</t>
        </is>
      </c>
      <c r="H1262" s="18" t="n"/>
      <c r="I1262" s="18" t="n"/>
      <c r="J1262" s="18" t="n"/>
      <c r="K1262" s="18" t="n"/>
      <c r="L1262" s="18" t="n"/>
    </row>
    <row r="1263" ht="70" customHeight="1">
      <c r="A1263" s="10" t="n">
        <v>1259</v>
      </c>
      <c r="B1263" s="11" t="inlineStr">
        <is>
          <t>LP-M-02</t>
        </is>
      </c>
      <c r="C1263" s="5" t="inlineStr">
        <is>
          <t>Tabel menjadi kartu bertumpuk, isinya tidak berkurang</t>
        </is>
      </c>
      <c r="D1263" s="12" t="inlineStr">
        <is>
          <t>Threshing</t>
        </is>
      </c>
      <c r="E1263" s="5" t="inlineStr">
        <is>
          <t>OPR-A</t>
        </is>
      </c>
      <c r="F1263" s="5" t="inlineStr">
        <is>
          <t>- Di mobile, tabel berubah menjadi kartu bertumpuk (satu kartu per hari / per unit).
- Setiap kolom web punya padanan berlabel di dalam kartu — tidak ada kolom yang dibuang demi ruang.
- Labelnya terbaca, bukan disingkat sampai tidak jelas.</t>
        </is>
      </c>
      <c r="G1263" s="13" t="inlineStr">
        <is>
          <t>Tinggi</t>
        </is>
      </c>
      <c r="H1263" s="18" t="n"/>
      <c r="I1263" s="18" t="n"/>
      <c r="J1263" s="18" t="n"/>
      <c r="K1263" s="18" t="n"/>
      <c r="L1263" s="18" t="n"/>
    </row>
    <row r="1264" ht="70" customHeight="1">
      <c r="A1264" s="14" t="n">
        <v>1260</v>
      </c>
      <c r="B1264" s="16" t="inlineStr">
        <is>
          <t>LP-M-02</t>
        </is>
      </c>
      <c r="C1264" s="15" t="inlineStr">
        <is>
          <t>Tabel menjadi kartu bertumpuk, isinya tidak berkurang</t>
        </is>
      </c>
      <c r="D1264" s="17" t="inlineStr">
        <is>
          <t>Pressing</t>
        </is>
      </c>
      <c r="E1264" s="15" t="inlineStr">
        <is>
          <t>OPR-A</t>
        </is>
      </c>
      <c r="F1264" s="15" t="inlineStr">
        <is>
          <t>- Di mobile, tabel berubah menjadi kartu bertumpuk (satu kartu per hari / per unit).
- Setiap kolom web punya padanan berlabel di dalam kartu — tidak ada kolom yang dibuang demi ruang.
- Labelnya terbaca, bukan disingkat sampai tidak jelas.</t>
        </is>
      </c>
      <c r="G1264" s="13" t="inlineStr">
        <is>
          <t>Tinggi</t>
        </is>
      </c>
      <c r="H1264" s="18" t="n"/>
      <c r="I1264" s="18" t="n"/>
      <c r="J1264" s="18" t="n"/>
      <c r="K1264" s="18" t="n"/>
      <c r="L1264" s="18" t="n"/>
    </row>
    <row r="1265" ht="70" customHeight="1">
      <c r="A1265" s="10" t="n">
        <v>1261</v>
      </c>
      <c r="B1265" s="11" t="inlineStr">
        <is>
          <t>LP-M-02</t>
        </is>
      </c>
      <c r="C1265" s="5" t="inlineStr">
        <is>
          <t>Tabel menjadi kartu bertumpuk, isinya tidak berkurang</t>
        </is>
      </c>
      <c r="D1265" s="12" t="inlineStr">
        <is>
          <t>Clarification</t>
        </is>
      </c>
      <c r="E1265" s="5" t="inlineStr">
        <is>
          <t>OPR-A</t>
        </is>
      </c>
      <c r="F1265" s="5" t="inlineStr">
        <is>
          <t>- Di mobile, tabel berubah menjadi kartu bertumpuk (satu kartu per hari / per unit).
- Setiap kolom web punya padanan berlabel di dalam kartu — tidak ada kolom yang dibuang demi ruang.
- Labelnya terbaca, bukan disingkat sampai tidak jelas.</t>
        </is>
      </c>
      <c r="G1265" s="13" t="inlineStr">
        <is>
          <t>Tinggi</t>
        </is>
      </c>
      <c r="H1265" s="18" t="n"/>
      <c r="I1265" s="18" t="n"/>
      <c r="J1265" s="18" t="n"/>
      <c r="K1265" s="18" t="n"/>
      <c r="L1265" s="18" t="n"/>
    </row>
    <row r="1266" ht="70" customHeight="1">
      <c r="A1266" s="14" t="n">
        <v>1262</v>
      </c>
      <c r="B1266" s="16" t="inlineStr">
        <is>
          <t>LP-M-02</t>
        </is>
      </c>
      <c r="C1266" s="15" t="inlineStr">
        <is>
          <t>Tabel menjadi kartu bertumpuk, isinya tidak berkurang</t>
        </is>
      </c>
      <c r="D1266" s="17" t="inlineStr">
        <is>
          <t>Kernel Plant</t>
        </is>
      </c>
      <c r="E1266" s="15" t="inlineStr">
        <is>
          <t>OPR-A</t>
        </is>
      </c>
      <c r="F1266" s="15" t="inlineStr">
        <is>
          <t>- Di mobile, tabel berubah menjadi kartu bertumpuk (satu kartu per hari / per unit).
- Setiap kolom web punya padanan berlabel di dalam kartu — tidak ada kolom yang dibuang demi ruang.
- Labelnya terbaca, bukan disingkat sampai tidak jelas.</t>
        </is>
      </c>
      <c r="G1266" s="13" t="inlineStr">
        <is>
          <t>Tinggi</t>
        </is>
      </c>
      <c r="H1266" s="18" t="n"/>
      <c r="I1266" s="18" t="n"/>
      <c r="J1266" s="18" t="n"/>
      <c r="K1266" s="18" t="n"/>
      <c r="L1266" s="18" t="n"/>
    </row>
    <row r="1267" ht="70" customHeight="1">
      <c r="A1267" s="10" t="n">
        <v>1263</v>
      </c>
      <c r="B1267" s="11" t="inlineStr">
        <is>
          <t>LP-M-02</t>
        </is>
      </c>
      <c r="C1267" s="5" t="inlineStr">
        <is>
          <t>Tabel menjadi kartu bertumpuk, isinya tidak berkurang</t>
        </is>
      </c>
      <c r="D1267" s="12" t="inlineStr">
        <is>
          <t>Boiler Room</t>
        </is>
      </c>
      <c r="E1267" s="5" t="inlineStr">
        <is>
          <t>OPR-A</t>
        </is>
      </c>
      <c r="F1267" s="5" t="inlineStr">
        <is>
          <t>- Di mobile, tabel berubah menjadi kartu bertumpuk (satu kartu per hari / per unit).
- Setiap kolom web punya padanan berlabel di dalam kartu — tidak ada kolom yang dibuang demi ruang.
- Labelnya terbaca, bukan disingkat sampai tidak jelas.</t>
        </is>
      </c>
      <c r="G1267" s="13" t="inlineStr">
        <is>
          <t>Tinggi</t>
        </is>
      </c>
      <c r="H1267" s="18" t="n"/>
      <c r="I1267" s="18" t="n"/>
      <c r="J1267" s="18" t="n"/>
      <c r="K1267" s="18" t="n"/>
      <c r="L1267" s="18" t="n"/>
    </row>
    <row r="1268" ht="70" customHeight="1">
      <c r="A1268" s="14" t="n">
        <v>1264</v>
      </c>
      <c r="B1268" s="16" t="inlineStr">
        <is>
          <t>LP-M-02</t>
        </is>
      </c>
      <c r="C1268" s="15" t="inlineStr">
        <is>
          <t>Tabel menjadi kartu bertumpuk, isinya tidak berkurang</t>
        </is>
      </c>
      <c r="D1268" s="17" t="inlineStr">
        <is>
          <t>Depricarping</t>
        </is>
      </c>
      <c r="E1268" s="15" t="inlineStr">
        <is>
          <t>OPR-A</t>
        </is>
      </c>
      <c r="F1268" s="15" t="inlineStr">
        <is>
          <t>- Di mobile, tabel berubah menjadi kartu bertumpuk (satu kartu per hari / per unit).
- Setiap kolom web punya padanan berlabel di dalam kartu — tidak ada kolom yang dibuang demi ruang.
- Labelnya terbaca, bukan disingkat sampai tidak jelas.</t>
        </is>
      </c>
      <c r="G1268" s="13" t="inlineStr">
        <is>
          <t>Tinggi</t>
        </is>
      </c>
      <c r="H1268" s="18" t="n"/>
      <c r="I1268" s="18" t="n"/>
      <c r="J1268" s="18" t="n"/>
      <c r="K1268" s="18" t="n"/>
      <c r="L1268" s="18" t="n"/>
    </row>
    <row r="1269" ht="70" customHeight="1">
      <c r="A1269" s="10" t="n">
        <v>1265</v>
      </c>
      <c r="B1269" s="11" t="inlineStr">
        <is>
          <t>LP-M-02</t>
        </is>
      </c>
      <c r="C1269" s="5" t="inlineStr">
        <is>
          <t>Tabel menjadi kartu bertumpuk, isinya tidak berkurang</t>
        </is>
      </c>
      <c r="D1269" s="12" t="inlineStr">
        <is>
          <t>Storage Tank</t>
        </is>
      </c>
      <c r="E1269" s="5" t="inlineStr">
        <is>
          <t>OPR-A</t>
        </is>
      </c>
      <c r="F1269" s="5" t="inlineStr">
        <is>
          <t>- Di mobile, tabel berubah menjadi kartu bertumpuk (satu kartu per hari / per unit).
- Setiap kolom web punya padanan berlabel di dalam kartu — tidak ada kolom yang dibuang demi ruang.
- Labelnya terbaca, bukan disingkat sampai tidak jelas.</t>
        </is>
      </c>
      <c r="G1269" s="13" t="inlineStr">
        <is>
          <t>Tinggi</t>
        </is>
      </c>
      <c r="H1269" s="18" t="n"/>
      <c r="I1269" s="18" t="n"/>
      <c r="J1269" s="18" t="n"/>
      <c r="K1269" s="18" t="n"/>
      <c r="L1269" s="18" t="n"/>
    </row>
    <row r="1270" ht="83.19999999999999" customHeight="1">
      <c r="A1270" s="14" t="n">
        <v>1266</v>
      </c>
      <c r="B1270" s="16" t="inlineStr">
        <is>
          <t>LP-M-03</t>
        </is>
      </c>
      <c r="C1270" s="15" t="inlineStr">
        <is>
          <t>Halaman tidak menggulir mendatar pada lebar 390px</t>
        </is>
      </c>
      <c r="D1270" s="17" t="inlineStr">
        <is>
          <t>Weighbridge</t>
        </is>
      </c>
      <c r="E1270" s="15" t="inlineStr">
        <is>
          <t>OPR-A</t>
        </is>
      </c>
      <c r="F1270" s="15" t="inlineStr">
        <is>
          <t>- Halaman tidak dapat digulir mendatar sama sekali.
- Tidak ada isi yang terpotong di tepi kanan.
- Tabel yang lebar di web sudah berubah bentuk, bukan dibiarkan melebar.
- Kalau ada satu bagian saja yang memaksa gulir mendatar, catat bagian mana.</t>
        </is>
      </c>
      <c r="G1270" s="14" t="inlineStr">
        <is>
          <t>Sedang</t>
        </is>
      </c>
      <c r="H1270" s="18" t="n"/>
      <c r="I1270" s="18" t="n"/>
      <c r="J1270" s="18" t="n"/>
      <c r="K1270" s="18" t="n"/>
      <c r="L1270" s="18" t="n"/>
    </row>
    <row r="1271" ht="83.19999999999999" customHeight="1">
      <c r="A1271" s="10" t="n">
        <v>1267</v>
      </c>
      <c r="B1271" s="11" t="inlineStr">
        <is>
          <t>LP-M-03</t>
        </is>
      </c>
      <c r="C1271" s="5" t="inlineStr">
        <is>
          <t>Halaman tidak menggulir mendatar pada lebar 390px</t>
        </is>
      </c>
      <c r="D1271" s="12" t="inlineStr">
        <is>
          <t>Grading</t>
        </is>
      </c>
      <c r="E1271" s="5" t="inlineStr">
        <is>
          <t>OPR-A</t>
        </is>
      </c>
      <c r="F1271" s="5" t="inlineStr">
        <is>
          <t>- Halaman tidak dapat digulir mendatar sama sekali.
- Tidak ada isi yang terpotong di tepi kanan.
- Tabel yang lebar di web sudah berubah bentuk, bukan dibiarkan melebar.
- Kalau ada satu bagian saja yang memaksa gulir mendatar, catat bagian mana.</t>
        </is>
      </c>
      <c r="G1271" s="10" t="inlineStr">
        <is>
          <t>Sedang</t>
        </is>
      </c>
      <c r="H1271" s="18" t="n"/>
      <c r="I1271" s="18" t="n"/>
      <c r="J1271" s="18" t="n"/>
      <c r="K1271" s="18" t="n"/>
      <c r="L1271" s="18" t="n"/>
    </row>
    <row r="1272" ht="83.19999999999999" customHeight="1">
      <c r="A1272" s="14" t="n">
        <v>1268</v>
      </c>
      <c r="B1272" s="16" t="inlineStr">
        <is>
          <t>LP-M-03</t>
        </is>
      </c>
      <c r="C1272" s="15" t="inlineStr">
        <is>
          <t>Halaman tidak menggulir mendatar pada lebar 390px</t>
        </is>
      </c>
      <c r="D1272" s="17" t="inlineStr">
        <is>
          <t>Cages Track</t>
        </is>
      </c>
      <c r="E1272" s="15" t="inlineStr">
        <is>
          <t>OPR-A</t>
        </is>
      </c>
      <c r="F1272" s="15" t="inlineStr">
        <is>
          <t>- Halaman tidak dapat digulir mendatar sama sekali.
- Tidak ada isi yang terpotong di tepi kanan.
- Tabel yang lebar di web sudah berubah bentuk, bukan dibiarkan melebar.
- Kalau ada satu bagian saja yang memaksa gulir mendatar, catat bagian mana.</t>
        </is>
      </c>
      <c r="G1272" s="14" t="inlineStr">
        <is>
          <t>Sedang</t>
        </is>
      </c>
      <c r="H1272" s="18" t="n"/>
      <c r="I1272" s="18" t="n"/>
      <c r="J1272" s="18" t="n"/>
      <c r="K1272" s="18" t="n"/>
      <c r="L1272" s="18" t="n"/>
    </row>
    <row r="1273" ht="83.19999999999999" customHeight="1">
      <c r="A1273" s="10" t="n">
        <v>1269</v>
      </c>
      <c r="B1273" s="11" t="inlineStr">
        <is>
          <t>LP-M-03</t>
        </is>
      </c>
      <c r="C1273" s="5" t="inlineStr">
        <is>
          <t>Halaman tidak menggulir mendatar pada lebar 390px</t>
        </is>
      </c>
      <c r="D1273" s="12" t="inlineStr">
        <is>
          <t>Sterilizer</t>
        </is>
      </c>
      <c r="E1273" s="5" t="inlineStr">
        <is>
          <t>OPR-A</t>
        </is>
      </c>
      <c r="F1273" s="5" t="inlineStr">
        <is>
          <t>- Halaman tidak dapat digulir mendatar sama sekali.
- Tidak ada isi yang terpotong di tepi kanan.
- Tabel yang lebar di web sudah berubah bentuk, bukan dibiarkan melebar.
- Kalau ada satu bagian saja yang memaksa gulir mendatar, catat bagian mana.</t>
        </is>
      </c>
      <c r="G1273" s="10" t="inlineStr">
        <is>
          <t>Sedang</t>
        </is>
      </c>
      <c r="H1273" s="18" t="n"/>
      <c r="I1273" s="18" t="n"/>
      <c r="J1273" s="18" t="n"/>
      <c r="K1273" s="18" t="n"/>
      <c r="L1273" s="18" t="n"/>
    </row>
    <row r="1274" ht="83.19999999999999" customHeight="1">
      <c r="A1274" s="14" t="n">
        <v>1270</v>
      </c>
      <c r="B1274" s="16" t="inlineStr">
        <is>
          <t>LP-M-03</t>
        </is>
      </c>
      <c r="C1274" s="15" t="inlineStr">
        <is>
          <t>Halaman tidak menggulir mendatar pada lebar 390px</t>
        </is>
      </c>
      <c r="D1274" s="17" t="inlineStr">
        <is>
          <t>Threshing</t>
        </is>
      </c>
      <c r="E1274" s="15" t="inlineStr">
        <is>
          <t>OPR-A</t>
        </is>
      </c>
      <c r="F1274" s="15" t="inlineStr">
        <is>
          <t>- Halaman tidak dapat digulir mendatar sama sekali.
- Tidak ada isi yang terpotong di tepi kanan.
- Tabel yang lebar di web sudah berubah bentuk, bukan dibiarkan melebar.
- Kalau ada satu bagian saja yang memaksa gulir mendatar, catat bagian mana.</t>
        </is>
      </c>
      <c r="G1274" s="14" t="inlineStr">
        <is>
          <t>Sedang</t>
        </is>
      </c>
      <c r="H1274" s="18" t="n"/>
      <c r="I1274" s="18" t="n"/>
      <c r="J1274" s="18" t="n"/>
      <c r="K1274" s="18" t="n"/>
      <c r="L1274" s="18" t="n"/>
    </row>
    <row r="1275" ht="83.19999999999999" customHeight="1">
      <c r="A1275" s="10" t="n">
        <v>1271</v>
      </c>
      <c r="B1275" s="11" t="inlineStr">
        <is>
          <t>LP-M-03</t>
        </is>
      </c>
      <c r="C1275" s="5" t="inlineStr">
        <is>
          <t>Halaman tidak menggulir mendatar pada lebar 390px</t>
        </is>
      </c>
      <c r="D1275" s="12" t="inlineStr">
        <is>
          <t>Pressing</t>
        </is>
      </c>
      <c r="E1275" s="5" t="inlineStr">
        <is>
          <t>OPR-A</t>
        </is>
      </c>
      <c r="F1275" s="5" t="inlineStr">
        <is>
          <t>- Halaman tidak dapat digulir mendatar sama sekali.
- Tidak ada isi yang terpotong di tepi kanan.
- Tabel yang lebar di web sudah berubah bentuk, bukan dibiarkan melebar.
- Kalau ada satu bagian saja yang memaksa gulir mendatar, catat bagian mana.</t>
        </is>
      </c>
      <c r="G1275" s="10" t="inlineStr">
        <is>
          <t>Sedang</t>
        </is>
      </c>
      <c r="H1275" s="18" t="n"/>
      <c r="I1275" s="18" t="n"/>
      <c r="J1275" s="18" t="n"/>
      <c r="K1275" s="18" t="n"/>
      <c r="L1275" s="18" t="n"/>
    </row>
    <row r="1276" ht="83.19999999999999" customHeight="1">
      <c r="A1276" s="14" t="n">
        <v>1272</v>
      </c>
      <c r="B1276" s="16" t="inlineStr">
        <is>
          <t>LP-M-03</t>
        </is>
      </c>
      <c r="C1276" s="15" t="inlineStr">
        <is>
          <t>Halaman tidak menggulir mendatar pada lebar 390px</t>
        </is>
      </c>
      <c r="D1276" s="17" t="inlineStr">
        <is>
          <t>Clarification</t>
        </is>
      </c>
      <c r="E1276" s="15" t="inlineStr">
        <is>
          <t>OPR-A</t>
        </is>
      </c>
      <c r="F1276" s="15" t="inlineStr">
        <is>
          <t>- Halaman tidak dapat digulir mendatar sama sekali.
- Tidak ada isi yang terpotong di tepi kanan.
- Tabel yang lebar di web sudah berubah bentuk, bukan dibiarkan melebar.
- Kalau ada satu bagian saja yang memaksa gulir mendatar, catat bagian mana.</t>
        </is>
      </c>
      <c r="G1276" s="14" t="inlineStr">
        <is>
          <t>Sedang</t>
        </is>
      </c>
      <c r="H1276" s="18" t="n"/>
      <c r="I1276" s="18" t="n"/>
      <c r="J1276" s="18" t="n"/>
      <c r="K1276" s="18" t="n"/>
      <c r="L1276" s="18" t="n"/>
    </row>
    <row r="1277" ht="83.19999999999999" customHeight="1">
      <c r="A1277" s="10" t="n">
        <v>1273</v>
      </c>
      <c r="B1277" s="11" t="inlineStr">
        <is>
          <t>LP-M-03</t>
        </is>
      </c>
      <c r="C1277" s="5" t="inlineStr">
        <is>
          <t>Halaman tidak menggulir mendatar pada lebar 390px</t>
        </is>
      </c>
      <c r="D1277" s="12" t="inlineStr">
        <is>
          <t>Kernel Plant</t>
        </is>
      </c>
      <c r="E1277" s="5" t="inlineStr">
        <is>
          <t>OPR-A</t>
        </is>
      </c>
      <c r="F1277" s="5" t="inlineStr">
        <is>
          <t>- Halaman tidak dapat digulir mendatar sama sekali.
- Tidak ada isi yang terpotong di tepi kanan.
- Tabel yang lebar di web sudah berubah bentuk, bukan dibiarkan melebar.
- Kalau ada satu bagian saja yang memaksa gulir mendatar, catat bagian mana.</t>
        </is>
      </c>
      <c r="G1277" s="10" t="inlineStr">
        <is>
          <t>Sedang</t>
        </is>
      </c>
      <c r="H1277" s="18" t="n"/>
      <c r="I1277" s="18" t="n"/>
      <c r="J1277" s="18" t="n"/>
      <c r="K1277" s="18" t="n"/>
      <c r="L1277" s="18" t="n"/>
    </row>
    <row r="1278" ht="83.19999999999999" customHeight="1">
      <c r="A1278" s="14" t="n">
        <v>1274</v>
      </c>
      <c r="B1278" s="16" t="inlineStr">
        <is>
          <t>LP-M-03</t>
        </is>
      </c>
      <c r="C1278" s="15" t="inlineStr">
        <is>
          <t>Halaman tidak menggulir mendatar pada lebar 390px</t>
        </is>
      </c>
      <c r="D1278" s="17" t="inlineStr">
        <is>
          <t>Boiler Room</t>
        </is>
      </c>
      <c r="E1278" s="15" t="inlineStr">
        <is>
          <t>OPR-A</t>
        </is>
      </c>
      <c r="F1278" s="15" t="inlineStr">
        <is>
          <t>- Halaman tidak dapat digulir mendatar sama sekali.
- Tidak ada isi yang terpotong di tepi kanan.
- Tabel yang lebar di web sudah berubah bentuk, bukan dibiarkan melebar.
- Kalau ada satu bagian saja yang memaksa gulir mendatar, catat bagian mana.</t>
        </is>
      </c>
      <c r="G1278" s="14" t="inlineStr">
        <is>
          <t>Sedang</t>
        </is>
      </c>
      <c r="H1278" s="18" t="n"/>
      <c r="I1278" s="18" t="n"/>
      <c r="J1278" s="18" t="n"/>
      <c r="K1278" s="18" t="n"/>
      <c r="L1278" s="18" t="n"/>
    </row>
    <row r="1279" ht="83.19999999999999" customHeight="1">
      <c r="A1279" s="10" t="n">
        <v>1275</v>
      </c>
      <c r="B1279" s="11" t="inlineStr">
        <is>
          <t>LP-M-03</t>
        </is>
      </c>
      <c r="C1279" s="5" t="inlineStr">
        <is>
          <t>Halaman tidak menggulir mendatar pada lebar 390px</t>
        </is>
      </c>
      <c r="D1279" s="12" t="inlineStr">
        <is>
          <t>Depricarping</t>
        </is>
      </c>
      <c r="E1279" s="5" t="inlineStr">
        <is>
          <t>OPR-A</t>
        </is>
      </c>
      <c r="F1279" s="5" t="inlineStr">
        <is>
          <t>- Halaman tidak dapat digulir mendatar sama sekali.
- Tidak ada isi yang terpotong di tepi kanan.
- Tabel yang lebar di web sudah berubah bentuk, bukan dibiarkan melebar.
- Kalau ada satu bagian saja yang memaksa gulir mendatar, catat bagian mana.</t>
        </is>
      </c>
      <c r="G1279" s="10" t="inlineStr">
        <is>
          <t>Sedang</t>
        </is>
      </c>
      <c r="H1279" s="18" t="n"/>
      <c r="I1279" s="18" t="n"/>
      <c r="J1279" s="18" t="n"/>
      <c r="K1279" s="18" t="n"/>
      <c r="L1279" s="18" t="n"/>
    </row>
    <row r="1280" ht="83.19999999999999" customHeight="1">
      <c r="A1280" s="14" t="n">
        <v>1276</v>
      </c>
      <c r="B1280" s="16" t="inlineStr">
        <is>
          <t>LP-M-03</t>
        </is>
      </c>
      <c r="C1280" s="15" t="inlineStr">
        <is>
          <t>Halaman tidak menggulir mendatar pada lebar 390px</t>
        </is>
      </c>
      <c r="D1280" s="17" t="inlineStr">
        <is>
          <t>Storage Tank</t>
        </is>
      </c>
      <c r="E1280" s="15" t="inlineStr">
        <is>
          <t>OPR-A</t>
        </is>
      </c>
      <c r="F1280" s="15" t="inlineStr">
        <is>
          <t>- Halaman tidak dapat digulir mendatar sama sekali.
- Tidak ada isi yang terpotong di tepi kanan.
- Tabel yang lebar di web sudah berubah bentuk, bukan dibiarkan melebar.
- Kalau ada satu bagian saja yang memaksa gulir mendatar, catat bagian mana.</t>
        </is>
      </c>
      <c r="G1280" s="14" t="inlineStr">
        <is>
          <t>Sedang</t>
        </is>
      </c>
      <c r="H1280" s="18" t="n"/>
      <c r="I1280" s="18" t="n"/>
      <c r="J1280" s="18" t="n"/>
      <c r="K1280" s="18" t="n"/>
      <c r="L1280" s="18" t="n"/>
    </row>
    <row r="1281" ht="70" customHeight="1">
      <c r="A1281" s="10" t="n">
        <v>1277</v>
      </c>
      <c r="B1281" s="11" t="inlineStr">
        <is>
          <t>LP-M-04</t>
        </is>
      </c>
      <c r="C1281" s="5" t="inlineStr">
        <is>
          <t>Production Line wajib, termasuk saat hanya satu</t>
        </is>
      </c>
      <c r="D1281" s="12" t="inlineStr">
        <is>
          <t>Weighbridge</t>
        </is>
      </c>
      <c r="E1281" s="5" t="inlineStr">
        <is>
          <t>OPR-A</t>
        </is>
      </c>
      <c r="F1281" s="5" t="inlineStr">
        <is>
          <t>- Sebelum line dipilih: tidak ada satu angka pun, dan ada permintaan memilih Production Line.
- Line tunggal tidak terpilih otomatis.
- Sesudah dipilih, angkanya muncul.
- Perilakunya sama dengan LS-08 di web.</t>
        </is>
      </c>
      <c r="G1281" s="13" t="inlineStr">
        <is>
          <t>Tinggi</t>
        </is>
      </c>
      <c r="H1281" s="18" t="n"/>
      <c r="I1281" s="18" t="n"/>
      <c r="J1281" s="18" t="n"/>
      <c r="K1281" s="18" t="n"/>
      <c r="L1281" s="18" t="n"/>
    </row>
    <row r="1282" ht="70" customHeight="1">
      <c r="A1282" s="14" t="n">
        <v>1278</v>
      </c>
      <c r="B1282" s="16" t="inlineStr">
        <is>
          <t>LP-M-04</t>
        </is>
      </c>
      <c r="C1282" s="15" t="inlineStr">
        <is>
          <t>Production Line wajib, termasuk saat hanya satu</t>
        </is>
      </c>
      <c r="D1282" s="17" t="inlineStr">
        <is>
          <t>Grading</t>
        </is>
      </c>
      <c r="E1282" s="15" t="inlineStr">
        <is>
          <t>OPR-A</t>
        </is>
      </c>
      <c r="F1282" s="15" t="inlineStr">
        <is>
          <t>- Sebelum line dipilih: tidak ada satu angka pun, dan ada permintaan memilih Production Line.
- Line tunggal tidak terpilih otomatis.
- Sesudah dipilih, angkanya muncul.
- Perilakunya sama dengan LS-08 di web.</t>
        </is>
      </c>
      <c r="G1282" s="13" t="inlineStr">
        <is>
          <t>Tinggi</t>
        </is>
      </c>
      <c r="H1282" s="18" t="n"/>
      <c r="I1282" s="18" t="n"/>
      <c r="J1282" s="18" t="n"/>
      <c r="K1282" s="18" t="n"/>
      <c r="L1282" s="18" t="n"/>
    </row>
    <row r="1283" ht="70" customHeight="1">
      <c r="A1283" s="10" t="n">
        <v>1279</v>
      </c>
      <c r="B1283" s="11" t="inlineStr">
        <is>
          <t>LP-M-04</t>
        </is>
      </c>
      <c r="C1283" s="5" t="inlineStr">
        <is>
          <t>Production Line wajib, termasuk saat hanya satu</t>
        </is>
      </c>
      <c r="D1283" s="12" t="inlineStr">
        <is>
          <t>Cages Track</t>
        </is>
      </c>
      <c r="E1283" s="5" t="inlineStr">
        <is>
          <t>OPR-A</t>
        </is>
      </c>
      <c r="F1283" s="5" t="inlineStr">
        <is>
          <t>- Sebelum line dipilih: tidak ada satu angka pun, dan ada permintaan memilih Production Line.
- Line tunggal tidak terpilih otomatis.
- Sesudah dipilih, angkanya muncul.
- Perilakunya sama dengan LS-08 di web.</t>
        </is>
      </c>
      <c r="G1283" s="13" t="inlineStr">
        <is>
          <t>Tinggi</t>
        </is>
      </c>
      <c r="H1283" s="18" t="n"/>
      <c r="I1283" s="18" t="n"/>
      <c r="J1283" s="18" t="n"/>
      <c r="K1283" s="18" t="n"/>
      <c r="L1283" s="18" t="n"/>
    </row>
    <row r="1284" ht="70" customHeight="1">
      <c r="A1284" s="14" t="n">
        <v>1280</v>
      </c>
      <c r="B1284" s="16" t="inlineStr">
        <is>
          <t>LP-M-04</t>
        </is>
      </c>
      <c r="C1284" s="15" t="inlineStr">
        <is>
          <t>Production Line wajib, termasuk saat hanya satu</t>
        </is>
      </c>
      <c r="D1284" s="17" t="inlineStr">
        <is>
          <t>Sterilizer</t>
        </is>
      </c>
      <c r="E1284" s="15" t="inlineStr">
        <is>
          <t>OPR-A</t>
        </is>
      </c>
      <c r="F1284" s="15" t="inlineStr">
        <is>
          <t>- Sebelum line dipilih: tidak ada satu angka pun, dan ada permintaan memilih Production Line.
- Line tunggal tidak terpilih otomatis.
- Sesudah dipilih, angkanya muncul.
- Perilakunya sama dengan LS-08 di web.</t>
        </is>
      </c>
      <c r="G1284" s="13" t="inlineStr">
        <is>
          <t>Tinggi</t>
        </is>
      </c>
      <c r="H1284" s="18" t="n"/>
      <c r="I1284" s="18" t="n"/>
      <c r="J1284" s="18" t="n"/>
      <c r="K1284" s="18" t="n"/>
      <c r="L1284" s="18" t="n"/>
    </row>
    <row r="1285" ht="70" customHeight="1">
      <c r="A1285" s="10" t="n">
        <v>1281</v>
      </c>
      <c r="B1285" s="11" t="inlineStr">
        <is>
          <t>LP-M-04</t>
        </is>
      </c>
      <c r="C1285" s="5" t="inlineStr">
        <is>
          <t>Production Line wajib, termasuk saat hanya satu</t>
        </is>
      </c>
      <c r="D1285" s="12" t="inlineStr">
        <is>
          <t>Threshing</t>
        </is>
      </c>
      <c r="E1285" s="5" t="inlineStr">
        <is>
          <t>OPR-A</t>
        </is>
      </c>
      <c r="F1285" s="5" t="inlineStr">
        <is>
          <t>- Sebelum line dipilih: tidak ada satu angka pun, dan ada permintaan memilih Production Line.
- Line tunggal tidak terpilih otomatis.
- Sesudah dipilih, angkanya muncul.
- Perilakunya sama dengan LS-08 di web.</t>
        </is>
      </c>
      <c r="G1285" s="13" t="inlineStr">
        <is>
          <t>Tinggi</t>
        </is>
      </c>
      <c r="H1285" s="18" t="n"/>
      <c r="I1285" s="18" t="n"/>
      <c r="J1285" s="18" t="n"/>
      <c r="K1285" s="18" t="n"/>
      <c r="L1285" s="18" t="n"/>
    </row>
    <row r="1286" ht="70" customHeight="1">
      <c r="A1286" s="14" t="n">
        <v>1282</v>
      </c>
      <c r="B1286" s="16" t="inlineStr">
        <is>
          <t>LP-M-04</t>
        </is>
      </c>
      <c r="C1286" s="15" t="inlineStr">
        <is>
          <t>Production Line wajib, termasuk saat hanya satu</t>
        </is>
      </c>
      <c r="D1286" s="17" t="inlineStr">
        <is>
          <t>Pressing</t>
        </is>
      </c>
      <c r="E1286" s="15" t="inlineStr">
        <is>
          <t>OPR-A</t>
        </is>
      </c>
      <c r="F1286" s="15" t="inlineStr">
        <is>
          <t>- Sebelum line dipilih: tidak ada satu angka pun, dan ada permintaan memilih Production Line.
- Line tunggal tidak terpilih otomatis.
- Sesudah dipilih, angkanya muncul.
- Perilakunya sama dengan LS-08 di web.</t>
        </is>
      </c>
      <c r="G1286" s="13" t="inlineStr">
        <is>
          <t>Tinggi</t>
        </is>
      </c>
      <c r="H1286" s="18" t="n"/>
      <c r="I1286" s="18" t="n"/>
      <c r="J1286" s="18" t="n"/>
      <c r="K1286" s="18" t="n"/>
      <c r="L1286" s="18" t="n"/>
    </row>
    <row r="1287" ht="70" customHeight="1">
      <c r="A1287" s="10" t="n">
        <v>1283</v>
      </c>
      <c r="B1287" s="11" t="inlineStr">
        <is>
          <t>LP-M-04</t>
        </is>
      </c>
      <c r="C1287" s="5" t="inlineStr">
        <is>
          <t>Production Line wajib, termasuk saat hanya satu</t>
        </is>
      </c>
      <c r="D1287" s="12" t="inlineStr">
        <is>
          <t>Clarification</t>
        </is>
      </c>
      <c r="E1287" s="5" t="inlineStr">
        <is>
          <t>OPR-A</t>
        </is>
      </c>
      <c r="F1287" s="5" t="inlineStr">
        <is>
          <t>- Sebelum line dipilih: tidak ada satu angka pun, dan ada permintaan memilih Production Line.
- Line tunggal tidak terpilih otomatis.
- Sesudah dipilih, angkanya muncul.
- Perilakunya sama dengan LS-08 di web.</t>
        </is>
      </c>
      <c r="G1287" s="13" t="inlineStr">
        <is>
          <t>Tinggi</t>
        </is>
      </c>
      <c r="H1287" s="18" t="n"/>
      <c r="I1287" s="18" t="n"/>
      <c r="J1287" s="18" t="n"/>
      <c r="K1287" s="18" t="n"/>
      <c r="L1287" s="18" t="n"/>
    </row>
    <row r="1288" ht="70" customHeight="1">
      <c r="A1288" s="14" t="n">
        <v>1284</v>
      </c>
      <c r="B1288" s="16" t="inlineStr">
        <is>
          <t>LP-M-04</t>
        </is>
      </c>
      <c r="C1288" s="15" t="inlineStr">
        <is>
          <t>Production Line wajib, termasuk saat hanya satu</t>
        </is>
      </c>
      <c r="D1288" s="17" t="inlineStr">
        <is>
          <t>Kernel Plant</t>
        </is>
      </c>
      <c r="E1288" s="15" t="inlineStr">
        <is>
          <t>OPR-A</t>
        </is>
      </c>
      <c r="F1288" s="15" t="inlineStr">
        <is>
          <t>- Sebelum line dipilih: tidak ada satu angka pun, dan ada permintaan memilih Production Line.
- Line tunggal tidak terpilih otomatis.
- Sesudah dipilih, angkanya muncul.
- Perilakunya sama dengan LS-08 di web.</t>
        </is>
      </c>
      <c r="G1288" s="13" t="inlineStr">
        <is>
          <t>Tinggi</t>
        </is>
      </c>
      <c r="H1288" s="18" t="n"/>
      <c r="I1288" s="18" t="n"/>
      <c r="J1288" s="18" t="n"/>
      <c r="K1288" s="18" t="n"/>
      <c r="L1288" s="18" t="n"/>
    </row>
    <row r="1289" ht="70" customHeight="1">
      <c r="A1289" s="10" t="n">
        <v>1285</v>
      </c>
      <c r="B1289" s="11" t="inlineStr">
        <is>
          <t>LP-M-04</t>
        </is>
      </c>
      <c r="C1289" s="5" t="inlineStr">
        <is>
          <t>Production Line wajib, termasuk saat hanya satu</t>
        </is>
      </c>
      <c r="D1289" s="12" t="inlineStr">
        <is>
          <t>Boiler Room</t>
        </is>
      </c>
      <c r="E1289" s="5" t="inlineStr">
        <is>
          <t>OPR-A</t>
        </is>
      </c>
      <c r="F1289" s="5" t="inlineStr">
        <is>
          <t>- Sebelum line dipilih: tidak ada satu angka pun, dan ada permintaan memilih Production Line.
- Line tunggal tidak terpilih otomatis.
- Sesudah dipilih, angkanya muncul.
- Perilakunya sama dengan LS-08 di web.</t>
        </is>
      </c>
      <c r="G1289" s="13" t="inlineStr">
        <is>
          <t>Tinggi</t>
        </is>
      </c>
      <c r="H1289" s="18" t="n"/>
      <c r="I1289" s="18" t="n"/>
      <c r="J1289" s="18" t="n"/>
      <c r="K1289" s="18" t="n"/>
      <c r="L1289" s="18" t="n"/>
    </row>
    <row r="1290" ht="70" customHeight="1">
      <c r="A1290" s="14" t="n">
        <v>1286</v>
      </c>
      <c r="B1290" s="16" t="inlineStr">
        <is>
          <t>LP-M-04</t>
        </is>
      </c>
      <c r="C1290" s="15" t="inlineStr">
        <is>
          <t>Production Line wajib, termasuk saat hanya satu</t>
        </is>
      </c>
      <c r="D1290" s="17" t="inlineStr">
        <is>
          <t>Depricarping</t>
        </is>
      </c>
      <c r="E1290" s="15" t="inlineStr">
        <is>
          <t>OPR-A</t>
        </is>
      </c>
      <c r="F1290" s="15" t="inlineStr">
        <is>
          <t>- Sebelum line dipilih: tidak ada satu angka pun, dan ada permintaan memilih Production Line.
- Line tunggal tidak terpilih otomatis.
- Sesudah dipilih, angkanya muncul.
- Perilakunya sama dengan LS-08 di web.</t>
        </is>
      </c>
      <c r="G1290" s="13" t="inlineStr">
        <is>
          <t>Tinggi</t>
        </is>
      </c>
      <c r="H1290" s="18" t="n"/>
      <c r="I1290" s="18" t="n"/>
      <c r="J1290" s="18" t="n"/>
      <c r="K1290" s="18" t="n"/>
      <c r="L1290" s="18" t="n"/>
    </row>
    <row r="1291" ht="70" customHeight="1">
      <c r="A1291" s="10" t="n">
        <v>1287</v>
      </c>
      <c r="B1291" s="11" t="inlineStr">
        <is>
          <t>LP-M-04</t>
        </is>
      </c>
      <c r="C1291" s="5" t="inlineStr">
        <is>
          <t>Production Line wajib, termasuk saat hanya satu</t>
        </is>
      </c>
      <c r="D1291" s="12" t="inlineStr">
        <is>
          <t>Storage Tank</t>
        </is>
      </c>
      <c r="E1291" s="5" t="inlineStr">
        <is>
          <t>OPR-A</t>
        </is>
      </c>
      <c r="F1291" s="5" t="inlineStr">
        <is>
          <t>- Sebelum line dipilih: tidak ada satu angka pun, dan ada permintaan memilih Production Line.
- Line tunggal tidak terpilih otomatis.
- Sesudah dipilih, angkanya muncul.
- Perilakunya sama dengan LS-08 di web.</t>
        </is>
      </c>
      <c r="G1291" s="13" t="inlineStr">
        <is>
          <t>Tinggi</t>
        </is>
      </c>
      <c r="H1291" s="18" t="n"/>
      <c r="I1291" s="18" t="n"/>
      <c r="J1291" s="18" t="n"/>
      <c r="K1291" s="18" t="n"/>
      <c r="L1291" s="18" t="n"/>
    </row>
    <row r="1292" ht="70" customHeight="1">
      <c r="A1292" s="14" t="n">
        <v>1288</v>
      </c>
      <c r="B1292" s="16" t="inlineStr">
        <is>
          <t>LP-M-05</t>
        </is>
      </c>
      <c r="C1292" s="15" t="inlineStr">
        <is>
          <t>Penjagaan line tidak bisa dilewati lewat coba-lagi atau ganti periode</t>
        </is>
      </c>
      <c r="D1292" s="17" t="inlineStr">
        <is>
          <t>Weighbridge</t>
        </is>
      </c>
      <c r="E1292" s="15" t="inlineStr">
        <is>
          <t>OPR-A</t>
        </is>
      </c>
      <c r="F1292" s="15" t="inlineStr">
        <is>
          <t>- Tidak satu pun dari langkah 3–5 memunculkan angka.
- Permintaan memilih Production Line tetap berdiri di setiap langkah.
- Penjagaan ini tidak dapat dilewati dengan memutar lewat Coba Lagi atau ganti periode.</t>
        </is>
      </c>
      <c r="G1292" s="13" t="inlineStr">
        <is>
          <t>Tinggi</t>
        </is>
      </c>
      <c r="H1292" s="18" t="n"/>
      <c r="I1292" s="18" t="n"/>
      <c r="J1292" s="18" t="n"/>
      <c r="K1292" s="18" t="n"/>
      <c r="L1292" s="18" t="n"/>
    </row>
    <row r="1293" ht="70" customHeight="1">
      <c r="A1293" s="10" t="n">
        <v>1289</v>
      </c>
      <c r="B1293" s="11" t="inlineStr">
        <is>
          <t>LP-M-05</t>
        </is>
      </c>
      <c r="C1293" s="5" t="inlineStr">
        <is>
          <t>Penjagaan line tidak bisa dilewati lewat coba-lagi atau ganti periode</t>
        </is>
      </c>
      <c r="D1293" s="12" t="inlineStr">
        <is>
          <t>Grading</t>
        </is>
      </c>
      <c r="E1293" s="5" t="inlineStr">
        <is>
          <t>OPR-A</t>
        </is>
      </c>
      <c r="F1293" s="5" t="inlineStr">
        <is>
          <t>- Tidak satu pun dari langkah 3–5 memunculkan angka.
- Permintaan memilih Production Line tetap berdiri di setiap langkah.
- Penjagaan ini tidak dapat dilewati dengan memutar lewat Coba Lagi atau ganti periode.</t>
        </is>
      </c>
      <c r="G1293" s="13" t="inlineStr">
        <is>
          <t>Tinggi</t>
        </is>
      </c>
      <c r="H1293" s="18" t="n"/>
      <c r="I1293" s="18" t="n"/>
      <c r="J1293" s="18" t="n"/>
      <c r="K1293" s="18" t="n"/>
      <c r="L1293" s="18" t="n"/>
    </row>
    <row r="1294" ht="70" customHeight="1">
      <c r="A1294" s="14" t="n">
        <v>1290</v>
      </c>
      <c r="B1294" s="16" t="inlineStr">
        <is>
          <t>LP-M-05</t>
        </is>
      </c>
      <c r="C1294" s="15" t="inlineStr">
        <is>
          <t>Penjagaan line tidak bisa dilewati lewat coba-lagi atau ganti periode</t>
        </is>
      </c>
      <c r="D1294" s="17" t="inlineStr">
        <is>
          <t>Cages Track</t>
        </is>
      </c>
      <c r="E1294" s="15" t="inlineStr">
        <is>
          <t>OPR-A</t>
        </is>
      </c>
      <c r="F1294" s="15" t="inlineStr">
        <is>
          <t>- Tidak satu pun dari langkah 3–5 memunculkan angka.
- Permintaan memilih Production Line tetap berdiri di setiap langkah.
- Penjagaan ini tidak dapat dilewati dengan memutar lewat Coba Lagi atau ganti periode.</t>
        </is>
      </c>
      <c r="G1294" s="13" t="inlineStr">
        <is>
          <t>Tinggi</t>
        </is>
      </c>
      <c r="H1294" s="18" t="n"/>
      <c r="I1294" s="18" t="n"/>
      <c r="J1294" s="18" t="n"/>
      <c r="K1294" s="18" t="n"/>
      <c r="L1294" s="18" t="n"/>
    </row>
    <row r="1295" ht="70" customHeight="1">
      <c r="A1295" s="10" t="n">
        <v>1291</v>
      </c>
      <c r="B1295" s="11" t="inlineStr">
        <is>
          <t>LP-M-05</t>
        </is>
      </c>
      <c r="C1295" s="5" t="inlineStr">
        <is>
          <t>Penjagaan line tidak bisa dilewati lewat coba-lagi atau ganti periode</t>
        </is>
      </c>
      <c r="D1295" s="12" t="inlineStr">
        <is>
          <t>Sterilizer</t>
        </is>
      </c>
      <c r="E1295" s="5" t="inlineStr">
        <is>
          <t>OPR-A</t>
        </is>
      </c>
      <c r="F1295" s="5" t="inlineStr">
        <is>
          <t>- Tidak satu pun dari langkah 3–5 memunculkan angka.
- Permintaan memilih Production Line tetap berdiri di setiap langkah.
- Penjagaan ini tidak dapat dilewati dengan memutar lewat Coba Lagi atau ganti periode.</t>
        </is>
      </c>
      <c r="G1295" s="13" t="inlineStr">
        <is>
          <t>Tinggi</t>
        </is>
      </c>
      <c r="H1295" s="18" t="n"/>
      <c r="I1295" s="18" t="n"/>
      <c r="J1295" s="18" t="n"/>
      <c r="K1295" s="18" t="n"/>
      <c r="L1295" s="18" t="n"/>
    </row>
    <row r="1296" ht="70" customHeight="1">
      <c r="A1296" s="14" t="n">
        <v>1292</v>
      </c>
      <c r="B1296" s="16" t="inlineStr">
        <is>
          <t>LP-M-05</t>
        </is>
      </c>
      <c r="C1296" s="15" t="inlineStr">
        <is>
          <t>Penjagaan line tidak bisa dilewati lewat coba-lagi atau ganti periode</t>
        </is>
      </c>
      <c r="D1296" s="17" t="inlineStr">
        <is>
          <t>Threshing</t>
        </is>
      </c>
      <c r="E1296" s="15" t="inlineStr">
        <is>
          <t>OPR-A</t>
        </is>
      </c>
      <c r="F1296" s="15" t="inlineStr">
        <is>
          <t>- Tidak satu pun dari langkah 3–5 memunculkan angka.
- Permintaan memilih Production Line tetap berdiri di setiap langkah.
- Penjagaan ini tidak dapat dilewati dengan memutar lewat Coba Lagi atau ganti periode.</t>
        </is>
      </c>
      <c r="G1296" s="13" t="inlineStr">
        <is>
          <t>Tinggi</t>
        </is>
      </c>
      <c r="H1296" s="18" t="n"/>
      <c r="I1296" s="18" t="n"/>
      <c r="J1296" s="18" t="n"/>
      <c r="K1296" s="18" t="n"/>
      <c r="L1296" s="18" t="n"/>
    </row>
    <row r="1297" ht="70" customHeight="1">
      <c r="A1297" s="10" t="n">
        <v>1293</v>
      </c>
      <c r="B1297" s="11" t="inlineStr">
        <is>
          <t>LP-M-05</t>
        </is>
      </c>
      <c r="C1297" s="5" t="inlineStr">
        <is>
          <t>Penjagaan line tidak bisa dilewati lewat coba-lagi atau ganti periode</t>
        </is>
      </c>
      <c r="D1297" s="12" t="inlineStr">
        <is>
          <t>Pressing</t>
        </is>
      </c>
      <c r="E1297" s="5" t="inlineStr">
        <is>
          <t>OPR-A</t>
        </is>
      </c>
      <c r="F1297" s="5" t="inlineStr">
        <is>
          <t>- Tidak satu pun dari langkah 3–5 memunculkan angka.
- Permintaan memilih Production Line tetap berdiri di setiap langkah.
- Penjagaan ini tidak dapat dilewati dengan memutar lewat Coba Lagi atau ganti periode.</t>
        </is>
      </c>
      <c r="G1297" s="13" t="inlineStr">
        <is>
          <t>Tinggi</t>
        </is>
      </c>
      <c r="H1297" s="18" t="n"/>
      <c r="I1297" s="18" t="n"/>
      <c r="J1297" s="18" t="n"/>
      <c r="K1297" s="18" t="n"/>
      <c r="L1297" s="18" t="n"/>
    </row>
    <row r="1298" ht="70" customHeight="1">
      <c r="A1298" s="14" t="n">
        <v>1294</v>
      </c>
      <c r="B1298" s="16" t="inlineStr">
        <is>
          <t>LP-M-05</t>
        </is>
      </c>
      <c r="C1298" s="15" t="inlineStr">
        <is>
          <t>Penjagaan line tidak bisa dilewati lewat coba-lagi atau ganti periode</t>
        </is>
      </c>
      <c r="D1298" s="17" t="inlineStr">
        <is>
          <t>Clarification</t>
        </is>
      </c>
      <c r="E1298" s="15" t="inlineStr">
        <is>
          <t>OPR-A</t>
        </is>
      </c>
      <c r="F1298" s="15" t="inlineStr">
        <is>
          <t>- Tidak satu pun dari langkah 3–5 memunculkan angka.
- Permintaan memilih Production Line tetap berdiri di setiap langkah.
- Penjagaan ini tidak dapat dilewati dengan memutar lewat Coba Lagi atau ganti periode.</t>
        </is>
      </c>
      <c r="G1298" s="13" t="inlineStr">
        <is>
          <t>Tinggi</t>
        </is>
      </c>
      <c r="H1298" s="18" t="n"/>
      <c r="I1298" s="18" t="n"/>
      <c r="J1298" s="18" t="n"/>
      <c r="K1298" s="18" t="n"/>
      <c r="L1298" s="18" t="n"/>
    </row>
    <row r="1299" ht="70" customHeight="1">
      <c r="A1299" s="10" t="n">
        <v>1295</v>
      </c>
      <c r="B1299" s="11" t="inlineStr">
        <is>
          <t>LP-M-05</t>
        </is>
      </c>
      <c r="C1299" s="5" t="inlineStr">
        <is>
          <t>Penjagaan line tidak bisa dilewati lewat coba-lagi atau ganti periode</t>
        </is>
      </c>
      <c r="D1299" s="12" t="inlineStr">
        <is>
          <t>Kernel Plant</t>
        </is>
      </c>
      <c r="E1299" s="5" t="inlineStr">
        <is>
          <t>OPR-A</t>
        </is>
      </c>
      <c r="F1299" s="5" t="inlineStr">
        <is>
          <t>- Tidak satu pun dari langkah 3–5 memunculkan angka.
- Permintaan memilih Production Line tetap berdiri di setiap langkah.
- Penjagaan ini tidak dapat dilewati dengan memutar lewat Coba Lagi atau ganti periode.</t>
        </is>
      </c>
      <c r="G1299" s="13" t="inlineStr">
        <is>
          <t>Tinggi</t>
        </is>
      </c>
      <c r="H1299" s="18" t="n"/>
      <c r="I1299" s="18" t="n"/>
      <c r="J1299" s="18" t="n"/>
      <c r="K1299" s="18" t="n"/>
      <c r="L1299" s="18" t="n"/>
    </row>
    <row r="1300" ht="70" customHeight="1">
      <c r="A1300" s="14" t="n">
        <v>1296</v>
      </c>
      <c r="B1300" s="16" t="inlineStr">
        <is>
          <t>LP-M-05</t>
        </is>
      </c>
      <c r="C1300" s="15" t="inlineStr">
        <is>
          <t>Penjagaan line tidak bisa dilewati lewat coba-lagi atau ganti periode</t>
        </is>
      </c>
      <c r="D1300" s="17" t="inlineStr">
        <is>
          <t>Boiler Room</t>
        </is>
      </c>
      <c r="E1300" s="15" t="inlineStr">
        <is>
          <t>OPR-A</t>
        </is>
      </c>
      <c r="F1300" s="15" t="inlineStr">
        <is>
          <t>- Tidak satu pun dari langkah 3–5 memunculkan angka.
- Permintaan memilih Production Line tetap berdiri di setiap langkah.
- Penjagaan ini tidak dapat dilewati dengan memutar lewat Coba Lagi atau ganti periode.</t>
        </is>
      </c>
      <c r="G1300" s="13" t="inlineStr">
        <is>
          <t>Tinggi</t>
        </is>
      </c>
      <c r="H1300" s="18" t="n"/>
      <c r="I1300" s="18" t="n"/>
      <c r="J1300" s="18" t="n"/>
      <c r="K1300" s="18" t="n"/>
      <c r="L1300" s="18" t="n"/>
    </row>
    <row r="1301" ht="70" customHeight="1">
      <c r="A1301" s="10" t="n">
        <v>1297</v>
      </c>
      <c r="B1301" s="11" t="inlineStr">
        <is>
          <t>LP-M-05</t>
        </is>
      </c>
      <c r="C1301" s="5" t="inlineStr">
        <is>
          <t>Penjagaan line tidak bisa dilewati lewat coba-lagi atau ganti periode</t>
        </is>
      </c>
      <c r="D1301" s="12" t="inlineStr">
        <is>
          <t>Depricarping</t>
        </is>
      </c>
      <c r="E1301" s="5" t="inlineStr">
        <is>
          <t>OPR-A</t>
        </is>
      </c>
      <c r="F1301" s="5" t="inlineStr">
        <is>
          <t>- Tidak satu pun dari langkah 3–5 memunculkan angka.
- Permintaan memilih Production Line tetap berdiri di setiap langkah.
- Penjagaan ini tidak dapat dilewati dengan memutar lewat Coba Lagi atau ganti periode.</t>
        </is>
      </c>
      <c r="G1301" s="13" t="inlineStr">
        <is>
          <t>Tinggi</t>
        </is>
      </c>
      <c r="H1301" s="18" t="n"/>
      <c r="I1301" s="18" t="n"/>
      <c r="J1301" s="18" t="n"/>
      <c r="K1301" s="18" t="n"/>
      <c r="L1301" s="18" t="n"/>
    </row>
    <row r="1302" ht="70" customHeight="1">
      <c r="A1302" s="14" t="n">
        <v>1298</v>
      </c>
      <c r="B1302" s="16" t="inlineStr">
        <is>
          <t>LP-M-05</t>
        </is>
      </c>
      <c r="C1302" s="15" t="inlineStr">
        <is>
          <t>Penjagaan line tidak bisa dilewati lewat coba-lagi atau ganti periode</t>
        </is>
      </c>
      <c r="D1302" s="17" t="inlineStr">
        <is>
          <t>Storage Tank</t>
        </is>
      </c>
      <c r="E1302" s="15" t="inlineStr">
        <is>
          <t>OPR-A</t>
        </is>
      </c>
      <c r="F1302" s="15" t="inlineStr">
        <is>
          <t>- Tidak satu pun dari langkah 3–5 memunculkan angka.
- Permintaan memilih Production Line tetap berdiri di setiap langkah.
- Penjagaan ini tidak dapat dilewati dengan memutar lewat Coba Lagi atau ganti periode.</t>
        </is>
      </c>
      <c r="G1302" s="13" t="inlineStr">
        <is>
          <t>Tinggi</t>
        </is>
      </c>
      <c r="H1302" s="18" t="n"/>
      <c r="I1302" s="18" t="n"/>
      <c r="J1302" s="18" t="n"/>
      <c r="K1302" s="18" t="n"/>
      <c r="L1302" s="18" t="n"/>
    </row>
    <row r="1303" ht="83.19999999999999" customHeight="1">
      <c r="A1303" s="10" t="n">
        <v>1299</v>
      </c>
      <c r="B1303" s="11" t="inlineStr">
        <is>
          <t>LP-M-06</t>
        </is>
      </c>
      <c r="C1303" s="5" t="inlineStr">
        <is>
          <t>Line yang diingat perangkat dipakai tanpa diminta memilih lagi</t>
        </is>
      </c>
      <c r="D1303" s="12" t="inlineStr">
        <is>
          <t>Weighbridge</t>
        </is>
      </c>
      <c r="E1303" s="5" t="inlineStr">
        <is>
          <t>OPR-A</t>
        </is>
      </c>
      <c r="F1303" s="5" t="inlineStr">
        <is>
          <t>- Langkah 3: Line 1 sudah terpilih — tidak diminta memilih lagi.
- Langkah 4: masih Line 1 — pilihannya diingat perangkat.
- Angkanya langsung muncul sesudah periode dipilih, tanpa langkah memilih line lagi.</t>
        </is>
      </c>
      <c r="G1303" s="10" t="inlineStr">
        <is>
          <t>Sedang</t>
        </is>
      </c>
      <c r="H1303" s="18" t="n"/>
      <c r="I1303" s="18" t="n"/>
      <c r="J1303" s="18" t="n"/>
      <c r="K1303" s="18" t="n"/>
      <c r="L1303" s="18" t="n"/>
    </row>
    <row r="1304" ht="83.19999999999999" customHeight="1">
      <c r="A1304" s="14" t="n">
        <v>1300</v>
      </c>
      <c r="B1304" s="16" t="inlineStr">
        <is>
          <t>LP-M-06</t>
        </is>
      </c>
      <c r="C1304" s="15" t="inlineStr">
        <is>
          <t>Line yang diingat perangkat dipakai tanpa diminta memilih lagi</t>
        </is>
      </c>
      <c r="D1304" s="17" t="inlineStr">
        <is>
          <t>Grading</t>
        </is>
      </c>
      <c r="E1304" s="15" t="inlineStr">
        <is>
          <t>OPR-A</t>
        </is>
      </c>
      <c r="F1304" s="15" t="inlineStr">
        <is>
          <t>- Langkah 3: Line 1 sudah terpilih — tidak diminta memilih lagi.
- Langkah 4: masih Line 1 — pilihannya diingat perangkat.
- Angkanya langsung muncul sesudah periode dipilih, tanpa langkah memilih line lagi.</t>
        </is>
      </c>
      <c r="G1304" s="14" t="inlineStr">
        <is>
          <t>Sedang</t>
        </is>
      </c>
      <c r="H1304" s="18" t="n"/>
      <c r="I1304" s="18" t="n"/>
      <c r="J1304" s="18" t="n"/>
      <c r="K1304" s="18" t="n"/>
      <c r="L1304" s="18" t="n"/>
    </row>
    <row r="1305" ht="83.19999999999999" customHeight="1">
      <c r="A1305" s="10" t="n">
        <v>1301</v>
      </c>
      <c r="B1305" s="11" t="inlineStr">
        <is>
          <t>LP-M-06</t>
        </is>
      </c>
      <c r="C1305" s="5" t="inlineStr">
        <is>
          <t>Line yang diingat perangkat dipakai tanpa diminta memilih lagi</t>
        </is>
      </c>
      <c r="D1305" s="12" t="inlineStr">
        <is>
          <t>Cages Track</t>
        </is>
      </c>
      <c r="E1305" s="5" t="inlineStr">
        <is>
          <t>OPR-A</t>
        </is>
      </c>
      <c r="F1305" s="5" t="inlineStr">
        <is>
          <t>- Langkah 3: Line 1 sudah terpilih — tidak diminta memilih lagi.
- Langkah 4: masih Line 1 — pilihannya diingat perangkat.
- Angkanya langsung muncul sesudah periode dipilih, tanpa langkah memilih line lagi.</t>
        </is>
      </c>
      <c r="G1305" s="10" t="inlineStr">
        <is>
          <t>Sedang</t>
        </is>
      </c>
      <c r="H1305" s="18" t="n"/>
      <c r="I1305" s="18" t="n"/>
      <c r="J1305" s="18" t="n"/>
      <c r="K1305" s="18" t="n"/>
      <c r="L1305" s="18" t="n"/>
    </row>
    <row r="1306" ht="83.19999999999999" customHeight="1">
      <c r="A1306" s="14" t="n">
        <v>1302</v>
      </c>
      <c r="B1306" s="16" t="inlineStr">
        <is>
          <t>LP-M-06</t>
        </is>
      </c>
      <c r="C1306" s="15" t="inlineStr">
        <is>
          <t>Line yang diingat perangkat dipakai tanpa diminta memilih lagi</t>
        </is>
      </c>
      <c r="D1306" s="17" t="inlineStr">
        <is>
          <t>Sterilizer</t>
        </is>
      </c>
      <c r="E1306" s="15" t="inlineStr">
        <is>
          <t>OPR-A</t>
        </is>
      </c>
      <c r="F1306" s="15" t="inlineStr">
        <is>
          <t>- Langkah 3: Line 1 sudah terpilih — tidak diminta memilih lagi.
- Langkah 4: masih Line 1 — pilihannya diingat perangkat.
- Angkanya langsung muncul sesudah periode dipilih, tanpa langkah memilih line lagi.</t>
        </is>
      </c>
      <c r="G1306" s="14" t="inlineStr">
        <is>
          <t>Sedang</t>
        </is>
      </c>
      <c r="H1306" s="18" t="n"/>
      <c r="I1306" s="18" t="n"/>
      <c r="J1306" s="18" t="n"/>
      <c r="K1306" s="18" t="n"/>
      <c r="L1306" s="18" t="n"/>
    </row>
    <row r="1307" ht="83.19999999999999" customHeight="1">
      <c r="A1307" s="10" t="n">
        <v>1303</v>
      </c>
      <c r="B1307" s="11" t="inlineStr">
        <is>
          <t>LP-M-06</t>
        </is>
      </c>
      <c r="C1307" s="5" t="inlineStr">
        <is>
          <t>Line yang diingat perangkat dipakai tanpa diminta memilih lagi</t>
        </is>
      </c>
      <c r="D1307" s="12" t="inlineStr">
        <is>
          <t>Threshing</t>
        </is>
      </c>
      <c r="E1307" s="5" t="inlineStr">
        <is>
          <t>OPR-A</t>
        </is>
      </c>
      <c r="F1307" s="5" t="inlineStr">
        <is>
          <t>- Langkah 3: Line 1 sudah terpilih — tidak diminta memilih lagi.
- Langkah 4: masih Line 1 — pilihannya diingat perangkat.
- Angkanya langsung muncul sesudah periode dipilih, tanpa langkah memilih line lagi.</t>
        </is>
      </c>
      <c r="G1307" s="10" t="inlineStr">
        <is>
          <t>Sedang</t>
        </is>
      </c>
      <c r="H1307" s="18" t="n"/>
      <c r="I1307" s="18" t="n"/>
      <c r="J1307" s="18" t="n"/>
      <c r="K1307" s="18" t="n"/>
      <c r="L1307" s="18" t="n"/>
    </row>
    <row r="1308" ht="83.19999999999999" customHeight="1">
      <c r="A1308" s="14" t="n">
        <v>1304</v>
      </c>
      <c r="B1308" s="16" t="inlineStr">
        <is>
          <t>LP-M-06</t>
        </is>
      </c>
      <c r="C1308" s="15" t="inlineStr">
        <is>
          <t>Line yang diingat perangkat dipakai tanpa diminta memilih lagi</t>
        </is>
      </c>
      <c r="D1308" s="17" t="inlineStr">
        <is>
          <t>Pressing</t>
        </is>
      </c>
      <c r="E1308" s="15" t="inlineStr">
        <is>
          <t>OPR-A</t>
        </is>
      </c>
      <c r="F1308" s="15" t="inlineStr">
        <is>
          <t>- Langkah 3: Line 1 sudah terpilih — tidak diminta memilih lagi.
- Langkah 4: masih Line 1 — pilihannya diingat perangkat.
- Angkanya langsung muncul sesudah periode dipilih, tanpa langkah memilih line lagi.</t>
        </is>
      </c>
      <c r="G1308" s="14" t="inlineStr">
        <is>
          <t>Sedang</t>
        </is>
      </c>
      <c r="H1308" s="18" t="n"/>
      <c r="I1308" s="18" t="n"/>
      <c r="J1308" s="18" t="n"/>
      <c r="K1308" s="18" t="n"/>
      <c r="L1308" s="18" t="n"/>
    </row>
    <row r="1309" ht="83.19999999999999" customHeight="1">
      <c r="A1309" s="10" t="n">
        <v>1305</v>
      </c>
      <c r="B1309" s="11" t="inlineStr">
        <is>
          <t>LP-M-06</t>
        </is>
      </c>
      <c r="C1309" s="5" t="inlineStr">
        <is>
          <t>Line yang diingat perangkat dipakai tanpa diminta memilih lagi</t>
        </is>
      </c>
      <c r="D1309" s="12" t="inlineStr">
        <is>
          <t>Clarification</t>
        </is>
      </c>
      <c r="E1309" s="5" t="inlineStr">
        <is>
          <t>OPR-A</t>
        </is>
      </c>
      <c r="F1309" s="5" t="inlineStr">
        <is>
          <t>- Langkah 3: Line 1 sudah terpilih — tidak diminta memilih lagi.
- Langkah 4: masih Line 1 — pilihannya diingat perangkat.
- Angkanya langsung muncul sesudah periode dipilih, tanpa langkah memilih line lagi.</t>
        </is>
      </c>
      <c r="G1309" s="10" t="inlineStr">
        <is>
          <t>Sedang</t>
        </is>
      </c>
      <c r="H1309" s="18" t="n"/>
      <c r="I1309" s="18" t="n"/>
      <c r="J1309" s="18" t="n"/>
      <c r="K1309" s="18" t="n"/>
      <c r="L1309" s="18" t="n"/>
    </row>
    <row r="1310" ht="83.19999999999999" customHeight="1">
      <c r="A1310" s="14" t="n">
        <v>1306</v>
      </c>
      <c r="B1310" s="16" t="inlineStr">
        <is>
          <t>LP-M-06</t>
        </is>
      </c>
      <c r="C1310" s="15" t="inlineStr">
        <is>
          <t>Line yang diingat perangkat dipakai tanpa diminta memilih lagi</t>
        </is>
      </c>
      <c r="D1310" s="17" t="inlineStr">
        <is>
          <t>Kernel Plant</t>
        </is>
      </c>
      <c r="E1310" s="15" t="inlineStr">
        <is>
          <t>OPR-A</t>
        </is>
      </c>
      <c r="F1310" s="15" t="inlineStr">
        <is>
          <t>- Langkah 3: Line 1 sudah terpilih — tidak diminta memilih lagi.
- Langkah 4: masih Line 1 — pilihannya diingat perangkat.
- Angkanya langsung muncul sesudah periode dipilih, tanpa langkah memilih line lagi.</t>
        </is>
      </c>
      <c r="G1310" s="14" t="inlineStr">
        <is>
          <t>Sedang</t>
        </is>
      </c>
      <c r="H1310" s="18" t="n"/>
      <c r="I1310" s="18" t="n"/>
      <c r="J1310" s="18" t="n"/>
      <c r="K1310" s="18" t="n"/>
      <c r="L1310" s="18" t="n"/>
    </row>
    <row r="1311" ht="83.19999999999999" customHeight="1">
      <c r="A1311" s="10" t="n">
        <v>1307</v>
      </c>
      <c r="B1311" s="11" t="inlineStr">
        <is>
          <t>LP-M-06</t>
        </is>
      </c>
      <c r="C1311" s="5" t="inlineStr">
        <is>
          <t>Line yang diingat perangkat dipakai tanpa diminta memilih lagi</t>
        </is>
      </c>
      <c r="D1311" s="12" t="inlineStr">
        <is>
          <t>Boiler Room</t>
        </is>
      </c>
      <c r="E1311" s="5" t="inlineStr">
        <is>
          <t>OPR-A</t>
        </is>
      </c>
      <c r="F1311" s="5" t="inlineStr">
        <is>
          <t>- Langkah 3: Line 1 sudah terpilih — tidak diminta memilih lagi.
- Langkah 4: masih Line 1 — pilihannya diingat perangkat.
- Angkanya langsung muncul sesudah periode dipilih, tanpa langkah memilih line lagi.</t>
        </is>
      </c>
      <c r="G1311" s="10" t="inlineStr">
        <is>
          <t>Sedang</t>
        </is>
      </c>
      <c r="H1311" s="18" t="n"/>
      <c r="I1311" s="18" t="n"/>
      <c r="J1311" s="18" t="n"/>
      <c r="K1311" s="18" t="n"/>
      <c r="L1311" s="18" t="n"/>
    </row>
    <row r="1312" ht="83.19999999999999" customHeight="1">
      <c r="A1312" s="14" t="n">
        <v>1308</v>
      </c>
      <c r="B1312" s="16" t="inlineStr">
        <is>
          <t>LP-M-06</t>
        </is>
      </c>
      <c r="C1312" s="15" t="inlineStr">
        <is>
          <t>Line yang diingat perangkat dipakai tanpa diminta memilih lagi</t>
        </is>
      </c>
      <c r="D1312" s="17" t="inlineStr">
        <is>
          <t>Depricarping</t>
        </is>
      </c>
      <c r="E1312" s="15" t="inlineStr">
        <is>
          <t>OPR-A</t>
        </is>
      </c>
      <c r="F1312" s="15" t="inlineStr">
        <is>
          <t>- Langkah 3: Line 1 sudah terpilih — tidak diminta memilih lagi.
- Langkah 4: masih Line 1 — pilihannya diingat perangkat.
- Angkanya langsung muncul sesudah periode dipilih, tanpa langkah memilih line lagi.</t>
        </is>
      </c>
      <c r="G1312" s="14" t="inlineStr">
        <is>
          <t>Sedang</t>
        </is>
      </c>
      <c r="H1312" s="18" t="n"/>
      <c r="I1312" s="18" t="n"/>
      <c r="J1312" s="18" t="n"/>
      <c r="K1312" s="18" t="n"/>
      <c r="L1312" s="18" t="n"/>
    </row>
    <row r="1313" ht="83.19999999999999" customHeight="1">
      <c r="A1313" s="10" t="n">
        <v>1309</v>
      </c>
      <c r="B1313" s="11" t="inlineStr">
        <is>
          <t>LP-M-06</t>
        </is>
      </c>
      <c r="C1313" s="5" t="inlineStr">
        <is>
          <t>Line yang diingat perangkat dipakai tanpa diminta memilih lagi</t>
        </is>
      </c>
      <c r="D1313" s="12" t="inlineStr">
        <is>
          <t>Storage Tank</t>
        </is>
      </c>
      <c r="E1313" s="5" t="inlineStr">
        <is>
          <t>OPR-A</t>
        </is>
      </c>
      <c r="F1313" s="5" t="inlineStr">
        <is>
          <t>- Langkah 3: Line 1 sudah terpilih — tidak diminta memilih lagi.
- Langkah 4: masih Line 1 — pilihannya diingat perangkat.
- Angkanya langsung muncul sesudah periode dipilih, tanpa langkah memilih line lagi.</t>
        </is>
      </c>
      <c r="G1313" s="10" t="inlineStr">
        <is>
          <t>Sedang</t>
        </is>
      </c>
      <c r="H1313" s="18" t="n"/>
      <c r="I1313" s="18" t="n"/>
      <c r="J1313" s="18" t="n"/>
      <c r="K1313" s="18" t="n"/>
      <c r="L1313" s="18" t="n"/>
    </row>
    <row r="1314" ht="83.19999999999999" customHeight="1">
      <c r="A1314" s="14" t="n">
        <v>1310</v>
      </c>
      <c r="B1314" s="16" t="inlineStr">
        <is>
          <t>LP-M-07</t>
        </is>
      </c>
      <c r="C1314" s="15" t="inlineStr">
        <is>
          <t>Line yang diingat sudah tidak ada: pemilih muncul lagi, tanpa menebak</t>
        </is>
      </c>
      <c r="D1314" s="17" t="inlineStr">
        <is>
          <t>Weighbridge</t>
        </is>
      </c>
      <c r="E1314" s="15" t="inlineStr">
        <is>
          <t>OPR-A + ADM</t>
        </is>
      </c>
      <c r="F1314" s="15" t="inlineStr">
        <is>
          <t>- Pemilih Production Line muncul kembali dan dalam keadaan belum terpilih.
- Sistem tidak menebak line lain untuk menggantinya.
- Tidak ada angka yang tampil sampai penguji memilih line yang masih ada.
- Tidak ada pesan galat teknis tentang line yang hilang.</t>
        </is>
      </c>
      <c r="G1314" s="14" t="inlineStr">
        <is>
          <t>Sedang</t>
        </is>
      </c>
      <c r="H1314" s="18" t="n"/>
      <c r="I1314" s="18" t="n"/>
      <c r="J1314" s="18" t="n"/>
      <c r="K1314" s="18" t="n"/>
      <c r="L1314" s="18" t="n"/>
    </row>
    <row r="1315" ht="83.19999999999999" customHeight="1">
      <c r="A1315" s="10" t="n">
        <v>1311</v>
      </c>
      <c r="B1315" s="11" t="inlineStr">
        <is>
          <t>LP-M-07</t>
        </is>
      </c>
      <c r="C1315" s="5" t="inlineStr">
        <is>
          <t>Line yang diingat sudah tidak ada: pemilih muncul lagi, tanpa menebak</t>
        </is>
      </c>
      <c r="D1315" s="12" t="inlineStr">
        <is>
          <t>Grading</t>
        </is>
      </c>
      <c r="E1315" s="5" t="inlineStr">
        <is>
          <t>OPR-A + ADM</t>
        </is>
      </c>
      <c r="F131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G1315" s="10" t="inlineStr">
        <is>
          <t>Sedang</t>
        </is>
      </c>
      <c r="H1315" s="18" t="n"/>
      <c r="I1315" s="18" t="n"/>
      <c r="J1315" s="18" t="n"/>
      <c r="K1315" s="18" t="n"/>
      <c r="L1315" s="18" t="n"/>
    </row>
    <row r="1316" ht="83.19999999999999" customHeight="1">
      <c r="A1316" s="14" t="n">
        <v>1312</v>
      </c>
      <c r="B1316" s="16" t="inlineStr">
        <is>
          <t>LP-M-07</t>
        </is>
      </c>
      <c r="C1316" s="15" t="inlineStr">
        <is>
          <t>Line yang diingat sudah tidak ada: pemilih muncul lagi, tanpa menebak</t>
        </is>
      </c>
      <c r="D1316" s="17" t="inlineStr">
        <is>
          <t>Cages Track</t>
        </is>
      </c>
      <c r="E1316" s="15" t="inlineStr">
        <is>
          <t>OPR-A + ADM</t>
        </is>
      </c>
      <c r="F1316" s="15" t="inlineStr">
        <is>
          <t>- Pemilih Production Line muncul kembali dan dalam keadaan belum terpilih.
- Sistem tidak menebak line lain untuk menggantinya.
- Tidak ada angka yang tampil sampai penguji memilih line yang masih ada.
- Tidak ada pesan galat teknis tentang line yang hilang.</t>
        </is>
      </c>
      <c r="G1316" s="14" t="inlineStr">
        <is>
          <t>Sedang</t>
        </is>
      </c>
      <c r="H1316" s="18" t="n"/>
      <c r="I1316" s="18" t="n"/>
      <c r="J1316" s="18" t="n"/>
      <c r="K1316" s="18" t="n"/>
      <c r="L1316" s="18" t="n"/>
    </row>
    <row r="1317" ht="83.19999999999999" customHeight="1">
      <c r="A1317" s="10" t="n">
        <v>1313</v>
      </c>
      <c r="B1317" s="11" t="inlineStr">
        <is>
          <t>LP-M-07</t>
        </is>
      </c>
      <c r="C1317" s="5" t="inlineStr">
        <is>
          <t>Line yang diingat sudah tidak ada: pemilih muncul lagi, tanpa menebak</t>
        </is>
      </c>
      <c r="D1317" s="12" t="inlineStr">
        <is>
          <t>Sterilizer</t>
        </is>
      </c>
      <c r="E1317" s="5" t="inlineStr">
        <is>
          <t>OPR-A + ADM</t>
        </is>
      </c>
      <c r="F131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G1317" s="10" t="inlineStr">
        <is>
          <t>Sedang</t>
        </is>
      </c>
      <c r="H1317" s="18" t="n"/>
      <c r="I1317" s="18" t="n"/>
      <c r="J1317" s="18" t="n"/>
      <c r="K1317" s="18" t="n"/>
      <c r="L1317" s="18" t="n"/>
    </row>
    <row r="1318" ht="83.19999999999999" customHeight="1">
      <c r="A1318" s="14" t="n">
        <v>1314</v>
      </c>
      <c r="B1318" s="16" t="inlineStr">
        <is>
          <t>LP-M-07</t>
        </is>
      </c>
      <c r="C1318" s="15" t="inlineStr">
        <is>
          <t>Line yang diingat sudah tidak ada: pemilih muncul lagi, tanpa menebak</t>
        </is>
      </c>
      <c r="D1318" s="17" t="inlineStr">
        <is>
          <t>Threshing</t>
        </is>
      </c>
      <c r="E1318" s="15" t="inlineStr">
        <is>
          <t>OPR-A + ADM</t>
        </is>
      </c>
      <c r="F1318" s="15" t="inlineStr">
        <is>
          <t>- Pemilih Production Line muncul kembali dan dalam keadaan belum terpilih.
- Sistem tidak menebak line lain untuk menggantinya.
- Tidak ada angka yang tampil sampai penguji memilih line yang masih ada.
- Tidak ada pesan galat teknis tentang line yang hilang.</t>
        </is>
      </c>
      <c r="G1318" s="14" t="inlineStr">
        <is>
          <t>Sedang</t>
        </is>
      </c>
      <c r="H1318" s="18" t="n"/>
      <c r="I1318" s="18" t="n"/>
      <c r="J1318" s="18" t="n"/>
      <c r="K1318" s="18" t="n"/>
      <c r="L1318" s="18" t="n"/>
    </row>
    <row r="1319" ht="83.19999999999999" customHeight="1">
      <c r="A1319" s="10" t="n">
        <v>1315</v>
      </c>
      <c r="B1319" s="11" t="inlineStr">
        <is>
          <t>LP-M-07</t>
        </is>
      </c>
      <c r="C1319" s="5" t="inlineStr">
        <is>
          <t>Line yang diingat sudah tidak ada: pemilih muncul lagi, tanpa menebak</t>
        </is>
      </c>
      <c r="D1319" s="12" t="inlineStr">
        <is>
          <t>Pressing</t>
        </is>
      </c>
      <c r="E1319" s="5" t="inlineStr">
        <is>
          <t>OPR-A + ADM</t>
        </is>
      </c>
      <c r="F131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G1319" s="10" t="inlineStr">
        <is>
          <t>Sedang</t>
        </is>
      </c>
      <c r="H1319" s="18" t="n"/>
      <c r="I1319" s="18" t="n"/>
      <c r="J1319" s="18" t="n"/>
      <c r="K1319" s="18" t="n"/>
      <c r="L1319" s="18" t="n"/>
    </row>
    <row r="1320" ht="83.19999999999999" customHeight="1">
      <c r="A1320" s="14" t="n">
        <v>1316</v>
      </c>
      <c r="B1320" s="16" t="inlineStr">
        <is>
          <t>LP-M-07</t>
        </is>
      </c>
      <c r="C1320" s="15" t="inlineStr">
        <is>
          <t>Line yang diingat sudah tidak ada: pemilih muncul lagi, tanpa menebak</t>
        </is>
      </c>
      <c r="D1320" s="17" t="inlineStr">
        <is>
          <t>Clarification</t>
        </is>
      </c>
      <c r="E1320" s="15" t="inlineStr">
        <is>
          <t>OPR-A + ADM</t>
        </is>
      </c>
      <c r="F1320" s="15" t="inlineStr">
        <is>
          <t>- Pemilih Production Line muncul kembali dan dalam keadaan belum terpilih.
- Sistem tidak menebak line lain untuk menggantinya.
- Tidak ada angka yang tampil sampai penguji memilih line yang masih ada.
- Tidak ada pesan galat teknis tentang line yang hilang.</t>
        </is>
      </c>
      <c r="G1320" s="14" t="inlineStr">
        <is>
          <t>Sedang</t>
        </is>
      </c>
      <c r="H1320" s="18" t="n"/>
      <c r="I1320" s="18" t="n"/>
      <c r="J1320" s="18" t="n"/>
      <c r="K1320" s="18" t="n"/>
      <c r="L1320" s="18" t="n"/>
    </row>
    <row r="1321" ht="83.19999999999999" customHeight="1">
      <c r="A1321" s="10" t="n">
        <v>1317</v>
      </c>
      <c r="B1321" s="11" t="inlineStr">
        <is>
          <t>LP-M-07</t>
        </is>
      </c>
      <c r="C1321" s="5" t="inlineStr">
        <is>
          <t>Line yang diingat sudah tidak ada: pemilih muncul lagi, tanpa menebak</t>
        </is>
      </c>
      <c r="D1321" s="12" t="inlineStr">
        <is>
          <t>Kernel Plant</t>
        </is>
      </c>
      <c r="E1321" s="5" t="inlineStr">
        <is>
          <t>OPR-A + ADM</t>
        </is>
      </c>
      <c r="F1321" s="5" t="inlineStr">
        <is>
          <t>- Pemilih Production Line muncul kembali dan dalam keadaan belum terpilih.
- Sistem tidak menebak line lain untuk menggantinya.
- Tidak ada angka yang tampil sampai penguji memilih line yang masih ada.
- Tidak ada pesan galat teknis tentang line yang hilang.</t>
        </is>
      </c>
      <c r="G1321" s="10" t="inlineStr">
        <is>
          <t>Sedang</t>
        </is>
      </c>
      <c r="H1321" s="18" t="n"/>
      <c r="I1321" s="18" t="n"/>
      <c r="J1321" s="18" t="n"/>
      <c r="K1321" s="18" t="n"/>
      <c r="L1321" s="18" t="n"/>
    </row>
    <row r="1322" ht="83.19999999999999" customHeight="1">
      <c r="A1322" s="14" t="n">
        <v>1318</v>
      </c>
      <c r="B1322" s="16" t="inlineStr">
        <is>
          <t>LP-M-07</t>
        </is>
      </c>
      <c r="C1322" s="15" t="inlineStr">
        <is>
          <t>Line yang diingat sudah tidak ada: pemilih muncul lagi, tanpa menebak</t>
        </is>
      </c>
      <c r="D1322" s="17" t="inlineStr">
        <is>
          <t>Boiler Room</t>
        </is>
      </c>
      <c r="E1322" s="15" t="inlineStr">
        <is>
          <t>OPR-A + ADM</t>
        </is>
      </c>
      <c r="F1322" s="15" t="inlineStr">
        <is>
          <t>- Pemilih Production Line muncul kembali dan dalam keadaan belum terpilih.
- Sistem tidak menebak line lain untuk menggantinya.
- Tidak ada angka yang tampil sampai penguji memilih line yang masih ada.
- Tidak ada pesan galat teknis tentang line yang hilang.</t>
        </is>
      </c>
      <c r="G1322" s="14" t="inlineStr">
        <is>
          <t>Sedang</t>
        </is>
      </c>
      <c r="H1322" s="18" t="n"/>
      <c r="I1322" s="18" t="n"/>
      <c r="J1322" s="18" t="n"/>
      <c r="K1322" s="18" t="n"/>
      <c r="L1322" s="18" t="n"/>
    </row>
    <row r="1323" ht="83.19999999999999" customHeight="1">
      <c r="A1323" s="10" t="n">
        <v>1319</v>
      </c>
      <c r="B1323" s="11" t="inlineStr">
        <is>
          <t>LP-M-07</t>
        </is>
      </c>
      <c r="C1323" s="5" t="inlineStr">
        <is>
          <t>Line yang diingat sudah tidak ada: pemilih muncul lagi, tanpa menebak</t>
        </is>
      </c>
      <c r="D1323" s="12" t="inlineStr">
        <is>
          <t>Depricarping</t>
        </is>
      </c>
      <c r="E1323" s="5" t="inlineStr">
        <is>
          <t>OPR-A + ADM</t>
        </is>
      </c>
      <c r="F132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G1323" s="10" t="inlineStr">
        <is>
          <t>Sedang</t>
        </is>
      </c>
      <c r="H1323" s="18" t="n"/>
      <c r="I1323" s="18" t="n"/>
      <c r="J1323" s="18" t="n"/>
      <c r="K1323" s="18" t="n"/>
      <c r="L1323" s="18" t="n"/>
    </row>
    <row r="1324" ht="83.19999999999999" customHeight="1">
      <c r="A1324" s="14" t="n">
        <v>1320</v>
      </c>
      <c r="B1324" s="16" t="inlineStr">
        <is>
          <t>LP-M-07</t>
        </is>
      </c>
      <c r="C1324" s="15" t="inlineStr">
        <is>
          <t>Line yang diingat sudah tidak ada: pemilih muncul lagi, tanpa menebak</t>
        </is>
      </c>
      <c r="D1324" s="17" t="inlineStr">
        <is>
          <t>Storage Tank</t>
        </is>
      </c>
      <c r="E1324" s="15" t="inlineStr">
        <is>
          <t>OPR-A + ADM</t>
        </is>
      </c>
      <c r="F1324" s="15" t="inlineStr">
        <is>
          <t>- Pemilih Production Line muncul kembali dan dalam keadaan belum terpilih.
- Sistem tidak menebak line lain untuk menggantinya.
- Tidak ada angka yang tampil sampai penguji memilih line yang masih ada.
- Tidak ada pesan galat teknis tentang line yang hilang.</t>
        </is>
      </c>
      <c r="G1324" s="14" t="inlineStr">
        <is>
          <t>Sedang</t>
        </is>
      </c>
      <c r="H1324" s="18" t="n"/>
      <c r="I1324" s="18" t="n"/>
      <c r="J1324" s="18" t="n"/>
      <c r="K1324" s="18" t="n"/>
      <c r="L1324" s="18" t="n"/>
    </row>
    <row r="1325" ht="109.6" customHeight="1">
      <c r="A1325" s="10" t="n">
        <v>1321</v>
      </c>
      <c r="B1325" s="11" t="inlineStr">
        <is>
          <t>LP-M-08</t>
        </is>
      </c>
      <c r="C1325" s="5" t="inlineStr">
        <is>
          <t>Dua pesan yang harus berbeda: mill tanpa line vs daftar line gagal dimuat</t>
        </is>
      </c>
      <c r="D1325" s="12" t="inlineStr">
        <is>
          <t>Weighbridge</t>
        </is>
      </c>
      <c r="E1325" s="5" t="inlineStr">
        <is>
          <t>OPR-A</t>
        </is>
      </c>
      <c r="F132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G1325" s="10" t="inlineStr">
        <is>
          <t>Sedang</t>
        </is>
      </c>
      <c r="H1325" s="18" t="n"/>
      <c r="I1325" s="18" t="n"/>
      <c r="J1325" s="18" t="n"/>
      <c r="K1325" s="18" t="n"/>
      <c r="L1325" s="18" t="n"/>
    </row>
    <row r="1326" ht="109.6" customHeight="1">
      <c r="A1326" s="14" t="n">
        <v>1322</v>
      </c>
      <c r="B1326" s="16" t="inlineStr">
        <is>
          <t>LP-M-08</t>
        </is>
      </c>
      <c r="C1326" s="15" t="inlineStr">
        <is>
          <t>Dua pesan yang harus berbeda: mill tanpa line vs daftar line gagal dimuat</t>
        </is>
      </c>
      <c r="D1326" s="17" t="inlineStr">
        <is>
          <t>Grading</t>
        </is>
      </c>
      <c r="E1326" s="15" t="inlineStr">
        <is>
          <t>OPR-A</t>
        </is>
      </c>
      <c r="F1326" s="1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G1326" s="14" t="inlineStr">
        <is>
          <t>Sedang</t>
        </is>
      </c>
      <c r="H1326" s="18" t="n"/>
      <c r="I1326" s="18" t="n"/>
      <c r="J1326" s="18" t="n"/>
      <c r="K1326" s="18" t="n"/>
      <c r="L1326" s="18" t="n"/>
    </row>
    <row r="1327" ht="109.6" customHeight="1">
      <c r="A1327" s="10" t="n">
        <v>1323</v>
      </c>
      <c r="B1327" s="11" t="inlineStr">
        <is>
          <t>LP-M-08</t>
        </is>
      </c>
      <c r="C1327" s="5" t="inlineStr">
        <is>
          <t>Dua pesan yang harus berbeda: mill tanpa line vs daftar line gagal dimuat</t>
        </is>
      </c>
      <c r="D1327" s="12" t="inlineStr">
        <is>
          <t>Cages Track</t>
        </is>
      </c>
      <c r="E1327" s="5" t="inlineStr">
        <is>
          <t>OPR-A</t>
        </is>
      </c>
      <c r="F132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G1327" s="10" t="inlineStr">
        <is>
          <t>Sedang</t>
        </is>
      </c>
      <c r="H1327" s="18" t="n"/>
      <c r="I1327" s="18" t="n"/>
      <c r="J1327" s="18" t="n"/>
      <c r="K1327" s="18" t="n"/>
      <c r="L1327" s="18" t="n"/>
    </row>
    <row r="1328" ht="109.6" customHeight="1">
      <c r="A1328" s="14" t="n">
        <v>1324</v>
      </c>
      <c r="B1328" s="16" t="inlineStr">
        <is>
          <t>LP-M-08</t>
        </is>
      </c>
      <c r="C1328" s="15" t="inlineStr">
        <is>
          <t>Dua pesan yang harus berbeda: mill tanpa line vs daftar line gagal dimuat</t>
        </is>
      </c>
      <c r="D1328" s="17" t="inlineStr">
        <is>
          <t>Sterilizer</t>
        </is>
      </c>
      <c r="E1328" s="15" t="inlineStr">
        <is>
          <t>OPR-A</t>
        </is>
      </c>
      <c r="F1328" s="1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G1328" s="14" t="inlineStr">
        <is>
          <t>Sedang</t>
        </is>
      </c>
      <c r="H1328" s="18" t="n"/>
      <c r="I1328" s="18" t="n"/>
      <c r="J1328" s="18" t="n"/>
      <c r="K1328" s="18" t="n"/>
      <c r="L1328" s="18" t="n"/>
    </row>
    <row r="1329" ht="109.6" customHeight="1">
      <c r="A1329" s="10" t="n">
        <v>1325</v>
      </c>
      <c r="B1329" s="11" t="inlineStr">
        <is>
          <t>LP-M-08</t>
        </is>
      </c>
      <c r="C1329" s="5" t="inlineStr">
        <is>
          <t>Dua pesan yang harus berbeda: mill tanpa line vs daftar line gagal dimuat</t>
        </is>
      </c>
      <c r="D1329" s="12" t="inlineStr">
        <is>
          <t>Threshing</t>
        </is>
      </c>
      <c r="E1329" s="5" t="inlineStr">
        <is>
          <t>OPR-A</t>
        </is>
      </c>
      <c r="F132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G1329" s="10" t="inlineStr">
        <is>
          <t>Sedang</t>
        </is>
      </c>
      <c r="H1329" s="18" t="n"/>
      <c r="I1329" s="18" t="n"/>
      <c r="J1329" s="18" t="n"/>
      <c r="K1329" s="18" t="n"/>
      <c r="L1329" s="18" t="n"/>
    </row>
    <row r="1330" ht="109.6" customHeight="1">
      <c r="A1330" s="14" t="n">
        <v>1326</v>
      </c>
      <c r="B1330" s="16" t="inlineStr">
        <is>
          <t>LP-M-08</t>
        </is>
      </c>
      <c r="C1330" s="15" t="inlineStr">
        <is>
          <t>Dua pesan yang harus berbeda: mill tanpa line vs daftar line gagal dimuat</t>
        </is>
      </c>
      <c r="D1330" s="17" t="inlineStr">
        <is>
          <t>Pressing</t>
        </is>
      </c>
      <c r="E1330" s="15" t="inlineStr">
        <is>
          <t>OPR-A</t>
        </is>
      </c>
      <c r="F1330" s="1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G1330" s="14" t="inlineStr">
        <is>
          <t>Sedang</t>
        </is>
      </c>
      <c r="H1330" s="18" t="n"/>
      <c r="I1330" s="18" t="n"/>
      <c r="J1330" s="18" t="n"/>
      <c r="K1330" s="18" t="n"/>
      <c r="L1330" s="18" t="n"/>
    </row>
    <row r="1331" ht="109.6" customHeight="1">
      <c r="A1331" s="10" t="n">
        <v>1327</v>
      </c>
      <c r="B1331" s="11" t="inlineStr">
        <is>
          <t>LP-M-08</t>
        </is>
      </c>
      <c r="C1331" s="5" t="inlineStr">
        <is>
          <t>Dua pesan yang harus berbeda: mill tanpa line vs daftar line gagal dimuat</t>
        </is>
      </c>
      <c r="D1331" s="12" t="inlineStr">
        <is>
          <t>Clarification</t>
        </is>
      </c>
      <c r="E1331" s="5" t="inlineStr">
        <is>
          <t>OPR-A</t>
        </is>
      </c>
      <c r="F133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G1331" s="10" t="inlineStr">
        <is>
          <t>Sedang</t>
        </is>
      </c>
      <c r="H1331" s="18" t="n"/>
      <c r="I1331" s="18" t="n"/>
      <c r="J1331" s="18" t="n"/>
      <c r="K1331" s="18" t="n"/>
      <c r="L1331" s="18" t="n"/>
    </row>
    <row r="1332" ht="109.6" customHeight="1">
      <c r="A1332" s="14" t="n">
        <v>1328</v>
      </c>
      <c r="B1332" s="16" t="inlineStr">
        <is>
          <t>LP-M-08</t>
        </is>
      </c>
      <c r="C1332" s="15" t="inlineStr">
        <is>
          <t>Dua pesan yang harus berbeda: mill tanpa line vs daftar line gagal dimuat</t>
        </is>
      </c>
      <c r="D1332" s="17" t="inlineStr">
        <is>
          <t>Kernel Plant</t>
        </is>
      </c>
      <c r="E1332" s="15" t="inlineStr">
        <is>
          <t>OPR-A</t>
        </is>
      </c>
      <c r="F1332" s="1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G1332" s="14" t="inlineStr">
        <is>
          <t>Sedang</t>
        </is>
      </c>
      <c r="H1332" s="18" t="n"/>
      <c r="I1332" s="18" t="n"/>
      <c r="J1332" s="18" t="n"/>
      <c r="K1332" s="18" t="n"/>
      <c r="L1332" s="18" t="n"/>
    </row>
    <row r="1333" ht="109.6" customHeight="1">
      <c r="A1333" s="10" t="n">
        <v>1329</v>
      </c>
      <c r="B1333" s="11" t="inlineStr">
        <is>
          <t>LP-M-08</t>
        </is>
      </c>
      <c r="C1333" s="5" t="inlineStr">
        <is>
          <t>Dua pesan yang harus berbeda: mill tanpa line vs daftar line gagal dimuat</t>
        </is>
      </c>
      <c r="D1333" s="12" t="inlineStr">
        <is>
          <t>Boiler Room</t>
        </is>
      </c>
      <c r="E1333" s="5" t="inlineStr">
        <is>
          <t>OPR-A</t>
        </is>
      </c>
      <c r="F133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G1333" s="10" t="inlineStr">
        <is>
          <t>Sedang</t>
        </is>
      </c>
      <c r="H1333" s="18" t="n"/>
      <c r="I1333" s="18" t="n"/>
      <c r="J1333" s="18" t="n"/>
      <c r="K1333" s="18" t="n"/>
      <c r="L1333" s="18" t="n"/>
    </row>
    <row r="1334" ht="109.6" customHeight="1">
      <c r="A1334" s="14" t="n">
        <v>1330</v>
      </c>
      <c r="B1334" s="16" t="inlineStr">
        <is>
          <t>LP-M-08</t>
        </is>
      </c>
      <c r="C1334" s="15" t="inlineStr">
        <is>
          <t>Dua pesan yang harus berbeda: mill tanpa line vs daftar line gagal dimuat</t>
        </is>
      </c>
      <c r="D1334" s="17" t="inlineStr">
        <is>
          <t>Depricarping</t>
        </is>
      </c>
      <c r="E1334" s="15" t="inlineStr">
        <is>
          <t>OPR-A</t>
        </is>
      </c>
      <c r="F1334" s="1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G1334" s="14" t="inlineStr">
        <is>
          <t>Sedang</t>
        </is>
      </c>
      <c r="H1334" s="18" t="n"/>
      <c r="I1334" s="18" t="n"/>
      <c r="J1334" s="18" t="n"/>
      <c r="K1334" s="18" t="n"/>
      <c r="L1334" s="18" t="n"/>
    </row>
    <row r="1335" ht="109.6" customHeight="1">
      <c r="A1335" s="10" t="n">
        <v>1331</v>
      </c>
      <c r="B1335" s="11" t="inlineStr">
        <is>
          <t>LP-M-08</t>
        </is>
      </c>
      <c r="C1335" s="5" t="inlineStr">
        <is>
          <t>Dua pesan yang harus berbeda: mill tanpa line vs daftar line gagal dimuat</t>
        </is>
      </c>
      <c r="D1335" s="12" t="inlineStr">
        <is>
          <t>Storage Tank</t>
        </is>
      </c>
      <c r="E1335" s="5" t="inlineStr">
        <is>
          <t>OPR-A</t>
        </is>
      </c>
      <c r="F133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G1335" s="10" t="inlineStr">
        <is>
          <t>Sedang</t>
        </is>
      </c>
      <c r="H1335" s="18" t="n"/>
      <c r="I1335" s="18" t="n"/>
      <c r="J1335" s="18" t="n"/>
      <c r="K1335" s="18" t="n"/>
      <c r="L1335" s="18" t="n"/>
    </row>
    <row r="1336" ht="109.6" customHeight="1">
      <c r="A1336" s="14" t="n">
        <v>1332</v>
      </c>
      <c r="B1336" s="16" t="inlineStr">
        <is>
          <t>LP-M-09</t>
        </is>
      </c>
      <c r="C1336" s="15" t="inlineStr">
        <is>
          <t>Ganti periode cepat: hanya hasil terakhir yang tampil</t>
        </is>
      </c>
      <c r="D1336" s="17" t="inlineStr">
        <is>
          <t>Weighbridge</t>
        </is>
      </c>
      <c r="E1336" s="15" t="inlineStr">
        <is>
          <t>OPR-A</t>
        </is>
      </c>
      <c r="F1336" s="1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G1336" s="14" t="inlineStr">
        <is>
          <t>Sedang</t>
        </is>
      </c>
      <c r="H1336" s="18" t="n"/>
      <c r="I1336" s="18" t="n"/>
      <c r="J1336" s="18" t="n"/>
      <c r="K1336" s="18" t="n"/>
      <c r="L1336" s="18" t="n"/>
    </row>
    <row r="1337" ht="109.6" customHeight="1">
      <c r="A1337" s="10" t="n">
        <v>1333</v>
      </c>
      <c r="B1337" s="11" t="inlineStr">
        <is>
          <t>LP-M-09</t>
        </is>
      </c>
      <c r="C1337" s="5" t="inlineStr">
        <is>
          <t>Ganti periode cepat: hanya hasil terakhir yang tampil</t>
        </is>
      </c>
      <c r="D1337" s="12" t="inlineStr">
        <is>
          <t>Grading</t>
        </is>
      </c>
      <c r="E1337" s="5" t="inlineStr">
        <is>
          <t>OPR-A</t>
        </is>
      </c>
      <c r="F133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G1337" s="10" t="inlineStr">
        <is>
          <t>Sedang</t>
        </is>
      </c>
      <c r="H1337" s="18" t="n"/>
      <c r="I1337" s="18" t="n"/>
      <c r="J1337" s="18" t="n"/>
      <c r="K1337" s="18" t="n"/>
      <c r="L1337" s="18" t="n"/>
    </row>
    <row r="1338" ht="109.6" customHeight="1">
      <c r="A1338" s="14" t="n">
        <v>1334</v>
      </c>
      <c r="B1338" s="16" t="inlineStr">
        <is>
          <t>LP-M-09</t>
        </is>
      </c>
      <c r="C1338" s="15" t="inlineStr">
        <is>
          <t>Ganti periode cepat: hanya hasil terakhir yang tampil</t>
        </is>
      </c>
      <c r="D1338" s="17" t="inlineStr">
        <is>
          <t>Cages Track</t>
        </is>
      </c>
      <c r="E1338" s="15" t="inlineStr">
        <is>
          <t>OPR-A</t>
        </is>
      </c>
      <c r="F1338" s="1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G1338" s="14" t="inlineStr">
        <is>
          <t>Sedang</t>
        </is>
      </c>
      <c r="H1338" s="18" t="n"/>
      <c r="I1338" s="18" t="n"/>
      <c r="J1338" s="18" t="n"/>
      <c r="K1338" s="18" t="n"/>
      <c r="L1338" s="18" t="n"/>
    </row>
    <row r="1339" ht="109.6" customHeight="1">
      <c r="A1339" s="10" t="n">
        <v>1335</v>
      </c>
      <c r="B1339" s="11" t="inlineStr">
        <is>
          <t>LP-M-09</t>
        </is>
      </c>
      <c r="C1339" s="5" t="inlineStr">
        <is>
          <t>Ganti periode cepat: hanya hasil terakhir yang tampil</t>
        </is>
      </c>
      <c r="D1339" s="12" t="inlineStr">
        <is>
          <t>Sterilizer</t>
        </is>
      </c>
      <c r="E1339" s="5" t="inlineStr">
        <is>
          <t>OPR-A</t>
        </is>
      </c>
      <c r="F133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G1339" s="10" t="inlineStr">
        <is>
          <t>Sedang</t>
        </is>
      </c>
      <c r="H1339" s="18" t="n"/>
      <c r="I1339" s="18" t="n"/>
      <c r="J1339" s="18" t="n"/>
      <c r="K1339" s="18" t="n"/>
      <c r="L1339" s="18" t="n"/>
    </row>
    <row r="1340" ht="109.6" customHeight="1">
      <c r="A1340" s="14" t="n">
        <v>1336</v>
      </c>
      <c r="B1340" s="16" t="inlineStr">
        <is>
          <t>LP-M-09</t>
        </is>
      </c>
      <c r="C1340" s="15" t="inlineStr">
        <is>
          <t>Ganti periode cepat: hanya hasil terakhir yang tampil</t>
        </is>
      </c>
      <c r="D1340" s="17" t="inlineStr">
        <is>
          <t>Threshing</t>
        </is>
      </c>
      <c r="E1340" s="15" t="inlineStr">
        <is>
          <t>OPR-A</t>
        </is>
      </c>
      <c r="F1340" s="1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G1340" s="14" t="inlineStr">
        <is>
          <t>Sedang</t>
        </is>
      </c>
      <c r="H1340" s="18" t="n"/>
      <c r="I1340" s="18" t="n"/>
      <c r="J1340" s="18" t="n"/>
      <c r="K1340" s="18" t="n"/>
      <c r="L1340" s="18" t="n"/>
    </row>
    <row r="1341" ht="109.6" customHeight="1">
      <c r="A1341" s="10" t="n">
        <v>1337</v>
      </c>
      <c r="B1341" s="11" t="inlineStr">
        <is>
          <t>LP-M-09</t>
        </is>
      </c>
      <c r="C1341" s="5" t="inlineStr">
        <is>
          <t>Ganti periode cepat: hanya hasil terakhir yang tampil</t>
        </is>
      </c>
      <c r="D1341" s="12" t="inlineStr">
        <is>
          <t>Pressing</t>
        </is>
      </c>
      <c r="E1341" s="5" t="inlineStr">
        <is>
          <t>OPR-A</t>
        </is>
      </c>
      <c r="F134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G1341" s="10" t="inlineStr">
        <is>
          <t>Sedang</t>
        </is>
      </c>
      <c r="H1341" s="18" t="n"/>
      <c r="I1341" s="18" t="n"/>
      <c r="J1341" s="18" t="n"/>
      <c r="K1341" s="18" t="n"/>
      <c r="L1341" s="18" t="n"/>
    </row>
    <row r="1342" ht="109.6" customHeight="1">
      <c r="A1342" s="14" t="n">
        <v>1338</v>
      </c>
      <c r="B1342" s="16" t="inlineStr">
        <is>
          <t>LP-M-09</t>
        </is>
      </c>
      <c r="C1342" s="15" t="inlineStr">
        <is>
          <t>Ganti periode cepat: hanya hasil terakhir yang tampil</t>
        </is>
      </c>
      <c r="D1342" s="17" t="inlineStr">
        <is>
          <t>Clarification</t>
        </is>
      </c>
      <c r="E1342" s="15" t="inlineStr">
        <is>
          <t>OPR-A</t>
        </is>
      </c>
      <c r="F1342" s="1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G1342" s="14" t="inlineStr">
        <is>
          <t>Sedang</t>
        </is>
      </c>
      <c r="H1342" s="18" t="n"/>
      <c r="I1342" s="18" t="n"/>
      <c r="J1342" s="18" t="n"/>
      <c r="K1342" s="18" t="n"/>
      <c r="L1342" s="18" t="n"/>
    </row>
    <row r="1343" ht="109.6" customHeight="1">
      <c r="A1343" s="10" t="n">
        <v>1339</v>
      </c>
      <c r="B1343" s="11" t="inlineStr">
        <is>
          <t>LP-M-09</t>
        </is>
      </c>
      <c r="C1343" s="5" t="inlineStr">
        <is>
          <t>Ganti periode cepat: hanya hasil terakhir yang tampil</t>
        </is>
      </c>
      <c r="D1343" s="12" t="inlineStr">
        <is>
          <t>Kernel Plant</t>
        </is>
      </c>
      <c r="E1343" s="5" t="inlineStr">
        <is>
          <t>OPR-A</t>
        </is>
      </c>
      <c r="F1343"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G1343" s="10" t="inlineStr">
        <is>
          <t>Sedang</t>
        </is>
      </c>
      <c r="H1343" s="18" t="n"/>
      <c r="I1343" s="18" t="n"/>
      <c r="J1343" s="18" t="n"/>
      <c r="K1343" s="18" t="n"/>
      <c r="L1343" s="18" t="n"/>
    </row>
    <row r="1344" ht="109.6" customHeight="1">
      <c r="A1344" s="14" t="n">
        <v>1340</v>
      </c>
      <c r="B1344" s="16" t="inlineStr">
        <is>
          <t>LP-M-09</t>
        </is>
      </c>
      <c r="C1344" s="15" t="inlineStr">
        <is>
          <t>Ganti periode cepat: hanya hasil terakhir yang tampil</t>
        </is>
      </c>
      <c r="D1344" s="17" t="inlineStr">
        <is>
          <t>Boiler Room</t>
        </is>
      </c>
      <c r="E1344" s="15" t="inlineStr">
        <is>
          <t>OPR-A</t>
        </is>
      </c>
      <c r="F1344" s="1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G1344" s="14" t="inlineStr">
        <is>
          <t>Sedang</t>
        </is>
      </c>
      <c r="H1344" s="18" t="n"/>
      <c r="I1344" s="18" t="n"/>
      <c r="J1344" s="18" t="n"/>
      <c r="K1344" s="18" t="n"/>
      <c r="L1344" s="18" t="n"/>
    </row>
    <row r="1345" ht="109.6" customHeight="1">
      <c r="A1345" s="10" t="n">
        <v>1341</v>
      </c>
      <c r="B1345" s="11" t="inlineStr">
        <is>
          <t>LP-M-09</t>
        </is>
      </c>
      <c r="C1345" s="5" t="inlineStr">
        <is>
          <t>Ganti periode cepat: hanya hasil terakhir yang tampil</t>
        </is>
      </c>
      <c r="D1345" s="12" t="inlineStr">
        <is>
          <t>Depricarping</t>
        </is>
      </c>
      <c r="E1345" s="5" t="inlineStr">
        <is>
          <t>OPR-A</t>
        </is>
      </c>
      <c r="F134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G1345" s="10" t="inlineStr">
        <is>
          <t>Sedang</t>
        </is>
      </c>
      <c r="H1345" s="18" t="n"/>
      <c r="I1345" s="18" t="n"/>
      <c r="J1345" s="18" t="n"/>
      <c r="K1345" s="18" t="n"/>
      <c r="L1345" s="18" t="n"/>
    </row>
    <row r="1346" ht="109.6" customHeight="1">
      <c r="A1346" s="14" t="n">
        <v>1342</v>
      </c>
      <c r="B1346" s="16" t="inlineStr">
        <is>
          <t>LP-M-09</t>
        </is>
      </c>
      <c r="C1346" s="15" t="inlineStr">
        <is>
          <t>Ganti periode cepat: hanya hasil terakhir yang tampil</t>
        </is>
      </c>
      <c r="D1346" s="17" t="inlineStr">
        <is>
          <t>Storage Tank</t>
        </is>
      </c>
      <c r="E1346" s="15" t="inlineStr">
        <is>
          <t>OPR-A</t>
        </is>
      </c>
      <c r="F1346" s="1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G1346" s="14" t="inlineStr">
        <is>
          <t>Sedang</t>
        </is>
      </c>
      <c r="H1346" s="18" t="n"/>
      <c r="I1346" s="18" t="n"/>
      <c r="J1346" s="18" t="n"/>
      <c r="K1346" s="18" t="n"/>
      <c r="L1346" s="18" t="n"/>
    </row>
    <row r="1347" ht="70" customHeight="1">
      <c r="A1347" s="10" t="n">
        <v>1343</v>
      </c>
      <c r="B1347" s="11" t="inlineStr">
        <is>
          <t>LP-M-10</t>
        </is>
      </c>
      <c r="C1347" s="5" t="inlineStr">
        <is>
          <t>Gagal jaringan tidak menghapus pilihan</t>
        </is>
      </c>
      <c r="D1347" s="12" t="inlineStr">
        <is>
          <t>Weighbridge</t>
        </is>
      </c>
      <c r="E1347" s="5" t="inlineStr">
        <is>
          <t>OPR-A</t>
        </is>
      </c>
      <c r="F1347" s="5" t="inlineStr">
        <is>
          <t>- Muncul pesan jaringan beserta tombol Coba Lagi.
- Pilihan periode dan line tidak hilang — keduanya masih seperti catatan langkah 1.
- Sesudah koneksi kembali, Coba Lagi memuat laporan untuk pilihan yang sama tanpa diminta memilih ulang.</t>
        </is>
      </c>
      <c r="G1347" s="10" t="inlineStr">
        <is>
          <t>Sedang</t>
        </is>
      </c>
      <c r="H1347" s="18" t="n"/>
      <c r="I1347" s="18" t="n"/>
      <c r="J1347" s="18" t="n"/>
      <c r="K1347" s="18" t="n"/>
      <c r="L1347" s="18" t="n"/>
    </row>
    <row r="1348" ht="70" customHeight="1">
      <c r="A1348" s="14" t="n">
        <v>1344</v>
      </c>
      <c r="B1348" s="16" t="inlineStr">
        <is>
          <t>LP-M-10</t>
        </is>
      </c>
      <c r="C1348" s="15" t="inlineStr">
        <is>
          <t>Gagal jaringan tidak menghapus pilihan</t>
        </is>
      </c>
      <c r="D1348" s="17" t="inlineStr">
        <is>
          <t>Grading</t>
        </is>
      </c>
      <c r="E1348" s="15" t="inlineStr">
        <is>
          <t>OPR-A</t>
        </is>
      </c>
      <c r="F1348" s="15" t="inlineStr">
        <is>
          <t>- Muncul pesan jaringan beserta tombol Coba Lagi.
- Pilihan periode dan line tidak hilang — keduanya masih seperti catatan langkah 1.
- Sesudah koneksi kembali, Coba Lagi memuat laporan untuk pilihan yang sama tanpa diminta memilih ulang.</t>
        </is>
      </c>
      <c r="G1348" s="14" t="inlineStr">
        <is>
          <t>Sedang</t>
        </is>
      </c>
      <c r="H1348" s="18" t="n"/>
      <c r="I1348" s="18" t="n"/>
      <c r="J1348" s="18" t="n"/>
      <c r="K1348" s="18" t="n"/>
      <c r="L1348" s="18" t="n"/>
    </row>
    <row r="1349" ht="70" customHeight="1">
      <c r="A1349" s="10" t="n">
        <v>1345</v>
      </c>
      <c r="B1349" s="11" t="inlineStr">
        <is>
          <t>LP-M-10</t>
        </is>
      </c>
      <c r="C1349" s="5" t="inlineStr">
        <is>
          <t>Gagal jaringan tidak menghapus pilihan</t>
        </is>
      </c>
      <c r="D1349" s="12" t="inlineStr">
        <is>
          <t>Cages Track</t>
        </is>
      </c>
      <c r="E1349" s="5" t="inlineStr">
        <is>
          <t>OPR-A</t>
        </is>
      </c>
      <c r="F1349" s="5" t="inlineStr">
        <is>
          <t>- Muncul pesan jaringan beserta tombol Coba Lagi.
- Pilihan periode dan line tidak hilang — keduanya masih seperti catatan langkah 1.
- Sesudah koneksi kembali, Coba Lagi memuat laporan untuk pilihan yang sama tanpa diminta memilih ulang.</t>
        </is>
      </c>
      <c r="G1349" s="10" t="inlineStr">
        <is>
          <t>Sedang</t>
        </is>
      </c>
      <c r="H1349" s="18" t="n"/>
      <c r="I1349" s="18" t="n"/>
      <c r="J1349" s="18" t="n"/>
      <c r="K1349" s="18" t="n"/>
      <c r="L1349" s="18" t="n"/>
    </row>
    <row r="1350" ht="70" customHeight="1">
      <c r="A1350" s="14" t="n">
        <v>1346</v>
      </c>
      <c r="B1350" s="16" t="inlineStr">
        <is>
          <t>LP-M-10</t>
        </is>
      </c>
      <c r="C1350" s="15" t="inlineStr">
        <is>
          <t>Gagal jaringan tidak menghapus pilihan</t>
        </is>
      </c>
      <c r="D1350" s="17" t="inlineStr">
        <is>
          <t>Sterilizer</t>
        </is>
      </c>
      <c r="E1350" s="15" t="inlineStr">
        <is>
          <t>OPR-A</t>
        </is>
      </c>
      <c r="F1350" s="15" t="inlineStr">
        <is>
          <t>- Muncul pesan jaringan beserta tombol Coba Lagi.
- Pilihan periode dan line tidak hilang — keduanya masih seperti catatan langkah 1.
- Sesudah koneksi kembali, Coba Lagi memuat laporan untuk pilihan yang sama tanpa diminta memilih ulang.</t>
        </is>
      </c>
      <c r="G1350" s="14" t="inlineStr">
        <is>
          <t>Sedang</t>
        </is>
      </c>
      <c r="H1350" s="18" t="n"/>
      <c r="I1350" s="18" t="n"/>
      <c r="J1350" s="18" t="n"/>
      <c r="K1350" s="18" t="n"/>
      <c r="L1350" s="18" t="n"/>
    </row>
    <row r="1351" ht="70" customHeight="1">
      <c r="A1351" s="10" t="n">
        <v>1347</v>
      </c>
      <c r="B1351" s="11" t="inlineStr">
        <is>
          <t>LP-M-10</t>
        </is>
      </c>
      <c r="C1351" s="5" t="inlineStr">
        <is>
          <t>Gagal jaringan tidak menghapus pilihan</t>
        </is>
      </c>
      <c r="D1351" s="12" t="inlineStr">
        <is>
          <t>Threshing</t>
        </is>
      </c>
      <c r="E1351" s="5" t="inlineStr">
        <is>
          <t>OPR-A</t>
        </is>
      </c>
      <c r="F1351" s="5" t="inlineStr">
        <is>
          <t>- Muncul pesan jaringan beserta tombol Coba Lagi.
- Pilihan periode dan line tidak hilang — keduanya masih seperti catatan langkah 1.
- Sesudah koneksi kembali, Coba Lagi memuat laporan untuk pilihan yang sama tanpa diminta memilih ulang.</t>
        </is>
      </c>
      <c r="G1351" s="10" t="inlineStr">
        <is>
          <t>Sedang</t>
        </is>
      </c>
      <c r="H1351" s="18" t="n"/>
      <c r="I1351" s="18" t="n"/>
      <c r="J1351" s="18" t="n"/>
      <c r="K1351" s="18" t="n"/>
      <c r="L1351" s="18" t="n"/>
    </row>
    <row r="1352" ht="70" customHeight="1">
      <c r="A1352" s="14" t="n">
        <v>1348</v>
      </c>
      <c r="B1352" s="16" t="inlineStr">
        <is>
          <t>LP-M-10</t>
        </is>
      </c>
      <c r="C1352" s="15" t="inlineStr">
        <is>
          <t>Gagal jaringan tidak menghapus pilihan</t>
        </is>
      </c>
      <c r="D1352" s="17" t="inlineStr">
        <is>
          <t>Pressing</t>
        </is>
      </c>
      <c r="E1352" s="15" t="inlineStr">
        <is>
          <t>OPR-A</t>
        </is>
      </c>
      <c r="F1352" s="15" t="inlineStr">
        <is>
          <t>- Muncul pesan jaringan beserta tombol Coba Lagi.
- Pilihan periode dan line tidak hilang — keduanya masih seperti catatan langkah 1.
- Sesudah koneksi kembali, Coba Lagi memuat laporan untuk pilihan yang sama tanpa diminta memilih ulang.</t>
        </is>
      </c>
      <c r="G1352" s="14" t="inlineStr">
        <is>
          <t>Sedang</t>
        </is>
      </c>
      <c r="H1352" s="18" t="n"/>
      <c r="I1352" s="18" t="n"/>
      <c r="J1352" s="18" t="n"/>
      <c r="K1352" s="18" t="n"/>
      <c r="L1352" s="18" t="n"/>
    </row>
    <row r="1353" ht="70" customHeight="1">
      <c r="A1353" s="10" t="n">
        <v>1349</v>
      </c>
      <c r="B1353" s="11" t="inlineStr">
        <is>
          <t>LP-M-10</t>
        </is>
      </c>
      <c r="C1353" s="5" t="inlineStr">
        <is>
          <t>Gagal jaringan tidak menghapus pilihan</t>
        </is>
      </c>
      <c r="D1353" s="12" t="inlineStr">
        <is>
          <t>Clarification</t>
        </is>
      </c>
      <c r="E1353" s="5" t="inlineStr">
        <is>
          <t>OPR-A</t>
        </is>
      </c>
      <c r="F1353" s="5" t="inlineStr">
        <is>
          <t>- Muncul pesan jaringan beserta tombol Coba Lagi.
- Pilihan periode dan line tidak hilang — keduanya masih seperti catatan langkah 1.
- Sesudah koneksi kembali, Coba Lagi memuat laporan untuk pilihan yang sama tanpa diminta memilih ulang.</t>
        </is>
      </c>
      <c r="G1353" s="10" t="inlineStr">
        <is>
          <t>Sedang</t>
        </is>
      </c>
      <c r="H1353" s="18" t="n"/>
      <c r="I1353" s="18" t="n"/>
      <c r="J1353" s="18" t="n"/>
      <c r="K1353" s="18" t="n"/>
      <c r="L1353" s="18" t="n"/>
    </row>
    <row r="1354" ht="70" customHeight="1">
      <c r="A1354" s="14" t="n">
        <v>1350</v>
      </c>
      <c r="B1354" s="16" t="inlineStr">
        <is>
          <t>LP-M-10</t>
        </is>
      </c>
      <c r="C1354" s="15" t="inlineStr">
        <is>
          <t>Gagal jaringan tidak menghapus pilihan</t>
        </is>
      </c>
      <c r="D1354" s="17" t="inlineStr">
        <is>
          <t>Kernel Plant</t>
        </is>
      </c>
      <c r="E1354" s="15" t="inlineStr">
        <is>
          <t>OPR-A</t>
        </is>
      </c>
      <c r="F1354" s="15" t="inlineStr">
        <is>
          <t>- Muncul pesan jaringan beserta tombol Coba Lagi.
- Pilihan periode dan line tidak hilang — keduanya masih seperti catatan langkah 1.
- Sesudah koneksi kembali, Coba Lagi memuat laporan untuk pilihan yang sama tanpa diminta memilih ulang.</t>
        </is>
      </c>
      <c r="G1354" s="14" t="inlineStr">
        <is>
          <t>Sedang</t>
        </is>
      </c>
      <c r="H1354" s="18" t="n"/>
      <c r="I1354" s="18" t="n"/>
      <c r="J1354" s="18" t="n"/>
      <c r="K1354" s="18" t="n"/>
      <c r="L1354" s="18" t="n"/>
    </row>
    <row r="1355" ht="70" customHeight="1">
      <c r="A1355" s="10" t="n">
        <v>1351</v>
      </c>
      <c r="B1355" s="11" t="inlineStr">
        <is>
          <t>LP-M-10</t>
        </is>
      </c>
      <c r="C1355" s="5" t="inlineStr">
        <is>
          <t>Gagal jaringan tidak menghapus pilihan</t>
        </is>
      </c>
      <c r="D1355" s="12" t="inlineStr">
        <is>
          <t>Boiler Room</t>
        </is>
      </c>
      <c r="E1355" s="5" t="inlineStr">
        <is>
          <t>OPR-A</t>
        </is>
      </c>
      <c r="F1355" s="5" t="inlineStr">
        <is>
          <t>- Muncul pesan jaringan beserta tombol Coba Lagi.
- Pilihan periode dan line tidak hilang — keduanya masih seperti catatan langkah 1.
- Sesudah koneksi kembali, Coba Lagi memuat laporan untuk pilihan yang sama tanpa diminta memilih ulang.</t>
        </is>
      </c>
      <c r="G1355" s="10" t="inlineStr">
        <is>
          <t>Sedang</t>
        </is>
      </c>
      <c r="H1355" s="18" t="n"/>
      <c r="I1355" s="18" t="n"/>
      <c r="J1355" s="18" t="n"/>
      <c r="K1355" s="18" t="n"/>
      <c r="L1355" s="18" t="n"/>
    </row>
    <row r="1356" ht="70" customHeight="1">
      <c r="A1356" s="14" t="n">
        <v>1352</v>
      </c>
      <c r="B1356" s="16" t="inlineStr">
        <is>
          <t>LP-M-10</t>
        </is>
      </c>
      <c r="C1356" s="15" t="inlineStr">
        <is>
          <t>Gagal jaringan tidak menghapus pilihan</t>
        </is>
      </c>
      <c r="D1356" s="17" t="inlineStr">
        <is>
          <t>Depricarping</t>
        </is>
      </c>
      <c r="E1356" s="15" t="inlineStr">
        <is>
          <t>OPR-A</t>
        </is>
      </c>
      <c r="F1356" s="15" t="inlineStr">
        <is>
          <t>- Muncul pesan jaringan beserta tombol Coba Lagi.
- Pilihan periode dan line tidak hilang — keduanya masih seperti catatan langkah 1.
- Sesudah koneksi kembali, Coba Lagi memuat laporan untuk pilihan yang sama tanpa diminta memilih ulang.</t>
        </is>
      </c>
      <c r="G1356" s="14" t="inlineStr">
        <is>
          <t>Sedang</t>
        </is>
      </c>
      <c r="H1356" s="18" t="n"/>
      <c r="I1356" s="18" t="n"/>
      <c r="J1356" s="18" t="n"/>
      <c r="K1356" s="18" t="n"/>
      <c r="L1356" s="18" t="n"/>
    </row>
    <row r="1357" ht="70" customHeight="1">
      <c r="A1357" s="10" t="n">
        <v>1353</v>
      </c>
      <c r="B1357" s="11" t="inlineStr">
        <is>
          <t>LP-M-10</t>
        </is>
      </c>
      <c r="C1357" s="5" t="inlineStr">
        <is>
          <t>Gagal jaringan tidak menghapus pilihan</t>
        </is>
      </c>
      <c r="D1357" s="12" t="inlineStr">
        <is>
          <t>Storage Tank</t>
        </is>
      </c>
      <c r="E1357" s="5" t="inlineStr">
        <is>
          <t>OPR-A</t>
        </is>
      </c>
      <c r="F1357" s="5" t="inlineStr">
        <is>
          <t>- Muncul pesan jaringan beserta tombol Coba Lagi.
- Pilihan periode dan line tidak hilang — keduanya masih seperti catatan langkah 1.
- Sesudah koneksi kembali, Coba Lagi memuat laporan untuk pilihan yang sama tanpa diminta memilih ulang.</t>
        </is>
      </c>
      <c r="G1357" s="10" t="inlineStr">
        <is>
          <t>Sedang</t>
        </is>
      </c>
      <c r="H1357" s="18" t="n"/>
      <c r="I1357" s="18" t="n"/>
      <c r="J1357" s="18" t="n"/>
      <c r="K1357" s="18" t="n"/>
      <c r="L1357" s="18" t="n"/>
    </row>
    <row r="1358" ht="56.8" customHeight="1">
      <c r="A1358" s="14" t="n">
        <v>1354</v>
      </c>
      <c r="B1358" s="16" t="inlineStr">
        <is>
          <t>LP-M-11</t>
        </is>
      </c>
      <c r="C1358" s="15" t="inlineStr">
        <is>
          <t>Ekspor CSV berhasil mengunduh</t>
        </is>
      </c>
      <c r="D1358" s="17" t="inlineStr">
        <is>
          <t>Weighbridge</t>
        </is>
      </c>
      <c r="E1358" s="15" t="inlineStr">
        <is>
          <t>OPR-A</t>
        </is>
      </c>
      <c r="F1358" s="15" t="inlineStr">
        <is>
          <t>- Hanya ada pilihan CSV (lihat LS-12).
- Berkas benar-benar terunduh dan dapat dibuka.
- Nama berkasnya menyebut stasiun dan periode.
- Angkanya cocok dengan layar.</t>
        </is>
      </c>
      <c r="G1358" s="14" t="inlineStr">
        <is>
          <t>Sedang</t>
        </is>
      </c>
      <c r="H1358" s="18" t="n"/>
      <c r="I1358" s="18" t="n"/>
      <c r="J1358" s="18" t="n"/>
      <c r="K1358" s="18" t="n"/>
      <c r="L1358" s="18" t="n"/>
    </row>
    <row r="1359" ht="56.8" customHeight="1">
      <c r="A1359" s="10" t="n">
        <v>1355</v>
      </c>
      <c r="B1359" s="11" t="inlineStr">
        <is>
          <t>LP-M-11</t>
        </is>
      </c>
      <c r="C1359" s="5" t="inlineStr">
        <is>
          <t>Ekspor CSV berhasil mengunduh</t>
        </is>
      </c>
      <c r="D1359" s="12" t="inlineStr">
        <is>
          <t>Grading</t>
        </is>
      </c>
      <c r="E1359" s="5" t="inlineStr">
        <is>
          <t>OPR-A</t>
        </is>
      </c>
      <c r="F1359" s="5" t="inlineStr">
        <is>
          <t>- Hanya ada pilihan CSV (lihat LS-12).
- Berkas benar-benar terunduh dan dapat dibuka.
- Nama berkasnya menyebut stasiun dan periode.
- Angkanya cocok dengan layar.</t>
        </is>
      </c>
      <c r="G1359" s="10" t="inlineStr">
        <is>
          <t>Sedang</t>
        </is>
      </c>
      <c r="H1359" s="18" t="n"/>
      <c r="I1359" s="18" t="n"/>
      <c r="J1359" s="18" t="n"/>
      <c r="K1359" s="18" t="n"/>
      <c r="L1359" s="18" t="n"/>
    </row>
    <row r="1360" ht="56.8" customHeight="1">
      <c r="A1360" s="14" t="n">
        <v>1356</v>
      </c>
      <c r="B1360" s="16" t="inlineStr">
        <is>
          <t>LP-M-11</t>
        </is>
      </c>
      <c r="C1360" s="15" t="inlineStr">
        <is>
          <t>Ekspor CSV berhasil mengunduh</t>
        </is>
      </c>
      <c r="D1360" s="17" t="inlineStr">
        <is>
          <t>Cages Track</t>
        </is>
      </c>
      <c r="E1360" s="15" t="inlineStr">
        <is>
          <t>OPR-A</t>
        </is>
      </c>
      <c r="F1360" s="15" t="inlineStr">
        <is>
          <t>- Hanya ada pilihan CSV (lihat LS-12).
- Berkas benar-benar terunduh dan dapat dibuka.
- Nama berkasnya menyebut stasiun dan periode.
- Angkanya cocok dengan layar.</t>
        </is>
      </c>
      <c r="G1360" s="14" t="inlineStr">
        <is>
          <t>Sedang</t>
        </is>
      </c>
      <c r="H1360" s="18" t="n"/>
      <c r="I1360" s="18" t="n"/>
      <c r="J1360" s="18" t="n"/>
      <c r="K1360" s="18" t="n"/>
      <c r="L1360" s="18" t="n"/>
    </row>
    <row r="1361" ht="56.8" customHeight="1">
      <c r="A1361" s="10" t="n">
        <v>1357</v>
      </c>
      <c r="B1361" s="11" t="inlineStr">
        <is>
          <t>LP-M-11</t>
        </is>
      </c>
      <c r="C1361" s="5" t="inlineStr">
        <is>
          <t>Ekspor CSV berhasil mengunduh</t>
        </is>
      </c>
      <c r="D1361" s="12" t="inlineStr">
        <is>
          <t>Sterilizer</t>
        </is>
      </c>
      <c r="E1361" s="5" t="inlineStr">
        <is>
          <t>OPR-A</t>
        </is>
      </c>
      <c r="F1361" s="5" t="inlineStr">
        <is>
          <t>- Hanya ada pilihan CSV (lihat LS-12).
- Berkas benar-benar terunduh dan dapat dibuka.
- Nama berkasnya menyebut stasiun dan periode.
- Angkanya cocok dengan layar.</t>
        </is>
      </c>
      <c r="G1361" s="10" t="inlineStr">
        <is>
          <t>Sedang</t>
        </is>
      </c>
      <c r="H1361" s="18" t="n"/>
      <c r="I1361" s="18" t="n"/>
      <c r="J1361" s="18" t="n"/>
      <c r="K1361" s="18" t="n"/>
      <c r="L1361" s="18" t="n"/>
    </row>
    <row r="1362" ht="56.8" customHeight="1">
      <c r="A1362" s="14" t="n">
        <v>1358</v>
      </c>
      <c r="B1362" s="16" t="inlineStr">
        <is>
          <t>LP-M-11</t>
        </is>
      </c>
      <c r="C1362" s="15" t="inlineStr">
        <is>
          <t>Ekspor CSV berhasil mengunduh</t>
        </is>
      </c>
      <c r="D1362" s="17" t="inlineStr">
        <is>
          <t>Threshing</t>
        </is>
      </c>
      <c r="E1362" s="15" t="inlineStr">
        <is>
          <t>OPR-A</t>
        </is>
      </c>
      <c r="F1362" s="15" t="inlineStr">
        <is>
          <t>- Hanya ada pilihan CSV (lihat LS-12).
- Berkas benar-benar terunduh dan dapat dibuka.
- Nama berkasnya menyebut stasiun dan periode.
- Angkanya cocok dengan layar.</t>
        </is>
      </c>
      <c r="G1362" s="14" t="inlineStr">
        <is>
          <t>Sedang</t>
        </is>
      </c>
      <c r="H1362" s="18" t="n"/>
      <c r="I1362" s="18" t="n"/>
      <c r="J1362" s="18" t="n"/>
      <c r="K1362" s="18" t="n"/>
      <c r="L1362" s="18" t="n"/>
    </row>
    <row r="1363" ht="56.8" customHeight="1">
      <c r="A1363" s="10" t="n">
        <v>1359</v>
      </c>
      <c r="B1363" s="11" t="inlineStr">
        <is>
          <t>LP-M-11</t>
        </is>
      </c>
      <c r="C1363" s="5" t="inlineStr">
        <is>
          <t>Ekspor CSV berhasil mengunduh</t>
        </is>
      </c>
      <c r="D1363" s="12" t="inlineStr">
        <is>
          <t>Pressing</t>
        </is>
      </c>
      <c r="E1363" s="5" t="inlineStr">
        <is>
          <t>OPR-A</t>
        </is>
      </c>
      <c r="F1363" s="5" t="inlineStr">
        <is>
          <t>- Hanya ada pilihan CSV (lihat LS-12).
- Berkas benar-benar terunduh dan dapat dibuka.
- Nama berkasnya menyebut stasiun dan periode.
- Angkanya cocok dengan layar.</t>
        </is>
      </c>
      <c r="G1363" s="10" t="inlineStr">
        <is>
          <t>Sedang</t>
        </is>
      </c>
      <c r="H1363" s="18" t="n"/>
      <c r="I1363" s="18" t="n"/>
      <c r="J1363" s="18" t="n"/>
      <c r="K1363" s="18" t="n"/>
      <c r="L1363" s="18" t="n"/>
    </row>
    <row r="1364" ht="56.8" customHeight="1">
      <c r="A1364" s="14" t="n">
        <v>1360</v>
      </c>
      <c r="B1364" s="16" t="inlineStr">
        <is>
          <t>LP-M-11</t>
        </is>
      </c>
      <c r="C1364" s="15" t="inlineStr">
        <is>
          <t>Ekspor CSV berhasil mengunduh</t>
        </is>
      </c>
      <c r="D1364" s="17" t="inlineStr">
        <is>
          <t>Clarification</t>
        </is>
      </c>
      <c r="E1364" s="15" t="inlineStr">
        <is>
          <t>OPR-A</t>
        </is>
      </c>
      <c r="F1364" s="15" t="inlineStr">
        <is>
          <t>- Hanya ada pilihan CSV (lihat LS-12).
- Berkas benar-benar terunduh dan dapat dibuka.
- Nama berkasnya menyebut stasiun dan periode.
- Angkanya cocok dengan layar.</t>
        </is>
      </c>
      <c r="G1364" s="14" t="inlineStr">
        <is>
          <t>Sedang</t>
        </is>
      </c>
      <c r="H1364" s="18" t="n"/>
      <c r="I1364" s="18" t="n"/>
      <c r="J1364" s="18" t="n"/>
      <c r="K1364" s="18" t="n"/>
      <c r="L1364" s="18" t="n"/>
    </row>
    <row r="1365" ht="56.8" customHeight="1">
      <c r="A1365" s="10" t="n">
        <v>1361</v>
      </c>
      <c r="B1365" s="11" t="inlineStr">
        <is>
          <t>LP-M-11</t>
        </is>
      </c>
      <c r="C1365" s="5" t="inlineStr">
        <is>
          <t>Ekspor CSV berhasil mengunduh</t>
        </is>
      </c>
      <c r="D1365" s="12" t="inlineStr">
        <is>
          <t>Kernel Plant</t>
        </is>
      </c>
      <c r="E1365" s="5" t="inlineStr">
        <is>
          <t>OPR-A</t>
        </is>
      </c>
      <c r="F1365" s="5" t="inlineStr">
        <is>
          <t>- Hanya ada pilihan CSV (lihat LS-12).
- Berkas benar-benar terunduh dan dapat dibuka.
- Nama berkasnya menyebut stasiun dan periode.
- Angkanya cocok dengan layar.</t>
        </is>
      </c>
      <c r="G1365" s="10" t="inlineStr">
        <is>
          <t>Sedang</t>
        </is>
      </c>
      <c r="H1365" s="18" t="n"/>
      <c r="I1365" s="18" t="n"/>
      <c r="J1365" s="18" t="n"/>
      <c r="K1365" s="18" t="n"/>
      <c r="L1365" s="18" t="n"/>
    </row>
    <row r="1366" ht="56.8" customHeight="1">
      <c r="A1366" s="14" t="n">
        <v>1362</v>
      </c>
      <c r="B1366" s="16" t="inlineStr">
        <is>
          <t>LP-M-11</t>
        </is>
      </c>
      <c r="C1366" s="15" t="inlineStr">
        <is>
          <t>Ekspor CSV berhasil mengunduh</t>
        </is>
      </c>
      <c r="D1366" s="17" t="inlineStr">
        <is>
          <t>Boiler Room</t>
        </is>
      </c>
      <c r="E1366" s="15" t="inlineStr">
        <is>
          <t>OPR-A</t>
        </is>
      </c>
      <c r="F1366" s="15" t="inlineStr">
        <is>
          <t>- Hanya ada pilihan CSV (lihat LS-12).
- Berkas benar-benar terunduh dan dapat dibuka.
- Nama berkasnya menyebut stasiun dan periode.
- Angkanya cocok dengan layar.</t>
        </is>
      </c>
      <c r="G1366" s="14" t="inlineStr">
        <is>
          <t>Sedang</t>
        </is>
      </c>
      <c r="H1366" s="18" t="n"/>
      <c r="I1366" s="18" t="n"/>
      <c r="J1366" s="18" t="n"/>
      <c r="K1366" s="18" t="n"/>
      <c r="L1366" s="18" t="n"/>
    </row>
    <row r="1367" ht="56.8" customHeight="1">
      <c r="A1367" s="10" t="n">
        <v>1363</v>
      </c>
      <c r="B1367" s="11" t="inlineStr">
        <is>
          <t>LP-M-11</t>
        </is>
      </c>
      <c r="C1367" s="5" t="inlineStr">
        <is>
          <t>Ekspor CSV berhasil mengunduh</t>
        </is>
      </c>
      <c r="D1367" s="12" t="inlineStr">
        <is>
          <t>Depricarping</t>
        </is>
      </c>
      <c r="E1367" s="5" t="inlineStr">
        <is>
          <t>OPR-A</t>
        </is>
      </c>
      <c r="F1367" s="5" t="inlineStr">
        <is>
          <t>- Hanya ada pilihan CSV (lihat LS-12).
- Berkas benar-benar terunduh dan dapat dibuka.
- Nama berkasnya menyebut stasiun dan periode.
- Angkanya cocok dengan layar.</t>
        </is>
      </c>
      <c r="G1367" s="10" t="inlineStr">
        <is>
          <t>Sedang</t>
        </is>
      </c>
      <c r="H1367" s="18" t="n"/>
      <c r="I1367" s="18" t="n"/>
      <c r="J1367" s="18" t="n"/>
      <c r="K1367" s="18" t="n"/>
      <c r="L1367" s="18" t="n"/>
    </row>
    <row r="1368" ht="56.8" customHeight="1">
      <c r="A1368" s="14" t="n">
        <v>1364</v>
      </c>
      <c r="B1368" s="16" t="inlineStr">
        <is>
          <t>LP-M-11</t>
        </is>
      </c>
      <c r="C1368" s="15" t="inlineStr">
        <is>
          <t>Ekspor CSV berhasil mengunduh</t>
        </is>
      </c>
      <c r="D1368" s="17" t="inlineStr">
        <is>
          <t>Storage Tank</t>
        </is>
      </c>
      <c r="E1368" s="15" t="inlineStr">
        <is>
          <t>OPR-A</t>
        </is>
      </c>
      <c r="F1368" s="15" t="inlineStr">
        <is>
          <t>- Hanya ada pilihan CSV (lihat LS-12).
- Berkas benar-benar terunduh dan dapat dibuka.
- Nama berkasnya menyebut stasiun dan periode.
- Angkanya cocok dengan layar.</t>
        </is>
      </c>
      <c r="G1368" s="14" t="inlineStr">
        <is>
          <t>Sedang</t>
        </is>
      </c>
      <c r="H1368" s="18" t="n"/>
      <c r="I1368" s="18" t="n"/>
      <c r="J1368" s="18" t="n"/>
      <c r="K1368" s="18" t="n"/>
      <c r="L1368" s="18" t="n"/>
    </row>
    <row r="1369" ht="70" customHeight="1">
      <c r="A1369" s="10" t="n">
        <v>1365</v>
      </c>
      <c r="B1369" s="11" t="inlineStr">
        <is>
          <t>LP-M-12</t>
        </is>
      </c>
      <c r="C1369" s="5" t="inlineStr">
        <is>
          <t>Laporan mobile read-only</t>
        </is>
      </c>
      <c r="D1369" s="12" t="inlineStr">
        <is>
          <t>Weighbridge</t>
        </is>
      </c>
      <c r="E1369" s="5" t="inlineStr">
        <is>
          <t>OPR-A</t>
        </is>
      </c>
      <c r="F1369" s="5" t="inlineStr">
        <is>
          <t>- Tombol di bagian bawah hanya Ekspor dan Back — tidak ada Simpan, Edit, atau Hapus.
- Tidak satu pun angka dapat diubah.
- Tidak ada kolom input di layar ini selain pemilih periode/line/mill.</t>
        </is>
      </c>
      <c r="G1369" s="10" t="inlineStr">
        <is>
          <t>Tinggi ---</t>
        </is>
      </c>
      <c r="H1369" s="18" t="n"/>
      <c r="I1369" s="18" t="n"/>
      <c r="J1369" s="18" t="n"/>
      <c r="K1369" s="18" t="n"/>
      <c r="L1369" s="18" t="n"/>
    </row>
    <row r="1370" ht="70" customHeight="1">
      <c r="A1370" s="14" t="n">
        <v>1366</v>
      </c>
      <c r="B1370" s="16" t="inlineStr">
        <is>
          <t>LP-M-12</t>
        </is>
      </c>
      <c r="C1370" s="15" t="inlineStr">
        <is>
          <t>Laporan mobile read-only</t>
        </is>
      </c>
      <c r="D1370" s="17" t="inlineStr">
        <is>
          <t>Grading</t>
        </is>
      </c>
      <c r="E1370" s="15" t="inlineStr">
        <is>
          <t>OPR-A</t>
        </is>
      </c>
      <c r="F1370" s="15" t="inlineStr">
        <is>
          <t>- Tombol di bagian bawah hanya Ekspor dan Back — tidak ada Simpan, Edit, atau Hapus.
- Tidak satu pun angka dapat diubah.
- Tidak ada kolom input di layar ini selain pemilih periode/line/mill.</t>
        </is>
      </c>
      <c r="G1370" s="14" t="inlineStr">
        <is>
          <t>Tinggi ---</t>
        </is>
      </c>
      <c r="H1370" s="18" t="n"/>
      <c r="I1370" s="18" t="n"/>
      <c r="J1370" s="18" t="n"/>
      <c r="K1370" s="18" t="n"/>
      <c r="L1370" s="18" t="n"/>
    </row>
    <row r="1371" ht="70" customHeight="1">
      <c r="A1371" s="10" t="n">
        <v>1367</v>
      </c>
      <c r="B1371" s="11" t="inlineStr">
        <is>
          <t>LP-M-12</t>
        </is>
      </c>
      <c r="C1371" s="5" t="inlineStr">
        <is>
          <t>Laporan mobile read-only</t>
        </is>
      </c>
      <c r="D1371" s="12" t="inlineStr">
        <is>
          <t>Cages Track</t>
        </is>
      </c>
      <c r="E1371" s="5" t="inlineStr">
        <is>
          <t>OPR-A</t>
        </is>
      </c>
      <c r="F1371" s="5" t="inlineStr">
        <is>
          <t>- Tombol di bagian bawah hanya Ekspor dan Back — tidak ada Simpan, Edit, atau Hapus.
- Tidak satu pun angka dapat diubah.
- Tidak ada kolom input di layar ini selain pemilih periode/line/mill.</t>
        </is>
      </c>
      <c r="G1371" s="10" t="inlineStr">
        <is>
          <t>Tinggi ---</t>
        </is>
      </c>
      <c r="H1371" s="18" t="n"/>
      <c r="I1371" s="18" t="n"/>
      <c r="J1371" s="18" t="n"/>
      <c r="K1371" s="18" t="n"/>
      <c r="L1371" s="18" t="n"/>
    </row>
    <row r="1372" ht="70" customHeight="1">
      <c r="A1372" s="14" t="n">
        <v>1368</v>
      </c>
      <c r="B1372" s="16" t="inlineStr">
        <is>
          <t>LP-M-12</t>
        </is>
      </c>
      <c r="C1372" s="15" t="inlineStr">
        <is>
          <t>Laporan mobile read-only</t>
        </is>
      </c>
      <c r="D1372" s="17" t="inlineStr">
        <is>
          <t>Sterilizer</t>
        </is>
      </c>
      <c r="E1372" s="15" t="inlineStr">
        <is>
          <t>OPR-A</t>
        </is>
      </c>
      <c r="F1372" s="15" t="inlineStr">
        <is>
          <t>- Tombol di bagian bawah hanya Ekspor dan Back — tidak ada Simpan, Edit, atau Hapus.
- Tidak satu pun angka dapat diubah.
- Tidak ada kolom input di layar ini selain pemilih periode/line/mill.</t>
        </is>
      </c>
      <c r="G1372" s="14" t="inlineStr">
        <is>
          <t>Tinggi ---</t>
        </is>
      </c>
      <c r="H1372" s="18" t="n"/>
      <c r="I1372" s="18" t="n"/>
      <c r="J1372" s="18" t="n"/>
      <c r="K1372" s="18" t="n"/>
      <c r="L1372" s="18" t="n"/>
    </row>
    <row r="1373" ht="70" customHeight="1">
      <c r="A1373" s="10" t="n">
        <v>1369</v>
      </c>
      <c r="B1373" s="11" t="inlineStr">
        <is>
          <t>LP-M-12</t>
        </is>
      </c>
      <c r="C1373" s="5" t="inlineStr">
        <is>
          <t>Laporan mobile read-only</t>
        </is>
      </c>
      <c r="D1373" s="12" t="inlineStr">
        <is>
          <t>Threshing</t>
        </is>
      </c>
      <c r="E1373" s="5" t="inlineStr">
        <is>
          <t>OPR-A</t>
        </is>
      </c>
      <c r="F1373" s="5" t="inlineStr">
        <is>
          <t>- Tombol di bagian bawah hanya Ekspor dan Back — tidak ada Simpan, Edit, atau Hapus.
- Tidak satu pun angka dapat diubah.
- Tidak ada kolom input di layar ini selain pemilih periode/line/mill.</t>
        </is>
      </c>
      <c r="G1373" s="10" t="inlineStr">
        <is>
          <t>Tinggi ---</t>
        </is>
      </c>
      <c r="H1373" s="18" t="n"/>
      <c r="I1373" s="18" t="n"/>
      <c r="J1373" s="18" t="n"/>
      <c r="K1373" s="18" t="n"/>
      <c r="L1373" s="18" t="n"/>
    </row>
    <row r="1374" ht="70" customHeight="1">
      <c r="A1374" s="14" t="n">
        <v>1370</v>
      </c>
      <c r="B1374" s="16" t="inlineStr">
        <is>
          <t>LP-M-12</t>
        </is>
      </c>
      <c r="C1374" s="15" t="inlineStr">
        <is>
          <t>Laporan mobile read-only</t>
        </is>
      </c>
      <c r="D1374" s="17" t="inlineStr">
        <is>
          <t>Pressing</t>
        </is>
      </c>
      <c r="E1374" s="15" t="inlineStr">
        <is>
          <t>OPR-A</t>
        </is>
      </c>
      <c r="F1374" s="15" t="inlineStr">
        <is>
          <t>- Tombol di bagian bawah hanya Ekspor dan Back — tidak ada Simpan, Edit, atau Hapus.
- Tidak satu pun angka dapat diubah.
- Tidak ada kolom input di layar ini selain pemilih periode/line/mill.</t>
        </is>
      </c>
      <c r="G1374" s="14" t="inlineStr">
        <is>
          <t>Tinggi ---</t>
        </is>
      </c>
      <c r="H1374" s="18" t="n"/>
      <c r="I1374" s="18" t="n"/>
      <c r="J1374" s="18" t="n"/>
      <c r="K1374" s="18" t="n"/>
      <c r="L1374" s="18" t="n"/>
    </row>
    <row r="1375" ht="70" customHeight="1">
      <c r="A1375" s="10" t="n">
        <v>1371</v>
      </c>
      <c r="B1375" s="11" t="inlineStr">
        <is>
          <t>LP-M-12</t>
        </is>
      </c>
      <c r="C1375" s="5" t="inlineStr">
        <is>
          <t>Laporan mobile read-only</t>
        </is>
      </c>
      <c r="D1375" s="12" t="inlineStr">
        <is>
          <t>Clarification</t>
        </is>
      </c>
      <c r="E1375" s="5" t="inlineStr">
        <is>
          <t>OPR-A</t>
        </is>
      </c>
      <c r="F1375" s="5" t="inlineStr">
        <is>
          <t>- Tombol di bagian bawah hanya Ekspor dan Back — tidak ada Simpan, Edit, atau Hapus.
- Tidak satu pun angka dapat diubah.
- Tidak ada kolom input di layar ini selain pemilih periode/line/mill.</t>
        </is>
      </c>
      <c r="G1375" s="10" t="inlineStr">
        <is>
          <t>Tinggi ---</t>
        </is>
      </c>
      <c r="H1375" s="18" t="n"/>
      <c r="I1375" s="18" t="n"/>
      <c r="J1375" s="18" t="n"/>
      <c r="K1375" s="18" t="n"/>
      <c r="L1375" s="18" t="n"/>
    </row>
    <row r="1376" ht="70" customHeight="1">
      <c r="A1376" s="14" t="n">
        <v>1372</v>
      </c>
      <c r="B1376" s="16" t="inlineStr">
        <is>
          <t>LP-M-12</t>
        </is>
      </c>
      <c r="C1376" s="15" t="inlineStr">
        <is>
          <t>Laporan mobile read-only</t>
        </is>
      </c>
      <c r="D1376" s="17" t="inlineStr">
        <is>
          <t>Kernel Plant</t>
        </is>
      </c>
      <c r="E1376" s="15" t="inlineStr">
        <is>
          <t>OPR-A</t>
        </is>
      </c>
      <c r="F1376" s="15" t="inlineStr">
        <is>
          <t>- Tombol di bagian bawah hanya Ekspor dan Back — tidak ada Simpan, Edit, atau Hapus.
- Tidak satu pun angka dapat diubah.
- Tidak ada kolom input di layar ini selain pemilih periode/line/mill.</t>
        </is>
      </c>
      <c r="G1376" s="14" t="inlineStr">
        <is>
          <t>Tinggi ---</t>
        </is>
      </c>
      <c r="H1376" s="18" t="n"/>
      <c r="I1376" s="18" t="n"/>
      <c r="J1376" s="18" t="n"/>
      <c r="K1376" s="18" t="n"/>
      <c r="L1376" s="18" t="n"/>
    </row>
    <row r="1377" ht="70" customHeight="1">
      <c r="A1377" s="10" t="n">
        <v>1373</v>
      </c>
      <c r="B1377" s="11" t="inlineStr">
        <is>
          <t>LP-M-12</t>
        </is>
      </c>
      <c r="C1377" s="5" t="inlineStr">
        <is>
          <t>Laporan mobile read-only</t>
        </is>
      </c>
      <c r="D1377" s="12" t="inlineStr">
        <is>
          <t>Boiler Room</t>
        </is>
      </c>
      <c r="E1377" s="5" t="inlineStr">
        <is>
          <t>OPR-A</t>
        </is>
      </c>
      <c r="F1377" s="5" t="inlineStr">
        <is>
          <t>- Tombol di bagian bawah hanya Ekspor dan Back — tidak ada Simpan, Edit, atau Hapus.
- Tidak satu pun angka dapat diubah.
- Tidak ada kolom input di layar ini selain pemilih periode/line/mill.</t>
        </is>
      </c>
      <c r="G1377" s="10" t="inlineStr">
        <is>
          <t>Tinggi ---</t>
        </is>
      </c>
      <c r="H1377" s="18" t="n"/>
      <c r="I1377" s="18" t="n"/>
      <c r="J1377" s="18" t="n"/>
      <c r="K1377" s="18" t="n"/>
      <c r="L1377" s="18" t="n"/>
    </row>
    <row r="1378" ht="70" customHeight="1">
      <c r="A1378" s="14" t="n">
        <v>1374</v>
      </c>
      <c r="B1378" s="16" t="inlineStr">
        <is>
          <t>LP-M-12</t>
        </is>
      </c>
      <c r="C1378" s="15" t="inlineStr">
        <is>
          <t>Laporan mobile read-only</t>
        </is>
      </c>
      <c r="D1378" s="17" t="inlineStr">
        <is>
          <t>Depricarping</t>
        </is>
      </c>
      <c r="E1378" s="15" t="inlineStr">
        <is>
          <t>OPR-A</t>
        </is>
      </c>
      <c r="F1378" s="15" t="inlineStr">
        <is>
          <t>- Tombol di bagian bawah hanya Ekspor dan Back — tidak ada Simpan, Edit, atau Hapus.
- Tidak satu pun angka dapat diubah.
- Tidak ada kolom input di layar ini selain pemilih periode/line/mill.</t>
        </is>
      </c>
      <c r="G1378" s="14" t="inlineStr">
        <is>
          <t>Tinggi ---</t>
        </is>
      </c>
      <c r="H1378" s="18" t="n"/>
      <c r="I1378" s="18" t="n"/>
      <c r="J1378" s="18" t="n"/>
      <c r="K1378" s="18" t="n"/>
      <c r="L1378" s="18" t="n"/>
    </row>
    <row r="1379" ht="70" customHeight="1">
      <c r="A1379" s="10" t="n">
        <v>1375</v>
      </c>
      <c r="B1379" s="11" t="inlineStr">
        <is>
          <t>LP-M-12</t>
        </is>
      </c>
      <c r="C1379" s="5" t="inlineStr">
        <is>
          <t>Laporan mobile read-only</t>
        </is>
      </c>
      <c r="D1379" s="12" t="inlineStr">
        <is>
          <t>Storage Tank</t>
        </is>
      </c>
      <c r="E1379" s="5" t="inlineStr">
        <is>
          <t>OPR-A</t>
        </is>
      </c>
      <c r="F1379" s="5" t="inlineStr">
        <is>
          <t>- Tombol di bagian bawah hanya Ekspor dan Back — tidak ada Simpan, Edit, atau Hapus.
- Tidak satu pun angka dapat diubah.
- Tidak ada kolom input di layar ini selain pemilih periode/line/mill.</t>
        </is>
      </c>
      <c r="G1379" s="10" t="inlineStr">
        <is>
          <t>Tinggi ---</t>
        </is>
      </c>
      <c r="H1379" s="18" t="n"/>
      <c r="I1379" s="18" t="n"/>
      <c r="J1379" s="18" t="n"/>
      <c r="K1379" s="18" t="n"/>
      <c r="L1379" s="18" t="n"/>
    </row>
    <row r="1380" ht="83.19999999999999" customHeight="1">
      <c r="A1380" s="14" t="n">
        <v>1376</v>
      </c>
      <c r="B1380" s="16" t="inlineStr">
        <is>
          <t>DS-01</t>
        </is>
      </c>
      <c r="C1380" s="15" t="inlineStr">
        <is>
          <t>Dashboard Web menampilkan ringkasan tiga stasiun</t>
        </is>
      </c>
      <c r="D1380" s="15" t="inlineStr">
        <is>
          <t>—</t>
        </is>
      </c>
      <c r="E1380" s="15" t="inlineStr">
        <is>
          <t>SPV-A</t>
        </is>
      </c>
      <c r="F1380" s="15" t="inlineStr">
        <is>
          <t>- Dashboard meringkas tiga stasiun: Weighbridge, Grading, dan Cages Track — bukan 18. Itu disengaja (lihat K-5).
- Angkanya cocok dengan Data Browser untuk rentang tanggal yang sama.
- Setiap ringkasan menyebut stasiunnya, sehingga angkanya tidak ambigu.</t>
        </is>
      </c>
      <c r="G1380" s="13" t="inlineStr">
        <is>
          <t>Tinggi</t>
        </is>
      </c>
      <c r="H1380" s="18" t="n"/>
      <c r="I1380" s="18" t="n"/>
      <c r="J1380" s="18" t="n"/>
      <c r="K1380" s="18" t="n"/>
      <c r="L1380" s="18" t="n"/>
    </row>
    <row r="1381" ht="70" customHeight="1">
      <c r="A1381" s="10" t="n">
        <v>1377</v>
      </c>
      <c r="B1381" s="11" t="inlineStr">
        <is>
          <t>DS-02</t>
        </is>
      </c>
      <c r="C1381" s="5" t="inlineStr">
        <is>
          <t>Rentang tanggal Dashboard default ke hari ini</t>
        </is>
      </c>
      <c r="D1381" s="5" t="inlineStr">
        <is>
          <t>—</t>
        </is>
      </c>
      <c r="E1381" s="5" t="inlineStr">
        <is>
          <t>SPV-A</t>
        </is>
      </c>
      <c r="F1381" s="5" t="inlineStr">
        <is>
          <t>- Kedua kolom sudah terisi tanggal hari ini tanpa diisi penguji.
- Angka yang tampil adalah angka hari ini.
- Penguji tidak perlu mengisi filter sebelum melihat sesuatu.</t>
        </is>
      </c>
      <c r="G1381" s="10" t="inlineStr">
        <is>
          <t>Sedang</t>
        </is>
      </c>
      <c r="H1381" s="18" t="n"/>
      <c r="I1381" s="18" t="n"/>
      <c r="J1381" s="18" t="n"/>
      <c r="K1381" s="18" t="n"/>
      <c r="L1381" s="18" t="n"/>
    </row>
    <row r="1382" ht="70" customHeight="1">
      <c r="A1382" s="14" t="n">
        <v>1378</v>
      </c>
      <c r="B1382" s="16" t="inlineStr">
        <is>
          <t>DS-03</t>
        </is>
      </c>
      <c r="C1382" s="15" t="inlineStr">
        <is>
          <t>Dashboard ter-scope mill aktor</t>
        </is>
      </c>
      <c r="D1382" s="15" t="inlineStr">
        <is>
          <t>—</t>
        </is>
      </c>
      <c r="E1382" s="15" t="inlineStr">
        <is>
          <t>SPV-A, SPV-B</t>
        </is>
      </c>
      <c r="F1382" s="15" t="inlineStr">
        <is>
          <t>- Sesuai LS-03: SPV-B tidak melihat satu pun angka yang berasal dari Mill A.
- Tidak ada nama Production Line Mill A yang tercetak.
- Angka kedua peran berbeda, masing-masing hanya mill-nya sendiri.</t>
        </is>
      </c>
      <c r="G1382" s="13" t="inlineStr">
        <is>
          <t>Tinggi</t>
        </is>
      </c>
      <c r="H1382" s="18" t="n"/>
      <c r="I1382" s="18" t="n"/>
      <c r="J1382" s="18" t="n"/>
      <c r="K1382" s="18" t="n"/>
      <c r="L1382" s="18" t="n"/>
    </row>
    <row r="1383" ht="122.8" customHeight="1">
      <c r="A1383" s="10" t="n">
        <v>1379</v>
      </c>
      <c r="B1383" s="11" t="inlineStr">
        <is>
          <t>DS-04</t>
        </is>
      </c>
      <c r="C1383" s="5" t="inlineStr">
        <is>
          <t>Laporan Stasiun (Web): tile laporan yang ada aktif, sisanya kelabu</t>
        </is>
      </c>
      <c r="D1383" s="5" t="inlineStr">
        <is>
          <t>—</t>
        </is>
      </c>
      <c r="E1383" s="5" t="inlineStr">
        <is>
          <t>SPV-A</t>
        </is>
      </c>
      <c r="F1383" s="5" t="inlineStr">
        <is>
          <t>-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G1383" s="13" t="inlineStr">
        <is>
          <t>Tinggi</t>
        </is>
      </c>
      <c r="H1383" s="18" t="n"/>
      <c r="I1383" s="18" t="n"/>
      <c r="J1383" s="18" t="n"/>
      <c r="K1383" s="18" t="n"/>
      <c r="L1383" s="18" t="n"/>
    </row>
    <row r="1384" ht="70" customHeight="1">
      <c r="A1384" s="14" t="n">
        <v>1380</v>
      </c>
      <c r="B1384" s="16" t="inlineStr">
        <is>
          <t>DS-05</t>
        </is>
      </c>
      <c r="C1384" s="15" t="inlineStr">
        <is>
          <t>Tile aktif mendarat di laporan stasiun yang benar</t>
        </is>
      </c>
      <c r="D1384" s="15" t="inlineStr">
        <is>
          <t>—</t>
        </is>
      </c>
      <c r="E1384" s="15" t="inlineStr">
        <is>
          <t>SPV-A</t>
        </is>
      </c>
      <c r="F1384" s="15" t="inlineStr">
        <is>
          <t>- Setiap tile aktif mendarat di laporan stasiun yang sama dengan namanya (/reports/&lt;stasiun&gt;).
- Judul layarnya cocok dengan tile yang ditekan.
- Konteks mill terbawa; Production Line tetap wajib dipilih (lihat LS-08).</t>
        </is>
      </c>
      <c r="G1384" s="13" t="inlineStr">
        <is>
          <t>Tinggi</t>
        </is>
      </c>
      <c r="H1384" s="18" t="n"/>
      <c r="I1384" s="18" t="n"/>
      <c r="J1384" s="18" t="n"/>
      <c r="K1384" s="18" t="n"/>
      <c r="L1384" s="18" t="n"/>
    </row>
    <row r="1385" ht="56.8" customHeight="1">
      <c r="A1385" s="10" t="n">
        <v>1381</v>
      </c>
      <c r="B1385" s="11" t="inlineStr">
        <is>
          <t>DS-06</t>
        </is>
      </c>
      <c r="C1385" s="5" t="inlineStr">
        <is>
          <t>Laporan Manajemen hanya untuk Mill Management dan Admin</t>
        </is>
      </c>
      <c r="D1385" s="5" t="inlineStr">
        <is>
          <t>—</t>
        </is>
      </c>
      <c r="E1385" s="5" t="inlineStr">
        <is>
          <t>SPV-A, MGR-A, ADM</t>
        </is>
      </c>
      <c r="F1385" s="5" t="inlineStr">
        <is>
          <t>- SPV-A: menu tidak ada di sidebar, dan alamat langsung menjawab 403.
- MGR-A: menu ada dan layarnya terbuka.
- ADM: menu ada dan layarnya terbuka.</t>
        </is>
      </c>
      <c r="G1385" s="13" t="inlineStr">
        <is>
          <t>Tinggi</t>
        </is>
      </c>
      <c r="H1385" s="18" t="n"/>
      <c r="I1385" s="18" t="n"/>
      <c r="J1385" s="18" t="n"/>
      <c r="K1385" s="18" t="n"/>
      <c r="L1385" s="18" t="n"/>
    </row>
    <row r="1386" ht="136" customHeight="1">
      <c r="A1386" s="14" t="n">
        <v>1382</v>
      </c>
      <c r="B1386" s="16" t="inlineStr">
        <is>
          <t>DS-07</t>
        </is>
      </c>
      <c r="C1386" s="15" t="inlineStr">
        <is>
          <t>Dashboard &amp; Reporting (Mobile) → Pilih Stasiun</t>
        </is>
      </c>
      <c r="D1386" s="15" t="inlineStr">
        <is>
          <t>—</t>
        </is>
      </c>
      <c r="E1386" s="15" t="inlineStr">
        <is>
          <t>OPR-A</t>
        </is>
      </c>
      <c r="F1386" s="15"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G1386" s="13" t="inlineStr">
        <is>
          <t>Tinggi</t>
        </is>
      </c>
      <c r="H1386" s="18" t="n"/>
      <c r="I1386" s="18" t="n"/>
      <c r="J1386" s="18" t="n"/>
      <c r="K1386" s="18" t="n"/>
      <c r="L1386" s="18" t="n"/>
    </row>
    <row r="1387" ht="122.8" customHeight="1">
      <c r="A1387" s="10" t="n">
        <v>1383</v>
      </c>
      <c r="B1387" s="11" t="inlineStr">
        <is>
          <t>DS-08</t>
        </is>
      </c>
      <c r="C1387" s="5" t="inlineStr">
        <is>
          <t>Production Process Activity (Web): papan status, bukan sekadar peluncur</t>
        </is>
      </c>
      <c r="D1387" s="5" t="inlineStr">
        <is>
          <t>—</t>
        </is>
      </c>
      <c r="E1387" s="5" t="inlineStr">
        <is>
          <t>SPV-A</t>
        </is>
      </c>
      <c r="F1387" s="5"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G1387" s="13" t="inlineStr">
        <is>
          <t>Tinggi</t>
        </is>
      </c>
      <c r="H1387" s="18" t="n"/>
      <c r="I1387" s="18" t="n"/>
      <c r="J1387" s="18" t="n"/>
      <c r="K1387" s="18" t="n"/>
      <c r="L1387" s="18" t="n"/>
    </row>
    <row r="1388" ht="96.39999999999999" customHeight="1">
      <c r="A1388" s="14" t="n">
        <v>1384</v>
      </c>
      <c r="B1388" s="16" t="inlineStr">
        <is>
          <t>DS-09</t>
        </is>
      </c>
      <c r="C1388" s="15" t="inlineStr">
        <is>
          <t>Jumlah tile berwarna cocok dengan angka di kepala halaman</t>
        </is>
      </c>
      <c r="D1388" s="15" t="inlineStr">
        <is>
          <t>—</t>
        </is>
      </c>
      <c r="E1388" s="15" t="inlineStr">
        <is>
          <t>SPV-A</t>
        </is>
      </c>
      <c r="F1388" s="15"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G1388" s="14" t="inlineStr">
        <is>
          <t>Sedang</t>
        </is>
      </c>
      <c r="H1388" s="18" t="n"/>
      <c r="I1388" s="18" t="n"/>
      <c r="J1388" s="18" t="n"/>
      <c r="K1388" s="18" t="n"/>
      <c r="L1388" s="18" t="n"/>
    </row>
    <row r="1389" ht="83.19999999999999" customHeight="1">
      <c r="A1389" s="10" t="n">
        <v>1385</v>
      </c>
      <c r="B1389" s="11" t="inlineStr">
        <is>
          <t>DS-10</t>
        </is>
      </c>
      <c r="C1389" s="5" t="inlineStr">
        <is>
          <t>"Nol hari ini" boleh berdampingan dengan "input terakhir beberapa menit lalu"</t>
        </is>
      </c>
      <c r="D1389" s="5" t="inlineStr">
        <is>
          <t>—</t>
        </is>
      </c>
      <c r="E1389" s="5" t="inlineStr">
        <is>
          <t>SPV-A</t>
        </is>
      </c>
      <c r="F1389" s="5"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G1389" s="10" t="inlineStr">
        <is>
          <t>Sedang</t>
        </is>
      </c>
      <c r="H1389" s="18" t="n"/>
      <c r="I1389" s="18" t="n"/>
      <c r="J1389" s="18" t="n"/>
      <c r="K1389" s="18" t="n"/>
      <c r="L1389" s="18" t="n"/>
    </row>
    <row r="1390" ht="70" customHeight="1">
      <c r="A1390" s="14" t="n">
        <v>1386</v>
      </c>
      <c r="B1390" s="16" t="inlineStr">
        <is>
          <t>DS-11</t>
        </is>
      </c>
      <c r="C1390" s="15" t="inlineStr">
        <is>
          <t>Tile mengantar ke Data Browser stasiun yang benar</t>
        </is>
      </c>
      <c r="D1390" s="15" t="inlineStr">
        <is>
          <t>—</t>
        </is>
      </c>
      <c r="E1390" s="15" t="inlineStr">
        <is>
          <t>SPV-A</t>
        </is>
      </c>
      <c r="F1390" s="15" t="inlineStr">
        <is>
          <t>- Setiap tile aktif mendarat di Data Browser stasiun yang sama dengan namanya (/data/&lt;stasiun&gt;).
- Judul layarnya cocok dengan tile yang ditekan.
- Tile tidak aktif tidak berpindah layar dan tidak memunculkan galat.</t>
        </is>
      </c>
      <c r="G1390" s="13" t="inlineStr">
        <is>
          <t>Tinggi</t>
        </is>
      </c>
      <c r="H1390" s="18" t="n"/>
      <c r="I1390" s="18" t="n"/>
      <c r="J1390" s="18" t="n"/>
      <c r="K1390" s="18" t="n"/>
      <c r="L1390" s="18" t="n"/>
    </row>
    <row r="1391" ht="83.19999999999999" customHeight="1">
      <c r="A1391" s="10" t="n">
        <v>1387</v>
      </c>
      <c r="B1391" s="11" t="inlineStr">
        <is>
          <t>DS-12</t>
        </is>
      </c>
      <c r="C1391" s="5" t="inlineStr">
        <is>
          <t>Urutan tile sama antara Web dan Mobile</t>
        </is>
      </c>
      <c r="D1391" s="5" t="inlineStr">
        <is>
          <t>—</t>
        </is>
      </c>
      <c r="E1391" s="5" t="inlineStr">
        <is>
          <t>SPV-A (web) + OPR-A (mobile)</t>
        </is>
      </c>
      <c r="F1391" s="5" t="inlineStr">
        <is>
          <t>- Kedua urutan sama persis, posisi per posisi.
- Keduanya dimulai Weighbridge, lalu Pressing.
- Urutannya bukan alfabetis dan bukan urutan alur proses — ia urutan yang diminta produk.
- Perbedaan urutan mana pun adalah temuan; sebutkan posisi keberapa yang berbeda.</t>
        </is>
      </c>
      <c r="G1391" s="10" t="inlineStr">
        <is>
          <t>Sedang</t>
        </is>
      </c>
      <c r="H1391" s="18" t="n"/>
      <c r="I1391" s="18" t="n"/>
      <c r="J1391" s="18" t="n"/>
      <c r="K1391" s="18" t="n"/>
      <c r="L1391" s="18" t="n"/>
    </row>
    <row r="1392" ht="56.8" customHeight="1">
      <c r="A1392" s="14" t="n">
        <v>1388</v>
      </c>
      <c r="B1392" s="16" t="inlineStr">
        <is>
          <t>MD-KEL-01</t>
        </is>
      </c>
      <c r="C1392" s="15" t="inlineStr">
        <is>
          <t>Tambah data berhasil dan langsung terlihat</t>
        </is>
      </c>
      <c r="D1392" s="17" t="inlineStr">
        <is>
          <t>Corporate</t>
        </is>
      </c>
      <c r="E1392" s="15" t="inlineStr">
        <is>
          <t>ADM</t>
        </is>
      </c>
      <c r="F1392" s="15" t="inlineStr">
        <is>
          <t>- Simpan berhasil dengan pesan konfirmasi.
- Entri baru langsung muncul di daftar — tanpa muat ulang manual.
- Jumlah data bertambah satu.</t>
        </is>
      </c>
      <c r="G1392" s="13" t="inlineStr">
        <is>
          <t>Tinggi</t>
        </is>
      </c>
      <c r="H1392" s="18" t="n"/>
      <c r="I1392" s="18" t="n"/>
      <c r="J1392" s="18" t="n"/>
      <c r="K1392" s="18" t="n"/>
      <c r="L1392" s="18" t="n"/>
    </row>
    <row r="1393" ht="56.8" customHeight="1">
      <c r="A1393" s="10" t="n">
        <v>1389</v>
      </c>
      <c r="B1393" s="11" t="inlineStr">
        <is>
          <t>MD-KEL-01</t>
        </is>
      </c>
      <c r="C1393" s="5" t="inlineStr">
        <is>
          <t>Tambah data berhasil dan langsung terlihat</t>
        </is>
      </c>
      <c r="D1393" s="12" t="inlineStr">
        <is>
          <t>Company</t>
        </is>
      </c>
      <c r="E1393" s="5" t="inlineStr">
        <is>
          <t>ADM</t>
        </is>
      </c>
      <c r="F1393" s="5" t="inlineStr">
        <is>
          <t>- Simpan berhasil dengan pesan konfirmasi.
- Entri baru langsung muncul di daftar — tanpa muat ulang manual.
- Jumlah data bertambah satu.</t>
        </is>
      </c>
      <c r="G1393" s="13" t="inlineStr">
        <is>
          <t>Tinggi</t>
        </is>
      </c>
      <c r="H1393" s="18" t="n"/>
      <c r="I1393" s="18" t="n"/>
      <c r="J1393" s="18" t="n"/>
      <c r="K1393" s="18" t="n"/>
      <c r="L1393" s="18" t="n"/>
    </row>
    <row r="1394" ht="56.8" customHeight="1">
      <c r="A1394" s="14" t="n">
        <v>1390</v>
      </c>
      <c r="B1394" s="16" t="inlineStr">
        <is>
          <t>MD-KEL-01</t>
        </is>
      </c>
      <c r="C1394" s="15" t="inlineStr">
        <is>
          <t>Tambah data berhasil dan langsung terlihat</t>
        </is>
      </c>
      <c r="D1394" s="17" t="inlineStr">
        <is>
          <t>Business Unit</t>
        </is>
      </c>
      <c r="E1394" s="15" t="inlineStr">
        <is>
          <t>ADM</t>
        </is>
      </c>
      <c r="F1394" s="15" t="inlineStr">
        <is>
          <t>- Simpan berhasil dengan pesan konfirmasi.
- Entri baru langsung muncul di daftar — tanpa muat ulang manual.
- Jumlah data bertambah satu.</t>
        </is>
      </c>
      <c r="G1394" s="13" t="inlineStr">
        <is>
          <t>Tinggi</t>
        </is>
      </c>
      <c r="H1394" s="18" t="n"/>
      <c r="I1394" s="18" t="n"/>
      <c r="J1394" s="18" t="n"/>
      <c r="K1394" s="18" t="n"/>
      <c r="L1394" s="18" t="n"/>
    </row>
    <row r="1395" ht="56.8" customHeight="1">
      <c r="A1395" s="10" t="n">
        <v>1391</v>
      </c>
      <c r="B1395" s="11" t="inlineStr">
        <is>
          <t>MD-KEL-01</t>
        </is>
      </c>
      <c r="C1395" s="5" t="inlineStr">
        <is>
          <t>Tambah data berhasil dan langsung terlihat</t>
        </is>
      </c>
      <c r="D1395" s="12" t="inlineStr">
        <is>
          <t>Production Line</t>
        </is>
      </c>
      <c r="E1395" s="5" t="inlineStr">
        <is>
          <t>ADM</t>
        </is>
      </c>
      <c r="F1395" s="5" t="inlineStr">
        <is>
          <t>- Simpan berhasil dengan pesan konfirmasi.
- Entri baru langsung muncul di daftar — tanpa muat ulang manual.
- Jumlah data bertambah satu.</t>
        </is>
      </c>
      <c r="G1395" s="13" t="inlineStr">
        <is>
          <t>Tinggi</t>
        </is>
      </c>
      <c r="H1395" s="18" t="n"/>
      <c r="I1395" s="18" t="n"/>
      <c r="J1395" s="18" t="n"/>
      <c r="K1395" s="18" t="n"/>
      <c r="L1395" s="18" t="n"/>
    </row>
    <row r="1396" ht="56.8" customHeight="1">
      <c r="A1396" s="14" t="n">
        <v>1392</v>
      </c>
      <c r="B1396" s="16" t="inlineStr">
        <is>
          <t>MD-KEL-01</t>
        </is>
      </c>
      <c r="C1396" s="15" t="inlineStr">
        <is>
          <t>Tambah data berhasil dan langsung terlihat</t>
        </is>
      </c>
      <c r="D1396" s="17" t="inlineStr">
        <is>
          <t>Station</t>
        </is>
      </c>
      <c r="E1396" s="15" t="inlineStr">
        <is>
          <t>ADM</t>
        </is>
      </c>
      <c r="F1396" s="15" t="inlineStr">
        <is>
          <t>- Simpan berhasil dengan pesan konfirmasi.
- Entri baru langsung muncul di daftar — tanpa muat ulang manual.
- Jumlah data bertambah satu.</t>
        </is>
      </c>
      <c r="G1396" s="13" t="inlineStr">
        <is>
          <t>Tinggi</t>
        </is>
      </c>
      <c r="H1396" s="18" t="n"/>
      <c r="I1396" s="18" t="n"/>
      <c r="J1396" s="18" t="n"/>
      <c r="K1396" s="18" t="n"/>
      <c r="L1396" s="18" t="n"/>
    </row>
    <row r="1397" ht="56.8" customHeight="1">
      <c r="A1397" s="10" t="n">
        <v>1393</v>
      </c>
      <c r="B1397" s="11" t="inlineStr">
        <is>
          <t>MD-KEL-01</t>
        </is>
      </c>
      <c r="C1397" s="5" t="inlineStr">
        <is>
          <t>Tambah data berhasil dan langsung terlihat</t>
        </is>
      </c>
      <c r="D1397" s="12" t="inlineStr">
        <is>
          <t>Machinery Group</t>
        </is>
      </c>
      <c r="E1397" s="5" t="inlineStr">
        <is>
          <t>ADM</t>
        </is>
      </c>
      <c r="F1397" s="5" t="inlineStr">
        <is>
          <t>- Simpan berhasil dengan pesan konfirmasi.
- Entri baru langsung muncul di daftar — tanpa muat ulang manual.
- Jumlah data bertambah satu.</t>
        </is>
      </c>
      <c r="G1397" s="13" t="inlineStr">
        <is>
          <t>Tinggi</t>
        </is>
      </c>
      <c r="H1397" s="18" t="n"/>
      <c r="I1397" s="18" t="n"/>
      <c r="J1397" s="18" t="n"/>
      <c r="K1397" s="18" t="n"/>
      <c r="L1397" s="18" t="n"/>
    </row>
    <row r="1398" ht="56.8" customHeight="1">
      <c r="A1398" s="14" t="n">
        <v>1394</v>
      </c>
      <c r="B1398" s="16" t="inlineStr">
        <is>
          <t>MD-KEL-01</t>
        </is>
      </c>
      <c r="C1398" s="15" t="inlineStr">
        <is>
          <t>Tambah data berhasil dan langsung terlihat</t>
        </is>
      </c>
      <c r="D1398" s="17" t="inlineStr">
        <is>
          <t>Machinery</t>
        </is>
      </c>
      <c r="E1398" s="15" t="inlineStr">
        <is>
          <t>ADM</t>
        </is>
      </c>
      <c r="F1398" s="15" t="inlineStr">
        <is>
          <t>- Simpan berhasil dengan pesan konfirmasi.
- Entri baru langsung muncul di daftar — tanpa muat ulang manual.
- Jumlah data bertambah satu.</t>
        </is>
      </c>
      <c r="G1398" s="13" t="inlineStr">
        <is>
          <t>Tinggi</t>
        </is>
      </c>
      <c r="H1398" s="18" t="n"/>
      <c r="I1398" s="18" t="n"/>
      <c r="J1398" s="18" t="n"/>
      <c r="K1398" s="18" t="n"/>
      <c r="L1398" s="18" t="n"/>
    </row>
    <row r="1399" ht="56.8" customHeight="1">
      <c r="A1399" s="10" t="n">
        <v>1395</v>
      </c>
      <c r="B1399" s="11" t="inlineStr">
        <is>
          <t>MD-KEL-01</t>
        </is>
      </c>
      <c r="C1399" s="5" t="inlineStr">
        <is>
          <t>Tambah data berhasil dan langsung terlihat</t>
        </is>
      </c>
      <c r="D1399" s="12" t="inlineStr">
        <is>
          <t>User &amp; Role</t>
        </is>
      </c>
      <c r="E1399" s="5" t="inlineStr">
        <is>
          <t>ADM</t>
        </is>
      </c>
      <c r="F1399" s="5" t="inlineStr">
        <is>
          <t>- Simpan berhasil dengan pesan konfirmasi.
- Entri baru langsung muncul di daftar — tanpa muat ulang manual.
- Jumlah data bertambah satu.</t>
        </is>
      </c>
      <c r="G1399" s="13" t="inlineStr">
        <is>
          <t>Tinggi</t>
        </is>
      </c>
      <c r="H1399" s="18" t="n"/>
      <c r="I1399" s="18" t="n"/>
      <c r="J1399" s="18" t="n"/>
      <c r="K1399" s="18" t="n"/>
      <c r="L1399" s="18" t="n"/>
    </row>
    <row r="1400" ht="56.8" customHeight="1">
      <c r="A1400" s="14" t="n">
        <v>1396</v>
      </c>
      <c r="B1400" s="16" t="inlineStr">
        <is>
          <t>MD-KEL-02</t>
        </is>
      </c>
      <c r="C1400" s="15" t="inlineStr">
        <is>
          <t>Kolom wajib divalidasi di sebelah kolomnya</t>
        </is>
      </c>
      <c r="D1400" s="17" t="inlineStr">
        <is>
          <t>Corporate</t>
        </is>
      </c>
      <c r="E1400" s="15" t="inlineStr">
        <is>
          <t>ADM</t>
        </is>
      </c>
      <c r="F1400" s="15" t="inlineStr">
        <is>
          <t>- Setiap kali ditolak; data tidak tersimpan.
- Pesan galat muncul di sebelah kolom yang bersangkutan — bukan satu pesan umum di atas form.
- Isi kolom lain tidak hilang.</t>
        </is>
      </c>
      <c r="G1400" s="13" t="inlineStr">
        <is>
          <t>Tinggi</t>
        </is>
      </c>
      <c r="H1400" s="18" t="n"/>
      <c r="I1400" s="18" t="n"/>
      <c r="J1400" s="18" t="n"/>
      <c r="K1400" s="18" t="n"/>
      <c r="L1400" s="18" t="n"/>
    </row>
    <row r="1401" ht="56.8" customHeight="1">
      <c r="A1401" s="10" t="n">
        <v>1397</v>
      </c>
      <c r="B1401" s="11" t="inlineStr">
        <is>
          <t>MD-KEL-02</t>
        </is>
      </c>
      <c r="C1401" s="5" t="inlineStr">
        <is>
          <t>Kolom wajib divalidasi di sebelah kolomnya</t>
        </is>
      </c>
      <c r="D1401" s="12" t="inlineStr">
        <is>
          <t>Company</t>
        </is>
      </c>
      <c r="E1401" s="5" t="inlineStr">
        <is>
          <t>ADM</t>
        </is>
      </c>
      <c r="F1401" s="5" t="inlineStr">
        <is>
          <t>- Setiap kali ditolak; data tidak tersimpan.
- Pesan galat muncul di sebelah kolom yang bersangkutan — bukan satu pesan umum di atas form.
- Isi kolom lain tidak hilang.</t>
        </is>
      </c>
      <c r="G1401" s="13" t="inlineStr">
        <is>
          <t>Tinggi</t>
        </is>
      </c>
      <c r="H1401" s="18" t="n"/>
      <c r="I1401" s="18" t="n"/>
      <c r="J1401" s="18" t="n"/>
      <c r="K1401" s="18" t="n"/>
      <c r="L1401" s="18" t="n"/>
    </row>
    <row r="1402" ht="56.8" customHeight="1">
      <c r="A1402" s="14" t="n">
        <v>1398</v>
      </c>
      <c r="B1402" s="16" t="inlineStr">
        <is>
          <t>MD-KEL-02</t>
        </is>
      </c>
      <c r="C1402" s="15" t="inlineStr">
        <is>
          <t>Kolom wajib divalidasi di sebelah kolomnya</t>
        </is>
      </c>
      <c r="D1402" s="17" t="inlineStr">
        <is>
          <t>Business Unit</t>
        </is>
      </c>
      <c r="E1402" s="15" t="inlineStr">
        <is>
          <t>ADM</t>
        </is>
      </c>
      <c r="F1402" s="15" t="inlineStr">
        <is>
          <t>- Setiap kali ditolak; data tidak tersimpan.
- Pesan galat muncul di sebelah kolom yang bersangkutan — bukan satu pesan umum di atas form.
- Isi kolom lain tidak hilang.</t>
        </is>
      </c>
      <c r="G1402" s="13" t="inlineStr">
        <is>
          <t>Tinggi</t>
        </is>
      </c>
      <c r="H1402" s="18" t="n"/>
      <c r="I1402" s="18" t="n"/>
      <c r="J1402" s="18" t="n"/>
      <c r="K1402" s="18" t="n"/>
      <c r="L1402" s="18" t="n"/>
    </row>
    <row r="1403" ht="56.8" customHeight="1">
      <c r="A1403" s="10" t="n">
        <v>1399</v>
      </c>
      <c r="B1403" s="11" t="inlineStr">
        <is>
          <t>MD-KEL-02</t>
        </is>
      </c>
      <c r="C1403" s="5" t="inlineStr">
        <is>
          <t>Kolom wajib divalidasi di sebelah kolomnya</t>
        </is>
      </c>
      <c r="D1403" s="12" t="inlineStr">
        <is>
          <t>Production Line</t>
        </is>
      </c>
      <c r="E1403" s="5" t="inlineStr">
        <is>
          <t>ADM</t>
        </is>
      </c>
      <c r="F1403" s="5" t="inlineStr">
        <is>
          <t>- Setiap kali ditolak; data tidak tersimpan.
- Pesan galat muncul di sebelah kolom yang bersangkutan — bukan satu pesan umum di atas form.
- Isi kolom lain tidak hilang.</t>
        </is>
      </c>
      <c r="G1403" s="13" t="inlineStr">
        <is>
          <t>Tinggi</t>
        </is>
      </c>
      <c r="H1403" s="18" t="n"/>
      <c r="I1403" s="18" t="n"/>
      <c r="J1403" s="18" t="n"/>
      <c r="K1403" s="18" t="n"/>
      <c r="L1403" s="18" t="n"/>
    </row>
    <row r="1404" ht="56.8" customHeight="1">
      <c r="A1404" s="14" t="n">
        <v>1400</v>
      </c>
      <c r="B1404" s="16" t="inlineStr">
        <is>
          <t>MD-KEL-02</t>
        </is>
      </c>
      <c r="C1404" s="15" t="inlineStr">
        <is>
          <t>Kolom wajib divalidasi di sebelah kolomnya</t>
        </is>
      </c>
      <c r="D1404" s="17" t="inlineStr">
        <is>
          <t>Station</t>
        </is>
      </c>
      <c r="E1404" s="15" t="inlineStr">
        <is>
          <t>ADM</t>
        </is>
      </c>
      <c r="F1404" s="15" t="inlineStr">
        <is>
          <t>- Setiap kali ditolak; data tidak tersimpan.
- Pesan galat muncul di sebelah kolom yang bersangkutan — bukan satu pesan umum di atas form.
- Isi kolom lain tidak hilang.</t>
        </is>
      </c>
      <c r="G1404" s="13" t="inlineStr">
        <is>
          <t>Tinggi</t>
        </is>
      </c>
      <c r="H1404" s="18" t="n"/>
      <c r="I1404" s="18" t="n"/>
      <c r="J1404" s="18" t="n"/>
      <c r="K1404" s="18" t="n"/>
      <c r="L1404" s="18" t="n"/>
    </row>
    <row r="1405" ht="56.8" customHeight="1">
      <c r="A1405" s="10" t="n">
        <v>1401</v>
      </c>
      <c r="B1405" s="11" t="inlineStr">
        <is>
          <t>MD-KEL-02</t>
        </is>
      </c>
      <c r="C1405" s="5" t="inlineStr">
        <is>
          <t>Kolom wajib divalidasi di sebelah kolomnya</t>
        </is>
      </c>
      <c r="D1405" s="12" t="inlineStr">
        <is>
          <t>Machinery Group</t>
        </is>
      </c>
      <c r="E1405" s="5" t="inlineStr">
        <is>
          <t>ADM</t>
        </is>
      </c>
      <c r="F1405" s="5" t="inlineStr">
        <is>
          <t>- Setiap kali ditolak; data tidak tersimpan.
- Pesan galat muncul di sebelah kolom yang bersangkutan — bukan satu pesan umum di atas form.
- Isi kolom lain tidak hilang.</t>
        </is>
      </c>
      <c r="G1405" s="13" t="inlineStr">
        <is>
          <t>Tinggi</t>
        </is>
      </c>
      <c r="H1405" s="18" t="n"/>
      <c r="I1405" s="18" t="n"/>
      <c r="J1405" s="18" t="n"/>
      <c r="K1405" s="18" t="n"/>
      <c r="L1405" s="18" t="n"/>
    </row>
    <row r="1406" ht="56.8" customHeight="1">
      <c r="A1406" s="14" t="n">
        <v>1402</v>
      </c>
      <c r="B1406" s="16" t="inlineStr">
        <is>
          <t>MD-KEL-02</t>
        </is>
      </c>
      <c r="C1406" s="15" t="inlineStr">
        <is>
          <t>Kolom wajib divalidasi di sebelah kolomnya</t>
        </is>
      </c>
      <c r="D1406" s="17" t="inlineStr">
        <is>
          <t>Machinery</t>
        </is>
      </c>
      <c r="E1406" s="15" t="inlineStr">
        <is>
          <t>ADM</t>
        </is>
      </c>
      <c r="F1406" s="15" t="inlineStr">
        <is>
          <t>- Setiap kali ditolak; data tidak tersimpan.
- Pesan galat muncul di sebelah kolom yang bersangkutan — bukan satu pesan umum di atas form.
- Isi kolom lain tidak hilang.</t>
        </is>
      </c>
      <c r="G1406" s="13" t="inlineStr">
        <is>
          <t>Tinggi</t>
        </is>
      </c>
      <c r="H1406" s="18" t="n"/>
      <c r="I1406" s="18" t="n"/>
      <c r="J1406" s="18" t="n"/>
      <c r="K1406" s="18" t="n"/>
      <c r="L1406" s="18" t="n"/>
    </row>
    <row r="1407" ht="56.8" customHeight="1">
      <c r="A1407" s="10" t="n">
        <v>1403</v>
      </c>
      <c r="B1407" s="11" t="inlineStr">
        <is>
          <t>MD-KEL-02</t>
        </is>
      </c>
      <c r="C1407" s="5" t="inlineStr">
        <is>
          <t>Kolom wajib divalidasi di sebelah kolomnya</t>
        </is>
      </c>
      <c r="D1407" s="12" t="inlineStr">
        <is>
          <t>User &amp; Role</t>
        </is>
      </c>
      <c r="E1407" s="5" t="inlineStr">
        <is>
          <t>ADM</t>
        </is>
      </c>
      <c r="F1407" s="5" t="inlineStr">
        <is>
          <t>- Setiap kali ditolak; data tidak tersimpan.
- Pesan galat muncul di sebelah kolom yang bersangkutan — bukan satu pesan umum di atas form.
- Isi kolom lain tidak hilang.</t>
        </is>
      </c>
      <c r="G1407" s="13" t="inlineStr">
        <is>
          <t>Tinggi</t>
        </is>
      </c>
      <c r="H1407" s="18" t="n"/>
      <c r="I1407" s="18" t="n"/>
      <c r="J1407" s="18" t="n"/>
      <c r="K1407" s="18" t="n"/>
      <c r="L1407" s="18" t="n"/>
    </row>
    <row r="1408" ht="43.59999999999999" customHeight="1">
      <c r="A1408" s="14" t="n">
        <v>1404</v>
      </c>
      <c r="B1408" s="16" t="inlineStr">
        <is>
          <t>MD-KEL-03</t>
        </is>
      </c>
      <c r="C1408" s="15" t="inlineStr">
        <is>
          <t>Nama kembar ditolak, tidak peduli huruf besar-kecil</t>
        </is>
      </c>
      <c r="D1408" s="17" t="inlineStr">
        <is>
          <t>Corporate</t>
        </is>
      </c>
      <c r="E1408" s="15" t="inlineStr">
        <is>
          <t>ADM</t>
        </is>
      </c>
      <c r="F1408" s="15" t="inlineStr">
        <is>
          <t>- Langkah 2, 3, dan 4 semuanya ditolak.
- Pesannya menyebut bahwa namanya sudah dipakai.
- Hanya satu entri yang ada di daftar.</t>
        </is>
      </c>
      <c r="G1408" s="13" t="inlineStr">
        <is>
          <t>Tinggi</t>
        </is>
      </c>
      <c r="H1408" s="18" t="n"/>
      <c r="I1408" s="18" t="n"/>
      <c r="J1408" s="18" t="n"/>
      <c r="K1408" s="18" t="n"/>
      <c r="L1408" s="18" t="n"/>
    </row>
    <row r="1409" ht="43.59999999999999" customHeight="1">
      <c r="A1409" s="10" t="n">
        <v>1405</v>
      </c>
      <c r="B1409" s="11" t="inlineStr">
        <is>
          <t>MD-KEL-03</t>
        </is>
      </c>
      <c r="C1409" s="5" t="inlineStr">
        <is>
          <t>Nama kembar ditolak, tidak peduli huruf besar-kecil</t>
        </is>
      </c>
      <c r="D1409" s="12" t="inlineStr">
        <is>
          <t>Company</t>
        </is>
      </c>
      <c r="E1409" s="5" t="inlineStr">
        <is>
          <t>ADM</t>
        </is>
      </c>
      <c r="F1409" s="5" t="inlineStr">
        <is>
          <t>- Langkah 2, 3, dan 4 semuanya ditolak.
- Pesannya menyebut bahwa namanya sudah dipakai.
- Hanya satu entri yang ada di daftar.</t>
        </is>
      </c>
      <c r="G1409" s="13" t="inlineStr">
        <is>
          <t>Tinggi</t>
        </is>
      </c>
      <c r="H1409" s="18" t="n"/>
      <c r="I1409" s="18" t="n"/>
      <c r="J1409" s="18" t="n"/>
      <c r="K1409" s="18" t="n"/>
      <c r="L1409" s="18" t="n"/>
    </row>
    <row r="1410" ht="43.59999999999999" customHeight="1">
      <c r="A1410" s="14" t="n">
        <v>1406</v>
      </c>
      <c r="B1410" s="16" t="inlineStr">
        <is>
          <t>MD-KEL-03</t>
        </is>
      </c>
      <c r="C1410" s="15" t="inlineStr">
        <is>
          <t>Nama kembar ditolak, tidak peduli huruf besar-kecil</t>
        </is>
      </c>
      <c r="D1410" s="17" t="inlineStr">
        <is>
          <t>Business Unit</t>
        </is>
      </c>
      <c r="E1410" s="15" t="inlineStr">
        <is>
          <t>ADM</t>
        </is>
      </c>
      <c r="F1410" s="15" t="inlineStr">
        <is>
          <t>- Langkah 2, 3, dan 4 semuanya ditolak.
- Pesannya menyebut bahwa namanya sudah dipakai.
- Hanya satu entri yang ada di daftar.</t>
        </is>
      </c>
      <c r="G1410" s="13" t="inlineStr">
        <is>
          <t>Tinggi</t>
        </is>
      </c>
      <c r="H1410" s="18" t="n"/>
      <c r="I1410" s="18" t="n"/>
      <c r="J1410" s="18" t="n"/>
      <c r="K1410" s="18" t="n"/>
      <c r="L1410" s="18" t="n"/>
    </row>
    <row r="1411" ht="43.59999999999999" customHeight="1">
      <c r="A1411" s="10" t="n">
        <v>1407</v>
      </c>
      <c r="B1411" s="11" t="inlineStr">
        <is>
          <t>MD-KEL-03</t>
        </is>
      </c>
      <c r="C1411" s="5" t="inlineStr">
        <is>
          <t>Nama kembar ditolak, tidak peduli huruf besar-kecil</t>
        </is>
      </c>
      <c r="D1411" s="12" t="inlineStr">
        <is>
          <t>Production Line</t>
        </is>
      </c>
      <c r="E1411" s="5" t="inlineStr">
        <is>
          <t>ADM</t>
        </is>
      </c>
      <c r="F1411" s="5" t="inlineStr">
        <is>
          <t>- Langkah 2, 3, dan 4 semuanya ditolak.
- Pesannya menyebut bahwa namanya sudah dipakai.
- Hanya satu entri yang ada di daftar.</t>
        </is>
      </c>
      <c r="G1411" s="13" t="inlineStr">
        <is>
          <t>Tinggi</t>
        </is>
      </c>
      <c r="H1411" s="18" t="n"/>
      <c r="I1411" s="18" t="n"/>
      <c r="J1411" s="18" t="n"/>
      <c r="K1411" s="18" t="n"/>
      <c r="L1411" s="18" t="n"/>
    </row>
    <row r="1412" ht="43.59999999999999" customHeight="1">
      <c r="A1412" s="14" t="n">
        <v>1408</v>
      </c>
      <c r="B1412" s="16" t="inlineStr">
        <is>
          <t>MD-KEL-03</t>
        </is>
      </c>
      <c r="C1412" s="15" t="inlineStr">
        <is>
          <t>Nama kembar ditolak, tidak peduli huruf besar-kecil</t>
        </is>
      </c>
      <c r="D1412" s="17" t="inlineStr">
        <is>
          <t>Station</t>
        </is>
      </c>
      <c r="E1412" s="15" t="inlineStr">
        <is>
          <t>ADM</t>
        </is>
      </c>
      <c r="F1412" s="15" t="inlineStr">
        <is>
          <t>- Langkah 2, 3, dan 4 semuanya ditolak.
- Pesannya menyebut bahwa namanya sudah dipakai.
- Hanya satu entri yang ada di daftar.</t>
        </is>
      </c>
      <c r="G1412" s="13" t="inlineStr">
        <is>
          <t>Tinggi</t>
        </is>
      </c>
      <c r="H1412" s="18" t="n"/>
      <c r="I1412" s="18" t="n"/>
      <c r="J1412" s="18" t="n"/>
      <c r="K1412" s="18" t="n"/>
      <c r="L1412" s="18" t="n"/>
    </row>
    <row r="1413" ht="43.59999999999999" customHeight="1">
      <c r="A1413" s="10" t="n">
        <v>1409</v>
      </c>
      <c r="B1413" s="11" t="inlineStr">
        <is>
          <t>MD-KEL-03</t>
        </is>
      </c>
      <c r="C1413" s="5" t="inlineStr">
        <is>
          <t>Nama kembar ditolak, tidak peduli huruf besar-kecil</t>
        </is>
      </c>
      <c r="D1413" s="12" t="inlineStr">
        <is>
          <t>Machinery Group</t>
        </is>
      </c>
      <c r="E1413" s="5" t="inlineStr">
        <is>
          <t>ADM</t>
        </is>
      </c>
      <c r="F1413" s="5" t="inlineStr">
        <is>
          <t>- Langkah 2, 3, dan 4 semuanya ditolak.
- Pesannya menyebut bahwa namanya sudah dipakai.
- Hanya satu entri yang ada di daftar.</t>
        </is>
      </c>
      <c r="G1413" s="13" t="inlineStr">
        <is>
          <t>Tinggi</t>
        </is>
      </c>
      <c r="H1413" s="18" t="n"/>
      <c r="I1413" s="18" t="n"/>
      <c r="J1413" s="18" t="n"/>
      <c r="K1413" s="18" t="n"/>
      <c r="L1413" s="18" t="n"/>
    </row>
    <row r="1414" ht="43.59999999999999" customHeight="1">
      <c r="A1414" s="14" t="n">
        <v>1410</v>
      </c>
      <c r="B1414" s="16" t="inlineStr">
        <is>
          <t>MD-KEL-03</t>
        </is>
      </c>
      <c r="C1414" s="15" t="inlineStr">
        <is>
          <t>Nama kembar ditolak, tidak peduli huruf besar-kecil</t>
        </is>
      </c>
      <c r="D1414" s="17" t="inlineStr">
        <is>
          <t>Machinery</t>
        </is>
      </c>
      <c r="E1414" s="15" t="inlineStr">
        <is>
          <t>ADM</t>
        </is>
      </c>
      <c r="F1414" s="15" t="inlineStr">
        <is>
          <t>- Langkah 2, 3, dan 4 semuanya ditolak.
- Pesannya menyebut bahwa namanya sudah dipakai.
- Hanya satu entri yang ada di daftar.</t>
        </is>
      </c>
      <c r="G1414" s="13" t="inlineStr">
        <is>
          <t>Tinggi</t>
        </is>
      </c>
      <c r="H1414" s="18" t="n"/>
      <c r="I1414" s="18" t="n"/>
      <c r="J1414" s="18" t="n"/>
      <c r="K1414" s="18" t="n"/>
      <c r="L1414" s="18" t="n"/>
    </row>
    <row r="1415" ht="43.59999999999999" customHeight="1">
      <c r="A1415" s="10" t="n">
        <v>1411</v>
      </c>
      <c r="B1415" s="11" t="inlineStr">
        <is>
          <t>MD-KEL-03</t>
        </is>
      </c>
      <c r="C1415" s="5" t="inlineStr">
        <is>
          <t>Nama kembar ditolak, tidak peduli huruf besar-kecil</t>
        </is>
      </c>
      <c r="D1415" s="12" t="inlineStr">
        <is>
          <t>User &amp; Role</t>
        </is>
      </c>
      <c r="E1415" s="5" t="inlineStr">
        <is>
          <t>ADM</t>
        </is>
      </c>
      <c r="F1415" s="5" t="inlineStr">
        <is>
          <t>- Langkah 2, 3, dan 4 semuanya ditolak.
- Pesannya menyebut bahwa namanya sudah dipakai.
- Hanya satu entri yang ada di daftar.</t>
        </is>
      </c>
      <c r="G1415" s="13" t="inlineStr">
        <is>
          <t>Tinggi</t>
        </is>
      </c>
      <c r="H1415" s="18" t="n"/>
      <c r="I1415" s="18" t="n"/>
      <c r="J1415" s="18" t="n"/>
      <c r="K1415" s="18" t="n"/>
      <c r="L1415" s="18" t="n"/>
    </row>
    <row r="1416" ht="122.8" customHeight="1">
      <c r="A1416" s="14" t="n">
        <v>1412</v>
      </c>
      <c r="B1416" s="16" t="inlineStr">
        <is>
          <t>MD-KEL-04</t>
        </is>
      </c>
      <c r="C1416" s="15" t="inlineStr">
        <is>
          <t>Induk wajib dipilih</t>
        </is>
      </c>
      <c r="D1416" s="17" t="inlineStr">
        <is>
          <t>Corporate</t>
        </is>
      </c>
      <c r="E1416" s="15" t="inlineStr">
        <is>
          <t>ADM</t>
        </is>
      </c>
      <c r="F1416" s="1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G1416" s="13" t="inlineStr">
        <is>
          <t>Tinggi</t>
        </is>
      </c>
      <c r="H1416" s="18" t="n"/>
      <c r="I1416" s="18" t="n"/>
      <c r="J1416" s="18" t="n"/>
      <c r="K1416" s="18" t="n"/>
      <c r="L1416" s="18" t="n"/>
    </row>
    <row r="1417" ht="122.8" customHeight="1">
      <c r="A1417" s="10" t="n">
        <v>1413</v>
      </c>
      <c r="B1417" s="11" t="inlineStr">
        <is>
          <t>MD-KEL-04</t>
        </is>
      </c>
      <c r="C1417" s="5" t="inlineStr">
        <is>
          <t>Induk wajib dipilih</t>
        </is>
      </c>
      <c r="D1417" s="12" t="inlineStr">
        <is>
          <t>Company</t>
        </is>
      </c>
      <c r="E1417" s="5" t="inlineStr">
        <is>
          <t>ADM</t>
        </is>
      </c>
      <c r="F1417"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G1417" s="13" t="inlineStr">
        <is>
          <t>Tinggi</t>
        </is>
      </c>
      <c r="H1417" s="18" t="n"/>
      <c r="I1417" s="18" t="n"/>
      <c r="J1417" s="18" t="n"/>
      <c r="K1417" s="18" t="n"/>
      <c r="L1417" s="18" t="n"/>
    </row>
    <row r="1418" ht="122.8" customHeight="1">
      <c r="A1418" s="14" t="n">
        <v>1414</v>
      </c>
      <c r="B1418" s="16" t="inlineStr">
        <is>
          <t>MD-KEL-04</t>
        </is>
      </c>
      <c r="C1418" s="15" t="inlineStr">
        <is>
          <t>Induk wajib dipilih</t>
        </is>
      </c>
      <c r="D1418" s="17" t="inlineStr">
        <is>
          <t>Business Unit</t>
        </is>
      </c>
      <c r="E1418" s="15" t="inlineStr">
        <is>
          <t>ADM</t>
        </is>
      </c>
      <c r="F1418" s="1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G1418" s="13" t="inlineStr">
        <is>
          <t>Tinggi</t>
        </is>
      </c>
      <c r="H1418" s="18" t="n"/>
      <c r="I1418" s="18" t="n"/>
      <c r="J1418" s="18" t="n"/>
      <c r="K1418" s="18" t="n"/>
      <c r="L1418" s="18" t="n"/>
    </row>
    <row r="1419" ht="122.8" customHeight="1">
      <c r="A1419" s="10" t="n">
        <v>1415</v>
      </c>
      <c r="B1419" s="11" t="inlineStr">
        <is>
          <t>MD-KEL-04</t>
        </is>
      </c>
      <c r="C1419" s="5" t="inlineStr">
        <is>
          <t>Induk wajib dipilih</t>
        </is>
      </c>
      <c r="D1419" s="12" t="inlineStr">
        <is>
          <t>Production Line</t>
        </is>
      </c>
      <c r="E1419" s="5" t="inlineStr">
        <is>
          <t>ADM</t>
        </is>
      </c>
      <c r="F1419"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G1419" s="13" t="inlineStr">
        <is>
          <t>Tinggi</t>
        </is>
      </c>
      <c r="H1419" s="18" t="n"/>
      <c r="I1419" s="18" t="n"/>
      <c r="J1419" s="18" t="n"/>
      <c r="K1419" s="18" t="n"/>
      <c r="L1419" s="18" t="n"/>
    </row>
    <row r="1420" ht="122.8" customHeight="1">
      <c r="A1420" s="14" t="n">
        <v>1416</v>
      </c>
      <c r="B1420" s="16" t="inlineStr">
        <is>
          <t>MD-KEL-04</t>
        </is>
      </c>
      <c r="C1420" s="15" t="inlineStr">
        <is>
          <t>Induk wajib dipilih</t>
        </is>
      </c>
      <c r="D1420" s="17" t="inlineStr">
        <is>
          <t>Station</t>
        </is>
      </c>
      <c r="E1420" s="15" t="inlineStr">
        <is>
          <t>ADM</t>
        </is>
      </c>
      <c r="F1420" s="1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G1420" s="13" t="inlineStr">
        <is>
          <t>Tinggi</t>
        </is>
      </c>
      <c r="H1420" s="18" t="n"/>
      <c r="I1420" s="18" t="n"/>
      <c r="J1420" s="18" t="n"/>
      <c r="K1420" s="18" t="n"/>
      <c r="L1420" s="18" t="n"/>
    </row>
    <row r="1421" ht="122.8" customHeight="1">
      <c r="A1421" s="10" t="n">
        <v>1417</v>
      </c>
      <c r="B1421" s="11" t="inlineStr">
        <is>
          <t>MD-KEL-04</t>
        </is>
      </c>
      <c r="C1421" s="5" t="inlineStr">
        <is>
          <t>Induk wajib dipilih</t>
        </is>
      </c>
      <c r="D1421" s="12" t="inlineStr">
        <is>
          <t>Machinery Group</t>
        </is>
      </c>
      <c r="E1421" s="5" t="inlineStr">
        <is>
          <t>ADM</t>
        </is>
      </c>
      <c r="F1421"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G1421" s="13" t="inlineStr">
        <is>
          <t>Tinggi</t>
        </is>
      </c>
      <c r="H1421" s="18" t="n"/>
      <c r="I1421" s="18" t="n"/>
      <c r="J1421" s="18" t="n"/>
      <c r="K1421" s="18" t="n"/>
      <c r="L1421" s="18" t="n"/>
    </row>
    <row r="1422" ht="122.8" customHeight="1">
      <c r="A1422" s="14" t="n">
        <v>1418</v>
      </c>
      <c r="B1422" s="16" t="inlineStr">
        <is>
          <t>MD-KEL-04</t>
        </is>
      </c>
      <c r="C1422" s="15" t="inlineStr">
        <is>
          <t>Induk wajib dipilih</t>
        </is>
      </c>
      <c r="D1422" s="17" t="inlineStr">
        <is>
          <t>Machinery</t>
        </is>
      </c>
      <c r="E1422" s="15" t="inlineStr">
        <is>
          <t>ADM</t>
        </is>
      </c>
      <c r="F1422" s="1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G1422" s="13" t="inlineStr">
        <is>
          <t>Tinggi</t>
        </is>
      </c>
      <c r="H1422" s="18" t="n"/>
      <c r="I1422" s="18" t="n"/>
      <c r="J1422" s="18" t="n"/>
      <c r="K1422" s="18" t="n"/>
      <c r="L1422" s="18" t="n"/>
    </row>
    <row r="1423" ht="122.8" customHeight="1">
      <c r="A1423" s="10" t="n">
        <v>1419</v>
      </c>
      <c r="B1423" s="11" t="inlineStr">
        <is>
          <t>MD-KEL-04</t>
        </is>
      </c>
      <c r="C1423" s="5" t="inlineStr">
        <is>
          <t>Induk wajib dipilih</t>
        </is>
      </c>
      <c r="D1423" s="12" t="inlineStr">
        <is>
          <t>User &amp; Role</t>
        </is>
      </c>
      <c r="E1423" s="5" t="inlineStr">
        <is>
          <t>ADM</t>
        </is>
      </c>
      <c r="F1423" s="5" t="inlineStr">
        <is>
          <t>- Ditolak dengan pesan validasi yang menunjuk kolom induk.
- TIDAK ADA galat teknis: bukan stack trace, bukan "SQLSTATE", bukan "Server Error", bukan halaman 500.
- Pesannya berbahasa Indonesia dan menyebut kolom induknya.
- Pernah ada bug di sini yang memunculkan galat teknis — perhatikan bentuk pesannya, bukan hanya bahwa ia ditolak.</t>
        </is>
      </c>
      <c r="G1423" s="13" t="inlineStr">
        <is>
          <t>Tinggi</t>
        </is>
      </c>
      <c r="H1423" s="18" t="n"/>
      <c r="I1423" s="18" t="n"/>
      <c r="J1423" s="18" t="n"/>
      <c r="K1423" s="18" t="n"/>
      <c r="L1423" s="18" t="n"/>
    </row>
    <row r="1424" ht="83.19999999999999" customHeight="1">
      <c r="A1424" s="14" t="n">
        <v>1420</v>
      </c>
      <c r="B1424" s="16" t="inlineStr">
        <is>
          <t>MD-KEL-05</t>
        </is>
      </c>
      <c r="C1424" s="15" t="inlineStr">
        <is>
          <t>Nama kembar diperiksa dalam lingkup induknya</t>
        </is>
      </c>
      <c r="D1424" s="17" t="inlineStr">
        <is>
          <t>Corporate</t>
        </is>
      </c>
      <c r="E1424" s="15" t="inlineStr">
        <is>
          <t>ADM</t>
        </is>
      </c>
      <c r="F1424" s="15" t="inlineStr">
        <is>
          <t>- Langkah 3 berhasil — nama yang sama sah di induk yang berbeda.
- Langkah 4 ditolak — nama kembar di induk yang sama tidak boleh.
- Daftar memuat dua PT Sama, masing-masing dengan induk berbeda, dan induknya terlihat di daftar.</t>
        </is>
      </c>
      <c r="G1424" s="14" t="inlineStr">
        <is>
          <t>Sedang</t>
        </is>
      </c>
      <c r="H1424" s="18" t="n"/>
      <c r="I1424" s="18" t="n"/>
      <c r="J1424" s="18" t="n"/>
      <c r="K1424" s="18" t="n"/>
      <c r="L1424" s="18" t="n"/>
    </row>
    <row r="1425" ht="83.19999999999999" customHeight="1">
      <c r="A1425" s="10" t="n">
        <v>1421</v>
      </c>
      <c r="B1425" s="11" t="inlineStr">
        <is>
          <t>MD-KEL-05</t>
        </is>
      </c>
      <c r="C1425" s="5" t="inlineStr">
        <is>
          <t>Nama kembar diperiksa dalam lingkup induknya</t>
        </is>
      </c>
      <c r="D1425" s="12" t="inlineStr">
        <is>
          <t>Company</t>
        </is>
      </c>
      <c r="E1425" s="5" t="inlineStr">
        <is>
          <t>ADM</t>
        </is>
      </c>
      <c r="F1425" s="5" t="inlineStr">
        <is>
          <t>- Langkah 3 berhasil — nama yang sama sah di induk yang berbeda.
- Langkah 4 ditolak — nama kembar di induk yang sama tidak boleh.
- Daftar memuat dua PT Sama, masing-masing dengan induk berbeda, dan induknya terlihat di daftar.</t>
        </is>
      </c>
      <c r="G1425" s="10" t="inlineStr">
        <is>
          <t>Sedang</t>
        </is>
      </c>
      <c r="H1425" s="18" t="n"/>
      <c r="I1425" s="18" t="n"/>
      <c r="J1425" s="18" t="n"/>
      <c r="K1425" s="18" t="n"/>
      <c r="L1425" s="18" t="n"/>
    </row>
    <row r="1426" ht="83.19999999999999" customHeight="1">
      <c r="A1426" s="14" t="n">
        <v>1422</v>
      </c>
      <c r="B1426" s="16" t="inlineStr">
        <is>
          <t>MD-KEL-05</t>
        </is>
      </c>
      <c r="C1426" s="15" t="inlineStr">
        <is>
          <t>Nama kembar diperiksa dalam lingkup induknya</t>
        </is>
      </c>
      <c r="D1426" s="17" t="inlineStr">
        <is>
          <t>Business Unit</t>
        </is>
      </c>
      <c r="E1426" s="15" t="inlineStr">
        <is>
          <t>ADM</t>
        </is>
      </c>
      <c r="F1426" s="15" t="inlineStr">
        <is>
          <t>- Langkah 3 berhasil — nama yang sama sah di induk yang berbeda.
- Langkah 4 ditolak — nama kembar di induk yang sama tidak boleh.
- Daftar memuat dua PT Sama, masing-masing dengan induk berbeda, dan induknya terlihat di daftar.</t>
        </is>
      </c>
      <c r="G1426" s="14" t="inlineStr">
        <is>
          <t>Sedang</t>
        </is>
      </c>
      <c r="H1426" s="18" t="n"/>
      <c r="I1426" s="18" t="n"/>
      <c r="J1426" s="18" t="n"/>
      <c r="K1426" s="18" t="n"/>
      <c r="L1426" s="18" t="n"/>
    </row>
    <row r="1427" ht="83.19999999999999" customHeight="1">
      <c r="A1427" s="10" t="n">
        <v>1423</v>
      </c>
      <c r="B1427" s="11" t="inlineStr">
        <is>
          <t>MD-KEL-05</t>
        </is>
      </c>
      <c r="C1427" s="5" t="inlineStr">
        <is>
          <t>Nama kembar diperiksa dalam lingkup induknya</t>
        </is>
      </c>
      <c r="D1427" s="12" t="inlineStr">
        <is>
          <t>Production Line</t>
        </is>
      </c>
      <c r="E1427" s="5" t="inlineStr">
        <is>
          <t>ADM</t>
        </is>
      </c>
      <c r="F1427" s="5" t="inlineStr">
        <is>
          <t>- Langkah 3 berhasil — nama yang sama sah di induk yang berbeda.
- Langkah 4 ditolak — nama kembar di induk yang sama tidak boleh.
- Daftar memuat dua PT Sama, masing-masing dengan induk berbeda, dan induknya terlihat di daftar.</t>
        </is>
      </c>
      <c r="G1427" s="10" t="inlineStr">
        <is>
          <t>Sedang</t>
        </is>
      </c>
      <c r="H1427" s="18" t="n"/>
      <c r="I1427" s="18" t="n"/>
      <c r="J1427" s="18" t="n"/>
      <c r="K1427" s="18" t="n"/>
      <c r="L1427" s="18" t="n"/>
    </row>
    <row r="1428" ht="83.19999999999999" customHeight="1">
      <c r="A1428" s="14" t="n">
        <v>1424</v>
      </c>
      <c r="B1428" s="16" t="inlineStr">
        <is>
          <t>MD-KEL-05</t>
        </is>
      </c>
      <c r="C1428" s="15" t="inlineStr">
        <is>
          <t>Nama kembar diperiksa dalam lingkup induknya</t>
        </is>
      </c>
      <c r="D1428" s="17" t="inlineStr">
        <is>
          <t>Station</t>
        </is>
      </c>
      <c r="E1428" s="15" t="inlineStr">
        <is>
          <t>ADM</t>
        </is>
      </c>
      <c r="F1428" s="15" t="inlineStr">
        <is>
          <t>- Langkah 3 berhasil — nama yang sama sah di induk yang berbeda.
- Langkah 4 ditolak — nama kembar di induk yang sama tidak boleh.
- Daftar memuat dua PT Sama, masing-masing dengan induk berbeda, dan induknya terlihat di daftar.</t>
        </is>
      </c>
      <c r="G1428" s="14" t="inlineStr">
        <is>
          <t>Sedang</t>
        </is>
      </c>
      <c r="H1428" s="18" t="n"/>
      <c r="I1428" s="18" t="n"/>
      <c r="J1428" s="18" t="n"/>
      <c r="K1428" s="18" t="n"/>
      <c r="L1428" s="18" t="n"/>
    </row>
    <row r="1429" ht="83.19999999999999" customHeight="1">
      <c r="A1429" s="10" t="n">
        <v>1425</v>
      </c>
      <c r="B1429" s="11" t="inlineStr">
        <is>
          <t>MD-KEL-05</t>
        </is>
      </c>
      <c r="C1429" s="5" t="inlineStr">
        <is>
          <t>Nama kembar diperiksa dalam lingkup induknya</t>
        </is>
      </c>
      <c r="D1429" s="12" t="inlineStr">
        <is>
          <t>Machinery Group</t>
        </is>
      </c>
      <c r="E1429" s="5" t="inlineStr">
        <is>
          <t>ADM</t>
        </is>
      </c>
      <c r="F1429" s="5" t="inlineStr">
        <is>
          <t>- Langkah 3 berhasil — nama yang sama sah di induk yang berbeda.
- Langkah 4 ditolak — nama kembar di induk yang sama tidak boleh.
- Daftar memuat dua PT Sama, masing-masing dengan induk berbeda, dan induknya terlihat di daftar.</t>
        </is>
      </c>
      <c r="G1429" s="10" t="inlineStr">
        <is>
          <t>Sedang</t>
        </is>
      </c>
      <c r="H1429" s="18" t="n"/>
      <c r="I1429" s="18" t="n"/>
      <c r="J1429" s="18" t="n"/>
      <c r="K1429" s="18" t="n"/>
      <c r="L1429" s="18" t="n"/>
    </row>
    <row r="1430" ht="83.19999999999999" customHeight="1">
      <c r="A1430" s="14" t="n">
        <v>1426</v>
      </c>
      <c r="B1430" s="16" t="inlineStr">
        <is>
          <t>MD-KEL-05</t>
        </is>
      </c>
      <c r="C1430" s="15" t="inlineStr">
        <is>
          <t>Nama kembar diperiksa dalam lingkup induknya</t>
        </is>
      </c>
      <c r="D1430" s="17" t="inlineStr">
        <is>
          <t>Machinery</t>
        </is>
      </c>
      <c r="E1430" s="15" t="inlineStr">
        <is>
          <t>ADM</t>
        </is>
      </c>
      <c r="F1430" s="15" t="inlineStr">
        <is>
          <t>- Langkah 3 berhasil — nama yang sama sah di induk yang berbeda.
- Langkah 4 ditolak — nama kembar di induk yang sama tidak boleh.
- Daftar memuat dua PT Sama, masing-masing dengan induk berbeda, dan induknya terlihat di daftar.</t>
        </is>
      </c>
      <c r="G1430" s="14" t="inlineStr">
        <is>
          <t>Sedang</t>
        </is>
      </c>
      <c r="H1430" s="18" t="n"/>
      <c r="I1430" s="18" t="n"/>
      <c r="J1430" s="18" t="n"/>
      <c r="K1430" s="18" t="n"/>
      <c r="L1430" s="18" t="n"/>
    </row>
    <row r="1431" ht="83.19999999999999" customHeight="1">
      <c r="A1431" s="10" t="n">
        <v>1427</v>
      </c>
      <c r="B1431" s="11" t="inlineStr">
        <is>
          <t>MD-KEL-05</t>
        </is>
      </c>
      <c r="C1431" s="5" t="inlineStr">
        <is>
          <t>Nama kembar diperiksa dalam lingkup induknya</t>
        </is>
      </c>
      <c r="D1431" s="12" t="inlineStr">
        <is>
          <t>User &amp; Role</t>
        </is>
      </c>
      <c r="E1431" s="5" t="inlineStr">
        <is>
          <t>ADM</t>
        </is>
      </c>
      <c r="F1431" s="5" t="inlineStr">
        <is>
          <t>- Langkah 3 berhasil — nama yang sama sah di induk yang berbeda.
- Langkah 4 ditolak — nama kembar di induk yang sama tidak boleh.
- Daftar memuat dua PT Sama, masing-masing dengan induk berbeda, dan induknya terlihat di daftar.</t>
        </is>
      </c>
      <c r="G1431" s="10" t="inlineStr">
        <is>
          <t>Sedang</t>
        </is>
      </c>
      <c r="H1431" s="18" t="n"/>
      <c r="I1431" s="18" t="n"/>
      <c r="J1431" s="18" t="n"/>
      <c r="K1431" s="18" t="n"/>
      <c r="L1431" s="18" t="n"/>
    </row>
    <row r="1432" ht="70" customHeight="1">
      <c r="A1432" s="14" t="n">
        <v>1428</v>
      </c>
      <c r="B1432" s="16" t="inlineStr">
        <is>
          <t>MD-KEL-06</t>
        </is>
      </c>
      <c r="C1432" s="15" t="inlineStr">
        <is>
          <t>Ubah data berhasil dan terlihat</t>
        </is>
      </c>
      <c r="D1432" s="17" t="inlineStr">
        <is>
          <t>Corporate</t>
        </is>
      </c>
      <c r="E1432" s="15" t="inlineStr">
        <is>
          <t>ADM</t>
        </is>
      </c>
      <c r="F1432" s="15" t="inlineStr">
        <is>
          <t>- Nama baru terlihat di daftar.
- Nama baru juga terlihat di layar lain yang memakainya — tidak ada tempat yang masih menampilkan nama lama.
- Id entrinya tidak berubah: record yang menunjuknya tidak terlepas.</t>
        </is>
      </c>
      <c r="G1432" s="13" t="inlineStr">
        <is>
          <t>Tinggi</t>
        </is>
      </c>
      <c r="H1432" s="18" t="n"/>
      <c r="I1432" s="18" t="n"/>
      <c r="J1432" s="18" t="n"/>
      <c r="K1432" s="18" t="n"/>
      <c r="L1432" s="18" t="n"/>
    </row>
    <row r="1433" ht="70" customHeight="1">
      <c r="A1433" s="10" t="n">
        <v>1429</v>
      </c>
      <c r="B1433" s="11" t="inlineStr">
        <is>
          <t>MD-KEL-06</t>
        </is>
      </c>
      <c r="C1433" s="5" t="inlineStr">
        <is>
          <t>Ubah data berhasil dan terlihat</t>
        </is>
      </c>
      <c r="D1433" s="12" t="inlineStr">
        <is>
          <t>Company</t>
        </is>
      </c>
      <c r="E1433" s="5" t="inlineStr">
        <is>
          <t>ADM</t>
        </is>
      </c>
      <c r="F1433" s="5" t="inlineStr">
        <is>
          <t>- Nama baru terlihat di daftar.
- Nama baru juga terlihat di layar lain yang memakainya — tidak ada tempat yang masih menampilkan nama lama.
- Id entrinya tidak berubah: record yang menunjuknya tidak terlepas.</t>
        </is>
      </c>
      <c r="G1433" s="13" t="inlineStr">
        <is>
          <t>Tinggi</t>
        </is>
      </c>
      <c r="H1433" s="18" t="n"/>
      <c r="I1433" s="18" t="n"/>
      <c r="J1433" s="18" t="n"/>
      <c r="K1433" s="18" t="n"/>
      <c r="L1433" s="18" t="n"/>
    </row>
    <row r="1434" ht="70" customHeight="1">
      <c r="A1434" s="14" t="n">
        <v>1430</v>
      </c>
      <c r="B1434" s="16" t="inlineStr">
        <is>
          <t>MD-KEL-06</t>
        </is>
      </c>
      <c r="C1434" s="15" t="inlineStr">
        <is>
          <t>Ubah data berhasil dan terlihat</t>
        </is>
      </c>
      <c r="D1434" s="17" t="inlineStr">
        <is>
          <t>Business Unit</t>
        </is>
      </c>
      <c r="E1434" s="15" t="inlineStr">
        <is>
          <t>ADM</t>
        </is>
      </c>
      <c r="F1434" s="15" t="inlineStr">
        <is>
          <t>- Nama baru terlihat di daftar.
- Nama baru juga terlihat di layar lain yang memakainya — tidak ada tempat yang masih menampilkan nama lama.
- Id entrinya tidak berubah: record yang menunjuknya tidak terlepas.</t>
        </is>
      </c>
      <c r="G1434" s="13" t="inlineStr">
        <is>
          <t>Tinggi</t>
        </is>
      </c>
      <c r="H1434" s="18" t="n"/>
      <c r="I1434" s="18" t="n"/>
      <c r="J1434" s="18" t="n"/>
      <c r="K1434" s="18" t="n"/>
      <c r="L1434" s="18" t="n"/>
    </row>
    <row r="1435" ht="70" customHeight="1">
      <c r="A1435" s="10" t="n">
        <v>1431</v>
      </c>
      <c r="B1435" s="11" t="inlineStr">
        <is>
          <t>MD-KEL-06</t>
        </is>
      </c>
      <c r="C1435" s="5" t="inlineStr">
        <is>
          <t>Ubah data berhasil dan terlihat</t>
        </is>
      </c>
      <c r="D1435" s="12" t="inlineStr">
        <is>
          <t>Production Line</t>
        </is>
      </c>
      <c r="E1435" s="5" t="inlineStr">
        <is>
          <t>ADM</t>
        </is>
      </c>
      <c r="F1435" s="5" t="inlineStr">
        <is>
          <t>- Nama baru terlihat di daftar.
- Nama baru juga terlihat di layar lain yang memakainya — tidak ada tempat yang masih menampilkan nama lama.
- Id entrinya tidak berubah: record yang menunjuknya tidak terlepas.</t>
        </is>
      </c>
      <c r="G1435" s="13" t="inlineStr">
        <is>
          <t>Tinggi</t>
        </is>
      </c>
      <c r="H1435" s="18" t="n"/>
      <c r="I1435" s="18" t="n"/>
      <c r="J1435" s="18" t="n"/>
      <c r="K1435" s="18" t="n"/>
      <c r="L1435" s="18" t="n"/>
    </row>
    <row r="1436" ht="70" customHeight="1">
      <c r="A1436" s="14" t="n">
        <v>1432</v>
      </c>
      <c r="B1436" s="16" t="inlineStr">
        <is>
          <t>MD-KEL-06</t>
        </is>
      </c>
      <c r="C1436" s="15" t="inlineStr">
        <is>
          <t>Ubah data berhasil dan terlihat</t>
        </is>
      </c>
      <c r="D1436" s="17" t="inlineStr">
        <is>
          <t>Station</t>
        </is>
      </c>
      <c r="E1436" s="15" t="inlineStr">
        <is>
          <t>ADM</t>
        </is>
      </c>
      <c r="F1436" s="15" t="inlineStr">
        <is>
          <t>- Nama baru terlihat di daftar.
- Nama baru juga terlihat di layar lain yang memakainya — tidak ada tempat yang masih menampilkan nama lama.
- Id entrinya tidak berubah: record yang menunjuknya tidak terlepas.</t>
        </is>
      </c>
      <c r="G1436" s="13" t="inlineStr">
        <is>
          <t>Tinggi</t>
        </is>
      </c>
      <c r="H1436" s="18" t="n"/>
      <c r="I1436" s="18" t="n"/>
      <c r="J1436" s="18" t="n"/>
      <c r="K1436" s="18" t="n"/>
      <c r="L1436" s="18" t="n"/>
    </row>
    <row r="1437" ht="70" customHeight="1">
      <c r="A1437" s="10" t="n">
        <v>1433</v>
      </c>
      <c r="B1437" s="11" t="inlineStr">
        <is>
          <t>MD-KEL-06</t>
        </is>
      </c>
      <c r="C1437" s="5" t="inlineStr">
        <is>
          <t>Ubah data berhasil dan terlihat</t>
        </is>
      </c>
      <c r="D1437" s="12" t="inlineStr">
        <is>
          <t>Machinery Group</t>
        </is>
      </c>
      <c r="E1437" s="5" t="inlineStr">
        <is>
          <t>ADM</t>
        </is>
      </c>
      <c r="F1437" s="5" t="inlineStr">
        <is>
          <t>- Nama baru terlihat di daftar.
- Nama baru juga terlihat di layar lain yang memakainya — tidak ada tempat yang masih menampilkan nama lama.
- Id entrinya tidak berubah: record yang menunjuknya tidak terlepas.</t>
        </is>
      </c>
      <c r="G1437" s="13" t="inlineStr">
        <is>
          <t>Tinggi</t>
        </is>
      </c>
      <c r="H1437" s="18" t="n"/>
      <c r="I1437" s="18" t="n"/>
      <c r="J1437" s="18" t="n"/>
      <c r="K1437" s="18" t="n"/>
      <c r="L1437" s="18" t="n"/>
    </row>
    <row r="1438" ht="70" customHeight="1">
      <c r="A1438" s="14" t="n">
        <v>1434</v>
      </c>
      <c r="B1438" s="16" t="inlineStr">
        <is>
          <t>MD-KEL-06</t>
        </is>
      </c>
      <c r="C1438" s="15" t="inlineStr">
        <is>
          <t>Ubah data berhasil dan terlihat</t>
        </is>
      </c>
      <c r="D1438" s="17" t="inlineStr">
        <is>
          <t>Machinery</t>
        </is>
      </c>
      <c r="E1438" s="15" t="inlineStr">
        <is>
          <t>ADM</t>
        </is>
      </c>
      <c r="F1438" s="15" t="inlineStr">
        <is>
          <t>- Nama baru terlihat di daftar.
- Nama baru juga terlihat di layar lain yang memakainya — tidak ada tempat yang masih menampilkan nama lama.
- Id entrinya tidak berubah: record yang menunjuknya tidak terlepas.</t>
        </is>
      </c>
      <c r="G1438" s="13" t="inlineStr">
        <is>
          <t>Tinggi</t>
        </is>
      </c>
      <c r="H1438" s="18" t="n"/>
      <c r="I1438" s="18" t="n"/>
      <c r="J1438" s="18" t="n"/>
      <c r="K1438" s="18" t="n"/>
      <c r="L1438" s="18" t="n"/>
    </row>
    <row r="1439" ht="70" customHeight="1">
      <c r="A1439" s="10" t="n">
        <v>1435</v>
      </c>
      <c r="B1439" s="11" t="inlineStr">
        <is>
          <t>MD-KEL-06</t>
        </is>
      </c>
      <c r="C1439" s="5" t="inlineStr">
        <is>
          <t>Ubah data berhasil dan terlihat</t>
        </is>
      </c>
      <c r="D1439" s="12" t="inlineStr">
        <is>
          <t>User &amp; Role</t>
        </is>
      </c>
      <c r="E1439" s="5" t="inlineStr">
        <is>
          <t>ADM</t>
        </is>
      </c>
      <c r="F1439" s="5" t="inlineStr">
        <is>
          <t>- Nama baru terlihat di daftar.
- Nama baru juga terlihat di layar lain yang memakainya — tidak ada tempat yang masih menampilkan nama lama.
- Id entrinya tidak berubah: record yang menunjuknya tidak terlepas.</t>
        </is>
      </c>
      <c r="G1439" s="13" t="inlineStr">
        <is>
          <t>Tinggi</t>
        </is>
      </c>
      <c r="H1439" s="18" t="n"/>
      <c r="I1439" s="18" t="n"/>
      <c r="J1439" s="18" t="n"/>
      <c r="K1439" s="18" t="n"/>
      <c r="L1439" s="18" t="n"/>
    </row>
    <row r="1440" ht="70" customHeight="1">
      <c r="A1440" s="14" t="n">
        <v>1436</v>
      </c>
      <c r="B1440" s="16" t="inlineStr">
        <is>
          <t>MD-KEL-07</t>
        </is>
      </c>
      <c r="C1440" s="15" t="inlineStr">
        <is>
          <t>Hapus ditolak bila masih punya anak, dengan menyebut jumlahnya</t>
        </is>
      </c>
      <c r="D1440" s="17" t="inlineStr">
        <is>
          <t>Corporate</t>
        </is>
      </c>
      <c r="E1440" s="15" t="inlineStr">
        <is>
          <t>ADM</t>
        </is>
      </c>
      <c r="F1440" s="15" t="inlineStr">
        <is>
          <t>- Setiap penghapusan ditolak.
- Pesannya menyebut jumlah penghalangnya — mis. "masih memiliki 2 Company".
- Induknya tidak terhapus, dan tidak ada penghapusan berantai: anak-anaknya juga masih utuh.</t>
        </is>
      </c>
      <c r="G1440" s="13" t="inlineStr">
        <is>
          <t>Tinggi</t>
        </is>
      </c>
      <c r="H1440" s="18" t="n"/>
      <c r="I1440" s="18" t="n"/>
      <c r="J1440" s="18" t="n"/>
      <c r="K1440" s="18" t="n"/>
      <c r="L1440" s="18" t="n"/>
    </row>
    <row r="1441" ht="70" customHeight="1">
      <c r="A1441" s="10" t="n">
        <v>1437</v>
      </c>
      <c r="B1441" s="11" t="inlineStr">
        <is>
          <t>MD-KEL-07</t>
        </is>
      </c>
      <c r="C1441" s="5" t="inlineStr">
        <is>
          <t>Hapus ditolak bila masih punya anak, dengan menyebut jumlahnya</t>
        </is>
      </c>
      <c r="D1441" s="12" t="inlineStr">
        <is>
          <t>Company</t>
        </is>
      </c>
      <c r="E1441" s="5" t="inlineStr">
        <is>
          <t>ADM</t>
        </is>
      </c>
      <c r="F1441" s="5" t="inlineStr">
        <is>
          <t>- Setiap penghapusan ditolak.
- Pesannya menyebut jumlah penghalangnya — mis. "masih memiliki 2 Company".
- Induknya tidak terhapus, dan tidak ada penghapusan berantai: anak-anaknya juga masih utuh.</t>
        </is>
      </c>
      <c r="G1441" s="13" t="inlineStr">
        <is>
          <t>Tinggi</t>
        </is>
      </c>
      <c r="H1441" s="18" t="n"/>
      <c r="I1441" s="18" t="n"/>
      <c r="J1441" s="18" t="n"/>
      <c r="K1441" s="18" t="n"/>
      <c r="L1441" s="18" t="n"/>
    </row>
    <row r="1442" ht="70" customHeight="1">
      <c r="A1442" s="14" t="n">
        <v>1438</v>
      </c>
      <c r="B1442" s="16" t="inlineStr">
        <is>
          <t>MD-KEL-07</t>
        </is>
      </c>
      <c r="C1442" s="15" t="inlineStr">
        <is>
          <t>Hapus ditolak bila masih punya anak, dengan menyebut jumlahnya</t>
        </is>
      </c>
      <c r="D1442" s="17" t="inlineStr">
        <is>
          <t>Business Unit</t>
        </is>
      </c>
      <c r="E1442" s="15" t="inlineStr">
        <is>
          <t>ADM</t>
        </is>
      </c>
      <c r="F1442" s="15" t="inlineStr">
        <is>
          <t>- Setiap penghapusan ditolak.
- Pesannya menyebut jumlah penghalangnya — mis. "masih memiliki 2 Company".
- Induknya tidak terhapus, dan tidak ada penghapusan berantai: anak-anaknya juga masih utuh.</t>
        </is>
      </c>
      <c r="G1442" s="13" t="inlineStr">
        <is>
          <t>Tinggi</t>
        </is>
      </c>
      <c r="H1442" s="18" t="n"/>
      <c r="I1442" s="18" t="n"/>
      <c r="J1442" s="18" t="n"/>
      <c r="K1442" s="18" t="n"/>
      <c r="L1442" s="18" t="n"/>
    </row>
    <row r="1443" ht="70" customHeight="1">
      <c r="A1443" s="10" t="n">
        <v>1439</v>
      </c>
      <c r="B1443" s="11" t="inlineStr">
        <is>
          <t>MD-KEL-07</t>
        </is>
      </c>
      <c r="C1443" s="5" t="inlineStr">
        <is>
          <t>Hapus ditolak bila masih punya anak, dengan menyebut jumlahnya</t>
        </is>
      </c>
      <c r="D1443" s="12" t="inlineStr">
        <is>
          <t>Production Line</t>
        </is>
      </c>
      <c r="E1443" s="5" t="inlineStr">
        <is>
          <t>ADM</t>
        </is>
      </c>
      <c r="F1443" s="5" t="inlineStr">
        <is>
          <t>- Setiap penghapusan ditolak.
- Pesannya menyebut jumlah penghalangnya — mis. "masih memiliki 2 Company".
- Induknya tidak terhapus, dan tidak ada penghapusan berantai: anak-anaknya juga masih utuh.</t>
        </is>
      </c>
      <c r="G1443" s="13" t="inlineStr">
        <is>
          <t>Tinggi</t>
        </is>
      </c>
      <c r="H1443" s="18" t="n"/>
      <c r="I1443" s="18" t="n"/>
      <c r="J1443" s="18" t="n"/>
      <c r="K1443" s="18" t="n"/>
      <c r="L1443" s="18" t="n"/>
    </row>
    <row r="1444" ht="70" customHeight="1">
      <c r="A1444" s="14" t="n">
        <v>1440</v>
      </c>
      <c r="B1444" s="16" t="inlineStr">
        <is>
          <t>MD-KEL-07</t>
        </is>
      </c>
      <c r="C1444" s="15" t="inlineStr">
        <is>
          <t>Hapus ditolak bila masih punya anak, dengan menyebut jumlahnya</t>
        </is>
      </c>
      <c r="D1444" s="17" t="inlineStr">
        <is>
          <t>Station</t>
        </is>
      </c>
      <c r="E1444" s="15" t="inlineStr">
        <is>
          <t>ADM</t>
        </is>
      </c>
      <c r="F1444" s="15" t="inlineStr">
        <is>
          <t>- Setiap penghapusan ditolak.
- Pesannya menyebut jumlah penghalangnya — mis. "masih memiliki 2 Company".
- Induknya tidak terhapus, dan tidak ada penghapusan berantai: anak-anaknya juga masih utuh.</t>
        </is>
      </c>
      <c r="G1444" s="13" t="inlineStr">
        <is>
          <t>Tinggi</t>
        </is>
      </c>
      <c r="H1444" s="18" t="n"/>
      <c r="I1444" s="18" t="n"/>
      <c r="J1444" s="18" t="n"/>
      <c r="K1444" s="18" t="n"/>
      <c r="L1444" s="18" t="n"/>
    </row>
    <row r="1445" ht="70" customHeight="1">
      <c r="A1445" s="10" t="n">
        <v>1441</v>
      </c>
      <c r="B1445" s="11" t="inlineStr">
        <is>
          <t>MD-KEL-07</t>
        </is>
      </c>
      <c r="C1445" s="5" t="inlineStr">
        <is>
          <t>Hapus ditolak bila masih punya anak, dengan menyebut jumlahnya</t>
        </is>
      </c>
      <c r="D1445" s="12" t="inlineStr">
        <is>
          <t>Machinery Group</t>
        </is>
      </c>
      <c r="E1445" s="5" t="inlineStr">
        <is>
          <t>ADM</t>
        </is>
      </c>
      <c r="F1445" s="5" t="inlineStr">
        <is>
          <t>- Setiap penghapusan ditolak.
- Pesannya menyebut jumlah penghalangnya — mis. "masih memiliki 2 Company".
- Induknya tidak terhapus, dan tidak ada penghapusan berantai: anak-anaknya juga masih utuh.</t>
        </is>
      </c>
      <c r="G1445" s="13" t="inlineStr">
        <is>
          <t>Tinggi</t>
        </is>
      </c>
      <c r="H1445" s="18" t="n"/>
      <c r="I1445" s="18" t="n"/>
      <c r="J1445" s="18" t="n"/>
      <c r="K1445" s="18" t="n"/>
      <c r="L1445" s="18" t="n"/>
    </row>
    <row r="1446" ht="70" customHeight="1">
      <c r="A1446" s="14" t="n">
        <v>1442</v>
      </c>
      <c r="B1446" s="16" t="inlineStr">
        <is>
          <t>MD-KEL-07</t>
        </is>
      </c>
      <c r="C1446" s="15" t="inlineStr">
        <is>
          <t>Hapus ditolak bila masih punya anak, dengan menyebut jumlahnya</t>
        </is>
      </c>
      <c r="D1446" s="17" t="inlineStr">
        <is>
          <t>Machinery</t>
        </is>
      </c>
      <c r="E1446" s="15" t="inlineStr">
        <is>
          <t>ADM</t>
        </is>
      </c>
      <c r="F1446" s="15" t="inlineStr">
        <is>
          <t>- Setiap penghapusan ditolak.
- Pesannya menyebut jumlah penghalangnya — mis. "masih memiliki 2 Company".
- Induknya tidak terhapus, dan tidak ada penghapusan berantai: anak-anaknya juga masih utuh.</t>
        </is>
      </c>
      <c r="G1446" s="13" t="inlineStr">
        <is>
          <t>Tinggi</t>
        </is>
      </c>
      <c r="H1446" s="18" t="n"/>
      <c r="I1446" s="18" t="n"/>
      <c r="J1446" s="18" t="n"/>
      <c r="K1446" s="18" t="n"/>
      <c r="L1446" s="18" t="n"/>
    </row>
    <row r="1447" ht="70" customHeight="1">
      <c r="A1447" s="10" t="n">
        <v>1443</v>
      </c>
      <c r="B1447" s="11" t="inlineStr">
        <is>
          <t>MD-KEL-07</t>
        </is>
      </c>
      <c r="C1447" s="5" t="inlineStr">
        <is>
          <t>Hapus ditolak bila masih punya anak, dengan menyebut jumlahnya</t>
        </is>
      </c>
      <c r="D1447" s="12" t="inlineStr">
        <is>
          <t>User &amp; Role</t>
        </is>
      </c>
      <c r="E1447" s="5" t="inlineStr">
        <is>
          <t>ADM</t>
        </is>
      </c>
      <c r="F1447" s="5" t="inlineStr">
        <is>
          <t>- Setiap penghapusan ditolak.
- Pesannya menyebut jumlah penghalangnya — mis. "masih memiliki 2 Company".
- Induknya tidak terhapus, dan tidak ada penghapusan berantai: anak-anaknya juga masih utuh.</t>
        </is>
      </c>
      <c r="G1447" s="13" t="inlineStr">
        <is>
          <t>Tinggi</t>
        </is>
      </c>
      <c r="H1447" s="18" t="n"/>
      <c r="I1447" s="18" t="n"/>
      <c r="J1447" s="18" t="n"/>
      <c r="K1447" s="18" t="n"/>
      <c r="L1447" s="18" t="n"/>
    </row>
    <row r="1448" ht="56.8" customHeight="1">
      <c r="A1448" s="14" t="n">
        <v>1444</v>
      </c>
      <c r="B1448" s="16" t="inlineStr">
        <is>
          <t>MD-KEL-08</t>
        </is>
      </c>
      <c r="C1448" s="15" t="inlineStr">
        <is>
          <t>Hapus berhasil bila sudah tidak punya anak</t>
        </is>
      </c>
      <c r="D1448" s="17" t="inlineStr">
        <is>
          <t>Corporate</t>
        </is>
      </c>
      <c r="E1448" s="15" t="inlineStr">
        <is>
          <t>ADM</t>
        </is>
      </c>
      <c r="F1448" s="15" t="inlineStr">
        <is>
          <t>- Penghapusan anak-anaknya berhasil.
- Penghapusan induknya kini berhasil.
- Induk itu hilang dari daftar, dan jumlah data berkurang.</t>
        </is>
      </c>
      <c r="G1448" s="13" t="inlineStr">
        <is>
          <t>Tinggi</t>
        </is>
      </c>
      <c r="H1448" s="18" t="n"/>
      <c r="I1448" s="18" t="n"/>
      <c r="J1448" s="18" t="n"/>
      <c r="K1448" s="18" t="n"/>
      <c r="L1448" s="18" t="n"/>
    </row>
    <row r="1449" ht="56.8" customHeight="1">
      <c r="A1449" s="10" t="n">
        <v>1445</v>
      </c>
      <c r="B1449" s="11" t="inlineStr">
        <is>
          <t>MD-KEL-08</t>
        </is>
      </c>
      <c r="C1449" s="5" t="inlineStr">
        <is>
          <t>Hapus berhasil bila sudah tidak punya anak</t>
        </is>
      </c>
      <c r="D1449" s="12" t="inlineStr">
        <is>
          <t>Company</t>
        </is>
      </c>
      <c r="E1449" s="5" t="inlineStr">
        <is>
          <t>ADM</t>
        </is>
      </c>
      <c r="F1449" s="5" t="inlineStr">
        <is>
          <t>- Penghapusan anak-anaknya berhasil.
- Penghapusan induknya kini berhasil.
- Induk itu hilang dari daftar, dan jumlah data berkurang.</t>
        </is>
      </c>
      <c r="G1449" s="13" t="inlineStr">
        <is>
          <t>Tinggi</t>
        </is>
      </c>
      <c r="H1449" s="18" t="n"/>
      <c r="I1449" s="18" t="n"/>
      <c r="J1449" s="18" t="n"/>
      <c r="K1449" s="18" t="n"/>
      <c r="L1449" s="18" t="n"/>
    </row>
    <row r="1450" ht="56.8" customHeight="1">
      <c r="A1450" s="14" t="n">
        <v>1446</v>
      </c>
      <c r="B1450" s="16" t="inlineStr">
        <is>
          <t>MD-KEL-08</t>
        </is>
      </c>
      <c r="C1450" s="15" t="inlineStr">
        <is>
          <t>Hapus berhasil bila sudah tidak punya anak</t>
        </is>
      </c>
      <c r="D1450" s="17" t="inlineStr">
        <is>
          <t>Business Unit</t>
        </is>
      </c>
      <c r="E1450" s="15" t="inlineStr">
        <is>
          <t>ADM</t>
        </is>
      </c>
      <c r="F1450" s="15" t="inlineStr">
        <is>
          <t>- Penghapusan anak-anaknya berhasil.
- Penghapusan induknya kini berhasil.
- Induk itu hilang dari daftar, dan jumlah data berkurang.</t>
        </is>
      </c>
      <c r="G1450" s="13" t="inlineStr">
        <is>
          <t>Tinggi</t>
        </is>
      </c>
      <c r="H1450" s="18" t="n"/>
      <c r="I1450" s="18" t="n"/>
      <c r="J1450" s="18" t="n"/>
      <c r="K1450" s="18" t="n"/>
      <c r="L1450" s="18" t="n"/>
    </row>
    <row r="1451" ht="56.8" customHeight="1">
      <c r="A1451" s="10" t="n">
        <v>1447</v>
      </c>
      <c r="B1451" s="11" t="inlineStr">
        <is>
          <t>MD-KEL-08</t>
        </is>
      </c>
      <c r="C1451" s="5" t="inlineStr">
        <is>
          <t>Hapus berhasil bila sudah tidak punya anak</t>
        </is>
      </c>
      <c r="D1451" s="12" t="inlineStr">
        <is>
          <t>Production Line</t>
        </is>
      </c>
      <c r="E1451" s="5" t="inlineStr">
        <is>
          <t>ADM</t>
        </is>
      </c>
      <c r="F1451" s="5" t="inlineStr">
        <is>
          <t>- Penghapusan anak-anaknya berhasil.
- Penghapusan induknya kini berhasil.
- Induk itu hilang dari daftar, dan jumlah data berkurang.</t>
        </is>
      </c>
      <c r="G1451" s="13" t="inlineStr">
        <is>
          <t>Tinggi</t>
        </is>
      </c>
      <c r="H1451" s="18" t="n"/>
      <c r="I1451" s="18" t="n"/>
      <c r="J1451" s="18" t="n"/>
      <c r="K1451" s="18" t="n"/>
      <c r="L1451" s="18" t="n"/>
    </row>
    <row r="1452" ht="56.8" customHeight="1">
      <c r="A1452" s="14" t="n">
        <v>1448</v>
      </c>
      <c r="B1452" s="16" t="inlineStr">
        <is>
          <t>MD-KEL-08</t>
        </is>
      </c>
      <c r="C1452" s="15" t="inlineStr">
        <is>
          <t>Hapus berhasil bila sudah tidak punya anak</t>
        </is>
      </c>
      <c r="D1452" s="17" t="inlineStr">
        <is>
          <t>Station</t>
        </is>
      </c>
      <c r="E1452" s="15" t="inlineStr">
        <is>
          <t>ADM</t>
        </is>
      </c>
      <c r="F1452" s="15" t="inlineStr">
        <is>
          <t>- Penghapusan anak-anaknya berhasil.
- Penghapusan induknya kini berhasil.
- Induk itu hilang dari daftar, dan jumlah data berkurang.</t>
        </is>
      </c>
      <c r="G1452" s="13" t="inlineStr">
        <is>
          <t>Tinggi</t>
        </is>
      </c>
      <c r="H1452" s="18" t="n"/>
      <c r="I1452" s="18" t="n"/>
      <c r="J1452" s="18" t="n"/>
      <c r="K1452" s="18" t="n"/>
      <c r="L1452" s="18" t="n"/>
    </row>
    <row r="1453" ht="56.8" customHeight="1">
      <c r="A1453" s="10" t="n">
        <v>1449</v>
      </c>
      <c r="B1453" s="11" t="inlineStr">
        <is>
          <t>MD-KEL-08</t>
        </is>
      </c>
      <c r="C1453" s="5" t="inlineStr">
        <is>
          <t>Hapus berhasil bila sudah tidak punya anak</t>
        </is>
      </c>
      <c r="D1453" s="12" t="inlineStr">
        <is>
          <t>Machinery Group</t>
        </is>
      </c>
      <c r="E1453" s="5" t="inlineStr">
        <is>
          <t>ADM</t>
        </is>
      </c>
      <c r="F1453" s="5" t="inlineStr">
        <is>
          <t>- Penghapusan anak-anaknya berhasil.
- Penghapusan induknya kini berhasil.
- Induk itu hilang dari daftar, dan jumlah data berkurang.</t>
        </is>
      </c>
      <c r="G1453" s="13" t="inlineStr">
        <is>
          <t>Tinggi</t>
        </is>
      </c>
      <c r="H1453" s="18" t="n"/>
      <c r="I1453" s="18" t="n"/>
      <c r="J1453" s="18" t="n"/>
      <c r="K1453" s="18" t="n"/>
      <c r="L1453" s="18" t="n"/>
    </row>
    <row r="1454" ht="56.8" customHeight="1">
      <c r="A1454" s="14" t="n">
        <v>1450</v>
      </c>
      <c r="B1454" s="16" t="inlineStr">
        <is>
          <t>MD-KEL-08</t>
        </is>
      </c>
      <c r="C1454" s="15" t="inlineStr">
        <is>
          <t>Hapus berhasil bila sudah tidak punya anak</t>
        </is>
      </c>
      <c r="D1454" s="17" t="inlineStr">
        <is>
          <t>Machinery</t>
        </is>
      </c>
      <c r="E1454" s="15" t="inlineStr">
        <is>
          <t>ADM</t>
        </is>
      </c>
      <c r="F1454" s="15" t="inlineStr">
        <is>
          <t>- Penghapusan anak-anaknya berhasil.
- Penghapusan induknya kini berhasil.
- Induk itu hilang dari daftar, dan jumlah data berkurang.</t>
        </is>
      </c>
      <c r="G1454" s="13" t="inlineStr">
        <is>
          <t>Tinggi</t>
        </is>
      </c>
      <c r="H1454" s="18" t="n"/>
      <c r="I1454" s="18" t="n"/>
      <c r="J1454" s="18" t="n"/>
      <c r="K1454" s="18" t="n"/>
      <c r="L1454" s="18" t="n"/>
    </row>
    <row r="1455" ht="56.8" customHeight="1">
      <c r="A1455" s="10" t="n">
        <v>1451</v>
      </c>
      <c r="B1455" s="11" t="inlineStr">
        <is>
          <t>MD-KEL-08</t>
        </is>
      </c>
      <c r="C1455" s="5" t="inlineStr">
        <is>
          <t>Hapus berhasil bila sudah tidak punya anak</t>
        </is>
      </c>
      <c r="D1455" s="12" t="inlineStr">
        <is>
          <t>User &amp; Role</t>
        </is>
      </c>
      <c r="E1455" s="5" t="inlineStr">
        <is>
          <t>ADM</t>
        </is>
      </c>
      <c r="F1455" s="5" t="inlineStr">
        <is>
          <t>- Penghapusan anak-anaknya berhasil.
- Penghapusan induknya kini berhasil.
- Induk itu hilang dari daftar, dan jumlah data berkurang.</t>
        </is>
      </c>
      <c r="G1455" s="13" t="inlineStr">
        <is>
          <t>Tinggi</t>
        </is>
      </c>
      <c r="H1455" s="18" t="n"/>
      <c r="I1455" s="18" t="n"/>
      <c r="J1455" s="18" t="n"/>
      <c r="K1455" s="18" t="n"/>
      <c r="L1455" s="18" t="n"/>
    </row>
    <row r="1456" ht="56.8" customHeight="1">
      <c r="A1456" s="14" t="n">
        <v>1452</v>
      </c>
      <c r="B1456" s="16" t="inlineStr">
        <is>
          <t>MD-KEL-09</t>
        </is>
      </c>
      <c r="C1456" s="15" t="inlineStr">
        <is>
          <t>Hapus meminta konfirmasi</t>
        </is>
      </c>
      <c r="D1456" s="17" t="inlineStr">
        <is>
          <t>Corporate</t>
        </is>
      </c>
      <c r="E1456" s="15" t="inlineStr">
        <is>
          <t>ADM</t>
        </is>
      </c>
      <c r="F1456" s="15" t="inlineStr">
        <is>
          <t>- Langkah 2 memunculkan dialog konfirmasi — tidak langsung menghapus.
- Langkah 3: entri masih ada, utuh.
- Langkah 4: entri terhapus dan hilang dari daftar.</t>
        </is>
      </c>
      <c r="G1456" s="14" t="inlineStr">
        <is>
          <t>Sedang</t>
        </is>
      </c>
      <c r="H1456" s="18" t="n"/>
      <c r="I1456" s="18" t="n"/>
      <c r="J1456" s="18" t="n"/>
      <c r="K1456" s="18" t="n"/>
      <c r="L1456" s="18" t="n"/>
    </row>
    <row r="1457" ht="56.8" customHeight="1">
      <c r="A1457" s="10" t="n">
        <v>1453</v>
      </c>
      <c r="B1457" s="11" t="inlineStr">
        <is>
          <t>MD-KEL-09</t>
        </is>
      </c>
      <c r="C1457" s="5" t="inlineStr">
        <is>
          <t>Hapus meminta konfirmasi</t>
        </is>
      </c>
      <c r="D1457" s="12" t="inlineStr">
        <is>
          <t>Company</t>
        </is>
      </c>
      <c r="E1457" s="5" t="inlineStr">
        <is>
          <t>ADM</t>
        </is>
      </c>
      <c r="F1457" s="5" t="inlineStr">
        <is>
          <t>- Langkah 2 memunculkan dialog konfirmasi — tidak langsung menghapus.
- Langkah 3: entri masih ada, utuh.
- Langkah 4: entri terhapus dan hilang dari daftar.</t>
        </is>
      </c>
      <c r="G1457" s="10" t="inlineStr">
        <is>
          <t>Sedang</t>
        </is>
      </c>
      <c r="H1457" s="18" t="n"/>
      <c r="I1457" s="18" t="n"/>
      <c r="J1457" s="18" t="n"/>
      <c r="K1457" s="18" t="n"/>
      <c r="L1457" s="18" t="n"/>
    </row>
    <row r="1458" ht="56.8" customHeight="1">
      <c r="A1458" s="14" t="n">
        <v>1454</v>
      </c>
      <c r="B1458" s="16" t="inlineStr">
        <is>
          <t>MD-KEL-09</t>
        </is>
      </c>
      <c r="C1458" s="15" t="inlineStr">
        <is>
          <t>Hapus meminta konfirmasi</t>
        </is>
      </c>
      <c r="D1458" s="17" t="inlineStr">
        <is>
          <t>Business Unit</t>
        </is>
      </c>
      <c r="E1458" s="15" t="inlineStr">
        <is>
          <t>ADM</t>
        </is>
      </c>
      <c r="F1458" s="15" t="inlineStr">
        <is>
          <t>- Langkah 2 memunculkan dialog konfirmasi — tidak langsung menghapus.
- Langkah 3: entri masih ada, utuh.
- Langkah 4: entri terhapus dan hilang dari daftar.</t>
        </is>
      </c>
      <c r="G1458" s="14" t="inlineStr">
        <is>
          <t>Sedang</t>
        </is>
      </c>
      <c r="H1458" s="18" t="n"/>
      <c r="I1458" s="18" t="n"/>
      <c r="J1458" s="18" t="n"/>
      <c r="K1458" s="18" t="n"/>
      <c r="L1458" s="18" t="n"/>
    </row>
    <row r="1459" ht="56.8" customHeight="1">
      <c r="A1459" s="10" t="n">
        <v>1455</v>
      </c>
      <c r="B1459" s="11" t="inlineStr">
        <is>
          <t>MD-KEL-09</t>
        </is>
      </c>
      <c r="C1459" s="5" t="inlineStr">
        <is>
          <t>Hapus meminta konfirmasi</t>
        </is>
      </c>
      <c r="D1459" s="12" t="inlineStr">
        <is>
          <t>Production Line</t>
        </is>
      </c>
      <c r="E1459" s="5" t="inlineStr">
        <is>
          <t>ADM</t>
        </is>
      </c>
      <c r="F1459" s="5" t="inlineStr">
        <is>
          <t>- Langkah 2 memunculkan dialog konfirmasi — tidak langsung menghapus.
- Langkah 3: entri masih ada, utuh.
- Langkah 4: entri terhapus dan hilang dari daftar.</t>
        </is>
      </c>
      <c r="G1459" s="10" t="inlineStr">
        <is>
          <t>Sedang</t>
        </is>
      </c>
      <c r="H1459" s="18" t="n"/>
      <c r="I1459" s="18" t="n"/>
      <c r="J1459" s="18" t="n"/>
      <c r="K1459" s="18" t="n"/>
      <c r="L1459" s="18" t="n"/>
    </row>
    <row r="1460" ht="56.8" customHeight="1">
      <c r="A1460" s="14" t="n">
        <v>1456</v>
      </c>
      <c r="B1460" s="16" t="inlineStr">
        <is>
          <t>MD-KEL-09</t>
        </is>
      </c>
      <c r="C1460" s="15" t="inlineStr">
        <is>
          <t>Hapus meminta konfirmasi</t>
        </is>
      </c>
      <c r="D1460" s="17" t="inlineStr">
        <is>
          <t>Station</t>
        </is>
      </c>
      <c r="E1460" s="15" t="inlineStr">
        <is>
          <t>ADM</t>
        </is>
      </c>
      <c r="F1460" s="15" t="inlineStr">
        <is>
          <t>- Langkah 2 memunculkan dialog konfirmasi — tidak langsung menghapus.
- Langkah 3: entri masih ada, utuh.
- Langkah 4: entri terhapus dan hilang dari daftar.</t>
        </is>
      </c>
      <c r="G1460" s="14" t="inlineStr">
        <is>
          <t>Sedang</t>
        </is>
      </c>
      <c r="H1460" s="18" t="n"/>
      <c r="I1460" s="18" t="n"/>
      <c r="J1460" s="18" t="n"/>
      <c r="K1460" s="18" t="n"/>
      <c r="L1460" s="18" t="n"/>
    </row>
    <row r="1461" ht="56.8" customHeight="1">
      <c r="A1461" s="10" t="n">
        <v>1457</v>
      </c>
      <c r="B1461" s="11" t="inlineStr">
        <is>
          <t>MD-KEL-09</t>
        </is>
      </c>
      <c r="C1461" s="5" t="inlineStr">
        <is>
          <t>Hapus meminta konfirmasi</t>
        </is>
      </c>
      <c r="D1461" s="12" t="inlineStr">
        <is>
          <t>Machinery Group</t>
        </is>
      </c>
      <c r="E1461" s="5" t="inlineStr">
        <is>
          <t>ADM</t>
        </is>
      </c>
      <c r="F1461" s="5" t="inlineStr">
        <is>
          <t>- Langkah 2 memunculkan dialog konfirmasi — tidak langsung menghapus.
- Langkah 3: entri masih ada, utuh.
- Langkah 4: entri terhapus dan hilang dari daftar.</t>
        </is>
      </c>
      <c r="G1461" s="10" t="inlineStr">
        <is>
          <t>Sedang</t>
        </is>
      </c>
      <c r="H1461" s="18" t="n"/>
      <c r="I1461" s="18" t="n"/>
      <c r="J1461" s="18" t="n"/>
      <c r="K1461" s="18" t="n"/>
      <c r="L1461" s="18" t="n"/>
    </row>
    <row r="1462" ht="56.8" customHeight="1">
      <c r="A1462" s="14" t="n">
        <v>1458</v>
      </c>
      <c r="B1462" s="16" t="inlineStr">
        <is>
          <t>MD-KEL-09</t>
        </is>
      </c>
      <c r="C1462" s="15" t="inlineStr">
        <is>
          <t>Hapus meminta konfirmasi</t>
        </is>
      </c>
      <c r="D1462" s="17" t="inlineStr">
        <is>
          <t>Machinery</t>
        </is>
      </c>
      <c r="E1462" s="15" t="inlineStr">
        <is>
          <t>ADM</t>
        </is>
      </c>
      <c r="F1462" s="15" t="inlineStr">
        <is>
          <t>- Langkah 2 memunculkan dialog konfirmasi — tidak langsung menghapus.
- Langkah 3: entri masih ada, utuh.
- Langkah 4: entri terhapus dan hilang dari daftar.</t>
        </is>
      </c>
      <c r="G1462" s="14" t="inlineStr">
        <is>
          <t>Sedang</t>
        </is>
      </c>
      <c r="H1462" s="18" t="n"/>
      <c r="I1462" s="18" t="n"/>
      <c r="J1462" s="18" t="n"/>
      <c r="K1462" s="18" t="n"/>
      <c r="L1462" s="18" t="n"/>
    </row>
    <row r="1463" ht="56.8" customHeight="1">
      <c r="A1463" s="10" t="n">
        <v>1459</v>
      </c>
      <c r="B1463" s="11" t="inlineStr">
        <is>
          <t>MD-KEL-09</t>
        </is>
      </c>
      <c r="C1463" s="5" t="inlineStr">
        <is>
          <t>Hapus meminta konfirmasi</t>
        </is>
      </c>
      <c r="D1463" s="12" t="inlineStr">
        <is>
          <t>User &amp; Role</t>
        </is>
      </c>
      <c r="E1463" s="5" t="inlineStr">
        <is>
          <t>ADM</t>
        </is>
      </c>
      <c r="F1463" s="5" t="inlineStr">
        <is>
          <t>- Langkah 2 memunculkan dialog konfirmasi — tidak langsung menghapus.
- Langkah 3: entri masih ada, utuh.
- Langkah 4: entri terhapus dan hilang dari daftar.</t>
        </is>
      </c>
      <c r="G1463" s="10" t="inlineStr">
        <is>
          <t>Sedang</t>
        </is>
      </c>
      <c r="H1463" s="18" t="n"/>
      <c r="I1463" s="18" t="n"/>
      <c r="J1463" s="18" t="n"/>
      <c r="K1463" s="18" t="n"/>
      <c r="L1463" s="18" t="n"/>
    </row>
    <row r="1464" ht="83.19999999999999" customHeight="1">
      <c r="A1464" s="14" t="n">
        <v>1460</v>
      </c>
      <c r="B1464" s="16" t="inlineStr">
        <is>
          <t>MD-KEL-10</t>
        </is>
      </c>
      <c r="C1464" s="15" t="inlineStr">
        <is>
          <t>Pencarian dan paginasi bekerja bersama</t>
        </is>
      </c>
      <c r="D1464" s="17" t="inlineStr">
        <is>
          <t>Corporate</t>
        </is>
      </c>
      <c r="E1464" s="15" t="inlineStr">
        <is>
          <t>ADM</t>
        </is>
      </c>
      <c r="F1464" s="15" t="inlineStr">
        <is>
          <t>- Seluruh baris di halaman 2 (dan 3) masih cocok dengan kata kuncinya.
- Jumlah total hasil tidak berubah saat berpindah halaman.
- Kata kuncinya masih terisi di kolom pencarian setelah pindah halaman.</t>
        </is>
      </c>
      <c r="G1464" s="13" t="inlineStr">
        <is>
          <t>Tinggi</t>
        </is>
      </c>
      <c r="H1464" s="18" t="n"/>
      <c r="I1464" s="18" t="n"/>
      <c r="J1464" s="18" t="n"/>
      <c r="K1464" s="18" t="n"/>
      <c r="L1464" s="18" t="n"/>
    </row>
    <row r="1465" ht="83.19999999999999" customHeight="1">
      <c r="A1465" s="10" t="n">
        <v>1461</v>
      </c>
      <c r="B1465" s="11" t="inlineStr">
        <is>
          <t>MD-KEL-10</t>
        </is>
      </c>
      <c r="C1465" s="5" t="inlineStr">
        <is>
          <t>Pencarian dan paginasi bekerja bersama</t>
        </is>
      </c>
      <c r="D1465" s="12" t="inlineStr">
        <is>
          <t>Company</t>
        </is>
      </c>
      <c r="E1465" s="5" t="inlineStr">
        <is>
          <t>ADM</t>
        </is>
      </c>
      <c r="F1465" s="5" t="inlineStr">
        <is>
          <t>- Seluruh baris di halaman 2 (dan 3) masih cocok dengan kata kuncinya.
- Jumlah total hasil tidak berubah saat berpindah halaman.
- Kata kuncinya masih terisi di kolom pencarian setelah pindah halaman.</t>
        </is>
      </c>
      <c r="G1465" s="13" t="inlineStr">
        <is>
          <t>Tinggi</t>
        </is>
      </c>
      <c r="H1465" s="18" t="n"/>
      <c r="I1465" s="18" t="n"/>
      <c r="J1465" s="18" t="n"/>
      <c r="K1465" s="18" t="n"/>
      <c r="L1465" s="18" t="n"/>
    </row>
    <row r="1466" ht="83.19999999999999" customHeight="1">
      <c r="A1466" s="14" t="n">
        <v>1462</v>
      </c>
      <c r="B1466" s="16" t="inlineStr">
        <is>
          <t>MD-KEL-10</t>
        </is>
      </c>
      <c r="C1466" s="15" t="inlineStr">
        <is>
          <t>Pencarian dan paginasi bekerja bersama</t>
        </is>
      </c>
      <c r="D1466" s="17" t="inlineStr">
        <is>
          <t>Business Unit</t>
        </is>
      </c>
      <c r="E1466" s="15" t="inlineStr">
        <is>
          <t>ADM</t>
        </is>
      </c>
      <c r="F1466" s="15" t="inlineStr">
        <is>
          <t>- Seluruh baris di halaman 2 (dan 3) masih cocok dengan kata kuncinya.
- Jumlah total hasil tidak berubah saat berpindah halaman.
- Kata kuncinya masih terisi di kolom pencarian setelah pindah halaman.</t>
        </is>
      </c>
      <c r="G1466" s="13" t="inlineStr">
        <is>
          <t>Tinggi</t>
        </is>
      </c>
      <c r="H1466" s="18" t="n"/>
      <c r="I1466" s="18" t="n"/>
      <c r="J1466" s="18" t="n"/>
      <c r="K1466" s="18" t="n"/>
      <c r="L1466" s="18" t="n"/>
    </row>
    <row r="1467" ht="83.19999999999999" customHeight="1">
      <c r="A1467" s="10" t="n">
        <v>1463</v>
      </c>
      <c r="B1467" s="11" t="inlineStr">
        <is>
          <t>MD-KEL-10</t>
        </is>
      </c>
      <c r="C1467" s="5" t="inlineStr">
        <is>
          <t>Pencarian dan paginasi bekerja bersama</t>
        </is>
      </c>
      <c r="D1467" s="12" t="inlineStr">
        <is>
          <t>Production Line</t>
        </is>
      </c>
      <c r="E1467" s="5" t="inlineStr">
        <is>
          <t>ADM</t>
        </is>
      </c>
      <c r="F1467" s="5" t="inlineStr">
        <is>
          <t>- Seluruh baris di halaman 2 (dan 3) masih cocok dengan kata kuncinya.
- Jumlah total hasil tidak berubah saat berpindah halaman.
- Kata kuncinya masih terisi di kolom pencarian setelah pindah halaman.</t>
        </is>
      </c>
      <c r="G1467" s="13" t="inlineStr">
        <is>
          <t>Tinggi</t>
        </is>
      </c>
      <c r="H1467" s="18" t="n"/>
      <c r="I1467" s="18" t="n"/>
      <c r="J1467" s="18" t="n"/>
      <c r="K1467" s="18" t="n"/>
      <c r="L1467" s="18" t="n"/>
    </row>
    <row r="1468" ht="83.19999999999999" customHeight="1">
      <c r="A1468" s="14" t="n">
        <v>1464</v>
      </c>
      <c r="B1468" s="16" t="inlineStr">
        <is>
          <t>MD-KEL-10</t>
        </is>
      </c>
      <c r="C1468" s="15" t="inlineStr">
        <is>
          <t>Pencarian dan paginasi bekerja bersama</t>
        </is>
      </c>
      <c r="D1468" s="17" t="inlineStr">
        <is>
          <t>Station</t>
        </is>
      </c>
      <c r="E1468" s="15" t="inlineStr">
        <is>
          <t>ADM</t>
        </is>
      </c>
      <c r="F1468" s="15" t="inlineStr">
        <is>
          <t>- Seluruh baris di halaman 2 (dan 3) masih cocok dengan kata kuncinya.
- Jumlah total hasil tidak berubah saat berpindah halaman.
- Kata kuncinya masih terisi di kolom pencarian setelah pindah halaman.</t>
        </is>
      </c>
      <c r="G1468" s="13" t="inlineStr">
        <is>
          <t>Tinggi</t>
        </is>
      </c>
      <c r="H1468" s="18" t="n"/>
      <c r="I1468" s="18" t="n"/>
      <c r="J1468" s="18" t="n"/>
      <c r="K1468" s="18" t="n"/>
      <c r="L1468" s="18" t="n"/>
    </row>
    <row r="1469" ht="83.19999999999999" customHeight="1">
      <c r="A1469" s="10" t="n">
        <v>1465</v>
      </c>
      <c r="B1469" s="11" t="inlineStr">
        <is>
          <t>MD-KEL-10</t>
        </is>
      </c>
      <c r="C1469" s="5" t="inlineStr">
        <is>
          <t>Pencarian dan paginasi bekerja bersama</t>
        </is>
      </c>
      <c r="D1469" s="12" t="inlineStr">
        <is>
          <t>Machinery Group</t>
        </is>
      </c>
      <c r="E1469" s="5" t="inlineStr">
        <is>
          <t>ADM</t>
        </is>
      </c>
      <c r="F1469" s="5" t="inlineStr">
        <is>
          <t>- Seluruh baris di halaman 2 (dan 3) masih cocok dengan kata kuncinya.
- Jumlah total hasil tidak berubah saat berpindah halaman.
- Kata kuncinya masih terisi di kolom pencarian setelah pindah halaman.</t>
        </is>
      </c>
      <c r="G1469" s="13" t="inlineStr">
        <is>
          <t>Tinggi</t>
        </is>
      </c>
      <c r="H1469" s="18" t="n"/>
      <c r="I1469" s="18" t="n"/>
      <c r="J1469" s="18" t="n"/>
      <c r="K1469" s="18" t="n"/>
      <c r="L1469" s="18" t="n"/>
    </row>
    <row r="1470" ht="83.19999999999999" customHeight="1">
      <c r="A1470" s="14" t="n">
        <v>1466</v>
      </c>
      <c r="B1470" s="16" t="inlineStr">
        <is>
          <t>MD-KEL-10</t>
        </is>
      </c>
      <c r="C1470" s="15" t="inlineStr">
        <is>
          <t>Pencarian dan paginasi bekerja bersama</t>
        </is>
      </c>
      <c r="D1470" s="17" t="inlineStr">
        <is>
          <t>Machinery</t>
        </is>
      </c>
      <c r="E1470" s="15" t="inlineStr">
        <is>
          <t>ADM</t>
        </is>
      </c>
      <c r="F1470" s="15" t="inlineStr">
        <is>
          <t>- Seluruh baris di halaman 2 (dan 3) masih cocok dengan kata kuncinya.
- Jumlah total hasil tidak berubah saat berpindah halaman.
- Kata kuncinya masih terisi di kolom pencarian setelah pindah halaman.</t>
        </is>
      </c>
      <c r="G1470" s="13" t="inlineStr">
        <is>
          <t>Tinggi</t>
        </is>
      </c>
      <c r="H1470" s="18" t="n"/>
      <c r="I1470" s="18" t="n"/>
      <c r="J1470" s="18" t="n"/>
      <c r="K1470" s="18" t="n"/>
      <c r="L1470" s="18" t="n"/>
    </row>
    <row r="1471" ht="83.19999999999999" customHeight="1">
      <c r="A1471" s="10" t="n">
        <v>1467</v>
      </c>
      <c r="B1471" s="11" t="inlineStr">
        <is>
          <t>MD-KEL-10</t>
        </is>
      </c>
      <c r="C1471" s="5" t="inlineStr">
        <is>
          <t>Pencarian dan paginasi bekerja bersama</t>
        </is>
      </c>
      <c r="D1471" s="12" t="inlineStr">
        <is>
          <t>User &amp; Role</t>
        </is>
      </c>
      <c r="E1471" s="5" t="inlineStr">
        <is>
          <t>ADM</t>
        </is>
      </c>
      <c r="F1471" s="5" t="inlineStr">
        <is>
          <t>- Seluruh baris di halaman 2 (dan 3) masih cocok dengan kata kuncinya.
- Jumlah total hasil tidak berubah saat berpindah halaman.
- Kata kuncinya masih terisi di kolom pencarian setelah pindah halaman.</t>
        </is>
      </c>
      <c r="G1471" s="13" t="inlineStr">
        <is>
          <t>Tinggi</t>
        </is>
      </c>
      <c r="H1471" s="18" t="n"/>
      <c r="I1471" s="18" t="n"/>
      <c r="J1471" s="18" t="n"/>
      <c r="K1471" s="18" t="n"/>
      <c r="L1471" s="18" t="n"/>
    </row>
    <row r="1472" ht="96.39999999999999" customHeight="1">
      <c r="A1472" s="14" t="n">
        <v>1468</v>
      </c>
      <c r="B1472" s="16" t="inlineStr">
        <is>
          <t>MD-KEL-11</t>
        </is>
      </c>
      <c r="C1472" s="15" t="inlineStr">
        <is>
          <t>Pencarian tidak peduli huruf besar-kecil, dan karakter khusus diperlakukan sebagai huruf biasa</t>
        </is>
      </c>
      <c r="D1472" s="17" t="inlineStr">
        <is>
          <t>Corporate</t>
        </is>
      </c>
      <c r="E1472" s="15" t="inlineStr">
        <is>
          <t>ADM</t>
        </is>
      </c>
      <c r="F1472" s="1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G1472" s="14" t="inlineStr">
        <is>
          <t>Sedang</t>
        </is>
      </c>
      <c r="H1472" s="18" t="n"/>
      <c r="I1472" s="18" t="n"/>
      <c r="J1472" s="18" t="n"/>
      <c r="K1472" s="18" t="n"/>
      <c r="L1472" s="18" t="n"/>
    </row>
    <row r="1473" ht="96.39999999999999" customHeight="1">
      <c r="A1473" s="10" t="n">
        <v>1469</v>
      </c>
      <c r="B1473" s="11" t="inlineStr">
        <is>
          <t>MD-KEL-11</t>
        </is>
      </c>
      <c r="C1473" s="5" t="inlineStr">
        <is>
          <t>Pencarian tidak peduli huruf besar-kecil, dan karakter khusus diperlakukan sebagai huruf biasa</t>
        </is>
      </c>
      <c r="D1473" s="12" t="inlineStr">
        <is>
          <t>Company</t>
        </is>
      </c>
      <c r="E1473" s="5" t="inlineStr">
        <is>
          <t>ADM</t>
        </is>
      </c>
      <c r="F1473"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G1473" s="10" t="inlineStr">
        <is>
          <t>Sedang</t>
        </is>
      </c>
      <c r="H1473" s="18" t="n"/>
      <c r="I1473" s="18" t="n"/>
      <c r="J1473" s="18" t="n"/>
      <c r="K1473" s="18" t="n"/>
      <c r="L1473" s="18" t="n"/>
    </row>
    <row r="1474" ht="96.39999999999999" customHeight="1">
      <c r="A1474" s="14" t="n">
        <v>1470</v>
      </c>
      <c r="B1474" s="16" t="inlineStr">
        <is>
          <t>MD-KEL-11</t>
        </is>
      </c>
      <c r="C1474" s="15" t="inlineStr">
        <is>
          <t>Pencarian tidak peduli huruf besar-kecil, dan karakter khusus diperlakukan sebagai huruf biasa</t>
        </is>
      </c>
      <c r="D1474" s="17" t="inlineStr">
        <is>
          <t>Business Unit</t>
        </is>
      </c>
      <c r="E1474" s="15" t="inlineStr">
        <is>
          <t>ADM</t>
        </is>
      </c>
      <c r="F1474" s="1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G1474" s="14" t="inlineStr">
        <is>
          <t>Sedang</t>
        </is>
      </c>
      <c r="H1474" s="18" t="n"/>
      <c r="I1474" s="18" t="n"/>
      <c r="J1474" s="18" t="n"/>
      <c r="K1474" s="18" t="n"/>
      <c r="L1474" s="18" t="n"/>
    </row>
    <row r="1475" ht="96.39999999999999" customHeight="1">
      <c r="A1475" s="10" t="n">
        <v>1471</v>
      </c>
      <c r="B1475" s="11" t="inlineStr">
        <is>
          <t>MD-KEL-11</t>
        </is>
      </c>
      <c r="C1475" s="5" t="inlineStr">
        <is>
          <t>Pencarian tidak peduli huruf besar-kecil, dan karakter khusus diperlakukan sebagai huruf biasa</t>
        </is>
      </c>
      <c r="D1475" s="12" t="inlineStr">
        <is>
          <t>Production Line</t>
        </is>
      </c>
      <c r="E1475" s="5" t="inlineStr">
        <is>
          <t>ADM</t>
        </is>
      </c>
      <c r="F1475"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G1475" s="10" t="inlineStr">
        <is>
          <t>Sedang</t>
        </is>
      </c>
      <c r="H1475" s="18" t="n"/>
      <c r="I1475" s="18" t="n"/>
      <c r="J1475" s="18" t="n"/>
      <c r="K1475" s="18" t="n"/>
      <c r="L1475" s="18" t="n"/>
    </row>
    <row r="1476" ht="96.39999999999999" customHeight="1">
      <c r="A1476" s="14" t="n">
        <v>1472</v>
      </c>
      <c r="B1476" s="16" t="inlineStr">
        <is>
          <t>MD-KEL-11</t>
        </is>
      </c>
      <c r="C1476" s="15" t="inlineStr">
        <is>
          <t>Pencarian tidak peduli huruf besar-kecil, dan karakter khusus diperlakukan sebagai huruf biasa</t>
        </is>
      </c>
      <c r="D1476" s="17" t="inlineStr">
        <is>
          <t>Station</t>
        </is>
      </c>
      <c r="E1476" s="15" t="inlineStr">
        <is>
          <t>ADM</t>
        </is>
      </c>
      <c r="F1476" s="1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G1476" s="14" t="inlineStr">
        <is>
          <t>Sedang</t>
        </is>
      </c>
      <c r="H1476" s="18" t="n"/>
      <c r="I1476" s="18" t="n"/>
      <c r="J1476" s="18" t="n"/>
      <c r="K1476" s="18" t="n"/>
      <c r="L1476" s="18" t="n"/>
    </row>
    <row r="1477" ht="96.39999999999999" customHeight="1">
      <c r="A1477" s="10" t="n">
        <v>1473</v>
      </c>
      <c r="B1477" s="11" t="inlineStr">
        <is>
          <t>MD-KEL-11</t>
        </is>
      </c>
      <c r="C1477" s="5" t="inlineStr">
        <is>
          <t>Pencarian tidak peduli huruf besar-kecil, dan karakter khusus diperlakukan sebagai huruf biasa</t>
        </is>
      </c>
      <c r="D1477" s="12" t="inlineStr">
        <is>
          <t>Machinery Group</t>
        </is>
      </c>
      <c r="E1477" s="5" t="inlineStr">
        <is>
          <t>ADM</t>
        </is>
      </c>
      <c r="F1477"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G1477" s="10" t="inlineStr">
        <is>
          <t>Sedang</t>
        </is>
      </c>
      <c r="H1477" s="18" t="n"/>
      <c r="I1477" s="18" t="n"/>
      <c r="J1477" s="18" t="n"/>
      <c r="K1477" s="18" t="n"/>
      <c r="L1477" s="18" t="n"/>
    </row>
    <row r="1478" ht="96.39999999999999" customHeight="1">
      <c r="A1478" s="14" t="n">
        <v>1474</v>
      </c>
      <c r="B1478" s="16" t="inlineStr">
        <is>
          <t>MD-KEL-11</t>
        </is>
      </c>
      <c r="C1478" s="15" t="inlineStr">
        <is>
          <t>Pencarian tidak peduli huruf besar-kecil, dan karakter khusus diperlakukan sebagai huruf biasa</t>
        </is>
      </c>
      <c r="D1478" s="17" t="inlineStr">
        <is>
          <t>Machinery</t>
        </is>
      </c>
      <c r="E1478" s="15" t="inlineStr">
        <is>
          <t>ADM</t>
        </is>
      </c>
      <c r="F1478" s="1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G1478" s="14" t="inlineStr">
        <is>
          <t>Sedang</t>
        </is>
      </c>
      <c r="H1478" s="18" t="n"/>
      <c r="I1478" s="18" t="n"/>
      <c r="J1478" s="18" t="n"/>
      <c r="K1478" s="18" t="n"/>
      <c r="L1478" s="18" t="n"/>
    </row>
    <row r="1479" ht="96.39999999999999" customHeight="1">
      <c r="A1479" s="10" t="n">
        <v>1475</v>
      </c>
      <c r="B1479" s="11" t="inlineStr">
        <is>
          <t>MD-KEL-11</t>
        </is>
      </c>
      <c r="C1479" s="5" t="inlineStr">
        <is>
          <t>Pencarian tidak peduli huruf besar-kecil, dan karakter khusus diperlakukan sebagai huruf biasa</t>
        </is>
      </c>
      <c r="D1479" s="12" t="inlineStr">
        <is>
          <t>User &amp; Role</t>
        </is>
      </c>
      <c r="E1479" s="5" t="inlineStr">
        <is>
          <t>ADM</t>
        </is>
      </c>
      <c r="F1479"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G1479" s="10" t="inlineStr">
        <is>
          <t>Sedang</t>
        </is>
      </c>
      <c r="H1479" s="18" t="n"/>
      <c r="I1479" s="18" t="n"/>
      <c r="J1479" s="18" t="n"/>
      <c r="K1479" s="18" t="n"/>
      <c r="L1479" s="18" t="n"/>
    </row>
    <row r="1480" ht="70" customHeight="1">
      <c r="A1480" s="14" t="n">
        <v>1476</v>
      </c>
      <c r="B1480" s="16" t="inlineStr">
        <is>
          <t>MD-KEL-12</t>
        </is>
      </c>
      <c r="C1480" s="15" t="inlineStr">
        <is>
          <t>Logo mill dapat diunggah dan terlihat</t>
        </is>
      </c>
      <c r="D1480" s="17" t="inlineStr">
        <is>
          <t>Corporate</t>
        </is>
      </c>
      <c r="E1480" s="15" t="inlineStr">
        <is>
          <t>ADM</t>
        </is>
      </c>
      <c r="F1480" s="15" t="inlineStr">
        <is>
          <t>- Logo gambar tersimpan dan terlihat saat entri dibuka kembali.
- Berkas bukan gambar ditolak dengan pesan yang jelas.
- Penolakan itu tidak menghapus logo yang sudah tersimpan sebelumnya.</t>
        </is>
      </c>
      <c r="G1480" s="14" t="inlineStr">
        <is>
          <t>Rendah</t>
        </is>
      </c>
      <c r="H1480" s="18" t="n"/>
      <c r="I1480" s="18" t="n"/>
      <c r="J1480" s="18" t="n"/>
      <c r="K1480" s="18" t="n"/>
      <c r="L1480" s="18" t="n"/>
    </row>
    <row r="1481" ht="70" customHeight="1">
      <c r="A1481" s="10" t="n">
        <v>1477</v>
      </c>
      <c r="B1481" s="11" t="inlineStr">
        <is>
          <t>MD-KEL-12</t>
        </is>
      </c>
      <c r="C1481" s="5" t="inlineStr">
        <is>
          <t>Logo mill dapat diunggah dan terlihat</t>
        </is>
      </c>
      <c r="D1481" s="12" t="inlineStr">
        <is>
          <t>Company</t>
        </is>
      </c>
      <c r="E1481" s="5" t="inlineStr">
        <is>
          <t>ADM</t>
        </is>
      </c>
      <c r="F1481" s="5" t="inlineStr">
        <is>
          <t>- Logo gambar tersimpan dan terlihat saat entri dibuka kembali.
- Berkas bukan gambar ditolak dengan pesan yang jelas.
- Penolakan itu tidak menghapus logo yang sudah tersimpan sebelumnya.</t>
        </is>
      </c>
      <c r="G1481" s="10" t="inlineStr">
        <is>
          <t>Rendah</t>
        </is>
      </c>
      <c r="H1481" s="18" t="n"/>
      <c r="I1481" s="18" t="n"/>
      <c r="J1481" s="18" t="n"/>
      <c r="K1481" s="18" t="n"/>
      <c r="L1481" s="18" t="n"/>
    </row>
    <row r="1482" ht="70" customHeight="1">
      <c r="A1482" s="14" t="n">
        <v>1478</v>
      </c>
      <c r="B1482" s="16" t="inlineStr">
        <is>
          <t>MD-KEL-12</t>
        </is>
      </c>
      <c r="C1482" s="15" t="inlineStr">
        <is>
          <t>Logo mill dapat diunggah dan terlihat</t>
        </is>
      </c>
      <c r="D1482" s="17" t="inlineStr">
        <is>
          <t>Business Unit</t>
        </is>
      </c>
      <c r="E1482" s="15" t="inlineStr">
        <is>
          <t>ADM</t>
        </is>
      </c>
      <c r="F1482" s="15" t="inlineStr">
        <is>
          <t>- Logo gambar tersimpan dan terlihat saat entri dibuka kembali.
- Berkas bukan gambar ditolak dengan pesan yang jelas.
- Penolakan itu tidak menghapus logo yang sudah tersimpan sebelumnya.</t>
        </is>
      </c>
      <c r="G1482" s="14" t="inlineStr">
        <is>
          <t>Rendah</t>
        </is>
      </c>
      <c r="H1482" s="18" t="n"/>
      <c r="I1482" s="18" t="n"/>
      <c r="J1482" s="18" t="n"/>
      <c r="K1482" s="18" t="n"/>
      <c r="L1482" s="18" t="n"/>
    </row>
    <row r="1483" ht="70" customHeight="1">
      <c r="A1483" s="10" t="n">
        <v>1479</v>
      </c>
      <c r="B1483" s="11" t="inlineStr">
        <is>
          <t>MD-KEL-12</t>
        </is>
      </c>
      <c r="C1483" s="5" t="inlineStr">
        <is>
          <t>Logo mill dapat diunggah dan terlihat</t>
        </is>
      </c>
      <c r="D1483" s="12" t="inlineStr">
        <is>
          <t>Production Line</t>
        </is>
      </c>
      <c r="E1483" s="5" t="inlineStr">
        <is>
          <t>ADM</t>
        </is>
      </c>
      <c r="F1483" s="5" t="inlineStr">
        <is>
          <t>- Logo gambar tersimpan dan terlihat saat entri dibuka kembali.
- Berkas bukan gambar ditolak dengan pesan yang jelas.
- Penolakan itu tidak menghapus logo yang sudah tersimpan sebelumnya.</t>
        </is>
      </c>
      <c r="G1483" s="10" t="inlineStr">
        <is>
          <t>Rendah</t>
        </is>
      </c>
      <c r="H1483" s="18" t="n"/>
      <c r="I1483" s="18" t="n"/>
      <c r="J1483" s="18" t="n"/>
      <c r="K1483" s="18" t="n"/>
      <c r="L1483" s="18" t="n"/>
    </row>
    <row r="1484" ht="70" customHeight="1">
      <c r="A1484" s="14" t="n">
        <v>1480</v>
      </c>
      <c r="B1484" s="16" t="inlineStr">
        <is>
          <t>MD-KEL-12</t>
        </is>
      </c>
      <c r="C1484" s="15" t="inlineStr">
        <is>
          <t>Logo mill dapat diunggah dan terlihat</t>
        </is>
      </c>
      <c r="D1484" s="17" t="inlineStr">
        <is>
          <t>Station</t>
        </is>
      </c>
      <c r="E1484" s="15" t="inlineStr">
        <is>
          <t>ADM</t>
        </is>
      </c>
      <c r="F1484" s="15" t="inlineStr">
        <is>
          <t>- Logo gambar tersimpan dan terlihat saat entri dibuka kembali.
- Berkas bukan gambar ditolak dengan pesan yang jelas.
- Penolakan itu tidak menghapus logo yang sudah tersimpan sebelumnya.</t>
        </is>
      </c>
      <c r="G1484" s="14" t="inlineStr">
        <is>
          <t>Rendah</t>
        </is>
      </c>
      <c r="H1484" s="18" t="n"/>
      <c r="I1484" s="18" t="n"/>
      <c r="J1484" s="18" t="n"/>
      <c r="K1484" s="18" t="n"/>
      <c r="L1484" s="18" t="n"/>
    </row>
    <row r="1485" ht="70" customHeight="1">
      <c r="A1485" s="10" t="n">
        <v>1481</v>
      </c>
      <c r="B1485" s="11" t="inlineStr">
        <is>
          <t>MD-KEL-12</t>
        </is>
      </c>
      <c r="C1485" s="5" t="inlineStr">
        <is>
          <t>Logo mill dapat diunggah dan terlihat</t>
        </is>
      </c>
      <c r="D1485" s="12" t="inlineStr">
        <is>
          <t>Machinery Group</t>
        </is>
      </c>
      <c r="E1485" s="5" t="inlineStr">
        <is>
          <t>ADM</t>
        </is>
      </c>
      <c r="F1485" s="5" t="inlineStr">
        <is>
          <t>- Logo gambar tersimpan dan terlihat saat entri dibuka kembali.
- Berkas bukan gambar ditolak dengan pesan yang jelas.
- Penolakan itu tidak menghapus logo yang sudah tersimpan sebelumnya.</t>
        </is>
      </c>
      <c r="G1485" s="10" t="inlineStr">
        <is>
          <t>Rendah</t>
        </is>
      </c>
      <c r="H1485" s="18" t="n"/>
      <c r="I1485" s="18" t="n"/>
      <c r="J1485" s="18" t="n"/>
      <c r="K1485" s="18" t="n"/>
      <c r="L1485" s="18" t="n"/>
    </row>
    <row r="1486" ht="70" customHeight="1">
      <c r="A1486" s="14" t="n">
        <v>1482</v>
      </c>
      <c r="B1486" s="16" t="inlineStr">
        <is>
          <t>MD-KEL-12</t>
        </is>
      </c>
      <c r="C1486" s="15" t="inlineStr">
        <is>
          <t>Logo mill dapat diunggah dan terlihat</t>
        </is>
      </c>
      <c r="D1486" s="17" t="inlineStr">
        <is>
          <t>Machinery</t>
        </is>
      </c>
      <c r="E1486" s="15" t="inlineStr">
        <is>
          <t>ADM</t>
        </is>
      </c>
      <c r="F1486" s="15" t="inlineStr">
        <is>
          <t>- Logo gambar tersimpan dan terlihat saat entri dibuka kembali.
- Berkas bukan gambar ditolak dengan pesan yang jelas.
- Penolakan itu tidak menghapus logo yang sudah tersimpan sebelumnya.</t>
        </is>
      </c>
      <c r="G1486" s="14" t="inlineStr">
        <is>
          <t>Rendah</t>
        </is>
      </c>
      <c r="H1486" s="18" t="n"/>
      <c r="I1486" s="18" t="n"/>
      <c r="J1486" s="18" t="n"/>
      <c r="K1486" s="18" t="n"/>
      <c r="L1486" s="18" t="n"/>
    </row>
    <row r="1487" ht="70" customHeight="1">
      <c r="A1487" s="10" t="n">
        <v>1483</v>
      </c>
      <c r="B1487" s="11" t="inlineStr">
        <is>
          <t>MD-KEL-12</t>
        </is>
      </c>
      <c r="C1487" s="5" t="inlineStr">
        <is>
          <t>Logo mill dapat diunggah dan terlihat</t>
        </is>
      </c>
      <c r="D1487" s="12" t="inlineStr">
        <is>
          <t>User &amp; Role</t>
        </is>
      </c>
      <c r="E1487" s="5" t="inlineStr">
        <is>
          <t>ADM</t>
        </is>
      </c>
      <c r="F1487" s="5" t="inlineStr">
        <is>
          <t>- Logo gambar tersimpan dan terlihat saat entri dibuka kembali.
- Berkas bukan gambar ditolak dengan pesan yang jelas.
- Penolakan itu tidak menghapus logo yang sudah tersimpan sebelumnya.</t>
        </is>
      </c>
      <c r="G1487" s="10" t="inlineStr">
        <is>
          <t>Rendah</t>
        </is>
      </c>
      <c r="H1487" s="18" t="n"/>
      <c r="I1487" s="18" t="n"/>
      <c r="J1487" s="18" t="n"/>
      <c r="K1487" s="18" t="n"/>
      <c r="L1487" s="18" t="n"/>
    </row>
    <row r="1488" ht="83.19999999999999" customHeight="1">
      <c r="A1488" s="14" t="n">
        <v>1484</v>
      </c>
      <c r="B1488" s="16" t="inlineStr">
        <is>
          <t>MD-STR-01</t>
        </is>
      </c>
      <c r="C1488" s="15" t="inlineStr">
        <is>
          <t>Papan kartu per mill tampil dengan hierarki di atasnya</t>
        </is>
      </c>
      <c r="D1488" s="15" t="inlineStr">
        <is>
          <t>—</t>
        </is>
      </c>
      <c r="E1488" s="15" t="inlineStr">
        <is>
          <t>ADM</t>
        </is>
      </c>
      <c r="F1488" s="15" t="inlineStr">
        <is>
          <t>- Satu kartu per mill.
- Tiap kartu memuat jalur corporate › company di atas nama mill-nya.
- Kode mill dan jumlah Production Line tercetak.
- Daftar Production Line ada di dalam kartu, masing-masing dengan aksinya.</t>
        </is>
      </c>
      <c r="G1488" s="13" t="inlineStr">
        <is>
          <t>Tinggi</t>
        </is>
      </c>
      <c r="H1488" s="18" t="n"/>
      <c r="I1488" s="18" t="n"/>
      <c r="J1488" s="18" t="n"/>
      <c r="K1488" s="18" t="n"/>
      <c r="L1488" s="18" t="n"/>
    </row>
    <row r="1489" ht="70" customHeight="1">
      <c r="A1489" s="10" t="n">
        <v>1485</v>
      </c>
      <c r="B1489" s="11" t="inlineStr">
        <is>
          <t>MD-STR-02</t>
        </is>
      </c>
      <c r="C1489" s="5" t="inlineStr">
        <is>
          <t>Keempat tingkat dapat dikelola dari layar ini</t>
        </is>
      </c>
      <c r="D1489" s="5" t="inlineStr">
        <is>
          <t>—</t>
        </is>
      </c>
      <c r="E1489" s="5" t="inlineStr">
        <is>
          <t>ADM</t>
        </is>
      </c>
      <c r="F1489" s="5" t="inlineStr">
        <is>
          <t>- Ketiga aksi (tambah, ubah, hapus) berhasil pada keempat tingkat.
- Semuanya lewat modal — tidak berpindah ke layar lain.
- Sesudah tiap aksi, kartu/daftarnya ikut berubah tanpa muat ulang manual.</t>
        </is>
      </c>
      <c r="G1489" s="13" t="inlineStr">
        <is>
          <t>Tinggi</t>
        </is>
      </c>
      <c r="H1489" s="18" t="n"/>
      <c r="I1489" s="18" t="n"/>
      <c r="J1489" s="18" t="n"/>
      <c r="K1489" s="18" t="n"/>
      <c r="L1489" s="18" t="n"/>
    </row>
    <row r="1490" ht="83.19999999999999" customHeight="1">
      <c r="A1490" s="14" t="n">
        <v>1486</v>
      </c>
      <c r="B1490" s="16" t="inlineStr">
        <is>
          <t>MD-STR-03</t>
        </is>
      </c>
      <c r="C1490" s="15" t="inlineStr">
        <is>
          <t>Corporate dan Company tetap terkelola walau tidak punya anak</t>
        </is>
      </c>
      <c r="D1490" s="15" t="inlineStr">
        <is>
          <t>—</t>
        </is>
      </c>
      <c r="E1490" s="15" t="inlineStr">
        <is>
          <t>ADM</t>
        </is>
      </c>
      <c r="F1490" s="15"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G1490" s="13" t="inlineStr">
        <is>
          <t>Tinggi</t>
        </is>
      </c>
      <c r="H1490" s="18" t="n"/>
      <c r="I1490" s="18" t="n"/>
      <c r="J1490" s="18" t="n"/>
      <c r="K1490" s="18" t="n"/>
      <c r="L1490" s="18" t="n"/>
    </row>
    <row r="1491" ht="70" customHeight="1">
      <c r="A1491" s="10" t="n">
        <v>1487</v>
      </c>
      <c r="B1491" s="11" t="inlineStr">
        <is>
          <t>MD-STR-04</t>
        </is>
      </c>
      <c r="C1491" s="5" t="inlineStr">
        <is>
          <t>Pencarian menyaring sebelum paginasi</t>
        </is>
      </c>
      <c r="D1491" s="5" t="inlineStr">
        <is>
          <t>—</t>
        </is>
      </c>
      <c r="E1491" s="5" t="inlineStr">
        <is>
          <t>ADM</t>
        </is>
      </c>
      <c r="F1491" s="5" t="inlineStr">
        <is>
          <t>- Mill itu ditemukan.
- Pencarian menyaring seluruh data, bukan hanya halaman yang sedang tampil.
- Kalau tidak ditemukan, itu bug: hasil di halaman lain akan terbaca "tidak ada".</t>
        </is>
      </c>
      <c r="G1491" s="13" t="inlineStr">
        <is>
          <t>Tinggi</t>
        </is>
      </c>
      <c r="H1491" s="18" t="n"/>
      <c r="I1491" s="18" t="n"/>
      <c r="J1491" s="18" t="n"/>
      <c r="K1491" s="18" t="n"/>
      <c r="L1491" s="18" t="n"/>
    </row>
    <row r="1492" ht="56.8" customHeight="1">
      <c r="A1492" s="14" t="n">
        <v>1488</v>
      </c>
      <c r="B1492" s="16" t="inlineStr">
        <is>
          <t>MD-STR-05</t>
        </is>
      </c>
      <c r="C1492" s="15" t="inlineStr">
        <is>
          <t>Aturan hapus sama dengan layar Kelola</t>
        </is>
      </c>
      <c r="D1492" s="15" t="inlineStr">
        <is>
          <t>—</t>
        </is>
      </c>
      <c r="E1492" s="15" t="inlineStr">
        <is>
          <t>ADM</t>
        </is>
      </c>
      <c r="F1492" s="15" t="inlineStr">
        <is>
          <t>- Hasilnya sama dengan layar Kelola: penolakan menyebut jumlah penghalangnya.
- Tidak ada penghapusan berantai.
- Penghapusan berhasil hanya setelah anaknya habis.</t>
        </is>
      </c>
      <c r="G1492" s="13" t="inlineStr">
        <is>
          <t>Tinggi</t>
        </is>
      </c>
      <c r="H1492" s="18" t="n"/>
      <c r="I1492" s="18" t="n"/>
      <c r="J1492" s="18" t="n"/>
      <c r="K1492" s="18" t="n"/>
      <c r="L1492" s="18" t="n"/>
    </row>
    <row r="1493" ht="43.59999999999999" customHeight="1">
      <c r="A1493" s="10" t="n">
        <v>1489</v>
      </c>
      <c r="B1493" s="11" t="inlineStr">
        <is>
          <t>MD-PRD-01</t>
        </is>
      </c>
      <c r="C1493" s="5" t="inlineStr">
        <is>
          <t>Hanya Admin dapat membuka layar ini</t>
        </is>
      </c>
      <c r="D1493" s="5" t="inlineStr">
        <is>
          <t>—</t>
        </is>
      </c>
      <c r="E1493" s="5" t="inlineStr">
        <is>
          <t>SPV-A, MGR-A, ADM</t>
        </is>
      </c>
      <c r="F1493" s="5" t="inlineStr">
        <is>
          <t>- SPV-A: menu tidak ada, alamat langsung menjawab 403.
- MGR-A: sama — 403.
- ADM: menu ada dan layarnya terbuka.</t>
        </is>
      </c>
      <c r="G1493" s="13" t="inlineStr">
        <is>
          <t>Tinggi</t>
        </is>
      </c>
      <c r="H1493" s="18" t="n"/>
      <c r="I1493" s="18" t="n"/>
      <c r="J1493" s="18" t="n"/>
      <c r="K1493" s="18" t="n"/>
      <c r="L1493" s="18" t="n"/>
    </row>
    <row r="1494" ht="70" customHeight="1">
      <c r="A1494" s="14" t="n">
        <v>1490</v>
      </c>
      <c r="B1494" s="16" t="inlineStr">
        <is>
          <t>MD-PRD-02</t>
        </is>
      </c>
      <c r="C1494" s="15" t="inlineStr">
        <is>
          <t>Panel "Periode Terbuka Hari Ini" memakai syarat gabungan</t>
        </is>
      </c>
      <c r="D1494" s="15" t="inlineStr">
        <is>
          <t>—</t>
        </is>
      </c>
      <c r="E1494" s="15" t="inlineStr">
        <is>
          <t>ADM</t>
        </is>
      </c>
      <c r="F1494" s="15" t="inlineStr">
        <is>
          <t>- Hanya (a) yang muncul di panel.
- (b) tidak muncul — tanggal hari ini adalah bagian dari syaratnya, bukan sekadar penanda.
- Keduanya tetap terlihat di daftar periode utama di bawahnya.</t>
        </is>
      </c>
      <c r="G1494" s="14" t="inlineStr">
        <is>
          <t>Sedang</t>
        </is>
      </c>
      <c r="H1494" s="18" t="n"/>
      <c r="I1494" s="18" t="n"/>
      <c r="J1494" s="18" t="n"/>
      <c r="K1494" s="18" t="n"/>
      <c r="L1494" s="18" t="n"/>
    </row>
    <row r="1495" ht="70" customHeight="1">
      <c r="A1495" s="10" t="n">
        <v>1491</v>
      </c>
      <c r="B1495" s="11" t="inlineStr">
        <is>
          <t>MD-PRD-03</t>
        </is>
      </c>
      <c r="C1495" s="5" t="inlineStr">
        <is>
          <t>Mill tanpa periode yang memenuhi syarat tetap punya kartu, dalam keadaan redup</t>
        </is>
      </c>
      <c r="D1495" s="5" t="inlineStr">
        <is>
          <t>—</t>
        </is>
      </c>
      <c r="E1495" s="5" t="inlineStr">
        <is>
          <t>ADM</t>
        </is>
      </c>
      <c r="F1495" s="5" t="inlineStr">
        <is>
          <t>- Mill itu tetap punya kartu, tampil redup.
- Ia tidak disembunyikan — ketiadaan periode adalah informasi, bukan alasan menghilangkan mill.
- Ada keterangan pada kartu itu bahwa belum ada periode terbuka hari ini.</t>
        </is>
      </c>
      <c r="G1495" s="10" t="inlineStr">
        <is>
          <t>Sedang</t>
        </is>
      </c>
      <c r="H1495" s="18" t="n"/>
      <c r="I1495" s="18" t="n"/>
      <c r="J1495" s="18" t="n"/>
      <c r="K1495" s="18" t="n"/>
      <c r="L1495" s="18" t="n"/>
    </row>
    <row r="1496" ht="83.19999999999999" customHeight="1">
      <c r="A1496" s="14" t="n">
        <v>1492</v>
      </c>
      <c r="B1496" s="16" t="inlineStr">
        <is>
          <t>MD-PRD-04</t>
        </is>
      </c>
      <c r="C1496" s="15" t="inlineStr">
        <is>
          <t>Hitungan pada kartu adalah stasiun Terbuka dibanding seluruh stasiun periode</t>
        </is>
      </c>
      <c r="D1496" s="15" t="inlineStr">
        <is>
          <t>—</t>
        </is>
      </c>
      <c r="E1496" s="15" t="inlineStr">
        <is>
          <t>ADM</t>
        </is>
      </c>
      <c r="F1496" s="15" t="inlineStr">
        <is>
          <t>- Angka pada kartu adalah stasiun Terbuka dibanding seluruh stasiun periode itu.
- Angkanya cocok dengan hitungan manual dari Detail Periode.
- Penyebutnya bukan 18 dan bukan jumlah stasiun mill — tapi jumlah stasiun pada periode itu.</t>
        </is>
      </c>
      <c r="G1496" s="14" t="inlineStr">
        <is>
          <t>Sedang</t>
        </is>
      </c>
      <c r="H1496" s="18" t="n"/>
      <c r="I1496" s="18" t="n"/>
      <c r="J1496" s="18" t="n"/>
      <c r="K1496" s="18" t="n"/>
      <c r="L1496" s="18" t="n"/>
    </row>
    <row r="1497" ht="56.8" customHeight="1">
      <c r="A1497" s="10" t="n">
        <v>1493</v>
      </c>
      <c r="B1497" s="11" t="inlineStr">
        <is>
          <t>MD-PRD-05</t>
        </is>
      </c>
      <c r="C1497" s="5" t="inlineStr">
        <is>
          <t>Mill wajib dipilih saat membuat periode</t>
        </is>
      </c>
      <c r="D1497" s="5" t="inlineStr">
        <is>
          <t>—</t>
        </is>
      </c>
      <c r="E1497" s="5" t="inlineStr">
        <is>
          <t>ADM</t>
        </is>
      </c>
      <c r="F1497" s="5" t="inlineStr">
        <is>
          <t>- Ditolak dengan pesan yang menunjuk kolom mill / Business Unit.
- Periode tidak tersimpan.
- Isi kolom lain tidak hilang.</t>
        </is>
      </c>
      <c r="G1497" s="13" t="inlineStr">
        <is>
          <t>Tinggi</t>
        </is>
      </c>
      <c r="H1497" s="18" t="n"/>
      <c r="I1497" s="18" t="n"/>
      <c r="J1497" s="18" t="n"/>
      <c r="K1497" s="18" t="n"/>
      <c r="L1497" s="18" t="n"/>
    </row>
    <row r="1498" ht="56.8" customHeight="1">
      <c r="A1498" s="14" t="n">
        <v>1494</v>
      </c>
      <c r="B1498" s="16" t="inlineStr">
        <is>
          <t>MD-PRD-06</t>
        </is>
      </c>
      <c r="C1498" s="15" t="inlineStr">
        <is>
          <t>Periode tumpang tindih pada satu mill ditolak</t>
        </is>
      </c>
      <c r="D1498" s="15" t="inlineStr">
        <is>
          <t>—</t>
        </is>
      </c>
      <c r="E1498" s="15" t="inlineStr">
        <is>
          <t>ADM</t>
        </is>
      </c>
      <c r="F1498" s="15" t="inlineStr">
        <is>
          <t>- Langkah 2 ditolak, dengan pesan yang menyebut tumpang tindih dengan periode yang sudah ada.
- Langkah 4 berhasil — tumpang tindih hanya dilarang dalam satu mill yang sama.</t>
        </is>
      </c>
      <c r="G1498" s="13" t="inlineStr">
        <is>
          <t>Tinggi</t>
        </is>
      </c>
      <c r="H1498" s="18" t="n"/>
      <c r="I1498" s="18" t="n"/>
      <c r="J1498" s="18" t="n"/>
      <c r="K1498" s="18" t="n"/>
      <c r="L1498" s="18" t="n"/>
    </row>
    <row r="1499" ht="83.19999999999999" customHeight="1">
      <c r="A1499" s="10" t="n">
        <v>1495</v>
      </c>
      <c r="B1499" s="11" t="inlineStr">
        <is>
          <t>MD-PRD-07</t>
        </is>
      </c>
      <c r="C1499" s="5" t="inlineStr">
        <is>
          <t>Periode tidak memilih jenis stasiun; daftarnya diturunkan sistem</t>
        </is>
      </c>
      <c r="D1499" s="5" t="inlineStr">
        <is>
          <t>—</t>
        </is>
      </c>
      <c r="E1499" s="5" t="inlineStr">
        <is>
          <t>ADM</t>
        </is>
      </c>
      <c r="F1499" s="5" t="inlineStr">
        <is>
          <t>- Saat membuat, tidak ada pilihan jenis stasiun sama sekali.
- Di Detail, daftar stasiunnya sudah terisi sesuai stasiun yang ada di mill itu — diturunkan sistem.
- Setiap stasiun pada daftar itu punya statusnya sendiri (draft/terbuka/tertutup).</t>
        </is>
      </c>
      <c r="G1499" s="10" t="inlineStr">
        <is>
          <t>Sedang</t>
        </is>
      </c>
      <c r="H1499" s="18" t="n"/>
      <c r="I1499" s="18" t="n"/>
      <c r="J1499" s="18" t="n"/>
      <c r="K1499" s="18" t="n"/>
      <c r="L1499" s="18" t="n"/>
    </row>
    <row r="1500" ht="83.19999999999999" customHeight="1">
      <c r="A1500" s="14" t="n">
        <v>1496</v>
      </c>
      <c r="B1500" s="16" t="inlineStr">
        <is>
          <t>MD-PRD-08</t>
        </is>
      </c>
      <c r="C1500" s="15" t="inlineStr">
        <is>
          <t>Tanggal akhir tidak boleh sebelum tanggal mulai</t>
        </is>
      </c>
      <c r="D1500" s="15" t="inlineStr">
        <is>
          <t>—</t>
        </is>
      </c>
      <c r="E1500" s="15" t="inlineStr">
        <is>
          <t>ADM</t>
        </is>
      </c>
      <c r="F1500" s="15" t="inlineStr">
        <is>
          <t>- Tanggal selesai lebih awal ditolak, dengan pesan yang menyebut rentangnya, muncul di sebelah kolom Tanggal Selesai.
- Periode tidak tersimpan.
- Tanggal selesai sama dengan tanggal mulai: catat perilakunya apa adanya (periode satu hari).</t>
        </is>
      </c>
      <c r="G1500" s="13" t="inlineStr">
        <is>
          <t>Tinggi</t>
        </is>
      </c>
      <c r="H1500" s="18" t="n"/>
      <c r="I1500" s="18" t="n"/>
      <c r="J1500" s="18" t="n"/>
      <c r="K1500" s="18" t="n"/>
      <c r="L1500" s="18" t="n"/>
    </row>
    <row r="1501" ht="70" customHeight="1">
      <c r="A1501" s="10" t="n">
        <v>1497</v>
      </c>
      <c r="B1501" s="11" t="inlineStr">
        <is>
          <t>MD-PRD-09</t>
        </is>
      </c>
      <c r="C1501" s="5" t="inlineStr">
        <is>
          <t>Tutup dan Buka periode hanya oleh Admin, dan statusnya berpengaruh</t>
        </is>
      </c>
      <c r="D1501" s="5" t="inlineStr">
        <is>
          <t>—</t>
        </is>
      </c>
      <c r="E1501" s="5" t="inlineStr">
        <is>
          <t>ADM, lalu SPV-A</t>
        </is>
      </c>
      <c r="F1501" s="5" t="inlineStr">
        <is>
          <t>- Hasil LS-10 terpenuhi: status periode benar-benar mengunci dan membuka input.
- SPV-A dan MGR-A tidak punya aksi tutup/buka sama sekali — bukan hanya tombolnya kelabu, tapi memang tidak ada.
- Hanya ADM yang dapat melakukannya.</t>
        </is>
      </c>
      <c r="G1501" s="13" t="inlineStr">
        <is>
          <t>Tinggi</t>
        </is>
      </c>
      <c r="H1501" s="18" t="n"/>
      <c r="I1501" s="18" t="n"/>
      <c r="J1501" s="18" t="n"/>
      <c r="K1501" s="18" t="n"/>
      <c r="L1501" s="18" t="n"/>
    </row>
    <row r="1502" ht="70" customHeight="1">
      <c r="A1502" s="14" t="n">
        <v>1498</v>
      </c>
      <c r="B1502" s="16" t="inlineStr">
        <is>
          <t>MD-PRD-10</t>
        </is>
      </c>
      <c r="C1502" s="15" t="inlineStr">
        <is>
          <t>Hapus periode yang sudah punya record ditolak</t>
        </is>
      </c>
      <c r="D1502" s="15" t="inlineStr">
        <is>
          <t>—</t>
        </is>
      </c>
      <c r="E1502" s="15" t="inlineStr">
        <is>
          <t>ADM</t>
        </is>
      </c>
      <c r="F1502" s="15" t="inlineStr">
        <is>
          <t>- Ditolak dengan pesan yang menyebut sebabnya (masih punya record).
- Periode tidak terhapus.
- Record stasiunnya tidak terhapus — tidak ada penghapusan berantai.</t>
        </is>
      </c>
      <c r="G1502" s="13" t="inlineStr">
        <is>
          <t>Tinggi</t>
        </is>
      </c>
      <c r="H1502" s="18" t="n"/>
      <c r="I1502" s="18" t="n"/>
      <c r="J1502" s="18" t="n"/>
      <c r="K1502" s="18" t="n"/>
      <c r="L1502" s="18" t="n"/>
    </row>
    <row r="1503" ht="43.59999999999999" customHeight="1">
      <c r="A1503" s="10" t="n">
        <v>1499</v>
      </c>
      <c r="B1503" s="11" t="inlineStr">
        <is>
          <t>MD-PRD-11</t>
        </is>
      </c>
      <c r="C1503" s="5" t="inlineStr">
        <is>
          <t>Filter dan paginasi daftar periode</t>
        </is>
      </c>
      <c r="D1503" s="5" t="inlineStr">
        <is>
          <t>—</t>
        </is>
      </c>
      <c r="E1503" s="5" t="inlineStr">
        <is>
          <t>ADM</t>
        </is>
      </c>
      <c r="F1503" s="5" t="inlineStr">
        <is>
          <t>- Hasilnya sama dengan MD-KEL-10: seluruh baris halaman 2 masih cocok dengan filternya.
- Jumlah total hasil tidak berubah antar halaman.</t>
        </is>
      </c>
      <c r="G1503" s="10" t="inlineStr">
        <is>
          <t>Sedang ---</t>
        </is>
      </c>
      <c r="H1503" s="18" t="n"/>
      <c r="I1503" s="18" t="n"/>
      <c r="J1503" s="18" t="n"/>
      <c r="K1503" s="18" t="n"/>
      <c r="L1503" s="18" t="n"/>
    </row>
    <row r="1504" ht="109.6" customHeight="1">
      <c r="A1504" s="14" t="n">
        <v>1500</v>
      </c>
      <c r="B1504" s="16" t="inlineStr">
        <is>
          <t>AD-01</t>
        </is>
      </c>
      <c r="C1504" s="15" t="inlineStr">
        <is>
          <t>Tambah user dengan peran dan mill</t>
        </is>
      </c>
      <c r="D1504" s="15" t="inlineStr">
        <is>
          <t>—</t>
        </is>
      </c>
      <c r="E1504" s="15" t="inlineStr">
        <is>
          <t>ADM</t>
        </is>
      </c>
      <c r="F1504" s="15"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G1504" s="13" t="inlineStr">
        <is>
          <t>Tinggi</t>
        </is>
      </c>
      <c r="H1504" s="18" t="n"/>
      <c r="I1504" s="18" t="n"/>
      <c r="J1504" s="18" t="n"/>
      <c r="K1504" s="18" t="n"/>
      <c r="L1504" s="18" t="n"/>
    </row>
    <row r="1505" ht="43.59999999999999" customHeight="1">
      <c r="A1505" s="10" t="n">
        <v>1501</v>
      </c>
      <c r="B1505" s="11" t="inlineStr">
        <is>
          <t>AD-02</t>
        </is>
      </c>
      <c r="C1505" s="5" t="inlineStr">
        <is>
          <t>Username kembar ditolak</t>
        </is>
      </c>
      <c r="D1505" s="5" t="inlineStr">
        <is>
          <t>—</t>
        </is>
      </c>
      <c r="E1505" s="5" t="inlineStr">
        <is>
          <t>ADM</t>
        </is>
      </c>
      <c r="F1505" s="5" t="inlineStr">
        <is>
          <t>- Ketiganya ditolak.
- Pesannya menyebut bahwa username sudah dipakai.
- Tidak ada user ganda yang tercipta.</t>
        </is>
      </c>
      <c r="G1505" s="13" t="inlineStr">
        <is>
          <t>Tinggi</t>
        </is>
      </c>
      <c r="H1505" s="18" t="n"/>
      <c r="I1505" s="18" t="n"/>
      <c r="J1505" s="18" t="n"/>
      <c r="K1505" s="18" t="n"/>
      <c r="L1505" s="18" t="n"/>
    </row>
    <row r="1506" ht="83.19999999999999" customHeight="1">
      <c r="A1506" s="14" t="n">
        <v>1502</v>
      </c>
      <c r="B1506" s="16" t="inlineStr">
        <is>
          <t>AD-03</t>
        </is>
      </c>
      <c r="C1506" s="15" t="inlineStr">
        <is>
          <t>Peran terikat mill wajib punya mill</t>
        </is>
      </c>
      <c r="D1506" s="15" t="inlineStr">
        <is>
          <t>—</t>
        </is>
      </c>
      <c r="E1506" s="15" t="inlineStr">
        <is>
          <t>ADM</t>
        </is>
      </c>
      <c r="F1506" s="15" t="inlineStr">
        <is>
          <t>- Langkah 2 ditolak, dengan pesan yang menunjuk kolom mill.
- Langkah 4 berhasil — Admin memang tidak terikat satu mill.
- Kalau Admin juga ditolak, itu temuan: ia akan membuat Admin mustahil dibuat.</t>
        </is>
      </c>
      <c r="G1506" s="13" t="inlineStr">
        <is>
          <t>Tinggi</t>
        </is>
      </c>
      <c r="H1506" s="18" t="n"/>
      <c r="I1506" s="18" t="n"/>
      <c r="J1506" s="18" t="n"/>
      <c r="K1506" s="18" t="n"/>
      <c r="L1506" s="18" t="n"/>
    </row>
    <row r="1507" ht="70" customHeight="1">
      <c r="A1507" s="10" t="n">
        <v>1503</v>
      </c>
      <c r="B1507" s="11" t="inlineStr">
        <is>
          <t>AD-04</t>
        </is>
      </c>
      <c r="C1507" s="5" t="inlineStr">
        <is>
          <t>Ubah peran langsung mengubah menu yang terlihat</t>
        </is>
      </c>
      <c r="D1507" s="5" t="inlineStr">
        <is>
          <t>—</t>
        </is>
      </c>
      <c r="E1507" s="5" t="inlineStr">
        <is>
          <t>ADM + akun uji</t>
        </is>
      </c>
      <c r="F1507" s="5" t="inlineStr">
        <is>
          <t>- Sidebar berubah sesuai peran baru — mis. Laporan Manajemen kini muncul.
- Checked By kini tidak bisa diisi.
- Acknowledged By kini bisa diisi.
- Perubahan peran berlaku tanpa perlu membuat akun baru.</t>
        </is>
      </c>
      <c r="G1507" s="13" t="inlineStr">
        <is>
          <t>Tinggi</t>
        </is>
      </c>
      <c r="H1507" s="18" t="n"/>
      <c r="I1507" s="18" t="n"/>
      <c r="J1507" s="18" t="n"/>
      <c r="K1507" s="18" t="n"/>
      <c r="L1507" s="18" t="n"/>
    </row>
    <row r="1508" ht="56.8" customHeight="1">
      <c r="A1508" s="14" t="n">
        <v>1504</v>
      </c>
      <c r="B1508" s="16" t="inlineStr">
        <is>
          <t>AD-05</t>
        </is>
      </c>
      <c r="C1508" s="15" t="inlineStr">
        <is>
          <t>Nonaktifkan user memblokir login</t>
        </is>
      </c>
      <c r="D1508" s="15" t="inlineStr">
        <is>
          <t>—</t>
        </is>
      </c>
      <c r="E1508" s="15" t="inlineStr">
        <is>
          <t>ADM</t>
        </is>
      </c>
      <c r="F1508" s="15" t="inlineStr">
        <is>
          <t>- Hasilnya sesuai AU-04: sesi yang sedang berjalan dikeluarkan, dan login berikutnya gagal dengan pesan akun tidak aktif.
- Sesudah diaktifkan kembali, akun itu bisa login lagi.</t>
        </is>
      </c>
      <c r="G1508" s="13" t="inlineStr">
        <is>
          <t>Tinggi</t>
        </is>
      </c>
      <c r="H1508" s="18" t="n"/>
      <c r="I1508" s="18" t="n"/>
      <c r="J1508" s="18" t="n"/>
      <c r="K1508" s="18" t="n"/>
      <c r="L1508" s="18" t="n"/>
    </row>
    <row r="1509" ht="43.59999999999999" customHeight="1">
      <c r="A1509" s="10" t="n">
        <v>1505</v>
      </c>
      <c r="B1509" s="11" t="inlineStr">
        <is>
          <t>AD-06</t>
        </is>
      </c>
      <c r="C1509" s="5" t="inlineStr">
        <is>
          <t>Reset password oleh Admin</t>
        </is>
      </c>
      <c r="D1509" s="5" t="inlineStr">
        <is>
          <t>—</t>
        </is>
      </c>
      <c r="E1509" s="5" t="inlineStr">
        <is>
          <t>ADM + akun uji</t>
        </is>
      </c>
      <c r="F1509" s="5" t="inlineStr">
        <is>
          <t>- Reset berhasil dengan pesan konfirmasi.
- Login dengan password baru berhasil.
- Login dengan password lama gagal.</t>
        </is>
      </c>
      <c r="G1509" s="13" t="inlineStr">
        <is>
          <t>Tinggi</t>
        </is>
      </c>
      <c r="H1509" s="18" t="n"/>
      <c r="I1509" s="18" t="n"/>
      <c r="J1509" s="18" t="n"/>
      <c r="K1509" s="18" t="n"/>
      <c r="L1509" s="18" t="n"/>
    </row>
    <row r="1510" ht="56.8" customHeight="1">
      <c r="A1510" s="14" t="n">
        <v>1506</v>
      </c>
      <c r="B1510" s="16" t="inlineStr">
        <is>
          <t>AD-07</t>
        </is>
      </c>
      <c r="C1510" s="15" t="inlineStr">
        <is>
          <t>Pengaturan Mill: Mill Management hanya mill sendiri</t>
        </is>
      </c>
      <c r="D1510" s="15" t="inlineStr">
        <is>
          <t>—</t>
        </is>
      </c>
      <c r="E1510" s="15" t="inlineStr">
        <is>
          <t>MGR-A</t>
        </is>
      </c>
      <c r="F1510" s="15" t="inlineStr">
        <is>
          <t>- Hanya mill sendiri yang dapat diatur.
- Mill lain tidak terlihat dan tidak dapat dipilih — tidak ada pemilih mill untuk peran ini.
- Nama mill kedua tidak tercetak di layar mana pun.</t>
        </is>
      </c>
      <c r="G1510" s="13" t="inlineStr">
        <is>
          <t>Tinggi</t>
        </is>
      </c>
      <c r="H1510" s="18" t="n"/>
      <c r="I1510" s="18" t="n"/>
      <c r="J1510" s="18" t="n"/>
      <c r="K1510" s="18" t="n"/>
      <c r="L1510" s="18" t="n"/>
    </row>
    <row r="1511" ht="56.8" customHeight="1">
      <c r="A1511" s="10" t="n">
        <v>1507</v>
      </c>
      <c r="B1511" s="11" t="inlineStr">
        <is>
          <t>AD-08</t>
        </is>
      </c>
      <c r="C1511" s="5" t="inlineStr">
        <is>
          <t>Pengaturan Mill: Admin dapat semua mill</t>
        </is>
      </c>
      <c r="D1511" s="5" t="inlineStr">
        <is>
          <t>—</t>
        </is>
      </c>
      <c r="E1511" s="5" t="inlineStr">
        <is>
          <t>ADM</t>
        </is>
      </c>
      <c r="F1511" s="5" t="inlineStr">
        <is>
          <t>- Pemilih mill ada dan memuat seluruh mill.
- Pengaturan setiap mill dapat dibuka dan diatur.
- Berganti mill mengganti nilai yang tampil — bukan menampilkan nilai mill sebelumnya.</t>
        </is>
      </c>
      <c r="G1511" s="13" t="inlineStr">
        <is>
          <t>Tinggi</t>
        </is>
      </c>
      <c r="H1511" s="18" t="n"/>
      <c r="I1511" s="18" t="n"/>
      <c r="J1511" s="18" t="n"/>
      <c r="K1511" s="18" t="n"/>
      <c r="L1511" s="18" t="n"/>
    </row>
    <row r="1512" ht="56.8" customHeight="1">
      <c r="A1512" s="14" t="n">
        <v>1508</v>
      </c>
      <c r="B1512" s="16" t="inlineStr">
        <is>
          <t>AD-09</t>
        </is>
      </c>
      <c r="C1512" s="15" t="inlineStr">
        <is>
          <t>Supervisor dan Operator tidak punya Pengaturan Mill</t>
        </is>
      </c>
      <c r="D1512" s="15" t="inlineStr">
        <is>
          <t>—</t>
        </is>
      </c>
      <c r="E1512" s="15" t="inlineStr">
        <is>
          <t>SPV-A, OPR-A</t>
        </is>
      </c>
      <c r="F1512" s="15" t="inlineStr">
        <is>
          <t>- Menu tidak ada di sidebar untuk keduanya.
- Alamat langsung menjawab 403 untuk keduanya.
- Halaman 403-nya masih di dalam kerangka aplikasi (lihat LS-01).</t>
        </is>
      </c>
      <c r="G1512" s="13" t="inlineStr">
        <is>
          <t>Tinggi</t>
        </is>
      </c>
      <c r="H1512" s="18" t="n"/>
      <c r="I1512" s="18" t="n"/>
      <c r="J1512" s="18" t="n"/>
      <c r="K1512" s="18" t="n"/>
      <c r="L1512" s="18" t="n"/>
    </row>
    <row r="1513" ht="83.19999999999999" customHeight="1">
      <c r="A1513" s="10" t="n">
        <v>1509</v>
      </c>
      <c r="B1513" s="11" t="inlineStr">
        <is>
          <t>AD-10</t>
        </is>
      </c>
      <c r="C1513" s="5" t="inlineStr">
        <is>
          <t>Perubahan Pengaturan Mill tersimpan dan berlaku</t>
        </is>
      </c>
      <c r="D1513" s="5" t="inlineStr">
        <is>
          <t>—</t>
        </is>
      </c>
      <c r="E1513" s="5" t="inlineStr">
        <is>
          <t>MGR-A</t>
        </is>
      </c>
      <c r="F1513" s="5" t="inlineStr">
        <is>
          <t>- Simpan berhasil dengan pesan konfirmasi.
- Nilai baru bertahan sesudah muat ulang.
- Nilai baru berlaku di layar yang memakainya.
- Nilai yang tersimpan tapi tidak berpengaruh ke layar mana pun adalah separuh fitur — itu yang diperiksa di langkah 4–5.</t>
        </is>
      </c>
      <c r="G1513" s="10" t="inlineStr">
        <is>
          <t>Sedang ---</t>
        </is>
      </c>
      <c r="H1513" s="18" t="n"/>
      <c r="I1513" s="18" t="n"/>
      <c r="J1513" s="18" t="n"/>
      <c r="K1513" s="18" t="n"/>
      <c r="L1513" s="18" t="n"/>
    </row>
  </sheetData>
  <autoFilter ref="A4:L1513"/>
  <mergeCells count="2">
    <mergeCell ref="A2:L2"/>
    <mergeCell ref="A1:L1"/>
  </mergeCells>
  <dataValidations count="1">
    <dataValidation sqref="J5:J195 J198:J210 J213 J216:J228 J231:J341 J355:J356 J358:J1513"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6"/>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Lembar Hasil. Tidak perlu diisi tangan.</t>
        </is>
      </c>
    </row>
    <row r="4" ht="28" customHeight="1">
      <c r="A4" s="9" t="inlineStr">
        <is>
          <t>Bagian</t>
        </is>
      </c>
      <c r="B4" s="9" t="inlineStr">
        <is>
          <t>Awalan ID</t>
        </is>
      </c>
      <c r="C4" s="9" t="inlineStr">
        <is>
          <t>Kasus unik</t>
        </is>
      </c>
      <c r="D4" s="9" t="inlineStr">
        <is>
          <t>Jml jalan</t>
        </is>
      </c>
      <c r="E4" s="9" t="inlineStr">
        <is>
          <t>Lulus</t>
        </is>
      </c>
      <c r="F4" s="9" t="inlineStr">
        <is>
          <t>Gagal</t>
        </is>
      </c>
      <c r="G4" s="9" t="inlineStr">
        <is>
          <t>Tidak diuji</t>
        </is>
      </c>
      <c r="H4" s="9" t="inlineStr">
        <is>
          <t>Terhalang</t>
        </is>
      </c>
      <c r="I4" s="9" t="inlineStr">
        <is>
          <t>Belum diisi</t>
        </is>
      </c>
    </row>
    <row r="5">
      <c r="A5" s="12" t="inlineStr">
        <is>
          <t>Aturan lintas-sistem</t>
        </is>
      </c>
      <c r="B5" s="21" t="inlineStr">
        <is>
          <t>LS-</t>
        </is>
      </c>
      <c r="C5" s="10" t="n">
        <v>16</v>
      </c>
      <c r="D5" s="10" t="n">
        <v>16</v>
      </c>
      <c r="E5" s="10">
        <f>COUNTIFS('Lembar Hasil'!$B$5:$B$1513,"LS-*",'Lembar Hasil'!$J$5:$J$1513,"Lulus")</f>
        <v/>
      </c>
      <c r="F5" s="10">
        <f>COUNTIFS('Lembar Hasil'!$B$5:$B$1513,"LS-*",'Lembar Hasil'!$J$5:$J$1513,"Gagal")</f>
        <v/>
      </c>
      <c r="G5" s="10">
        <f>COUNTIFS('Lembar Hasil'!$B$5:$B$1513,"LS-*",'Lembar Hasil'!$J$5:$J$1513,"Tidak diuji")</f>
        <v/>
      </c>
      <c r="H5" s="10">
        <f>COUNTIFS('Lembar Hasil'!$B$5:$B$1513,"LS-*",'Lembar Hasil'!$J$5:$J$1513,"Terhalang")</f>
        <v/>
      </c>
      <c r="I5" s="10">
        <f>D5-E5-F5-G5-H5</f>
        <v/>
      </c>
    </row>
    <row r="6">
      <c r="A6" s="12" t="inlineStr">
        <is>
          <t>Autentikasi &amp; Akun</t>
        </is>
      </c>
      <c r="B6" s="21" t="inlineStr">
        <is>
          <t>AU-</t>
        </is>
      </c>
      <c r="C6" s="10" t="n">
        <v>9</v>
      </c>
      <c r="D6" s="10" t="n">
        <v>9</v>
      </c>
      <c r="E6" s="10">
        <f>COUNTIFS('Lembar Hasil'!$B$5:$B$1513,"AU-*",'Lembar Hasil'!$J$5:$J$1513,"Lulus")</f>
        <v/>
      </c>
      <c r="F6" s="10">
        <f>COUNTIFS('Lembar Hasil'!$B$5:$B$1513,"AU-*",'Lembar Hasil'!$J$5:$J$1513,"Gagal")</f>
        <v/>
      </c>
      <c r="G6" s="10">
        <f>COUNTIFS('Lembar Hasil'!$B$5:$B$1513,"AU-*",'Lembar Hasil'!$J$5:$J$1513,"Tidak diuji")</f>
        <v/>
      </c>
      <c r="H6" s="10">
        <f>COUNTIFS('Lembar Hasil'!$B$5:$B$1513,"AU-*",'Lembar Hasil'!$J$5:$J$1513,"Terhalang")</f>
        <v/>
      </c>
      <c r="I6" s="10">
        <f>D6-E6-F6-G6-H6</f>
        <v/>
      </c>
    </row>
    <row r="7">
      <c r="A7" s="12" t="inlineStr">
        <is>
          <t>Mobile — Operasional Stasiun</t>
        </is>
      </c>
      <c r="B7" s="21" t="inlineStr">
        <is>
          <t>MB-</t>
        </is>
      </c>
      <c r="C7" s="10" t="n">
        <v>39</v>
      </c>
      <c r="D7" s="10" t="n">
        <v>559</v>
      </c>
      <c r="E7" s="10">
        <f>COUNTIFS('Lembar Hasil'!$B$5:$B$1513,"MB-*",'Lembar Hasil'!$J$5:$J$1513,"Lulus")</f>
        <v/>
      </c>
      <c r="F7" s="10">
        <f>COUNTIFS('Lembar Hasil'!$B$5:$B$1513,"MB-*",'Lembar Hasil'!$J$5:$J$1513,"Gagal")</f>
        <v/>
      </c>
      <c r="G7" s="10">
        <f>COUNTIFS('Lembar Hasil'!$B$5:$B$1513,"MB-*",'Lembar Hasil'!$J$5:$J$1513,"Tidak diuji")</f>
        <v/>
      </c>
      <c r="H7" s="10">
        <f>COUNTIFS('Lembar Hasil'!$B$5:$B$1513,"MB-*",'Lembar Hasil'!$J$5:$J$1513,"Terhalang")</f>
        <v/>
      </c>
      <c r="I7" s="10">
        <f>D7-E7-F7-G7-H7</f>
        <v/>
      </c>
    </row>
    <row r="8">
      <c r="A8" s="12" t="inlineStr">
        <is>
          <t>Web — Data Stasiun</t>
        </is>
      </c>
      <c r="B8" s="21" t="inlineStr">
        <is>
          <t>WB-</t>
        </is>
      </c>
      <c r="C8" s="10" t="n">
        <v>25</v>
      </c>
      <c r="D8" s="10" t="n">
        <v>450</v>
      </c>
      <c r="E8" s="10">
        <f>COUNTIFS('Lembar Hasil'!$B$5:$B$1513,"WB-*",'Lembar Hasil'!$J$5:$J$1513,"Lulus")</f>
        <v/>
      </c>
      <c r="F8" s="10">
        <f>COUNTIFS('Lembar Hasil'!$B$5:$B$1513,"WB-*",'Lembar Hasil'!$J$5:$J$1513,"Gagal")</f>
        <v/>
      </c>
      <c r="G8" s="10">
        <f>COUNTIFS('Lembar Hasil'!$B$5:$B$1513,"WB-*",'Lembar Hasil'!$J$5:$J$1513,"Tidak diuji")</f>
        <v/>
      </c>
      <c r="H8" s="10">
        <f>COUNTIFS('Lembar Hasil'!$B$5:$B$1513,"WB-*",'Lembar Hasil'!$J$5:$J$1513,"Terhalang")</f>
        <v/>
      </c>
      <c r="I8" s="10">
        <f>D8-E8-F8-G8-H8</f>
        <v/>
      </c>
    </row>
    <row r="9">
      <c r="A9" s="12" t="inlineStr">
        <is>
          <t>Laporan Periode Stasiun</t>
        </is>
      </c>
      <c r="B9" s="21" t="inlineStr">
        <is>
          <t>LP-</t>
        </is>
      </c>
      <c r="C9" s="10" t="n">
        <v>31</v>
      </c>
      <c r="D9" s="10" t="n">
        <v>341</v>
      </c>
      <c r="E9" s="10">
        <f>COUNTIFS('Lembar Hasil'!$B$5:$B$1513,"LP-*",'Lembar Hasil'!$J$5:$J$1513,"Lulus")</f>
        <v/>
      </c>
      <c r="F9" s="10">
        <f>COUNTIFS('Lembar Hasil'!$B$5:$B$1513,"LP-*",'Lembar Hasil'!$J$5:$J$1513,"Gagal")</f>
        <v/>
      </c>
      <c r="G9" s="10">
        <f>COUNTIFS('Lembar Hasil'!$B$5:$B$1513,"LP-*",'Lembar Hasil'!$J$5:$J$1513,"Tidak diuji")</f>
        <v/>
      </c>
      <c r="H9" s="10">
        <f>COUNTIFS('Lembar Hasil'!$B$5:$B$1513,"LP-*",'Lembar Hasil'!$J$5:$J$1513,"Terhalang")</f>
        <v/>
      </c>
      <c r="I9" s="10">
        <f>D9-E9-F9-G9-H9</f>
        <v/>
      </c>
    </row>
    <row r="10">
      <c r="A10" s="12" t="inlineStr">
        <is>
          <t>Dashboard &amp; Laporan lain</t>
        </is>
      </c>
      <c r="B10" s="21" t="inlineStr">
        <is>
          <t>DS-</t>
        </is>
      </c>
      <c r="C10" s="10" t="n">
        <v>12</v>
      </c>
      <c r="D10" s="10" t="n">
        <v>12</v>
      </c>
      <c r="E10" s="10">
        <f>COUNTIFS('Lembar Hasil'!$B$5:$B$1513,"DS-*",'Lembar Hasil'!$J$5:$J$1513,"Lulus")</f>
        <v/>
      </c>
      <c r="F10" s="10">
        <f>COUNTIFS('Lembar Hasil'!$B$5:$B$1513,"DS-*",'Lembar Hasil'!$J$5:$J$1513,"Gagal")</f>
        <v/>
      </c>
      <c r="G10" s="10">
        <f>COUNTIFS('Lembar Hasil'!$B$5:$B$1513,"DS-*",'Lembar Hasil'!$J$5:$J$1513,"Tidak diuji")</f>
        <v/>
      </c>
      <c r="H10" s="10">
        <f>COUNTIFS('Lembar Hasil'!$B$5:$B$1513,"DS-*",'Lembar Hasil'!$J$5:$J$1513,"Terhalang")</f>
        <v/>
      </c>
      <c r="I10" s="10">
        <f>D10-E10-F10-G10-H10</f>
        <v/>
      </c>
    </row>
    <row r="11">
      <c r="A11" s="12" t="inlineStr">
        <is>
          <t>Master Data</t>
        </is>
      </c>
      <c r="B11" s="21" t="inlineStr">
        <is>
          <t>MD-</t>
        </is>
      </c>
      <c r="C11" s="10" t="n">
        <v>28</v>
      </c>
      <c r="D11" s="10" t="n">
        <v>112</v>
      </c>
      <c r="E11" s="10">
        <f>COUNTIFS('Lembar Hasil'!$B$5:$B$1513,"MD-*",'Lembar Hasil'!$J$5:$J$1513,"Lulus")</f>
        <v/>
      </c>
      <c r="F11" s="10">
        <f>COUNTIFS('Lembar Hasil'!$B$5:$B$1513,"MD-*",'Lembar Hasil'!$J$5:$J$1513,"Gagal")</f>
        <v/>
      </c>
      <c r="G11" s="10">
        <f>COUNTIFS('Lembar Hasil'!$B$5:$B$1513,"MD-*",'Lembar Hasil'!$J$5:$J$1513,"Tidak diuji")</f>
        <v/>
      </c>
      <c r="H11" s="10">
        <f>COUNTIFS('Lembar Hasil'!$B$5:$B$1513,"MD-*",'Lembar Hasil'!$J$5:$J$1513,"Terhalang")</f>
        <v/>
      </c>
      <c r="I11" s="10">
        <f>D11-E11-F11-G11-H11</f>
        <v/>
      </c>
    </row>
    <row r="12">
      <c r="A12" s="12" t="inlineStr">
        <is>
          <t>User &amp; Role, Pengaturan Mill</t>
        </is>
      </c>
      <c r="B12" s="21" t="inlineStr">
        <is>
          <t>AD-</t>
        </is>
      </c>
      <c r="C12" s="10" t="n">
        <v>10</v>
      </c>
      <c r="D12" s="10" t="n">
        <v>10</v>
      </c>
      <c r="E12" s="10">
        <f>COUNTIFS('Lembar Hasil'!$B$5:$B$1513,"AD-*",'Lembar Hasil'!$J$5:$J$1513,"Lulus")</f>
        <v/>
      </c>
      <c r="F12" s="10">
        <f>COUNTIFS('Lembar Hasil'!$B$5:$B$1513,"AD-*",'Lembar Hasil'!$J$5:$J$1513,"Gagal")</f>
        <v/>
      </c>
      <c r="G12" s="10">
        <f>COUNTIFS('Lembar Hasil'!$B$5:$B$1513,"AD-*",'Lembar Hasil'!$J$5:$J$1513,"Tidak diuji")</f>
        <v/>
      </c>
      <c r="H12" s="10">
        <f>COUNTIFS('Lembar Hasil'!$B$5:$B$1513,"AD-*",'Lembar Hasil'!$J$5:$J$1513,"Terhalang")</f>
        <v/>
      </c>
      <c r="I12" s="10">
        <f>D12-E12-F12-G12-H12</f>
        <v/>
      </c>
    </row>
    <row r="13">
      <c r="A13" s="4" t="inlineStr">
        <is>
          <t>TOTAL</t>
        </is>
      </c>
      <c r="B13" s="22" t="inlineStr"/>
      <c r="C13" s="23">
        <f>SUM(C5:C12)</f>
        <v/>
      </c>
      <c r="D13" s="23">
        <f>SUM(D5:D12)</f>
        <v/>
      </c>
      <c r="E13" s="23">
        <f>SUM(E5:E12)</f>
        <v/>
      </c>
      <c r="F13" s="23">
        <f>SUM(F5:F12)</f>
        <v/>
      </c>
      <c r="G13" s="23">
        <f>SUM(G5:G12)</f>
        <v/>
      </c>
      <c r="H13" s="23">
        <f>SUM(H5:H12)</f>
        <v/>
      </c>
      <c r="I13" s="23">
        <f>SUM(I5:I12)</f>
        <v/>
      </c>
    </row>
    <row r="15">
      <c r="A15" s="24" t="inlineStr">
        <is>
          <t>Kasus Prioritas Tinggi yang belum diisi</t>
        </is>
      </c>
      <c r="B15" s="6" t="n"/>
      <c r="C15" s="7" t="n"/>
      <c r="D15" s="13">
        <f>COUNTIFS('Lembar Hasil'!$G$5:$G$1513,"Tinggi",'Lembar Hasil'!$J$5:$J$1513,"")</f>
        <v/>
      </c>
    </row>
    <row r="16">
      <c r="A16" s="24" t="inlineStr">
        <is>
          <t>Baris Gagal yang belum punya No. Bug</t>
        </is>
      </c>
      <c r="B16" s="6" t="n"/>
      <c r="C16" s="7" t="n"/>
      <c r="D16" s="13">
        <f>COUNTIFS('Lembar Hasil'!$J$5:$J$1513,"Gagal",'Lembar Hasil'!$K$5:$K$1513,"")</f>
        <v/>
      </c>
    </row>
  </sheetData>
  <mergeCells count="4">
    <mergeCell ref="A1:I1"/>
    <mergeCell ref="A16:C16"/>
    <mergeCell ref="A2:I2"/>
    <mergeCell ref="A15:C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9" t="inlineStr">
        <is>
          <t>Hal</t>
        </is>
      </c>
      <c r="B5" s="9" t="inlineStr">
        <is>
          <t>Keterangan</t>
        </is>
      </c>
      <c r="C5" s="6" t="n"/>
      <c r="D5" s="6" t="n"/>
      <c r="E5" s="6" t="n"/>
      <c r="F5" s="7" t="n"/>
    </row>
    <row r="6" ht="16" customHeight="1">
      <c r="A6" s="12" t="inlineStr">
        <is>
          <t>Aplikasi Web</t>
        </is>
      </c>
      <c r="B6" s="5" t="inlineStr">
        <is>
          <t>Dibuka di browser desktop. Lebar layar minimal 1280px untuk layar tabel.</t>
        </is>
      </c>
      <c r="C6" s="6" t="n"/>
      <c r="D6" s="6" t="n"/>
      <c r="E6" s="6" t="n"/>
      <c r="F6" s="7" t="n"/>
    </row>
    <row r="7" ht="16" customHeight="1">
      <c r="A7" s="17" t="inlineStr">
        <is>
          <t>Aplikasi Mobile</t>
        </is>
      </c>
      <c r="B7" s="15" t="inlineStr">
        <is>
          <t>Dibuka di perangkat atau emulator. Lebar acuan 390px.</t>
        </is>
      </c>
      <c r="C7" s="6" t="n"/>
      <c r="D7" s="6" t="n"/>
      <c r="E7" s="6" t="n"/>
      <c r="F7" s="7" t="n"/>
    </row>
    <row r="8" ht="16" customHeight="1">
      <c r="A8" s="12" t="inlineStr">
        <is>
          <t>Koneksi</t>
        </is>
      </c>
      <c r="B8" s="5" t="inlineStr">
        <is>
          <t>Perlu bisa DIMATIKAN untuk menguji mode offline mobile.</t>
        </is>
      </c>
      <c r="C8" s="6" t="n"/>
      <c r="D8" s="6" t="n"/>
      <c r="E8" s="6" t="n"/>
      <c r="F8" s="7" t="n"/>
    </row>
    <row r="9" ht="27" customHeight="1">
      <c r="A9" s="17" t="inlineStr">
        <is>
          <t>Data master</t>
        </is>
      </c>
      <c r="B9" s="15" t="inlineStr">
        <is>
          <t>Minimal: 1 Corporate, 1 Company, 2 Mill, masing-masing 2 Production Line, dan stasiun aktif untuk ke-18 jenis.</t>
        </is>
      </c>
      <c r="C9" s="6" t="n"/>
      <c r="D9" s="6" t="n"/>
      <c r="E9" s="6" t="n"/>
      <c r="F9" s="7" t="n"/>
    </row>
    <row r="10" ht="16" customHeight="1">
      <c r="A10" s="12"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9" t="inlineStr">
        <is>
          <t>Kode akun</t>
        </is>
      </c>
      <c r="B13" s="9" t="inlineStr">
        <is>
          <t>Peran</t>
        </is>
      </c>
      <c r="C13" s="9" t="inlineStr">
        <is>
          <t>Mill</t>
        </is>
      </c>
      <c r="D13" s="9" t="inlineStr">
        <is>
          <t>Dipakai untuk</t>
        </is>
      </c>
      <c r="E13" s="6" t="n"/>
      <c r="F13" s="7" t="n"/>
    </row>
    <row r="14">
      <c r="A14" s="11" t="inlineStr">
        <is>
          <t>OPR-A</t>
        </is>
      </c>
      <c r="B14" s="5" t="inlineStr">
        <is>
          <t>Station Operator</t>
        </is>
      </c>
      <c r="C14" s="5" t="inlineStr">
        <is>
          <t>Mill A</t>
        </is>
      </c>
      <c r="D14" s="5" t="inlineStr">
        <is>
          <t>Alur input mobile</t>
        </is>
      </c>
      <c r="E14" s="6" t="n"/>
      <c r="F14" s="7" t="n"/>
    </row>
    <row r="15">
      <c r="A15" s="16" t="inlineStr">
        <is>
          <t>SPV-A</t>
        </is>
      </c>
      <c r="B15" s="15" t="inlineStr">
        <is>
          <t>Supervisor</t>
        </is>
      </c>
      <c r="C15" s="15" t="inlineStr">
        <is>
          <t>Mill A</t>
        </is>
      </c>
      <c r="D15" s="15" t="inlineStr">
        <is>
          <t>Input + verifikasi "Checked"</t>
        </is>
      </c>
      <c r="E15" s="6" t="n"/>
      <c r="F15" s="7" t="n"/>
    </row>
    <row r="16">
      <c r="A16" s="11" t="inlineStr">
        <is>
          <t>MGR-A</t>
        </is>
      </c>
      <c r="B16" s="5" t="inlineStr">
        <is>
          <t>Mill Management</t>
        </is>
      </c>
      <c r="C16" s="5" t="inlineStr">
        <is>
          <t>Mill A</t>
        </is>
      </c>
      <c r="D16" s="5" t="inlineStr">
        <is>
          <t>Verifikasi "Acknowledged", Pengaturan Mill</t>
        </is>
      </c>
      <c r="E16" s="6" t="n"/>
      <c r="F16" s="7" t="n"/>
    </row>
    <row r="17">
      <c r="A17" s="16" t="inlineStr">
        <is>
          <t>SPV-B</t>
        </is>
      </c>
      <c r="B17" s="15" t="inlineStr">
        <is>
          <t>Supervisor</t>
        </is>
      </c>
      <c r="C17" s="17" t="inlineStr">
        <is>
          <t>Mill B</t>
        </is>
      </c>
      <c r="D17" s="15" t="inlineStr">
        <is>
          <t>Menguji data Mill A tidak terlihat</t>
        </is>
      </c>
      <c r="E17" s="6" t="n"/>
      <c r="F17" s="7" t="n"/>
    </row>
    <row r="18">
      <c r="A18" s="11" t="inlineStr">
        <is>
          <t>ADM</t>
        </is>
      </c>
      <c r="B18" s="5" t="inlineStr">
        <is>
          <t>Admin</t>
        </is>
      </c>
      <c r="C18" s="5" t="inlineStr">
        <is>
          <t>— (tidak terikat mill)</t>
        </is>
      </c>
      <c r="D18" s="5" t="inlineStr">
        <is>
          <t>Master data, Periode Pelaporan</t>
        </is>
      </c>
      <c r="E18" s="6" t="n"/>
      <c r="F18" s="7" t="n"/>
    </row>
    <row r="19">
      <c r="A19" s="16" t="inlineStr">
        <is>
          <t>NOMILL</t>
        </is>
      </c>
      <c r="B19" s="15" t="inlineStr">
        <is>
          <t>Supervisor</t>
        </is>
      </c>
      <c r="C19" s="17" t="inlineStr">
        <is>
          <t>tanpa mill</t>
        </is>
      </c>
      <c r="D19" s="15"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9" t="inlineStr">
        <is>
          <t>Kemampuan</t>
        </is>
      </c>
      <c r="B23" s="9" t="inlineStr">
        <is>
          <t>Operator</t>
        </is>
      </c>
      <c r="C23" s="9" t="inlineStr">
        <is>
          <t>Supervisor</t>
        </is>
      </c>
      <c r="D23" s="9" t="inlineStr">
        <is>
          <t>Mill Management</t>
        </is>
      </c>
      <c r="E23" s="9" t="inlineStr">
        <is>
          <t>Admin</t>
        </is>
      </c>
      <c r="F23" s="9" t="inlineStr">
        <is>
          <t>Catatan</t>
        </is>
      </c>
    </row>
    <row r="24">
      <c r="A24" s="12" t="inlineStr">
        <is>
          <t>Login Mobile</t>
        </is>
      </c>
      <c r="B24" s="10" t="inlineStr">
        <is>
          <t>✓</t>
        </is>
      </c>
      <c r="C24" s="10" t="inlineStr">
        <is>
          <t>✓</t>
        </is>
      </c>
      <c r="D24" s="10" t="inlineStr">
        <is>
          <t>✓</t>
        </is>
      </c>
      <c r="E24" s="10" t="inlineStr">
        <is>
          <t>✓</t>
        </is>
      </c>
      <c r="F24" s="5" t="inlineStr">
        <is>
          <t>Admin bukan alur yang dirancang</t>
        </is>
      </c>
    </row>
    <row r="25">
      <c r="A25" s="17" t="inlineStr">
        <is>
          <t>Login Web</t>
        </is>
      </c>
      <c r="B25" s="14" t="inlineStr">
        <is>
          <t>v terbatas</t>
        </is>
      </c>
      <c r="C25" s="14" t="inlineStr">
        <is>
          <t>✓</t>
        </is>
      </c>
      <c r="D25" s="14" t="inlineStr">
        <is>
          <t>✓</t>
        </is>
      </c>
      <c r="E25" s="14" t="inlineStr">
        <is>
          <t>✓</t>
        </is>
      </c>
      <c r="F25" s="15" t="inlineStr">
        <is>
          <t>Operator: hanya 3 layar, lihat baris terbawah</t>
        </is>
      </c>
    </row>
    <row r="26">
      <c r="A26" s="12" t="inlineStr">
        <is>
          <t>Input data stasiun (Mobile)</t>
        </is>
      </c>
      <c r="B26" s="10" t="inlineStr">
        <is>
          <t>✓</t>
        </is>
      </c>
      <c r="C26" s="10" t="inlineStr">
        <is>
          <t>✓</t>
        </is>
      </c>
      <c r="D26" s="10" t="inlineStr">
        <is>
          <t>✓</t>
        </is>
      </c>
      <c r="E26" s="25" t="inlineStr">
        <is>
          <t>—</t>
        </is>
      </c>
      <c r="F26" s="5" t="inlineStr"/>
    </row>
    <row r="27">
      <c r="A27" s="17" t="inlineStr">
        <is>
          <t>Input data stasiun (Web)</t>
        </is>
      </c>
      <c r="B27" s="25" t="inlineStr">
        <is>
          <t>—</t>
        </is>
      </c>
      <c r="C27" s="14" t="inlineStr">
        <is>
          <t>✓</t>
        </is>
      </c>
      <c r="D27" s="14" t="inlineStr">
        <is>
          <t>✓</t>
        </is>
      </c>
      <c r="E27" s="14" t="inlineStr">
        <is>
          <t>✓</t>
        </is>
      </c>
      <c r="F27" s="15" t="inlineStr"/>
    </row>
    <row r="28">
      <c r="A28" s="12" t="inlineStr">
        <is>
          <t>Isi Checked By</t>
        </is>
      </c>
      <c r="B28" s="25" t="inlineStr">
        <is>
          <t>—</t>
        </is>
      </c>
      <c r="C28" s="10" t="inlineStr">
        <is>
          <t>✓</t>
        </is>
      </c>
      <c r="D28" s="25" t="inlineStr">
        <is>
          <t>—</t>
        </is>
      </c>
      <c r="E28" s="10" t="inlineStr">
        <is>
          <t>✓</t>
        </is>
      </c>
      <c r="F28" s="5" t="inlineStr"/>
    </row>
    <row r="29">
      <c r="A29" s="17" t="inlineStr">
        <is>
          <t>Isi Acknowledged By</t>
        </is>
      </c>
      <c r="B29" s="25" t="inlineStr">
        <is>
          <t>—</t>
        </is>
      </c>
      <c r="C29" s="25" t="inlineStr">
        <is>
          <t>—</t>
        </is>
      </c>
      <c r="D29" s="14" t="inlineStr">
        <is>
          <t>✓</t>
        </is>
      </c>
      <c r="E29" s="14" t="inlineStr">
        <is>
          <t>✓</t>
        </is>
      </c>
      <c r="F29" s="15" t="inlineStr"/>
    </row>
    <row r="30">
      <c r="A30" s="12" t="inlineStr">
        <is>
          <t>Lihat Data Browser / Detail (Web)</t>
        </is>
      </c>
      <c r="B30" s="25" t="inlineStr">
        <is>
          <t>—</t>
        </is>
      </c>
      <c r="C30" s="10" t="inlineStr">
        <is>
          <t>✓</t>
        </is>
      </c>
      <c r="D30" s="10" t="inlineStr">
        <is>
          <t>✓</t>
        </is>
      </c>
      <c r="E30" s="10" t="inlineStr">
        <is>
          <t>✓</t>
        </is>
      </c>
      <c r="F30" s="5" t="inlineStr"/>
    </row>
    <row r="31">
      <c r="A31" s="17" t="inlineStr">
        <is>
          <t>Lihat "Data Saya" (Web)</t>
        </is>
      </c>
      <c r="B31" s="14" t="inlineStr">
        <is>
          <t>✓</t>
        </is>
      </c>
      <c r="C31" s="14" t="inlineStr">
        <is>
          <t>✓</t>
        </is>
      </c>
      <c r="D31" s="25" t="inlineStr">
        <is>
          <t>—</t>
        </is>
      </c>
      <c r="E31" s="25" t="inlineStr">
        <is>
          <t>—</t>
        </is>
      </c>
      <c r="F31" s="15" t="inlineStr"/>
    </row>
    <row r="32">
      <c r="A32" s="12" t="inlineStr">
        <is>
          <t>Laporan periode stasiun (Web)</t>
        </is>
      </c>
      <c r="B32" s="25" t="inlineStr">
        <is>
          <t>—</t>
        </is>
      </c>
      <c r="C32" s="10" t="inlineStr">
        <is>
          <t>✓</t>
        </is>
      </c>
      <c r="D32" s="10" t="inlineStr">
        <is>
          <t>✓</t>
        </is>
      </c>
      <c r="E32" s="10" t="inlineStr">
        <is>
          <t>✓</t>
        </is>
      </c>
      <c r="F32" s="5" t="inlineStr"/>
    </row>
    <row r="33">
      <c r="A33" s="17" t="inlineStr">
        <is>
          <t>Laporan periode stasiun (Mobile)</t>
        </is>
      </c>
      <c r="B33" s="14" t="inlineStr">
        <is>
          <t>✓</t>
        </is>
      </c>
      <c r="C33" s="14" t="inlineStr">
        <is>
          <t>✓</t>
        </is>
      </c>
      <c r="D33" s="14" t="inlineStr">
        <is>
          <t>✓</t>
        </is>
      </c>
      <c r="E33" s="14" t="inlineStr">
        <is>
          <t>✓</t>
        </is>
      </c>
      <c r="F33" s="15" t="inlineStr"/>
    </row>
    <row r="34">
      <c r="A34" s="12" t="inlineStr">
        <is>
          <t>Dashboard (Web)</t>
        </is>
      </c>
      <c r="B34" s="25" t="inlineStr">
        <is>
          <t>—</t>
        </is>
      </c>
      <c r="C34" s="10" t="inlineStr">
        <is>
          <t>✓</t>
        </is>
      </c>
      <c r="D34" s="10" t="inlineStr">
        <is>
          <t>✓</t>
        </is>
      </c>
      <c r="E34" s="10" t="inlineStr">
        <is>
          <t>✓</t>
        </is>
      </c>
      <c r="F34" s="5" t="inlineStr"/>
    </row>
    <row r="35">
      <c r="A35" s="17" t="inlineStr">
        <is>
          <t>Laporan Manajemen</t>
        </is>
      </c>
      <c r="B35" s="25" t="inlineStr">
        <is>
          <t>—</t>
        </is>
      </c>
      <c r="C35" s="25" t="inlineStr">
        <is>
          <t>—</t>
        </is>
      </c>
      <c r="D35" s="14" t="inlineStr">
        <is>
          <t>✓</t>
        </is>
      </c>
      <c r="E35" s="14" t="inlineStr">
        <is>
          <t>✓</t>
        </is>
      </c>
      <c r="F35" s="15" t="inlineStr"/>
    </row>
    <row r="36">
      <c r="A36" s="12" t="inlineStr">
        <is>
          <t>Master data (Corporate…Mesin)</t>
        </is>
      </c>
      <c r="B36" s="25" t="inlineStr">
        <is>
          <t>—</t>
        </is>
      </c>
      <c r="C36" s="25" t="inlineStr">
        <is>
          <t>—</t>
        </is>
      </c>
      <c r="D36" s="25" t="inlineStr">
        <is>
          <t>—</t>
        </is>
      </c>
      <c r="E36" s="10" t="inlineStr">
        <is>
          <t>✓</t>
        </is>
      </c>
      <c r="F36" s="5" t="inlineStr"/>
    </row>
    <row r="37">
      <c r="A37" s="17" t="inlineStr">
        <is>
          <t>Periode Pelaporan: tambah/ubah/hapus</t>
        </is>
      </c>
      <c r="B37" s="25" t="inlineStr">
        <is>
          <t>—</t>
        </is>
      </c>
      <c r="C37" s="25" t="inlineStr">
        <is>
          <t>—</t>
        </is>
      </c>
      <c r="D37" s="25" t="inlineStr">
        <is>
          <t>—</t>
        </is>
      </c>
      <c r="E37" s="14" t="inlineStr">
        <is>
          <t>✓</t>
        </is>
      </c>
      <c r="F37" s="15" t="inlineStr"/>
    </row>
    <row r="38">
      <c r="A38" s="12" t="inlineStr">
        <is>
          <t>Tutup / Buka Periode</t>
        </is>
      </c>
      <c r="B38" s="25" t="inlineStr">
        <is>
          <t>—</t>
        </is>
      </c>
      <c r="C38" s="25" t="inlineStr">
        <is>
          <t>—</t>
        </is>
      </c>
      <c r="D38" s="25" t="inlineStr">
        <is>
          <t>—</t>
        </is>
      </c>
      <c r="E38" s="10" t="inlineStr">
        <is>
          <t>✓</t>
        </is>
      </c>
      <c r="F38" s="26" t="inlineStr">
        <is>
          <t>HANYA Admin</t>
        </is>
      </c>
    </row>
    <row r="39">
      <c r="A39" s="17" t="inlineStr">
        <is>
          <t>Pengaturan Mill</t>
        </is>
      </c>
      <c r="B39" s="25" t="inlineStr">
        <is>
          <t>—</t>
        </is>
      </c>
      <c r="C39" s="25" t="inlineStr">
        <is>
          <t>—</t>
        </is>
      </c>
      <c r="D39" s="14" t="inlineStr">
        <is>
          <t>v mill sendiri</t>
        </is>
      </c>
      <c r="E39" s="14" t="inlineStr">
        <is>
          <t>v semua mill</t>
        </is>
      </c>
      <c r="F39" s="15" t="inlineStr"/>
    </row>
    <row r="40">
      <c r="A40" s="12" t="inlineStr">
        <is>
          <t>Kelola User &amp; Role</t>
        </is>
      </c>
      <c r="B40" s="25" t="inlineStr">
        <is>
          <t>—</t>
        </is>
      </c>
      <c r="C40" s="25" t="inlineStr">
        <is>
          <t>—</t>
        </is>
      </c>
      <c r="D40" s="25" t="inlineStr">
        <is>
          <t>—</t>
        </is>
      </c>
      <c r="E40" s="10" t="inlineStr">
        <is>
          <t>✓</t>
        </is>
      </c>
      <c r="F40" s="5" t="inlineStr"/>
    </row>
    <row r="41">
      <c r="A41" s="17" t="inlineStr">
        <is>
          <t>Pemilih Mill pada laporan</t>
        </is>
      </c>
      <c r="B41" s="25" t="inlineStr">
        <is>
          <t>—</t>
        </is>
      </c>
      <c r="C41" s="25" t="inlineStr">
        <is>
          <t>—</t>
        </is>
      </c>
      <c r="D41" s="25" t="inlineStr">
        <is>
          <t>—</t>
        </is>
      </c>
      <c r="E41" s="14" t="inlineStr">
        <is>
          <t>✓</t>
        </is>
      </c>
      <c r="F41" s="2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9" t="inlineStr">
        <is>
          <t>No</t>
        </is>
      </c>
      <c r="B4" s="9" t="inlineStr">
        <is>
          <t>Stasiun</t>
        </is>
      </c>
      <c r="C4" s="9" t="inlineStr">
        <is>
          <t>Kolom wajib</t>
        </is>
      </c>
      <c r="D4" s="9" t="inlineStr">
        <is>
          <t>Jml kolom bacaan</t>
        </is>
      </c>
      <c r="E4" s="9" t="inlineStr">
        <is>
          <t>Pola</t>
        </is>
      </c>
      <c r="F4" s="9" t="inlineStr">
        <is>
          <t>Laporan periode</t>
        </is>
      </c>
      <c r="G4" s="9" t="inlineStr">
        <is>
          <t>Keanehan yang perlu diperhatikan</t>
        </is>
      </c>
    </row>
    <row r="5" ht="27" customHeight="1">
      <c r="A5" s="10" t="n">
        <v>1</v>
      </c>
      <c r="B5" s="12" t="inlineStr">
        <is>
          <t>Weighbridge</t>
        </is>
      </c>
      <c r="C5" s="5" t="inlineStr">
        <is>
          <t>No. Kartu / Kendaraan</t>
        </is>
      </c>
      <c r="D5" s="10" t="inlineStr">
        <is>
          <t>per-transaksi</t>
        </is>
      </c>
      <c r="E5" s="25" t="inlineStr">
        <is>
          <t>Per-transaksi</t>
        </is>
      </c>
      <c r="F5" s="10" t="inlineStr">
        <is>
          <t>Ada (web+mobile)</t>
        </is>
      </c>
      <c r="G5" s="5" t="inlineStr">
        <is>
          <t>BUKAN pola 24 slot — satu record per transaksi timbang, ada arus Masuk &amp; Keluar</t>
        </is>
      </c>
    </row>
    <row r="6" ht="16" customHeight="1">
      <c r="A6" s="14" t="n">
        <v>2</v>
      </c>
      <c r="B6" s="17" t="inlineStr">
        <is>
          <t>Grading</t>
        </is>
      </c>
      <c r="C6" s="15" t="inlineStr">
        <is>
          <t>Parameter grading</t>
        </is>
      </c>
      <c r="D6" s="14" t="inlineStr">
        <is>
          <t>per-muatan</t>
        </is>
      </c>
      <c r="E6" s="25" t="inlineStr">
        <is>
          <t>Per-transaksi</t>
        </is>
      </c>
      <c r="F6" s="14" t="inlineStr">
        <is>
          <t>Ada (web+mobile)</t>
        </is>
      </c>
      <c r="G6" s="15" t="inlineStr">
        <is>
          <t>Satu record per muatan, ada beberapa baris parameter</t>
        </is>
      </c>
    </row>
    <row r="7" ht="16" customHeight="1">
      <c r="A7" s="10" t="n">
        <v>3</v>
      </c>
      <c r="B7" s="12" t="inlineStr">
        <is>
          <t>Cages Track</t>
        </is>
      </c>
      <c r="C7" s="5" t="inlineStr">
        <is>
          <t>ID Cage</t>
        </is>
      </c>
      <c r="D7" s="10" t="inlineStr">
        <is>
          <t>±</t>
        </is>
      </c>
      <c r="E7" s="10" t="inlineStr">
        <is>
          <t>24 slot</t>
        </is>
      </c>
      <c r="F7" s="10" t="inlineStr">
        <is>
          <t>Ada (web+mobile)</t>
        </is>
      </c>
      <c r="G7" s="5" t="inlineStr"/>
    </row>
    <row r="8" ht="27" customHeight="1">
      <c r="A8" s="14" t="n">
        <v>4</v>
      </c>
      <c r="B8" s="17" t="inlineStr">
        <is>
          <t>Sterilizer</t>
        </is>
      </c>
      <c r="C8" s="15" t="inlineStr">
        <is>
          <t>ID Sterilizer</t>
        </is>
      </c>
      <c r="D8" s="14" t="inlineStr">
        <is>
          <t>±</t>
        </is>
      </c>
      <c r="E8" s="14" t="inlineStr">
        <is>
          <t>24 slot</t>
        </is>
      </c>
      <c r="F8" s="14" t="inlineStr">
        <is>
          <t>Ada (web+mobile)</t>
        </is>
      </c>
      <c r="G8" s="15" t="inlineStr">
        <is>
          <t>Ada checkbox "Checked by SPV" per baris — Operator tidak boleh bisa mengisinya</t>
        </is>
      </c>
    </row>
    <row r="9" ht="16" customHeight="1">
      <c r="A9" s="10" t="n">
        <v>5</v>
      </c>
      <c r="B9" s="12" t="inlineStr">
        <is>
          <t>Threshing</t>
        </is>
      </c>
      <c r="C9" s="5" t="inlineStr">
        <is>
          <t>ID Thresher</t>
        </is>
      </c>
      <c r="D9" s="10" t="inlineStr">
        <is>
          <t>5</t>
        </is>
      </c>
      <c r="E9" s="10" t="inlineStr">
        <is>
          <t>24 slot</t>
        </is>
      </c>
      <c r="F9" s="10" t="inlineStr">
        <is>
          <t>Ada (web+mobile)</t>
        </is>
      </c>
      <c r="G9" s="5" t="inlineStr">
        <is>
          <t>Punya master target</t>
        </is>
      </c>
    </row>
    <row r="10" ht="16" customHeight="1">
      <c r="A10" s="14" t="n">
        <v>6</v>
      </c>
      <c r="B10" s="17" t="inlineStr">
        <is>
          <t>Pressing</t>
        </is>
      </c>
      <c r="C10" s="15" t="inlineStr">
        <is>
          <t>ID Presser</t>
        </is>
      </c>
      <c r="D10" s="14" t="inlineStr">
        <is>
          <t>5</t>
        </is>
      </c>
      <c r="E10" s="14" t="inlineStr">
        <is>
          <t>24 slot</t>
        </is>
      </c>
      <c r="F10" s="14" t="inlineStr">
        <is>
          <t>Ada (web+mobile)</t>
        </is>
      </c>
      <c r="G10" s="15" t="inlineStr">
        <is>
          <t>Punya master target</t>
        </is>
      </c>
    </row>
    <row r="11" ht="16" customHeight="1">
      <c r="A11" s="10" t="n">
        <v>7</v>
      </c>
      <c r="B11" s="12" t="inlineStr">
        <is>
          <t>Clarification</t>
        </is>
      </c>
      <c r="C11" s="5" t="inlineStr">
        <is>
          <t>ID unit</t>
        </is>
      </c>
      <c r="D11" s="10" t="inlineStr">
        <is>
          <t>±</t>
        </is>
      </c>
      <c r="E11" s="10" t="inlineStr">
        <is>
          <t>24 slot</t>
        </is>
      </c>
      <c r="F11" s="10" t="inlineStr">
        <is>
          <t>Ada (web+mobile)</t>
        </is>
      </c>
      <c r="G11" s="5" t="inlineStr"/>
    </row>
    <row r="12" ht="27" customHeight="1">
      <c r="A12" s="14" t="n">
        <v>8</v>
      </c>
      <c r="B12" s="17" t="inlineStr">
        <is>
          <t>Kernel Plant</t>
        </is>
      </c>
      <c r="C12" s="15" t="inlineStr">
        <is>
          <t>ID unit kernel plant</t>
        </is>
      </c>
      <c r="D12" s="14" t="inlineStr">
        <is>
          <t>7</t>
        </is>
      </c>
      <c r="E12" s="14" t="inlineStr">
        <is>
          <t>24 slot</t>
        </is>
      </c>
      <c r="F12" s="14" t="inlineStr">
        <is>
          <t>Ada (web+mobile)</t>
        </is>
      </c>
      <c r="G12" s="15" t="inlineStr">
        <is>
          <t>Punya master target. Dua pasang kolom berbagi satu standar (2 ripple mill, 2 kernel silo)</t>
        </is>
      </c>
    </row>
    <row r="13" ht="16" customHeight="1">
      <c r="A13" s="10" t="n">
        <v>9</v>
      </c>
      <c r="B13" s="12" t="inlineStr">
        <is>
          <t>Boiler Room</t>
        </is>
      </c>
      <c r="C13" s="5" t="inlineStr">
        <is>
          <t>ID boiler</t>
        </is>
      </c>
      <c r="D13" s="10" t="inlineStr">
        <is>
          <t>±</t>
        </is>
      </c>
      <c r="E13" s="10" t="inlineStr">
        <is>
          <t>24 slot</t>
        </is>
      </c>
      <c r="F13" s="10" t="inlineStr">
        <is>
          <t>Ada (web+mobile)</t>
        </is>
      </c>
      <c r="G13" s="5" t="inlineStr"/>
    </row>
    <row r="14" ht="27" customHeight="1">
      <c r="A14" s="14" t="n">
        <v>10</v>
      </c>
      <c r="B14" s="17" t="inlineStr">
        <is>
          <t>Effluent Plant</t>
        </is>
      </c>
      <c r="C14" s="15" t="inlineStr">
        <is>
          <t>ID unit</t>
        </is>
      </c>
      <c r="D14" s="14" t="inlineStr">
        <is>
          <t>14</t>
        </is>
      </c>
      <c r="E14" s="14" t="inlineStr">
        <is>
          <t>24 slot</t>
        </is>
      </c>
      <c r="F14" s="28" t="inlineStr">
        <is>
          <t>BELUM dibangun</t>
        </is>
      </c>
      <c r="G14" s="15" t="inlineStr">
        <is>
          <t>PALING BANYAK KOLOM. Ada 3 kolom status pilihan (on/off/fault, run/stop) dan 2 kolom teks bebas</t>
        </is>
      </c>
    </row>
    <row r="15" ht="27" customHeight="1">
      <c r="A15" s="10" t="n">
        <v>11</v>
      </c>
      <c r="B15" s="12" t="inlineStr">
        <is>
          <t>Depricarping</t>
        </is>
      </c>
      <c r="C15" s="5" t="inlineStr">
        <is>
          <t>ID Presser</t>
        </is>
      </c>
      <c r="D15" s="10" t="inlineStr">
        <is>
          <t>7</t>
        </is>
      </c>
      <c r="E15" s="10" t="inlineStr">
        <is>
          <t>24 slot</t>
        </is>
      </c>
      <c r="F15" s="10" t="inlineStr">
        <is>
          <t>Ada (web+mobile)</t>
        </is>
      </c>
      <c r="G15" s="5" t="inlineStr">
        <is>
          <t>Punya master target. Ada kolom Downtime (menit) berupa angka + kolom Temuan</t>
        </is>
      </c>
    </row>
    <row r="16" ht="16" customHeight="1">
      <c r="A16" s="14" t="n">
        <v>12</v>
      </c>
      <c r="B16" s="17" t="inlineStr">
        <is>
          <t>Engine Room</t>
        </is>
      </c>
      <c r="C16" s="15" t="inlineStr">
        <is>
          <t>ID unit</t>
        </is>
      </c>
      <c r="D16" s="14" t="inlineStr">
        <is>
          <t>±</t>
        </is>
      </c>
      <c r="E16" s="14" t="inlineStr">
        <is>
          <t>24 slot</t>
        </is>
      </c>
      <c r="F16" s="28" t="inlineStr">
        <is>
          <t>Belum</t>
        </is>
      </c>
      <c r="G16" s="15" t="inlineStr"/>
    </row>
    <row r="17" ht="16" customHeight="1">
      <c r="A17" s="10" t="n">
        <v>13</v>
      </c>
      <c r="B17" s="12" t="inlineStr">
        <is>
          <t>Process Water</t>
        </is>
      </c>
      <c r="C17" s="5" t="inlineStr">
        <is>
          <t>ID unit</t>
        </is>
      </c>
      <c r="D17" s="10" t="inlineStr">
        <is>
          <t>±</t>
        </is>
      </c>
      <c r="E17" s="10" t="inlineStr">
        <is>
          <t>24 slot</t>
        </is>
      </c>
      <c r="F17" s="29" t="inlineStr">
        <is>
          <t>Belum</t>
        </is>
      </c>
      <c r="G17" s="5" t="inlineStr">
        <is>
          <t>Ada kolom shift &amp; petugas</t>
        </is>
      </c>
    </row>
    <row r="18" ht="16" customHeight="1">
      <c r="A18" s="14" t="n">
        <v>14</v>
      </c>
      <c r="B18" s="17" t="inlineStr">
        <is>
          <t>Storage Tank</t>
        </is>
      </c>
      <c r="C18" s="15" t="inlineStr">
        <is>
          <t>ID tangki</t>
        </is>
      </c>
      <c r="D18" s="14" t="inlineStr">
        <is>
          <t>±</t>
        </is>
      </c>
      <c r="E18" s="14" t="inlineStr">
        <is>
          <t>24 slot</t>
        </is>
      </c>
      <c r="F18" s="14" t="inlineStr">
        <is>
          <t>Ada (web+mobile)</t>
        </is>
      </c>
      <c r="G18" s="15" t="inlineStr"/>
    </row>
    <row r="19" ht="16" customHeight="1">
      <c r="A19" s="10" t="n">
        <v>15</v>
      </c>
      <c r="B19" s="12" t="inlineStr">
        <is>
          <t>Solid Waste Disposal</t>
        </is>
      </c>
      <c r="C19" s="5" t="inlineStr">
        <is>
          <t>ID unit</t>
        </is>
      </c>
      <c r="D19" s="10" t="inlineStr">
        <is>
          <t>±</t>
        </is>
      </c>
      <c r="E19" s="10" t="inlineStr">
        <is>
          <t>24 slot</t>
        </is>
      </c>
      <c r="F19" s="29" t="inlineStr">
        <is>
          <t>Belum</t>
        </is>
      </c>
      <c r="G19" s="5" t="inlineStr"/>
    </row>
    <row r="20" ht="16" customHeight="1">
      <c r="A20" s="14" t="n">
        <v>16</v>
      </c>
      <c r="B20" s="17" t="inlineStr">
        <is>
          <t>Kernel Dispatch</t>
        </is>
      </c>
      <c r="C20" s="15" t="inlineStr">
        <is>
          <t>No. Kartu / Kendaraan</t>
        </is>
      </c>
      <c r="D20" s="14" t="inlineStr">
        <is>
          <t>per-transaksi</t>
        </is>
      </c>
      <c r="E20" s="25" t="inlineStr">
        <is>
          <t>Per-transaksi</t>
        </is>
      </c>
      <c r="F20" s="28" t="inlineStr">
        <is>
          <t>Belum</t>
        </is>
      </c>
      <c r="G20" s="15" t="inlineStr">
        <is>
          <t>Pola per-transaksi, ada kolom status pilihan</t>
        </is>
      </c>
    </row>
    <row r="21" ht="16" customHeight="1">
      <c r="A21" s="10" t="n">
        <v>17</v>
      </c>
      <c r="B21" s="12" t="inlineStr">
        <is>
          <t>CPO Dispatch</t>
        </is>
      </c>
      <c r="C21" s="5" t="inlineStr">
        <is>
          <t>No. Kartu / Kendaraan</t>
        </is>
      </c>
      <c r="D21" s="10" t="inlineStr">
        <is>
          <t>per-transaksi</t>
        </is>
      </c>
      <c r="E21" s="25" t="inlineStr">
        <is>
          <t>Per-transaksi</t>
        </is>
      </c>
      <c r="F21" s="29" t="inlineStr">
        <is>
          <t>Belum</t>
        </is>
      </c>
      <c r="G21" s="5" t="inlineStr">
        <is>
          <t>Pola per-transaksi</t>
        </is>
      </c>
    </row>
    <row r="22" ht="16" customHeight="1">
      <c r="A22" s="14" t="n">
        <v>18</v>
      </c>
      <c r="B22" s="17" t="inlineStr">
        <is>
          <t>Process Quality Control</t>
        </is>
      </c>
      <c r="C22" s="15" t="inlineStr">
        <is>
          <t>ID unit</t>
        </is>
      </c>
      <c r="D22" s="14" t="inlineStr">
        <is>
          <t>±</t>
        </is>
      </c>
      <c r="E22" s="14" t="inlineStr">
        <is>
          <t>24 slot</t>
        </is>
      </c>
      <c r="F22" s="28" t="inlineStr">
        <is>
          <t>Belum</t>
        </is>
      </c>
      <c r="G22" s="15" t="inlineStr"/>
    </row>
    <row r="24" ht="44" customHeight="1">
      <c r="A24" s="8" t="inlineStr">
        <is>
          <t>Weighbridge, Grading, Kernel Dispatch, dan CPO Dispatch tidak memakai 24 slot waktu. Untuk keempat stasiun ini LEWATI MB-FORM-03 dan MB-FORM-04 (aturan urutan slot) dan ganti dengan MB-FORM-11. Di sheet Lembar Hasil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Baca ini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Catatan yang sudah diketahui tim pengembang</t>
        </is>
      </c>
    </row>
    <row r="5">
      <c r="A5" s="30" t="inlineStr">
        <is>
          <t>Kalau QA menemukannya, cukup rujuk nomornya alih-alih membuat laporan bug baru.</t>
        </is>
      </c>
    </row>
    <row r="6">
      <c r="A6" s="9" t="inlineStr">
        <is>
          <t>No</t>
        </is>
      </c>
      <c r="B6" s="9" t="inlineStr">
        <is>
          <t>Hal</t>
        </is>
      </c>
      <c r="C6" s="9" t="inlineStr">
        <is>
          <t>Mengapa begitu</t>
        </is>
      </c>
    </row>
    <row r="7" ht="27" customHeight="1">
      <c r="A7" s="21" t="inlineStr">
        <is>
          <t>K-1</t>
        </is>
      </c>
      <c r="B7" s="12" t="inlineStr">
        <is>
          <t>Satuan suhu ditulis C, bukan °C pada laporan Kernel Plant (web &amp; mobile)</t>
        </is>
      </c>
      <c r="C7" s="5" t="inlineStr">
        <is>
          <t>Disengaja: nilainya datang dari data master apa adanya, dan mengubahnya di tampilan akan membuat web dan mobile berselisih.</t>
        </is>
      </c>
    </row>
    <row r="8" ht="94.5" customHeight="1">
      <c r="A8" s="31" t="inlineStr">
        <is>
          <t>K-2</t>
        </is>
      </c>
      <c r="B8" s="17" t="inlineStr">
        <is>
          <t>SELESAI 2026-10-08 — penamaan Shell Bin Kernel Loss pada Kernel Plant sudah seragam</t>
        </is>
      </c>
      <c r="C8" s="15" t="inlineStr">
        <is>
          <t>Kolom yang dulu bernama shell_loss_percent kini "Shell Bin Kernel Loss" di Form, Detail, Data Preview, Laporan, dan header ekspor CSV — mengikuti nama standar di master. Nama lamanya menyebut zat yang salah: kehilangan SHELL, padahal yang diukur KERNEL yang terbuang ke shell bin. Angkanya tidak pernah salah dan tidak berubah, hanya namanya. Yang diperiksa QA: label barunya konsisten di kelima tempat itu, dan header CSV berbunyi "Shell Bin Kernel Loss (%)".</t>
        </is>
      </c>
    </row>
    <row r="9" ht="27" customHeight="1">
      <c r="A9" s="21" t="inlineStr">
        <is>
          <t>K-3</t>
        </is>
      </c>
      <c r="B9" s="12" t="inlineStr">
        <is>
          <t>Laporan Depricarping (Mobile): keterangan cakupan menyebut "enam kolom bacaan"</t>
        </is>
      </c>
      <c r="C9" s="5" t="inlineStr">
        <is>
          <t>Yang benar sembilan. Kosmetik, sudah tercatat.</t>
        </is>
      </c>
    </row>
    <row r="10" ht="27" customHeight="1">
      <c r="A10" s="31" t="inlineStr">
        <is>
          <t>K-4</t>
        </is>
      </c>
      <c r="B10" s="17" t="inlineStr">
        <is>
          <t>Laporan Depricarping (Mobile): tiga angka pada blok downtime tampil tanpa gaya</t>
        </is>
      </c>
      <c r="C10" s="15" t="inlineStr">
        <is>
          <t>Kosmetik, sudah tercatat.</t>
        </is>
      </c>
    </row>
    <row r="11" ht="27" customHeight="1">
      <c r="A11" s="21" t="inlineStr">
        <is>
          <t>K-5</t>
        </is>
      </c>
      <c r="B11" s="12" t="inlineStr">
        <is>
          <t>Dashboard hanya meringkas 3 stasiun (Weighbridge, Grading, Cages Track), bukan 18</t>
        </is>
      </c>
      <c r="C11" s="5" t="inlineStr">
        <is>
          <t>Disengaja. Dashboard bukan ringkasan seluruh pabrik.</t>
        </is>
      </c>
    </row>
    <row r="12" ht="27" customHeight="1">
      <c r="A12" s="31" t="inlineStr">
        <is>
          <t>K-6</t>
        </is>
      </c>
      <c r="B12" s="17" t="inlineStr">
        <is>
          <t>Satu kasus uji otomatis kadang gagal acak (DashboardServiceTest)</t>
        </is>
      </c>
      <c r="C12" s="15" t="inlineStr">
        <is>
          <t>Tidak memengaruhi perilaku aplikasi; sedang diselidiki.</t>
        </is>
      </c>
    </row>
    <row r="13" ht="16" customHeight="1">
      <c r="A13" s="21" t="inlineStr">
        <is>
          <t>K-7</t>
        </is>
      </c>
      <c r="B13" s="12" t="inlineStr">
        <is>
          <t>Cakupan baris kode belum diukur</t>
        </is>
      </c>
      <c r="C13" s="5" t="inlineStr">
        <is>
          <t>Tidak ada hubungannya dengan hasil pengujian manual.</t>
        </is>
      </c>
    </row>
    <row r="16">
      <c r="A16" s="3" t="inlineStr">
        <is>
          <t>Hal yang TERLIHAT seperti bug tetapi BUKAN</t>
        </is>
      </c>
    </row>
    <row r="17">
      <c r="A17" s="9" t="inlineStr">
        <is>
          <t>Kasus</t>
        </is>
      </c>
      <c r="B17" s="9" t="inlineStr">
        <is>
          <t>Kelihatan salah</t>
        </is>
      </c>
      <c r="C17" s="9" t="inlineStr">
        <is>
          <t>Sebenarnya</t>
        </is>
      </c>
    </row>
    <row r="18" ht="40.5" customHeight="1">
      <c r="A18" s="21" t="inlineStr">
        <is>
          <t>LS-16</t>
        </is>
      </c>
      <c r="B18" s="5" t="inlineStr">
        <is>
          <t>Laporan tidak menandai nilai yang jelas di luar batas</t>
        </is>
      </c>
      <c r="C18" s="24" t="inlineStr">
        <is>
          <t>DISENGAJA. Kolom targetnya teks bebas yang bentuknya tidak dibatasi, dan satu sel bisa memuat dua angka dengan satuan berbeda. Ada kalimat di layar yang menjelaskannya.</t>
        </is>
      </c>
    </row>
    <row r="19" ht="27" customHeight="1">
      <c r="A19" s="31" t="inlineStr">
        <is>
          <t>MB-FORM-04</t>
        </is>
      </c>
      <c r="B19" s="15" t="inlineStr">
        <is>
          <t>Slot waktu 01:00 dianggap SESUDAH 23:00</t>
        </is>
      </c>
      <c r="C19" s="24" t="inlineStr">
        <is>
          <t>BENAR. Shift dimulai 07:00, jadi urutannya 07:00 → 23:00 → 00:00 → 06:00.</t>
        </is>
      </c>
    </row>
    <row r="20" ht="40.5" customHeight="1">
      <c r="A20" s="21" t="inlineStr">
        <is>
          <t>DS-10</t>
        </is>
      </c>
      <c r="B20" s="5" t="inlineStr">
        <is>
          <t>Satu stasiun menunjukkan "belum ada input hari ini" DAN "input terakhir 3 menit lalu"</t>
        </is>
      </c>
      <c r="C20" s="24" t="inlineStr">
        <is>
          <t>BENAR. Dua jendela waktu yang berbeda: "hari ini" dibatasi tanggal, "input terakhir" tidak. Keterangan di halaman menjelaskannya.</t>
        </is>
      </c>
    </row>
    <row r="21" ht="27" customHeight="1">
      <c r="A21" s="31" t="inlineStr">
        <is>
          <t>LP-W-05</t>
        </is>
      </c>
      <c r="B21" s="15" t="inlineStr">
        <is>
          <t>Persen cakupan 0,0% di satu periode dan tanda pisah di periode lain, keduanya "tanpa data"</t>
        </is>
      </c>
      <c r="C21" s="24" t="inlineStr">
        <is>
          <t>BENAR, DAN KEDUANYA BERBEDA. 0,0% = penyebutnya ada, nol yang terisi. Tanda pisah = penyebutnya tidak terbentuk.</t>
        </is>
      </c>
    </row>
    <row r="22" ht="27" customHeight="1">
      <c r="A22" s="21" t="inlineStr">
        <is>
          <t>LP-W-03</t>
        </is>
      </c>
      <c r="B22" s="5" t="inlineStr">
        <is>
          <t>Jumlah slot terisi pada cakupan LEBIH BESAR daripada penyebut parameter mana pun</t>
        </is>
      </c>
      <c r="C22" s="24" t="inlineStr">
        <is>
          <t>BENAR. Slot yang hanya mengisi kolom temuan terhitung terisi tanpa menambah penyebut parameter.</t>
        </is>
      </c>
    </row>
    <row r="23" ht="27" customHeight="1">
      <c r="A23" s="31" t="inlineStr">
        <is>
          <t>LS-08</t>
        </is>
      </c>
      <c r="B23" s="15" t="inlineStr">
        <is>
          <t>Production Line tunggal tetap harus dipilih manual</t>
        </is>
      </c>
      <c r="C23" s="24" t="inlineStr">
        <is>
          <t>DISENGAJA. Memilihnya otomatis membuat pembaca mengira ia melihat seluruh mill.</t>
        </is>
      </c>
    </row>
  </sheetData>
  <mergeCells count="5">
    <mergeCell ref="A1:C1"/>
    <mergeCell ref="A5:C5"/>
    <mergeCell ref="A2:C2"/>
    <mergeCell ref="A4:C4"/>
    <mergeCell ref="A16:C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2026-10-08T08:08:40Z</dcterms:created>
  <dcterms:modified xsi:type="dcterms:W3CDTF">2026-10-08T08:08:41Z</dcterms:modified>
</cp:coreProperties>
</file>