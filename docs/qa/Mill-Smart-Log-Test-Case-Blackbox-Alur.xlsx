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Uji'!$A$4:$R$269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(ALUR — Tingkat 1+2)</t>
        </is>
      </c>
    </row>
    <row r="2" ht="30" customHeight="1">
      <c r="A2" s="2" t="inlineStr">
        <is>
          <t>Pengujian fungsional Web dan Mobile. 170 kasus unik, ± 265 jalan, 154 layar tercakup. Seluruh kasus dapat dijalankan tanpa melihat kode.</t>
        </is>
      </c>
    </row>
    <row r="4" ht="24" customHeight="1">
      <c r="A4" s="3" t="inlineStr">
        <is>
          <t>Isi berkas ini</t>
        </is>
      </c>
    </row>
    <row r="5" ht="45" customHeight="1">
      <c r="A5" s="4" t="inlineStr">
        <is>
          <t>Kasus Uji</t>
        </is>
      </c>
      <c r="B5" s="5" t="inlineStr">
        <is>
          <t>Satu baris per JALAN — 265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Ke-18 stasiun punya service, Form, dan Data Preview-nya sendiri-sendiri, jadi bug di satu stasiun tidak mengatakan apa pun tentang yang lain. Tiga defek yang ditemukan pada 2026-10-08 semuanya hanya ada di SATU stasiun. Melewatkan Tingkat 3 adalah keputusan risiko, bukan penghematan gratis.</t>
        </is>
      </c>
      <c r="C21" s="6" t="n"/>
      <c r="D21" s="7" t="n"/>
    </row>
    <row r="22" ht="90" customHeight="1">
      <c r="A22" s="4" t="inlineStr">
        <is>
          <t>Lebih dulu dari memangkas</t>
        </is>
      </c>
      <c r="B22" s="5" t="inlineStr">
        <is>
          <t>Pangkas waktu PENYIAPAN, bukan cakupan. backend/database/seeders/BrowserTestFixtureSeeder.php sudah membuat satu mill, satu Production Line dengan stasiun aktif untuk SETIAP jenis, "PL Tanpa &lt;Station&gt;" per keluarga (prasyarat MB-FORM-15 dan WB-FRM-07), serta akun keempat peran. Jalankan e2e-web/scripts/prepare-db.sh lalu uji di basis data itu — banyak langkah "Siapkan…" langsung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265 JALAN, BUKAN CAKUPAN PENUH</t>
        </is>
      </c>
      <c r="B33" s="9" t="inlineStr">
        <is>
          <t>Isinya Tingkat 1 dan 2 saja:
  - Tingkat 1 (170 jalan) setiap kasus SEKALI, pada stasiun wakil. Menyelesaikannya berarti setiap alur sistem sudah pernah dijalankan.
  - Tingkat 2 (95 jalan) lima kasus pada 17 stasiun sisanya: MB-FORM-01, MB-PRV-06, WB-FRM-01, WB-BRW-03, WB-DTL-03, plus LP-W-01. Kelimanya yang gagal kalau satu stasiun salah dikabel.
YANG TIDAK ADA DI SINI: Tingkat 3 — 1.244 jalan pengulangan penuh per stasiun. Berkas ini TIDAK membuktikan ke-18 stasiun berperilaku benar pada setiap cabang. Ke-18 stasiun punya service, Form, dan Data Preview-nya sendiri-sendiri, jadi bug di satu stasiun tidak mengatakan apa pun tentang yang lain; ketiga defek yang ditemukan pada 2026-10-08 semuanya hanya ada di SATU stasiun.
Pakai berkas tanpa akhiran untuk putaran rilis, atau saring Tingkat 3 di sana pada stasiun yang baru berubah. Kedua berkas dibangun dari skrip yang sama, jadi yang ini tidak dapat tertinggal usang.
LEBIH DULU DARI MEMANGKAS: jalankan e2e-web/scripts/prepare-db.sh. BrowserTestFixtureSeeder sudah menyiapkan mill, Production Line dengan stasiun aktif setiap jenis, "PL Tanpa &lt;Station&gt;" per keluarga, dan akun keempat peran — banyak langkah "Siapkan..." langsung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9"/>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(ALUR — Tingkat 1+2)</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175.6"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4"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6" t="inlineStr">
        <is>
          <t>Tinggi</t>
        </is>
      </c>
      <c r="M8" s="14" t="inlineStr">
        <is>
          <t>tabel kosong di sini adalah bug, bukan hasil yang benar. Tabel kosong terbaca "mill ini tidak punya data", padahal yang benar "akun Anda belum diatur".</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 ---</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1" t="inlineStr">
        <is>
          <t>Tinggi ---</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n"/>
      <c r="O34" s="17" t="n"/>
      <c r="P34" s="17" t="n"/>
      <c r="Q34" s="17" t="n"/>
      <c r="R34" s="17" t="n"/>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n"/>
      <c r="O35" s="17" t="n"/>
      <c r="P35" s="17" t="n"/>
      <c r="Q35" s="17" t="n"/>
      <c r="R35" s="17" t="n"/>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n"/>
      <c r="O36" s="17" t="n"/>
      <c r="P36" s="17" t="n"/>
      <c r="Q36" s="17" t="n"/>
      <c r="R36" s="17" t="n"/>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n"/>
      <c r="O37" s="17" t="n"/>
      <c r="P37" s="17" t="n"/>
      <c r="Q37" s="17" t="n"/>
      <c r="R37" s="17" t="n"/>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n"/>
      <c r="O38" s="17" t="n"/>
      <c r="P38" s="17" t="n"/>
      <c r="Q38" s="17" t="n"/>
      <c r="R38" s="17" t="n"/>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n"/>
      <c r="O39" s="17" t="n"/>
      <c r="P39" s="17" t="n"/>
      <c r="Q39" s="17" t="n"/>
      <c r="R39" s="17" t="n"/>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n"/>
      <c r="O40" s="17" t="n"/>
      <c r="P40" s="17" t="n"/>
      <c r="Q40" s="17" t="n"/>
      <c r="R40" s="17" t="n"/>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n"/>
      <c r="O41" s="17" t="n"/>
      <c r="P41" s="17" t="n"/>
      <c r="Q41" s="17" t="n"/>
      <c r="R41" s="17" t="n"/>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n"/>
      <c r="O42" s="17" t="n"/>
      <c r="P42" s="17" t="n"/>
      <c r="Q42" s="17" t="n"/>
      <c r="R42" s="17" t="n"/>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n"/>
      <c r="O43" s="17" t="n"/>
      <c r="P43" s="17" t="n"/>
      <c r="Q43" s="17" t="n"/>
      <c r="R43" s="17" t="n"/>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n"/>
      <c r="O44" s="17" t="n"/>
      <c r="P44" s="17" t="n"/>
      <c r="Q44" s="17" t="n"/>
      <c r="R44" s="17" t="n"/>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n"/>
      <c r="O45" s="17" t="n"/>
      <c r="P45" s="17" t="n"/>
      <c r="Q45" s="17" t="n"/>
      <c r="R45" s="17" t="n"/>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n"/>
      <c r="O46" s="17" t="n"/>
      <c r="P46" s="17" t="n"/>
      <c r="Q46" s="17" t="n"/>
      <c r="R46" s="17" t="n"/>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n"/>
      <c r="O47" s="17" t="n"/>
      <c r="P47" s="17" t="n"/>
      <c r="Q47" s="17" t="n"/>
      <c r="R47" s="17" t="n"/>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n"/>
      <c r="O48" s="17" t="n"/>
      <c r="P48" s="17" t="n"/>
      <c r="Q48" s="17" t="n"/>
      <c r="R48" s="17" t="n"/>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n"/>
      <c r="O49" s="17" t="n"/>
      <c r="P49" s="17" t="n"/>
      <c r="Q49" s="17" t="n"/>
      <c r="R49" s="17" t="n"/>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n"/>
      <c r="O50" s="17" t="n"/>
      <c r="P50" s="17" t="n"/>
      <c r="Q50" s="17" t="n"/>
      <c r="R50" s="17" t="n"/>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n"/>
      <c r="O51" s="17" t="n"/>
      <c r="P51" s="17" t="n"/>
      <c r="Q51" s="17" t="n"/>
      <c r="R51" s="17" t="n"/>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n"/>
      <c r="O52" s="17" t="n"/>
      <c r="P52" s="17" t="n"/>
      <c r="Q52" s="17" t="n"/>
      <c r="R52" s="17" t="n"/>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n"/>
      <c r="O53" s="17" t="n"/>
      <c r="P53" s="17" t="n"/>
      <c r="Q53" s="17" t="n"/>
      <c r="R53" s="17" t="n"/>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n"/>
      <c r="O54" s="17" t="n"/>
      <c r="P54" s="17" t="n"/>
      <c r="Q54" s="17" t="n"/>
      <c r="R54" s="17" t="n"/>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n"/>
      <c r="O55" s="17" t="n"/>
      <c r="P55" s="17" t="n"/>
      <c r="Q55" s="17" t="n"/>
      <c r="R55" s="17" t="n"/>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n"/>
      <c r="O56" s="17" t="n"/>
      <c r="P56" s="17" t="n"/>
      <c r="Q56" s="17" t="n"/>
      <c r="R56" s="17" t="n"/>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n"/>
      <c r="O57" s="17" t="n"/>
      <c r="P57" s="17" t="n"/>
      <c r="Q57" s="17" t="n"/>
      <c r="R57" s="17" t="n"/>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n"/>
      <c r="O58" s="17" t="n"/>
      <c r="P58" s="17" t="n"/>
      <c r="Q58" s="17" t="n"/>
      <c r="R58" s="17" t="n"/>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n"/>
      <c r="O59" s="17" t="n"/>
      <c r="P59" s="17" t="n"/>
      <c r="Q59" s="17" t="n"/>
      <c r="R59" s="17" t="n"/>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n"/>
      <c r="O60" s="17" t="n"/>
      <c r="P60" s="17" t="n"/>
      <c r="Q60" s="17" t="n"/>
      <c r="R60" s="17" t="n"/>
    </row>
    <row r="61" ht="136"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ini kasus yang paling mudah salah dibaca sebagai bug padahal benar, dan sebaliknya. Shift dimulai 07:00.</t>
        </is>
      </c>
      <c r="N61" s="17" t="n"/>
      <c r="O61" s="17" t="n"/>
      <c r="P61" s="17" t="n"/>
      <c r="Q61" s="17" t="n"/>
      <c r="R61" s="17" t="n"/>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n"/>
      <c r="O62" s="17" t="n"/>
      <c r="P62" s="17" t="n"/>
      <c r="Q62" s="17" t="n"/>
      <c r="R62" s="17" t="n"/>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n"/>
      <c r="O63" s="17" t="n"/>
      <c r="P63" s="17" t="n"/>
      <c r="Q63" s="17" t="n"/>
      <c r="R63" s="17" t="n"/>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n"/>
      <c r="O64" s="17" t="n"/>
      <c r="P64" s="17" t="n"/>
      <c r="Q64" s="17" t="n"/>
      <c r="R64" s="17" t="n"/>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n"/>
      <c r="O65" s="17" t="n"/>
      <c r="P65" s="17" t="n"/>
      <c r="Q65" s="17" t="n"/>
      <c r="R65" s="17" t="n"/>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n"/>
      <c r="O66" s="17" t="n"/>
      <c r="P66" s="17" t="n"/>
      <c r="Q66" s="17" t="n"/>
      <c r="R66" s="17" t="n"/>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n"/>
      <c r="O67" s="17" t="n"/>
      <c r="P67" s="17" t="n"/>
      <c r="Q67" s="17" t="n"/>
      <c r="R67" s="17" t="n"/>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n"/>
      <c r="O68" s="17" t="n"/>
      <c r="P68" s="17" t="n"/>
      <c r="Q68" s="17" t="n"/>
      <c r="R68" s="17" t="n"/>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n"/>
      <c r="O69" s="17" t="n"/>
      <c r="P69" s="17" t="n"/>
      <c r="Q69" s="17" t="n"/>
      <c r="R69" s="17" t="n"/>
    </row>
    <row r="70" ht="136"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70" s="14" t="inlineStr">
        <is>
          <t>- SPV-A dapat mengisi Checked By.
- SPV-A tidak dapat mengisi Acknowledged By.
- MGR-A dapat mengisi Acknowledged By.
- MGR-A tidak dapat mengisi Checked By.
- Nama yang terisi adalah nama pengguna yang mengisinya, bukan diketik bebas.</t>
        </is>
      </c>
      <c r="L70" s="16" t="inlineStr">
        <is>
          <t>Tinggi</t>
        </is>
      </c>
      <c r="M70" s="14" t="inlineStr"/>
      <c r="N70" s="17" t="n"/>
      <c r="O70" s="17" t="n"/>
      <c r="P70" s="17" t="n"/>
      <c r="Q70" s="17" t="n"/>
      <c r="R70" s="17" t="n"/>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n"/>
      <c r="O71" s="17" t="n"/>
      <c r="P71" s="17" t="n"/>
      <c r="Q71" s="17" t="n"/>
      <c r="R71" s="17" t="n"/>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n"/>
      <c r="O72" s="17" t="n"/>
      <c r="P72" s="17" t="n"/>
      <c r="Q72" s="17" t="n"/>
      <c r="R72" s="17" t="n"/>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n"/>
      <c r="O73" s="17" t="n"/>
      <c r="P73" s="17" t="n"/>
      <c r="Q73" s="17" t="n"/>
      <c r="R73" s="17" t="n"/>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n"/>
      <c r="O74" s="17" t="n"/>
      <c r="P74" s="17" t="n"/>
      <c r="Q74" s="17" t="n"/>
      <c r="R74" s="17" t="n"/>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n"/>
      <c r="O75" s="17" t="n"/>
      <c r="P75" s="17" t="n"/>
      <c r="Q75" s="17" t="n"/>
      <c r="R75" s="17" t="n"/>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n"/>
      <c r="O76" s="17" t="n"/>
      <c r="P76" s="17" t="n"/>
      <c r="Q76" s="17" t="n"/>
      <c r="R76" s="17" t="n"/>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n"/>
      <c r="O77" s="17" t="n"/>
      <c r="P77" s="17" t="n"/>
      <c r="Q77" s="17" t="n"/>
      <c r="R77" s="17" t="n"/>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n"/>
      <c r="O78" s="17" t="n"/>
      <c r="P78" s="17" t="n"/>
      <c r="Q78" s="17" t="n"/>
      <c r="R78" s="17" t="n"/>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n"/>
      <c r="O79" s="17" t="n"/>
      <c r="P79" s="17" t="n"/>
      <c r="Q79" s="17" t="n"/>
      <c r="R79" s="17" t="n"/>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n"/>
      <c r="O80" s="17" t="n"/>
      <c r="P80" s="17" t="n"/>
      <c r="Q80" s="17" t="n"/>
      <c r="R80" s="17" t="n"/>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n"/>
      <c r="O81" s="17" t="n"/>
      <c r="P81" s="17" t="n"/>
      <c r="Q81" s="17" t="n"/>
      <c r="R81" s="17" t="n"/>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n"/>
      <c r="O82" s="17" t="n"/>
      <c r="P82" s="17" t="n"/>
      <c r="Q82" s="17" t="n"/>
      <c r="R82" s="17" t="n"/>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n"/>
      <c r="O83" s="17" t="n"/>
      <c r="P83" s="17" t="n"/>
      <c r="Q83" s="17" t="n"/>
      <c r="R83" s="17" t="n"/>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n"/>
      <c r="O84" s="17" t="n"/>
      <c r="P84" s="17" t="n"/>
      <c r="Q84" s="17" t="n"/>
      <c r="R84" s="17" t="n"/>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n"/>
      <c r="O85" s="17" t="n"/>
      <c r="P85" s="17" t="n"/>
      <c r="Q85" s="17" t="n"/>
      <c r="R85" s="17" t="n"/>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n"/>
      <c r="O86" s="17" t="n"/>
      <c r="P86" s="17" t="n"/>
      <c r="Q86" s="17" t="n"/>
      <c r="R86" s="17" t="n"/>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n"/>
      <c r="O87" s="17" t="n"/>
      <c r="P87" s="17" t="n"/>
      <c r="Q87" s="17" t="n"/>
      <c r="R87" s="17" t="n"/>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n"/>
      <c r="O88" s="17" t="n"/>
      <c r="P88" s="17" t="n"/>
      <c r="Q88" s="17" t="n"/>
      <c r="R88" s="17" t="n"/>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n"/>
      <c r="O89" s="17" t="n"/>
      <c r="P89" s="17" t="n"/>
      <c r="Q89" s="17" t="n"/>
      <c r="R89" s="17" t="n"/>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n"/>
      <c r="O90" s="17" t="n"/>
      <c r="P90" s="17" t="n"/>
      <c r="Q90" s="17" t="n"/>
      <c r="R90" s="17" t="n"/>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n"/>
      <c r="O91" s="17" t="n"/>
      <c r="P91" s="17" t="n"/>
      <c r="Q91" s="17" t="n"/>
      <c r="R91" s="17" t="n"/>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n"/>
      <c r="O92" s="17" t="n"/>
      <c r="P92" s="17" t="n"/>
      <c r="Q92" s="17" t="n"/>
      <c r="R92" s="17" t="n"/>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n"/>
      <c r="O93" s="17" t="n"/>
      <c r="P93" s="17" t="n"/>
      <c r="Q93" s="17" t="n"/>
      <c r="R93" s="17" t="n"/>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n"/>
      <c r="O94" s="17" t="n"/>
      <c r="P94" s="17" t="n"/>
      <c r="Q94" s="17" t="n"/>
      <c r="R94" s="17" t="n"/>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n"/>
      <c r="O95" s="17" t="n"/>
      <c r="P95" s="17" t="n"/>
      <c r="Q95" s="17" t="n"/>
      <c r="R95" s="17" t="n"/>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n"/>
      <c r="O96" s="17" t="n"/>
      <c r="P96" s="17" t="n"/>
      <c r="Q96" s="17" t="n"/>
      <c r="R96" s="17" t="n"/>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n"/>
      <c r="O97" s="17" t="n"/>
      <c r="P97" s="17" t="n"/>
      <c r="Q97" s="17" t="n"/>
      <c r="R97" s="17" t="n"/>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n"/>
      <c r="O98" s="17" t="n"/>
      <c r="P98" s="17" t="n"/>
      <c r="Q98" s="17" t="n"/>
      <c r="R98" s="17" t="n"/>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n"/>
      <c r="O99" s="17" t="n"/>
      <c r="P99" s="17" t="n"/>
      <c r="Q99" s="17" t="n"/>
      <c r="R99" s="17" t="n"/>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n"/>
      <c r="O100" s="17" t="n"/>
      <c r="P100" s="17" t="n"/>
      <c r="Q100" s="17" t="n"/>
      <c r="R100" s="17" t="n"/>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n"/>
      <c r="O101" s="17" t="n"/>
      <c r="P101" s="17" t="n"/>
      <c r="Q101" s="17" t="n"/>
      <c r="R101" s="17" t="n"/>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 ---</t>
        </is>
      </c>
      <c r="M102" s="14" t="inlineStr"/>
      <c r="N102" s="17" t="n"/>
      <c r="O102" s="17" t="n"/>
      <c r="P102" s="17" t="n"/>
      <c r="Q102" s="17" t="n"/>
      <c r="R102" s="17" t="n"/>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n"/>
      <c r="O103" s="17" t="n"/>
      <c r="P103" s="17" t="n"/>
      <c r="Q103" s="17" t="n"/>
      <c r="R103" s="17" t="n"/>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n"/>
      <c r="O104" s="17" t="n"/>
      <c r="P104" s="17" t="n"/>
      <c r="Q104" s="17" t="n"/>
      <c r="R104" s="17" t="n"/>
    </row>
    <row r="105" ht="136" customHeight="1">
      <c r="A105" s="18" t="n">
        <v>101</v>
      </c>
      <c r="B105" s="19" t="n">
        <v>2</v>
      </c>
      <c r="C105" s="20" t="inlineStr">
        <is>
          <t>WB-BRW-03 / Weighbridge</t>
        </is>
      </c>
      <c r="D105" s="20" t="inlineStr">
        <is>
          <t>WB-BRW-03</t>
        </is>
      </c>
      <c r="E105" s="21" t="inlineStr">
        <is>
          <t>Weighbridge</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lewati untuk 4 stasiun per-transaksi</t>
        </is>
      </c>
      <c r="N105" s="17" t="n"/>
      <c r="O105" s="17" t="n"/>
      <c r="P105" s="17" t="n"/>
      <c r="Q105" s="17" t="n"/>
      <c r="R105" s="17" t="n"/>
    </row>
    <row r="106" ht="136" customHeight="1">
      <c r="A106" s="18" t="n">
        <v>102</v>
      </c>
      <c r="B106" s="19" t="n">
        <v>2</v>
      </c>
      <c r="C106" s="20" t="inlineStr">
        <is>
          <t>WB-BRW-03 / Grading</t>
        </is>
      </c>
      <c r="D106" s="20" t="inlineStr">
        <is>
          <t>WB-BRW-03</t>
        </is>
      </c>
      <c r="E106" s="21" t="inlineStr">
        <is>
          <t>Grading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lewati untuk 4 stasiun per-transaksi</t>
        </is>
      </c>
      <c r="N106" s="17" t="n"/>
      <c r="O106" s="17" t="n"/>
      <c r="P106" s="17" t="n"/>
      <c r="Q106" s="17" t="n"/>
      <c r="R106" s="17" t="n"/>
    </row>
    <row r="107" ht="136" customHeight="1">
      <c r="A107" s="18" t="n">
        <v>103</v>
      </c>
      <c r="B107" s="19" t="n">
        <v>2</v>
      </c>
      <c r="C107" s="20" t="inlineStr">
        <is>
          <t>WB-BRW-03 / Cages Track</t>
        </is>
      </c>
      <c r="D107" s="20" t="inlineStr">
        <is>
          <t>WB-BRW-03</t>
        </is>
      </c>
      <c r="E107" s="21" t="inlineStr">
        <is>
          <t>Cages Track</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lewati untuk 4 stasiun per-transaksi</t>
        </is>
      </c>
      <c r="N107" s="17" t="n"/>
      <c r="O107" s="17" t="n"/>
      <c r="P107" s="17" t="n"/>
      <c r="Q107" s="17" t="n"/>
      <c r="R107" s="17" t="n"/>
    </row>
    <row r="108" ht="136" customHeight="1">
      <c r="A108" s="18" t="n">
        <v>104</v>
      </c>
      <c r="B108" s="19" t="n">
        <v>2</v>
      </c>
      <c r="C108" s="20" t="inlineStr">
        <is>
          <t>WB-BRW-03 / Sterilizer</t>
        </is>
      </c>
      <c r="D108" s="20" t="inlineStr">
        <is>
          <t>WB-BRW-03</t>
        </is>
      </c>
      <c r="E108" s="21" t="inlineStr">
        <is>
          <t>Sterilizer</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lewati untuk 4 stasiun per-transaksi</t>
        </is>
      </c>
      <c r="N108" s="17" t="n"/>
      <c r="O108" s="17" t="n"/>
      <c r="P108" s="17" t="n"/>
      <c r="Q108" s="17" t="n"/>
      <c r="R108" s="17" t="n"/>
    </row>
    <row r="109" ht="136" customHeight="1">
      <c r="A109" s="18" t="n">
        <v>105</v>
      </c>
      <c r="B109" s="19" t="n">
        <v>2</v>
      </c>
      <c r="C109" s="20" t="inlineStr">
        <is>
          <t>WB-BRW-03 / Threshing</t>
        </is>
      </c>
      <c r="D109" s="20" t="inlineStr">
        <is>
          <t>WB-BRW-03</t>
        </is>
      </c>
      <c r="E109" s="21" t="inlineStr">
        <is>
          <t>Threshing</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lewati untuk 4 stasiun per-transaksi</t>
        </is>
      </c>
      <c r="N109" s="17" t="n"/>
      <c r="O109" s="17" t="n"/>
      <c r="P109" s="17" t="n"/>
      <c r="Q109" s="17" t="n"/>
      <c r="R109" s="17" t="n"/>
    </row>
    <row r="110" ht="136" customHeight="1">
      <c r="A110" s="18" t="n">
        <v>106</v>
      </c>
      <c r="B110" s="19" t="n">
        <v>2</v>
      </c>
      <c r="C110" s="20" t="inlineStr">
        <is>
          <t>WB-BRW-03 / Pressing</t>
        </is>
      </c>
      <c r="D110" s="20" t="inlineStr">
        <is>
          <t>WB-BRW-03</t>
        </is>
      </c>
      <c r="E110" s="21" t="inlineStr">
        <is>
          <t>Pressing</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lewati untuk 4 stasiun per-transaksi</t>
        </is>
      </c>
      <c r="N110" s="17" t="n"/>
      <c r="O110" s="17" t="n"/>
      <c r="P110" s="17" t="n"/>
      <c r="Q110" s="17" t="n"/>
      <c r="R110" s="17" t="n"/>
    </row>
    <row r="111" ht="136" customHeight="1">
      <c r="A111" s="18" t="n">
        <v>107</v>
      </c>
      <c r="B111" s="19" t="n">
        <v>2</v>
      </c>
      <c r="C111" s="20" t="inlineStr">
        <is>
          <t>WB-BRW-03 / Clarification</t>
        </is>
      </c>
      <c r="D111" s="20" t="inlineStr">
        <is>
          <t>WB-BRW-03</t>
        </is>
      </c>
      <c r="E111" s="21" t="inlineStr">
        <is>
          <t>Clarification</t>
        </is>
      </c>
      <c r="F111" s="22" t="inlineStr">
        <is>
          <t>Web — Data Stasiun (WB-)</t>
        </is>
      </c>
      <c r="G111" s="21" t="inlineStr">
        <is>
          <t>"Jumlah Baris Terisi" tampil sebagai pecahan dari 24</t>
        </is>
      </c>
      <c r="H111" s="22" t="inlineStr">
        <is>
          <t>SPV-A</t>
        </is>
      </c>
      <c r="I111" s="22" t="inlineStr">
        <is>
          <t>satu record dengan 3 baris terisi</t>
        </is>
      </c>
      <c r="J111"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1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8" t="inlineStr">
        <is>
          <t>Sedang</t>
        </is>
      </c>
      <c r="M111" s="22" t="inlineStr">
        <is>
          <t>lewati untuk 4 stasiun per-transaksi</t>
        </is>
      </c>
      <c r="N111" s="17" t="n"/>
      <c r="O111" s="17" t="n"/>
      <c r="P111" s="17" t="n"/>
      <c r="Q111" s="17" t="n"/>
      <c r="R111" s="17" t="n"/>
    </row>
    <row r="112" ht="136" customHeight="1">
      <c r="A112" s="18" t="n">
        <v>108</v>
      </c>
      <c r="B112" s="19" t="n">
        <v>2</v>
      </c>
      <c r="C112" s="20" t="inlineStr">
        <is>
          <t>WB-BRW-03 / Kernel Plant</t>
        </is>
      </c>
      <c r="D112" s="20" t="inlineStr">
        <is>
          <t>WB-BRW-03</t>
        </is>
      </c>
      <c r="E112" s="21" t="inlineStr">
        <is>
          <t>Kernel Plant</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lewati untuk 4 stasiun per-transaksi</t>
        </is>
      </c>
      <c r="N112" s="17" t="n"/>
      <c r="O112" s="17" t="n"/>
      <c r="P112" s="17" t="n"/>
      <c r="Q112" s="17" t="n"/>
      <c r="R112" s="17" t="n"/>
    </row>
    <row r="113" ht="136" customHeight="1">
      <c r="A113" s="18" t="n">
        <v>109</v>
      </c>
      <c r="B113" s="19" t="n">
        <v>2</v>
      </c>
      <c r="C113" s="20" t="inlineStr">
        <is>
          <t>WB-BRW-03 / Boiler Room</t>
        </is>
      </c>
      <c r="D113" s="20" t="inlineStr">
        <is>
          <t>WB-BRW-03</t>
        </is>
      </c>
      <c r="E113" s="21" t="inlineStr">
        <is>
          <t>Boiler Room</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lewati untuk 4 stasiun per-transaksi</t>
        </is>
      </c>
      <c r="N113" s="17" t="n"/>
      <c r="O113" s="17" t="n"/>
      <c r="P113" s="17" t="n"/>
      <c r="Q113" s="17" t="n"/>
      <c r="R113" s="17" t="n"/>
    </row>
    <row r="114" ht="136" customHeight="1">
      <c r="A114" s="18" t="n">
        <v>110</v>
      </c>
      <c r="B114" s="19" t="n">
        <v>2</v>
      </c>
      <c r="C114" s="20" t="inlineStr">
        <is>
          <t>WB-BRW-03 / Effluent Plant</t>
        </is>
      </c>
      <c r="D114" s="20" t="inlineStr">
        <is>
          <t>WB-BRW-03</t>
        </is>
      </c>
      <c r="E114" s="21" t="inlineStr">
        <is>
          <t>Effluent Plant</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lewati untuk 4 stasiun per-transaksi</t>
        </is>
      </c>
      <c r="N114" s="17" t="n"/>
      <c r="O114" s="17" t="n"/>
      <c r="P114" s="17" t="n"/>
      <c r="Q114" s="17" t="n"/>
      <c r="R114" s="17" t="n"/>
    </row>
    <row r="115" ht="136" customHeight="1">
      <c r="A115" s="11" t="n">
        <v>111</v>
      </c>
      <c r="B115" s="12" t="n">
        <v>1</v>
      </c>
      <c r="C115" s="13" t="inlineStr">
        <is>
          <t>WB-BRW-03 / Depricarping</t>
        </is>
      </c>
      <c r="D115" s="13" t="inlineStr">
        <is>
          <t>WB-BRW-03</t>
        </is>
      </c>
      <c r="E115" s="15" t="inlineStr">
        <is>
          <t>Depricarping</t>
        </is>
      </c>
      <c r="F115" s="14" t="inlineStr">
        <is>
          <t>Web — Data Stasiun (WB-)</t>
        </is>
      </c>
      <c r="G115" s="15" t="inlineStr">
        <is>
          <t>"Jumlah Baris Terisi" tampil sebagai pecahan dari 24</t>
        </is>
      </c>
      <c r="H115" s="14" t="inlineStr">
        <is>
          <t>SPV-A</t>
        </is>
      </c>
      <c r="I115" s="14" t="inlineStr">
        <is>
          <t>satu record dengan 3 baris terisi</t>
        </is>
      </c>
      <c r="J11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1" t="inlineStr">
        <is>
          <t>Sedang</t>
        </is>
      </c>
      <c r="M115" s="14" t="inlineStr">
        <is>
          <t>lewati untuk 4 stasiun per-transaksi</t>
        </is>
      </c>
      <c r="N115" s="17" t="n"/>
      <c r="O115" s="17" t="n"/>
      <c r="P115" s="17" t="n"/>
      <c r="Q115" s="17" t="n"/>
      <c r="R115" s="17" t="n"/>
    </row>
    <row r="116" ht="136" customHeight="1">
      <c r="A116" s="18" t="n">
        <v>112</v>
      </c>
      <c r="B116" s="19" t="n">
        <v>2</v>
      </c>
      <c r="C116" s="20" t="inlineStr">
        <is>
          <t>WB-BRW-03 / Engine Room</t>
        </is>
      </c>
      <c r="D116" s="20" t="inlineStr">
        <is>
          <t>WB-BRW-03</t>
        </is>
      </c>
      <c r="E116" s="21" t="inlineStr">
        <is>
          <t>Engine Room</t>
        </is>
      </c>
      <c r="F116" s="22" t="inlineStr">
        <is>
          <t>Web — Data Stasiun (WB-)</t>
        </is>
      </c>
      <c r="G116" s="21" t="inlineStr">
        <is>
          <t>"Jumlah Baris Terisi" tampil sebagai pecahan dari 24</t>
        </is>
      </c>
      <c r="H116" s="22" t="inlineStr">
        <is>
          <t>SPV-A</t>
        </is>
      </c>
      <c r="I116" s="22" t="inlineStr">
        <is>
          <t>satu record dengan 3 baris terisi</t>
        </is>
      </c>
      <c r="J116"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6" s="18" t="inlineStr">
        <is>
          <t>Sedang</t>
        </is>
      </c>
      <c r="M116" s="22" t="inlineStr">
        <is>
          <t>lewati untuk 4 stasiun per-transaksi</t>
        </is>
      </c>
      <c r="N116" s="17" t="n"/>
      <c r="O116" s="17" t="n"/>
      <c r="P116" s="17" t="n"/>
      <c r="Q116" s="17" t="n"/>
      <c r="R116" s="17" t="n"/>
    </row>
    <row r="117" ht="136" customHeight="1">
      <c r="A117" s="18" t="n">
        <v>113</v>
      </c>
      <c r="B117" s="19" t="n">
        <v>2</v>
      </c>
      <c r="C117" s="20" t="inlineStr">
        <is>
          <t>WB-BRW-03 / Process Water</t>
        </is>
      </c>
      <c r="D117" s="20" t="inlineStr">
        <is>
          <t>WB-BRW-03</t>
        </is>
      </c>
      <c r="E117" s="21" t="inlineStr">
        <is>
          <t>Process Water</t>
        </is>
      </c>
      <c r="F117" s="22" t="inlineStr">
        <is>
          <t>Web — Data Stasiun (WB-)</t>
        </is>
      </c>
      <c r="G117" s="21" t="inlineStr">
        <is>
          <t>"Jumlah Baris Terisi" tampil sebagai pecahan dari 24</t>
        </is>
      </c>
      <c r="H117" s="22" t="inlineStr">
        <is>
          <t>SPV-A</t>
        </is>
      </c>
      <c r="I117" s="22" t="inlineStr">
        <is>
          <t>satu record dengan 3 baris terisi</t>
        </is>
      </c>
      <c r="J117"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7" s="18" t="inlineStr">
        <is>
          <t>Sedang</t>
        </is>
      </c>
      <c r="M117" s="22" t="inlineStr">
        <is>
          <t>lewati untuk 4 stasiun per-transaksi</t>
        </is>
      </c>
      <c r="N117" s="17" t="n"/>
      <c r="O117" s="17" t="n"/>
      <c r="P117" s="17" t="n"/>
      <c r="Q117" s="17" t="n"/>
      <c r="R117" s="17" t="n"/>
    </row>
    <row r="118" ht="136" customHeight="1">
      <c r="A118" s="18" t="n">
        <v>114</v>
      </c>
      <c r="B118" s="19" t="n">
        <v>2</v>
      </c>
      <c r="C118" s="20" t="inlineStr">
        <is>
          <t>WB-BRW-03 / Storage Tank</t>
        </is>
      </c>
      <c r="D118" s="20" t="inlineStr">
        <is>
          <t>WB-BRW-03</t>
        </is>
      </c>
      <c r="E118" s="21" t="inlineStr">
        <is>
          <t>Storage Tank</t>
        </is>
      </c>
      <c r="F118" s="22" t="inlineStr">
        <is>
          <t>Web — Data Stasiun (WB-)</t>
        </is>
      </c>
      <c r="G118" s="21" t="inlineStr">
        <is>
          <t>"Jumlah Baris Terisi" tampil sebagai pecahan dari 24</t>
        </is>
      </c>
      <c r="H118" s="22" t="inlineStr">
        <is>
          <t>SPV-A</t>
        </is>
      </c>
      <c r="I118" s="22" t="inlineStr">
        <is>
          <t>satu record dengan 3 baris terisi</t>
        </is>
      </c>
      <c r="J118"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8" s="18" t="inlineStr">
        <is>
          <t>Sedang</t>
        </is>
      </c>
      <c r="M118" s="22" t="inlineStr">
        <is>
          <t>lewati untuk 4 stasiun per-transaksi</t>
        </is>
      </c>
      <c r="N118" s="17" t="n"/>
      <c r="O118" s="17" t="n"/>
      <c r="P118" s="17" t="n"/>
      <c r="Q118" s="17" t="n"/>
      <c r="R118" s="17" t="n"/>
    </row>
    <row r="119" ht="136" customHeight="1">
      <c r="A119" s="18" t="n">
        <v>115</v>
      </c>
      <c r="B119" s="19" t="n">
        <v>2</v>
      </c>
      <c r="C119" s="20" t="inlineStr">
        <is>
          <t>WB-BRW-03 / Solid Waste Disposal</t>
        </is>
      </c>
      <c r="D119" s="20" t="inlineStr">
        <is>
          <t>WB-BRW-03</t>
        </is>
      </c>
      <c r="E119" s="21" t="inlineStr">
        <is>
          <t>Solid Waste Disposal</t>
        </is>
      </c>
      <c r="F119" s="22" t="inlineStr">
        <is>
          <t>Web — Data Stasiun (WB-)</t>
        </is>
      </c>
      <c r="G119" s="21" t="inlineStr">
        <is>
          <t>"Jumlah Baris Terisi" tampil sebagai pecahan dari 24</t>
        </is>
      </c>
      <c r="H119" s="22" t="inlineStr">
        <is>
          <t>SPV-A</t>
        </is>
      </c>
      <c r="I119" s="22" t="inlineStr">
        <is>
          <t>satu record dengan 3 baris terisi</t>
        </is>
      </c>
      <c r="J119" s="22"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11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9" s="18" t="inlineStr">
        <is>
          <t>Sedang</t>
        </is>
      </c>
      <c r="M119" s="22" t="inlineStr">
        <is>
          <t>lewati untuk 4 stasiun per-transaksi</t>
        </is>
      </c>
      <c r="N119" s="17" t="n"/>
      <c r="O119" s="17" t="n"/>
      <c r="P119" s="17" t="n"/>
      <c r="Q119" s="17" t="n"/>
      <c r="R119" s="17" t="n"/>
    </row>
    <row r="120" ht="136" customHeight="1">
      <c r="A120" s="18" t="n">
        <v>116</v>
      </c>
      <c r="B120" s="19" t="n">
        <v>2</v>
      </c>
      <c r="C120" s="20" t="inlineStr">
        <is>
          <t>WB-BRW-03 / Kernel Dispatch</t>
        </is>
      </c>
      <c r="D120" s="20" t="inlineStr">
        <is>
          <t>WB-BRW-03</t>
        </is>
      </c>
      <c r="E120" s="21" t="inlineStr">
        <is>
          <t>Kernel Dispatch</t>
        </is>
      </c>
      <c r="F120" s="22" t="inlineStr">
        <is>
          <t>Web — Data Stasiun (WB-)</t>
        </is>
      </c>
      <c r="G120" s="21" t="inlineStr">
        <is>
          <t>"Jumlah Baris Terisi" tampil sebagai pecahan dari 24</t>
        </is>
      </c>
      <c r="H120" s="22" t="inlineStr">
        <is>
          <t>SPV-A</t>
        </is>
      </c>
      <c r="I120" s="22" t="inlineStr">
        <is>
          <t>satu record dengan 3 baris terisi</t>
        </is>
      </c>
      <c r="J120" s="22"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12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0" s="18" t="inlineStr">
        <is>
          <t>Sedang</t>
        </is>
      </c>
      <c r="M120" s="22" t="inlineStr">
        <is>
          <t>lewati untuk 4 stasiun per-transaksi</t>
        </is>
      </c>
      <c r="N120" s="17" t="n"/>
      <c r="O120" s="17" t="n"/>
      <c r="P120" s="17" t="n"/>
      <c r="Q120" s="17" t="n"/>
      <c r="R120" s="17" t="n"/>
    </row>
    <row r="121" ht="136" customHeight="1">
      <c r="A121" s="18" t="n">
        <v>117</v>
      </c>
      <c r="B121" s="19" t="n">
        <v>2</v>
      </c>
      <c r="C121" s="20" t="inlineStr">
        <is>
          <t>WB-BRW-03 / CPO Dispatch</t>
        </is>
      </c>
      <c r="D121" s="20" t="inlineStr">
        <is>
          <t>WB-BRW-03</t>
        </is>
      </c>
      <c r="E121" s="21" t="inlineStr">
        <is>
          <t>CPO Dispatch</t>
        </is>
      </c>
      <c r="F121" s="22" t="inlineStr">
        <is>
          <t>Web — Data Stasiun (WB-)</t>
        </is>
      </c>
      <c r="G121" s="21" t="inlineStr">
        <is>
          <t>"Jumlah Baris Terisi" tampil sebagai pecahan dari 24</t>
        </is>
      </c>
      <c r="H121" s="22" t="inlineStr">
        <is>
          <t>SPV-A</t>
        </is>
      </c>
      <c r="I121" s="22" t="inlineStr">
        <is>
          <t>satu record dengan 3 baris terisi</t>
        </is>
      </c>
      <c r="J121" s="22"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12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1" s="18" t="inlineStr">
        <is>
          <t>Sedang</t>
        </is>
      </c>
      <c r="M121" s="22" t="inlineStr">
        <is>
          <t>lewati untuk 4 stasiun per-transaksi</t>
        </is>
      </c>
      <c r="N121" s="17" t="n"/>
      <c r="O121" s="17" t="n"/>
      <c r="P121" s="17" t="n"/>
      <c r="Q121" s="17" t="n"/>
      <c r="R121" s="17" t="n"/>
    </row>
    <row r="122" ht="136" customHeight="1">
      <c r="A122" s="18" t="n">
        <v>118</v>
      </c>
      <c r="B122" s="19" t="n">
        <v>2</v>
      </c>
      <c r="C122" s="20" t="inlineStr">
        <is>
          <t>WB-BRW-03 / Process Quality Control</t>
        </is>
      </c>
      <c r="D122" s="20" t="inlineStr">
        <is>
          <t>WB-BRW-03</t>
        </is>
      </c>
      <c r="E122" s="21" t="inlineStr">
        <is>
          <t>Process Quality Control</t>
        </is>
      </c>
      <c r="F122" s="22" t="inlineStr">
        <is>
          <t>Web — Data Stasiun (WB-)</t>
        </is>
      </c>
      <c r="G122" s="21" t="inlineStr">
        <is>
          <t>"Jumlah Baris Terisi" tampil sebagai pecahan dari 24</t>
        </is>
      </c>
      <c r="H122" s="22" t="inlineStr">
        <is>
          <t>SPV-A</t>
        </is>
      </c>
      <c r="I122" s="22" t="inlineStr">
        <is>
          <t>satu record dengan 3 baris terisi</t>
        </is>
      </c>
      <c r="J122"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2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2" s="18" t="inlineStr">
        <is>
          <t>Sedang</t>
        </is>
      </c>
      <c r="M122" s="22" t="inlineStr">
        <is>
          <t>lewati untuk 4 stasiun per-transaksi</t>
        </is>
      </c>
      <c r="N122" s="17" t="n"/>
      <c r="O122" s="17" t="n"/>
      <c r="P122" s="17" t="n"/>
      <c r="Q122" s="17" t="n"/>
      <c r="R122" s="17" t="n"/>
    </row>
    <row r="123" ht="149.2" customHeight="1">
      <c r="A123" s="11" t="n">
        <v>119</v>
      </c>
      <c r="B123" s="12" t="n">
        <v>1</v>
      </c>
      <c r="C123" s="13" t="inlineStr">
        <is>
          <t>WB-BRW-04 / Depricarping</t>
        </is>
      </c>
      <c r="D123" s="13" t="inlineStr">
        <is>
          <t>WB-BRW-04</t>
        </is>
      </c>
      <c r="E123" s="15" t="inlineStr">
        <is>
          <t>Depricarping</t>
        </is>
      </c>
      <c r="F123" s="14" t="inlineStr">
        <is>
          <t>Web — Data Stasiun (WB-)</t>
        </is>
      </c>
      <c r="G123" s="15" t="inlineStr">
        <is>
          <t>Filter menghasilkan hasil yang konsisten antar halaman</t>
        </is>
      </c>
      <c r="H123" s="14" t="inlineStr">
        <is>
          <t>SPV-A</t>
        </is>
      </c>
      <c r="I123" s="14" t="inlineStr">
        <is>
          <t>data cukup untuk lebih dari satu halaman</t>
        </is>
      </c>
      <c r="J12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23" s="14" t="inlineStr">
        <is>
          <t>- Seluruh baris di halaman 2 masih memenuhi filter yang diterapkan.
- Jumlah total hasil tidak berubah saat berpindah halaman.
- Filternya tidak tereset saat pindah halaman.</t>
        </is>
      </c>
      <c r="L123" s="16" t="inlineStr">
        <is>
          <t>Tinggi</t>
        </is>
      </c>
      <c r="M123" s="14" t="inlineStr"/>
      <c r="N123" s="17" t="n"/>
      <c r="O123" s="17" t="n"/>
      <c r="P123" s="17" t="n"/>
      <c r="Q123" s="17" t="n"/>
      <c r="R123" s="17" t="n"/>
    </row>
    <row r="124" ht="96.39999999999999" customHeight="1">
      <c r="A124" s="11" t="n">
        <v>120</v>
      </c>
      <c r="B124" s="12" t="n">
        <v>1</v>
      </c>
      <c r="C124" s="13" t="inlineStr">
        <is>
          <t>WB-BRW-05 / Depricarping</t>
        </is>
      </c>
      <c r="D124" s="13" t="inlineStr">
        <is>
          <t>WB-BRW-05</t>
        </is>
      </c>
      <c r="E124" s="15" t="inlineStr">
        <is>
          <t>Depricarping</t>
        </is>
      </c>
      <c r="F124" s="14" t="inlineStr">
        <is>
          <t>Web — Data Stasiun (WB-)</t>
        </is>
      </c>
      <c r="G124" s="15" t="inlineStr">
        <is>
          <t>Reset filter memulihkan keadaan awal</t>
        </is>
      </c>
      <c r="H124" s="14" t="inlineStr">
        <is>
          <t>SPV-A</t>
        </is>
      </c>
      <c r="I124" s="14" t="inlineStr">
        <is>
          <t>—</t>
        </is>
      </c>
      <c r="J124" s="14" t="inlineStr">
        <is>
          <t>1. Login di web, lalu sidebar &gt; Data &gt; Depricarping (/data/depricarping). Catat keadaan awal: isi filter dan jumlah hasil.
2. Ubah rentang tanggal dan isi kata kunci pencarian.
3. Terapkan, lalu catat jumlah hasilnya.
4. Tekan Reset Filter.</t>
        </is>
      </c>
      <c r="K124" s="14" t="inlineStr">
        <is>
          <t>- Seluruh kolom filter kembali ke nilai awalnya.
- Jumlah hasil kembali sama dengan langkah 1.
- Halaman kembali ke halaman 1.</t>
        </is>
      </c>
      <c r="L124" s="11" t="inlineStr">
        <is>
          <t>Rendah</t>
        </is>
      </c>
      <c r="M124" s="14" t="inlineStr"/>
      <c r="N124" s="17" t="n"/>
      <c r="O124" s="17" t="n"/>
      <c r="P124" s="17" t="n"/>
      <c r="Q124" s="17" t="n"/>
      <c r="R124" s="17" t="n"/>
    </row>
    <row r="125" ht="96.39999999999999" customHeight="1">
      <c r="A125" s="11" t="n">
        <v>121</v>
      </c>
      <c r="B125" s="12" t="n">
        <v>1</v>
      </c>
      <c r="C125" s="13" t="inlineStr">
        <is>
          <t>WB-BRW-06 / Depricarping</t>
        </is>
      </c>
      <c r="D125" s="13" t="inlineStr">
        <is>
          <t>WB-BRW-06</t>
        </is>
      </c>
      <c r="E125" s="15" t="inlineStr">
        <is>
          <t>Depricarping</t>
        </is>
      </c>
      <c r="F125" s="14" t="inlineStr">
        <is>
          <t>Web — Data Stasiun (WB-)</t>
        </is>
      </c>
      <c r="G125" s="15" t="inlineStr">
        <is>
          <t>Klik baris membuka Detail record itu</t>
        </is>
      </c>
      <c r="H125" s="14" t="inlineStr">
        <is>
          <t>SPV-A</t>
        </is>
      </c>
      <c r="I125" s="14" t="inlineStr">
        <is>
          <t>—</t>
        </is>
      </c>
      <c r="J125" s="14" t="inlineStr">
        <is>
          <t>1. Login di web, lalu sidebar &gt; Data &gt; Depricarping (/data/depricarping).
2. Catat identitas dan tanggal pada baris ketiga tabel.
3. Klik baris ketiga itu.
4. Bandingkan header layar yang terbuka dengan catatan langkah 2.</t>
        </is>
      </c>
      <c r="K125" s="14" t="inlineStr">
        <is>
          <t>- Terbuka layar Detail (/data/depricarping/&lt;id&gt;).
- Identitas dan tanggal pada Detail sama dengan baris yang diklik — bukan record lain.</t>
        </is>
      </c>
      <c r="L125" s="16" t="inlineStr">
        <is>
          <t>Tinggi</t>
        </is>
      </c>
      <c r="M125" s="14" t="inlineStr"/>
      <c r="N125" s="17" t="n"/>
      <c r="O125" s="17" t="n"/>
      <c r="P125" s="17" t="n"/>
      <c r="Q125" s="17" t="n"/>
      <c r="R125" s="17" t="n"/>
    </row>
    <row r="126" ht="96.39999999999999" customHeight="1">
      <c r="A126" s="11" t="n">
        <v>122</v>
      </c>
      <c r="B126" s="12" t="n">
        <v>1</v>
      </c>
      <c r="C126" s="13" t="inlineStr">
        <is>
          <t>WB-BRW-07 / Depricarping</t>
        </is>
      </c>
      <c r="D126" s="13" t="inlineStr">
        <is>
          <t>WB-BRW-07</t>
        </is>
      </c>
      <c r="E126" s="15" t="inlineStr">
        <is>
          <t>Depricarping</t>
        </is>
      </c>
      <c r="F126" s="14" t="inlineStr">
        <is>
          <t>Web — Data Stasiun (WB-)</t>
        </is>
      </c>
      <c r="G126" s="15" t="inlineStr">
        <is>
          <t>Tambah Data membuka Form kosong</t>
        </is>
      </c>
      <c r="H126" s="14" t="inlineStr">
        <is>
          <t>SPV-A</t>
        </is>
      </c>
      <c r="I126" s="14" t="inlineStr">
        <is>
          <t>—</t>
        </is>
      </c>
      <c r="J126" s="14" t="inlineStr">
        <is>
          <t>1. Login di web, lalu sidebar &gt; Data &gt; Depricarping (/data/depricarping).
2. Tekan Tambah.
3. Baca seluruh kolom pada form yang terbuka.
4. Periksa bagian grid: berapa baris yang sudah ada?</t>
        </is>
      </c>
      <c r="K126" s="14" t="inlineStr">
        <is>
          <t>- Terbuka Form kosong (/data/depricarping/create).
- Kolom identitas kosong; tidak ada nilai sisa dari record mana pun.
- Kolom Production Line dapat dipilih.
- Grid slot waktu masih kosong atau menyediakan satu baris kosong untuk diisi.</t>
        </is>
      </c>
      <c r="L126" s="16" t="inlineStr">
        <is>
          <t>Tinggi</t>
        </is>
      </c>
      <c r="M126" s="14" t="inlineStr"/>
      <c r="N126" s="17" t="n"/>
      <c r="O126" s="17" t="n"/>
      <c r="P126" s="17" t="n"/>
      <c r="Q126" s="17" t="n"/>
      <c r="R126" s="17" t="n"/>
    </row>
    <row r="127" ht="83.19999999999999" customHeight="1">
      <c r="A127" s="11" t="n">
        <v>123</v>
      </c>
      <c r="B127" s="12" t="n">
        <v>1</v>
      </c>
      <c r="C127" s="13" t="inlineStr">
        <is>
          <t>WB-BRW-08 / Depricarping</t>
        </is>
      </c>
      <c r="D127" s="13" t="inlineStr">
        <is>
          <t>WB-BRW-08</t>
        </is>
      </c>
      <c r="E127" s="15" t="inlineStr">
        <is>
          <t>Depricarping</t>
        </is>
      </c>
      <c r="F127" s="14" t="inlineStr">
        <is>
          <t>Web — Data Stasiun (WB-)</t>
        </is>
      </c>
      <c r="G127" s="15" t="inlineStr">
        <is>
          <t>Filter tanpa hasil memberi keterangan, bukan tabel kosong tanpa penjelasan</t>
        </is>
      </c>
      <c r="H127" s="14" t="inlineStr">
        <is>
          <t>SPV-A</t>
        </is>
      </c>
      <c r="I127" s="14" t="inlineStr">
        <is>
          <t>—</t>
        </is>
      </c>
      <c r="J127" s="14" t="inlineStr">
        <is>
          <t>1. Login di web, lalu sidebar &gt; Data &gt; Depricarping (/data/depricarping).
2. Terapkan rentang tanggal yang pasti tidak punya data (mis. 1–2 Januari 2020).
3. Baca isi area tabel.</t>
        </is>
      </c>
      <c r="K127" s="14" t="inlineStr">
        <is>
          <t>- Muncul keterangan bahwa tidak ada data untuk filter itu — satu kalimat yang terbaca.
- BUKAN tabel dengan nol baris tanpa penjelasan.
- Panel filter tetap terlihat supaya penguji dapat mengubahnya kembali.</t>
        </is>
      </c>
      <c r="L127" s="11" t="inlineStr">
        <is>
          <t>Sedang</t>
        </is>
      </c>
      <c r="M127" s="14" t="inlineStr"/>
      <c r="N127" s="17" t="n"/>
      <c r="O127" s="17" t="n"/>
      <c r="P127" s="17" t="n"/>
      <c r="Q127" s="17" t="n"/>
      <c r="R127" s="17" t="n"/>
    </row>
    <row r="128" ht="136" customHeight="1">
      <c r="A128" s="11" t="n">
        <v>124</v>
      </c>
      <c r="B128" s="12" t="n">
        <v>1</v>
      </c>
      <c r="C128" s="13" t="inlineStr">
        <is>
          <t>WB-BRW-09 / Depricarping</t>
        </is>
      </c>
      <c r="D128" s="13" t="inlineStr">
        <is>
          <t>WB-BRW-09</t>
        </is>
      </c>
      <c r="E128" s="15" t="inlineStr">
        <is>
          <t>Depricarping</t>
        </is>
      </c>
      <c r="F128" s="14" t="inlineStr">
        <is>
          <t>Web — Data Stasiun (WB-)</t>
        </is>
      </c>
      <c r="G128" s="15" t="inlineStr">
        <is>
          <t>Ekspor melebihi batas baris ditolak dengan pesan, bukan berkas rusak</t>
        </is>
      </c>
      <c r="H128" s="14" t="inlineStr">
        <is>
          <t>ADM</t>
        </is>
      </c>
      <c r="I128" s="14" t="inlineStr">
        <is>
          <t>data melebihi batas ekspor (50.000 baris) — bila tak tersedia, catat kasus ini sebagai *tidak dapat diuji* dan jangan tandai lulus</t>
        </is>
      </c>
      <c r="J128"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8" s="14" t="inlineStr">
        <is>
          <t>- Ditolak dengan pesan yang menyebut batas jumlah barisnya.
- Pesannya menyarankan mempersempit rentang tanggal.
- Tidak ada berkas yang terunduh — lebih baik tanpa berkas daripada berkas separuh.</t>
        </is>
      </c>
      <c r="L128" s="11" t="inlineStr">
        <is>
          <t>Sedang</t>
        </is>
      </c>
      <c r="M128" s="14" t="inlineStr"/>
      <c r="N128" s="17" t="n"/>
      <c r="O128" s="17" t="n"/>
      <c r="P128" s="17" t="n"/>
      <c r="Q128" s="17" t="n"/>
      <c r="R128" s="17" t="n"/>
    </row>
    <row r="129" ht="96.39999999999999" customHeight="1">
      <c r="A129" s="11" t="n">
        <v>125</v>
      </c>
      <c r="B129" s="12" t="n">
        <v>1</v>
      </c>
      <c r="C129" s="13" t="inlineStr">
        <is>
          <t>WB-DTL-01 / Depricarping</t>
        </is>
      </c>
      <c r="D129" s="13" t="inlineStr">
        <is>
          <t>WB-DTL-01</t>
        </is>
      </c>
      <c r="E129" s="15" t="inlineStr">
        <is>
          <t>Depricarping</t>
        </is>
      </c>
      <c r="F129" s="14" t="inlineStr">
        <is>
          <t>Web — Data Stasiun (WB-)</t>
        </is>
      </c>
      <c r="G129" s="15" t="inlineStr">
        <is>
          <t>Seluruh kolom read-only, tanpa edit di tempat</t>
        </is>
      </c>
      <c r="H129" s="14" t="inlineStr">
        <is>
          <t>SPV-A</t>
        </is>
      </c>
      <c r="I129" s="14" t="inlineStr">
        <is>
          <t>—</t>
        </is>
      </c>
      <c r="J129" s="14" t="inlineStr">
        <is>
          <t>1. Login di web, buka /data/depricarping (Depricarping), lalu klik salah satu baris tabel.
2. Coba klik dan mengetik pada setiap nilai di header: identitas, tanggal, catatan.
3. Coba klik dan mengetik pada sel-sel grid.
4. Cari tombol Simpan di layar ini.</t>
        </is>
      </c>
      <c r="K129" s="14" t="inlineStr">
        <is>
          <t>- Tidak satu pun nilai dapat diubah di layar ini.
- Tidak ada tombol Simpan — layar ini hanya membaca.
- Perubahan hanya mungkin lewat tombol Edit, yang membuka Form.</t>
        </is>
      </c>
      <c r="L129" s="16" t="inlineStr">
        <is>
          <t>Tinggi</t>
        </is>
      </c>
      <c r="M129" s="14" t="inlineStr"/>
      <c r="N129" s="17" t="n"/>
      <c r="O129" s="17" t="n"/>
      <c r="P129" s="17" t="n"/>
      <c r="Q129" s="17" t="n"/>
      <c r="R129" s="17" t="n"/>
    </row>
    <row r="130" ht="96.39999999999999" customHeight="1">
      <c r="A130" s="11" t="n">
        <v>126</v>
      </c>
      <c r="B130" s="12" t="n">
        <v>1</v>
      </c>
      <c r="C130" s="13" t="inlineStr">
        <is>
          <t>WB-DTL-02 / Depricarping</t>
        </is>
      </c>
      <c r="D130" s="13" t="inlineStr">
        <is>
          <t>WB-DTL-02</t>
        </is>
      </c>
      <c r="E130" s="15" t="inlineStr">
        <is>
          <t>Depricarping</t>
        </is>
      </c>
      <c r="F130" s="14" t="inlineStr">
        <is>
          <t>Web — Data Stasiun (WB-)</t>
        </is>
      </c>
      <c r="G130" s="15" t="inlineStr">
        <is>
          <t>Verifikasi yang kosong ditampilkan sebagai tanda pisah</t>
        </is>
      </c>
      <c r="H130" s="14" t="inlineStr">
        <is>
          <t>SPV-A</t>
        </is>
      </c>
      <c r="I130" s="14" t="inlineStr">
        <is>
          <t>record yang belum diverifikasi siapa pun</t>
        </is>
      </c>
      <c r="J130" s="14" t="inlineStr">
        <is>
          <t>1. Siapkan satu record yang belum diverifikasi siapa pun.
2. Login di web, buka /data/depricarping (Depricarping), lalu klik salah satu baris tabel untuk record itu.
3. Baca baris Checked By dan Acknowledged By.</t>
        </is>
      </c>
      <c r="K130" s="14" t="inlineStr">
        <is>
          <t>- Keduanya tampil sebagai tanda pisah "—" atau keterangan "belum diverifikasi".
- BUKAN kosong tanpa label — kosong tanpa label tidak dapat dibedakan dari kolom yang gagal dimuat.
- BUKAN angka 0, BUKAN kata "null".</t>
        </is>
      </c>
      <c r="L130" s="11" t="inlineStr">
        <is>
          <t>Sedang</t>
        </is>
      </c>
      <c r="M130" s="14" t="inlineStr"/>
      <c r="N130" s="17" t="n"/>
      <c r="O130" s="17" t="n"/>
      <c r="P130" s="17" t="n"/>
      <c r="Q130" s="17" t="n"/>
      <c r="R130" s="17" t="n"/>
    </row>
    <row r="131" ht="109.6" customHeight="1">
      <c r="A131" s="18" t="n">
        <v>127</v>
      </c>
      <c r="B131" s="19" t="n">
        <v>2</v>
      </c>
      <c r="C131" s="20" t="inlineStr">
        <is>
          <t>WB-DTL-03 / Weighbridge</t>
        </is>
      </c>
      <c r="D131" s="20" t="inlineStr">
        <is>
          <t>WB-DTL-03</t>
        </is>
      </c>
      <c r="E131" s="21" t="inlineStr">
        <is>
          <t>Weighbridge</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/data/weighbridge (Weighbridge),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c r="N131" s="17" t="n"/>
      <c r="O131" s="17" t="n"/>
      <c r="P131" s="17" t="n"/>
      <c r="Q131" s="17" t="n"/>
      <c r="R131" s="17" t="n"/>
    </row>
    <row r="132" ht="109.6" customHeight="1">
      <c r="A132" s="18" t="n">
        <v>128</v>
      </c>
      <c r="B132" s="19" t="n">
        <v>2</v>
      </c>
      <c r="C132" s="20" t="inlineStr">
        <is>
          <t>WB-DTL-03 / Grading</t>
        </is>
      </c>
      <c r="D132" s="20" t="inlineStr">
        <is>
          <t>WB-DTL-03</t>
        </is>
      </c>
      <c r="E132" s="21" t="inlineStr">
        <is>
          <t>Grading</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/data/grading (Grading),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c r="N132" s="17" t="n"/>
      <c r="O132" s="17" t="n"/>
      <c r="P132" s="17" t="n"/>
      <c r="Q132" s="17" t="n"/>
      <c r="R132" s="17" t="n"/>
    </row>
    <row r="133" ht="109.6" customHeight="1">
      <c r="A133" s="18" t="n">
        <v>129</v>
      </c>
      <c r="B133" s="19" t="n">
        <v>2</v>
      </c>
      <c r="C133" s="20" t="inlineStr">
        <is>
          <t>WB-DTL-03 / Cages Track</t>
        </is>
      </c>
      <c r="D133" s="20" t="inlineStr">
        <is>
          <t>WB-DTL-03</t>
        </is>
      </c>
      <c r="E133" s="21" t="inlineStr">
        <is>
          <t>Cages Track</t>
        </is>
      </c>
      <c r="F133" s="22" t="inlineStr">
        <is>
          <t>Web — Data Stasiun (WB-)</t>
        </is>
      </c>
      <c r="G133" s="21" t="inlineStr">
        <is>
          <t>Grid menampilkan persis baris tersimpan</t>
        </is>
      </c>
      <c r="H133" s="22" t="inlineStr">
        <is>
          <t>SPV-A</t>
        </is>
      </c>
      <c r="I133" s="22" t="inlineStr">
        <is>
          <t>record dengan 3 baris terisi</t>
        </is>
      </c>
      <c r="J133" s="22" t="inlineStr">
        <is>
          <t>1. Siapkan satu record dengan tepat 3 baris terisi.
2. Login di web, buka /data/cages-track (Cages Track), lalu klik salah satu baris tabel untuk record itu.
3. Hitung jumlah baris pada grid.
4. Cocokkan slot waktu dan nilai tiap baris dengan yang disimpan.</t>
        </is>
      </c>
      <c r="K133" s="22" t="inlineStr">
        <is>
          <t>- Grid menampilkan tepat 3 baris.
- Tidak digambar 24 baris dengan 21 di antaranya kosong.
- Slot waktu dan nilainya cocok.</t>
        </is>
      </c>
      <c r="L133" s="16" t="inlineStr">
        <is>
          <t>Tinggi</t>
        </is>
      </c>
      <c r="M133" s="22" t="inlineStr"/>
      <c r="N133" s="17" t="n"/>
      <c r="O133" s="17" t="n"/>
      <c r="P133" s="17" t="n"/>
      <c r="Q133" s="17" t="n"/>
      <c r="R133" s="17" t="n"/>
    </row>
    <row r="134" ht="109.6" customHeight="1">
      <c r="A134" s="18" t="n">
        <v>130</v>
      </c>
      <c r="B134" s="19" t="n">
        <v>2</v>
      </c>
      <c r="C134" s="20" t="inlineStr">
        <is>
          <t>WB-DTL-03 / Sterilizer</t>
        </is>
      </c>
      <c r="D134" s="20" t="inlineStr">
        <is>
          <t>WB-DTL-03</t>
        </is>
      </c>
      <c r="E134" s="21" t="inlineStr">
        <is>
          <t>Sterilizer</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/data/sterilizer (Sterilizer),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c r="N134" s="17" t="n"/>
      <c r="O134" s="17" t="n"/>
      <c r="P134" s="17" t="n"/>
      <c r="Q134" s="17" t="n"/>
      <c r="R134" s="17" t="n"/>
    </row>
    <row r="135" ht="109.6" customHeight="1">
      <c r="A135" s="18" t="n">
        <v>131</v>
      </c>
      <c r="B135" s="19" t="n">
        <v>2</v>
      </c>
      <c r="C135" s="20" t="inlineStr">
        <is>
          <t>WB-DTL-03 / Threshing</t>
        </is>
      </c>
      <c r="D135" s="20" t="inlineStr">
        <is>
          <t>WB-DTL-03</t>
        </is>
      </c>
      <c r="E135" s="21" t="inlineStr">
        <is>
          <t>Threshing</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/data/threshing (Threshing),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c r="N135" s="17" t="n"/>
      <c r="O135" s="17" t="n"/>
      <c r="P135" s="17" t="n"/>
      <c r="Q135" s="17" t="n"/>
      <c r="R135" s="17" t="n"/>
    </row>
    <row r="136" ht="109.6" customHeight="1">
      <c r="A136" s="18" t="n">
        <v>132</v>
      </c>
      <c r="B136" s="19" t="n">
        <v>2</v>
      </c>
      <c r="C136" s="20" t="inlineStr">
        <is>
          <t>WB-DTL-03 / Pressing</t>
        </is>
      </c>
      <c r="D136" s="20" t="inlineStr">
        <is>
          <t>WB-DTL-03</t>
        </is>
      </c>
      <c r="E136" s="21" t="inlineStr">
        <is>
          <t>Pressing</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/data/pressing (Pressing),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c r="N136" s="17" t="n"/>
      <c r="O136" s="17" t="n"/>
      <c r="P136" s="17" t="n"/>
      <c r="Q136" s="17" t="n"/>
      <c r="R136" s="17" t="n"/>
    </row>
    <row r="137" ht="109.6" customHeight="1">
      <c r="A137" s="18" t="n">
        <v>133</v>
      </c>
      <c r="B137" s="19" t="n">
        <v>2</v>
      </c>
      <c r="C137" s="20" t="inlineStr">
        <is>
          <t>WB-DTL-03 / Clarification</t>
        </is>
      </c>
      <c r="D137" s="20" t="inlineStr">
        <is>
          <t>WB-DTL-03</t>
        </is>
      </c>
      <c r="E137" s="21" t="inlineStr">
        <is>
          <t>Clarification</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/data/clarification (Clarification),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c r="N137" s="17" t="n"/>
      <c r="O137" s="17" t="n"/>
      <c r="P137" s="17" t="n"/>
      <c r="Q137" s="17" t="n"/>
      <c r="R137" s="17" t="n"/>
    </row>
    <row r="138" ht="109.6" customHeight="1">
      <c r="A138" s="18" t="n">
        <v>134</v>
      </c>
      <c r="B138" s="19" t="n">
        <v>2</v>
      </c>
      <c r="C138" s="20" t="inlineStr">
        <is>
          <t>WB-DTL-03 / Kernel Plant</t>
        </is>
      </c>
      <c r="D138" s="20" t="inlineStr">
        <is>
          <t>WB-DTL-03</t>
        </is>
      </c>
      <c r="E138" s="21" t="inlineStr">
        <is>
          <t>Kernel Plant</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/data/kernel-plant (Kernel Plant),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c r="N138" s="17" t="n"/>
      <c r="O138" s="17" t="n"/>
      <c r="P138" s="17" t="n"/>
      <c r="Q138" s="17" t="n"/>
      <c r="R138" s="17" t="n"/>
    </row>
    <row r="139" ht="109.6" customHeight="1">
      <c r="A139" s="18" t="n">
        <v>135</v>
      </c>
      <c r="B139" s="19" t="n">
        <v>2</v>
      </c>
      <c r="C139" s="20" t="inlineStr">
        <is>
          <t>WB-DTL-03 / Boiler Room</t>
        </is>
      </c>
      <c r="D139" s="20" t="inlineStr">
        <is>
          <t>WB-DTL-03</t>
        </is>
      </c>
      <c r="E139" s="21" t="inlineStr">
        <is>
          <t>Boiler Room</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/data/boiler-room (Boiler Room),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c r="N139" s="17" t="n"/>
      <c r="O139" s="17" t="n"/>
      <c r="P139" s="17" t="n"/>
      <c r="Q139" s="17" t="n"/>
      <c r="R139" s="17" t="n"/>
    </row>
    <row r="140" ht="109.6" customHeight="1">
      <c r="A140" s="18" t="n">
        <v>136</v>
      </c>
      <c r="B140" s="19" t="n">
        <v>2</v>
      </c>
      <c r="C140" s="20" t="inlineStr">
        <is>
          <t>WB-DTL-03 / Effluent Plant</t>
        </is>
      </c>
      <c r="D140" s="20" t="inlineStr">
        <is>
          <t>WB-DTL-03</t>
        </is>
      </c>
      <c r="E140" s="21" t="inlineStr">
        <is>
          <t>Effluent Plant</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c r="N140" s="17" t="n"/>
      <c r="O140" s="17" t="n"/>
      <c r="P140" s="17" t="n"/>
      <c r="Q140" s="17" t="n"/>
      <c r="R140" s="17" t="n"/>
    </row>
    <row r="141" ht="109.6" customHeight="1">
      <c r="A141" s="11" t="n">
        <v>137</v>
      </c>
      <c r="B141" s="12" t="n">
        <v>1</v>
      </c>
      <c r="C141" s="13" t="inlineStr">
        <is>
          <t>WB-DTL-03 / Depricarping</t>
        </is>
      </c>
      <c r="D141" s="13" t="inlineStr">
        <is>
          <t>WB-DTL-03</t>
        </is>
      </c>
      <c r="E141" s="15" t="inlineStr">
        <is>
          <t>Depricarping</t>
        </is>
      </c>
      <c r="F141" s="14" t="inlineStr">
        <is>
          <t>Web — Data Stasiun (WB-)</t>
        </is>
      </c>
      <c r="G141" s="15" t="inlineStr">
        <is>
          <t>Grid menampilkan persis baris tersimpan</t>
        </is>
      </c>
      <c r="H141" s="14" t="inlineStr">
        <is>
          <t>SPV-A</t>
        </is>
      </c>
      <c r="I141" s="14" t="inlineStr">
        <is>
          <t>record dengan 3 baris terisi</t>
        </is>
      </c>
      <c r="J141" s="14" t="inlineStr">
        <is>
          <t>1. Siapkan satu record dengan tepat 3 baris terisi.
2. Login di web, buka /data/depricarping (Depricarping), lalu klik salah satu baris tabel untuk record itu.
3. Hitung jumlah baris pada grid.
4. Cocokkan slot waktu dan nilai tiap baris dengan yang disimpan.</t>
        </is>
      </c>
      <c r="K141" s="14" t="inlineStr">
        <is>
          <t>- Grid menampilkan tepat 3 baris.
- Tidak digambar 24 baris dengan 21 di antaranya kosong.
- Slot waktu dan nilainya cocok.</t>
        </is>
      </c>
      <c r="L141" s="16" t="inlineStr">
        <is>
          <t>Tinggi</t>
        </is>
      </c>
      <c r="M141" s="14" t="inlineStr"/>
      <c r="N141" s="17" t="n"/>
      <c r="O141" s="17" t="n"/>
      <c r="P141" s="17" t="n"/>
      <c r="Q141" s="17" t="n"/>
      <c r="R141" s="17" t="n"/>
    </row>
    <row r="142" ht="109.6" customHeight="1">
      <c r="A142" s="18" t="n">
        <v>138</v>
      </c>
      <c r="B142" s="19" t="n">
        <v>2</v>
      </c>
      <c r="C142" s="20" t="inlineStr">
        <is>
          <t>WB-DTL-03 / Engine Room</t>
        </is>
      </c>
      <c r="D142" s="20" t="inlineStr">
        <is>
          <t>WB-DTL-03</t>
        </is>
      </c>
      <c r="E142" s="21" t="inlineStr">
        <is>
          <t>Engine Room</t>
        </is>
      </c>
      <c r="F142" s="22" t="inlineStr">
        <is>
          <t>Web — Data Stasiun (WB-)</t>
        </is>
      </c>
      <c r="G142" s="21" t="inlineStr">
        <is>
          <t>Grid menampilkan persis baris tersimpan</t>
        </is>
      </c>
      <c r="H142" s="22" t="inlineStr">
        <is>
          <t>SPV-A</t>
        </is>
      </c>
      <c r="I142" s="22" t="inlineStr">
        <is>
          <t>record dengan 3 baris terisi</t>
        </is>
      </c>
      <c r="J142" s="22" t="inlineStr">
        <is>
          <t>1. Siapkan satu record dengan tepat 3 baris terisi.
2. Login di web, buka /data/engine-room (Engine Room), lalu klik salah satu baris tabel untuk record itu.
3. Hitung jumlah baris pada grid.
4. Cocokkan slot waktu dan nilai tiap baris dengan yang disimpan.</t>
        </is>
      </c>
      <c r="K142" s="22" t="inlineStr">
        <is>
          <t>- Grid menampilkan tepat 3 baris.
- Tidak digambar 24 baris dengan 21 di antaranya kosong.
- Slot waktu dan nilainya cocok.</t>
        </is>
      </c>
      <c r="L142" s="16" t="inlineStr">
        <is>
          <t>Tinggi</t>
        </is>
      </c>
      <c r="M142" s="22" t="inlineStr"/>
      <c r="N142" s="17" t="n"/>
      <c r="O142" s="17" t="n"/>
      <c r="P142" s="17" t="n"/>
      <c r="Q142" s="17" t="n"/>
      <c r="R142" s="17" t="n"/>
    </row>
    <row r="143" ht="109.6" customHeight="1">
      <c r="A143" s="18" t="n">
        <v>139</v>
      </c>
      <c r="B143" s="19" t="n">
        <v>2</v>
      </c>
      <c r="C143" s="20" t="inlineStr">
        <is>
          <t>WB-DTL-03 / Process Water</t>
        </is>
      </c>
      <c r="D143" s="20" t="inlineStr">
        <is>
          <t>WB-DTL-03</t>
        </is>
      </c>
      <c r="E143" s="21" t="inlineStr">
        <is>
          <t>Process Water</t>
        </is>
      </c>
      <c r="F143" s="22" t="inlineStr">
        <is>
          <t>Web — Data Stasiun (WB-)</t>
        </is>
      </c>
      <c r="G143" s="21" t="inlineStr">
        <is>
          <t>Grid menampilkan persis baris tersimpan</t>
        </is>
      </c>
      <c r="H143" s="22" t="inlineStr">
        <is>
          <t>SPV-A</t>
        </is>
      </c>
      <c r="I143" s="22" t="inlineStr">
        <is>
          <t>record dengan 3 baris terisi</t>
        </is>
      </c>
      <c r="J143" s="22" t="inlineStr">
        <is>
          <t>1. Siapkan satu record dengan tepat 3 baris terisi.
2. Login di web, buka /data/process-water (Process Water), lalu klik salah satu baris tabel untuk record itu.
3. Hitung jumlah baris pada grid.
4. Cocokkan slot waktu dan nilai tiap baris dengan yang disimpan.</t>
        </is>
      </c>
      <c r="K143" s="22" t="inlineStr">
        <is>
          <t>- Grid menampilkan tepat 3 baris.
- Tidak digambar 24 baris dengan 21 di antaranya kosong.
- Slot waktu dan nilainya cocok.</t>
        </is>
      </c>
      <c r="L143" s="16" t="inlineStr">
        <is>
          <t>Tinggi</t>
        </is>
      </c>
      <c r="M143" s="22" t="inlineStr"/>
      <c r="N143" s="17" t="n"/>
      <c r="O143" s="17" t="n"/>
      <c r="P143" s="17" t="n"/>
      <c r="Q143" s="17" t="n"/>
      <c r="R143" s="17" t="n"/>
    </row>
    <row r="144" ht="109.6" customHeight="1">
      <c r="A144" s="18" t="n">
        <v>140</v>
      </c>
      <c r="B144" s="19" t="n">
        <v>2</v>
      </c>
      <c r="C144" s="20" t="inlineStr">
        <is>
          <t>WB-DTL-03 / Storage Tank</t>
        </is>
      </c>
      <c r="D144" s="20" t="inlineStr">
        <is>
          <t>WB-DTL-03</t>
        </is>
      </c>
      <c r="E144" s="21" t="inlineStr">
        <is>
          <t>Storage Tank</t>
        </is>
      </c>
      <c r="F144" s="22" t="inlineStr">
        <is>
          <t>Web — Data Stasiun (WB-)</t>
        </is>
      </c>
      <c r="G144" s="21" t="inlineStr">
        <is>
          <t>Grid menampilkan persis baris tersimpan</t>
        </is>
      </c>
      <c r="H144" s="22" t="inlineStr">
        <is>
          <t>SPV-A</t>
        </is>
      </c>
      <c r="I144" s="22" t="inlineStr">
        <is>
          <t>record dengan 3 baris terisi</t>
        </is>
      </c>
      <c r="J144" s="22" t="inlineStr">
        <is>
          <t>1. Siapkan satu record dengan tepat 3 baris terisi.
2. Login di web, buka /data/storage-tank (Storage Tank), lalu klik salah satu baris tabel untuk record itu.
3. Hitung jumlah baris pada grid.
4. Cocokkan slot waktu dan nilai tiap baris dengan yang disimpan.</t>
        </is>
      </c>
      <c r="K144" s="22" t="inlineStr">
        <is>
          <t>- Grid menampilkan tepat 3 baris.
- Tidak digambar 24 baris dengan 21 di antaranya kosong.
- Slot waktu dan nilainya cocok.</t>
        </is>
      </c>
      <c r="L144" s="16" t="inlineStr">
        <is>
          <t>Tinggi</t>
        </is>
      </c>
      <c r="M144" s="22" t="inlineStr"/>
      <c r="N144" s="17" t="n"/>
      <c r="O144" s="17" t="n"/>
      <c r="P144" s="17" t="n"/>
      <c r="Q144" s="17" t="n"/>
      <c r="R144" s="17" t="n"/>
    </row>
    <row r="145" ht="109.6" customHeight="1">
      <c r="A145" s="18" t="n">
        <v>141</v>
      </c>
      <c r="B145" s="19" t="n">
        <v>2</v>
      </c>
      <c r="C145" s="20" t="inlineStr">
        <is>
          <t>WB-DTL-03 / Solid Waste Disposal</t>
        </is>
      </c>
      <c r="D145" s="20" t="inlineStr">
        <is>
          <t>WB-DTL-03</t>
        </is>
      </c>
      <c r="E145" s="21" t="inlineStr">
        <is>
          <t>Solid Waste Disposal</t>
        </is>
      </c>
      <c r="F145" s="22" t="inlineStr">
        <is>
          <t>Web — Data Stasiun (WB-)</t>
        </is>
      </c>
      <c r="G145" s="21" t="inlineStr">
        <is>
          <t>Grid menampilkan persis baris tersimpan</t>
        </is>
      </c>
      <c r="H145" s="22" t="inlineStr">
        <is>
          <t>SPV-A</t>
        </is>
      </c>
      <c r="I145" s="22" t="inlineStr">
        <is>
          <t>record dengan 3 baris terisi</t>
        </is>
      </c>
      <c r="J145"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45" s="22" t="inlineStr">
        <is>
          <t>- Grid menampilkan tepat 3 baris.
- Tidak digambar 24 baris dengan 21 di antaranya kosong.
- Slot waktu dan nilainya cocok.</t>
        </is>
      </c>
      <c r="L145" s="16" t="inlineStr">
        <is>
          <t>Tinggi</t>
        </is>
      </c>
      <c r="M145" s="22" t="inlineStr"/>
      <c r="N145" s="17" t="n"/>
      <c r="O145" s="17" t="n"/>
      <c r="P145" s="17" t="n"/>
      <c r="Q145" s="17" t="n"/>
      <c r="R145" s="17" t="n"/>
    </row>
    <row r="146" ht="109.6" customHeight="1">
      <c r="A146" s="18" t="n">
        <v>142</v>
      </c>
      <c r="B146" s="19" t="n">
        <v>2</v>
      </c>
      <c r="C146" s="20" t="inlineStr">
        <is>
          <t>WB-DTL-03 / Kernel Dispatch</t>
        </is>
      </c>
      <c r="D146" s="20" t="inlineStr">
        <is>
          <t>WB-DTL-03</t>
        </is>
      </c>
      <c r="E146" s="21" t="inlineStr">
        <is>
          <t>Kernel Dispatch</t>
        </is>
      </c>
      <c r="F146" s="22" t="inlineStr">
        <is>
          <t>Web — Data Stasiun (WB-)</t>
        </is>
      </c>
      <c r="G146" s="21" t="inlineStr">
        <is>
          <t>Grid menampilkan persis baris tersimpan</t>
        </is>
      </c>
      <c r="H146" s="22" t="inlineStr">
        <is>
          <t>SPV-A</t>
        </is>
      </c>
      <c r="I146" s="22" t="inlineStr">
        <is>
          <t>record dengan 3 baris terisi</t>
        </is>
      </c>
      <c r="J146"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46" s="22" t="inlineStr">
        <is>
          <t>- Grid menampilkan tepat 3 baris.
- Tidak digambar 24 baris dengan 21 di antaranya kosong.
- Slot waktu dan nilainya cocok.</t>
        </is>
      </c>
      <c r="L146" s="16" t="inlineStr">
        <is>
          <t>Tinggi</t>
        </is>
      </c>
      <c r="M146" s="22" t="inlineStr"/>
      <c r="N146" s="17" t="n"/>
      <c r="O146" s="17" t="n"/>
      <c r="P146" s="17" t="n"/>
      <c r="Q146" s="17" t="n"/>
      <c r="R146" s="17" t="n"/>
    </row>
    <row r="147" ht="109.6" customHeight="1">
      <c r="A147" s="18" t="n">
        <v>143</v>
      </c>
      <c r="B147" s="19" t="n">
        <v>2</v>
      </c>
      <c r="C147" s="20" t="inlineStr">
        <is>
          <t>WB-DTL-03 / CPO Dispatch</t>
        </is>
      </c>
      <c r="D147" s="20" t="inlineStr">
        <is>
          <t>WB-DTL-03</t>
        </is>
      </c>
      <c r="E147" s="21" t="inlineStr">
        <is>
          <t>CPO Dispatch</t>
        </is>
      </c>
      <c r="F147" s="22" t="inlineStr">
        <is>
          <t>Web — Data Stasiun (WB-)</t>
        </is>
      </c>
      <c r="G147" s="21" t="inlineStr">
        <is>
          <t>Grid menampilkan persis baris tersimpan</t>
        </is>
      </c>
      <c r="H147" s="22" t="inlineStr">
        <is>
          <t>SPV-A</t>
        </is>
      </c>
      <c r="I147" s="22" t="inlineStr">
        <is>
          <t>record dengan 3 baris terisi</t>
        </is>
      </c>
      <c r="J147" s="22" t="inlineStr">
        <is>
          <t>1. Siapkan satu record dengan tepat 3 baris terisi.
2. Login di web, buka /data/cpo-dispatch (CPO Dispatch), lalu klik salah satu baris tabel untuk record itu.
3. Hitung jumlah baris pada grid.
4. Cocokkan slot waktu dan nilai tiap baris dengan yang disimpan.</t>
        </is>
      </c>
      <c r="K147" s="22" t="inlineStr">
        <is>
          <t>- Grid menampilkan tepat 3 baris.
- Tidak digambar 24 baris dengan 21 di antaranya kosong.
- Slot waktu dan nilainya cocok.</t>
        </is>
      </c>
      <c r="L147" s="16" t="inlineStr">
        <is>
          <t>Tinggi</t>
        </is>
      </c>
      <c r="M147" s="22" t="inlineStr"/>
      <c r="N147" s="17" t="n"/>
      <c r="O147" s="17" t="n"/>
      <c r="P147" s="17" t="n"/>
      <c r="Q147" s="17" t="n"/>
      <c r="R147" s="17" t="n"/>
    </row>
    <row r="148" ht="109.6" customHeight="1">
      <c r="A148" s="18" t="n">
        <v>144</v>
      </c>
      <c r="B148" s="19" t="n">
        <v>2</v>
      </c>
      <c r="C148" s="20" t="inlineStr">
        <is>
          <t>WB-DTL-03 / Process Quality Control</t>
        </is>
      </c>
      <c r="D148" s="20" t="inlineStr">
        <is>
          <t>WB-DTL-03</t>
        </is>
      </c>
      <c r="E148" s="21" t="inlineStr">
        <is>
          <t>Process Quality Control</t>
        </is>
      </c>
      <c r="F148" s="22" t="inlineStr">
        <is>
          <t>Web — Data Stasiun (WB-)</t>
        </is>
      </c>
      <c r="G148" s="21" t="inlineStr">
        <is>
          <t>Grid menampilkan persis baris tersimpan</t>
        </is>
      </c>
      <c r="H148" s="22" t="inlineStr">
        <is>
          <t>SPV-A</t>
        </is>
      </c>
      <c r="I148" s="22" t="inlineStr">
        <is>
          <t>record dengan 3 baris terisi</t>
        </is>
      </c>
      <c r="J148"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8" s="22" t="inlineStr">
        <is>
          <t>- Grid menampilkan tepat 3 baris.
- Tidak digambar 24 baris dengan 21 di antaranya kosong.
- Slot waktu dan nilainya cocok.</t>
        </is>
      </c>
      <c r="L148" s="16" t="inlineStr">
        <is>
          <t>Tinggi</t>
        </is>
      </c>
      <c r="M148" s="22" t="inlineStr"/>
      <c r="N148" s="17" t="n"/>
      <c r="O148" s="17" t="n"/>
      <c r="P148" s="17" t="n"/>
      <c r="Q148" s="17" t="n"/>
      <c r="R148" s="17" t="n"/>
    </row>
    <row r="149" ht="109.6" customHeight="1">
      <c r="A149" s="11" t="n">
        <v>145</v>
      </c>
      <c r="B149" s="12" t="n">
        <v>1</v>
      </c>
      <c r="C149" s="13" t="inlineStr">
        <is>
          <t>WB-DTL-04 / Depricarping</t>
        </is>
      </c>
      <c r="D149" s="13" t="inlineStr">
        <is>
          <t>WB-DTL-04</t>
        </is>
      </c>
      <c r="E149" s="15" t="inlineStr">
        <is>
          <t>Depricarping</t>
        </is>
      </c>
      <c r="F149" s="14" t="inlineStr">
        <is>
          <t>Web — Data Stasiun (WB-)</t>
        </is>
      </c>
      <c r="G149" s="15" t="inlineStr">
        <is>
          <t>Edit membuka Form mode ubah dengan isi yang sama</t>
        </is>
      </c>
      <c r="H149" s="14" t="inlineStr">
        <is>
          <t>SPV-A</t>
        </is>
      </c>
      <c r="I149" s="14" t="inlineStr">
        <is>
          <t>—</t>
        </is>
      </c>
      <c r="J149"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9" s="14" t="inlineStr">
        <is>
          <t>- Terbuka Form mode ubah (/data/depricarping/&lt;id&gt;/edit).
- Seluruh nilai sama dengan Detail — tidak ada yang kosong atau tergeser.
- Production Line terkunci pada mode ubah (lihat WB-FRM-02).</t>
        </is>
      </c>
      <c r="L149" s="16" t="inlineStr">
        <is>
          <t>Tinggi</t>
        </is>
      </c>
      <c r="M149" s="14" t="inlineStr"/>
      <c r="N149" s="17" t="n"/>
      <c r="O149" s="17" t="n"/>
      <c r="P149" s="17" t="n"/>
      <c r="Q149" s="17" t="n"/>
      <c r="R149" s="17" t="n"/>
    </row>
    <row r="150" ht="109.6" customHeight="1">
      <c r="A150" s="11" t="n">
        <v>146</v>
      </c>
      <c r="B150" s="12" t="n">
        <v>1</v>
      </c>
      <c r="C150" s="13" t="inlineStr">
        <is>
          <t>WB-DTL-05 / Depricarping</t>
        </is>
      </c>
      <c r="D150" s="13" t="inlineStr">
        <is>
          <t>WB-DTL-05</t>
        </is>
      </c>
      <c r="E150" s="15" t="inlineStr">
        <is>
          <t>Depricarping</t>
        </is>
      </c>
      <c r="F150" s="14" t="inlineStr">
        <is>
          <t>Web — Data Stasiun (WB-)</t>
        </is>
      </c>
      <c r="G150" s="15" t="inlineStr">
        <is>
          <t>Back kembali ke Data Browser dengan filter yang masih sama</t>
        </is>
      </c>
      <c r="H150" s="14" t="inlineStr">
        <is>
          <t>SPV-A</t>
        </is>
      </c>
      <c r="I150" s="14" t="inlineStr">
        <is>
          <t>—</t>
        </is>
      </c>
      <c r="J150"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50" s="14" t="inlineStr">
        <is>
          <t>- Kembali ke Data Browser stasiun yang sama.
- Filternya masih sama — tidak tereset.
- Halaman yang sedang dibuka juga tetap, atau setidaknya filternya dipertahankan sehingga baris itu mudah ditemukan lagi.</t>
        </is>
      </c>
      <c r="L150" s="11" t="inlineStr">
        <is>
          <t>Sedang</t>
        </is>
      </c>
      <c r="M150" s="14" t="inlineStr"/>
      <c r="N150" s="17" t="n"/>
      <c r="O150" s="17" t="n"/>
      <c r="P150" s="17" t="n"/>
      <c r="Q150" s="17" t="n"/>
      <c r="R150" s="17" t="n"/>
    </row>
    <row r="151" ht="149.2" customHeight="1">
      <c r="A151" s="18" t="n">
        <v>147</v>
      </c>
      <c r="B151" s="19" t="n">
        <v>2</v>
      </c>
      <c r="C151" s="20" t="inlineStr">
        <is>
          <t>WB-FRM-01 / Weighbridge</t>
        </is>
      </c>
      <c r="D151" s="20" t="inlineStr">
        <is>
          <t>WB-FRM-01</t>
        </is>
      </c>
      <c r="E151" s="21" t="inlineStr">
        <is>
          <t>Weighbridge</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n"/>
      <c r="O151" s="17" t="n"/>
      <c r="P151" s="17" t="n"/>
      <c r="Q151" s="17" t="n"/>
      <c r="R151" s="17" t="n"/>
    </row>
    <row r="152" ht="149.2" customHeight="1">
      <c r="A152" s="18" t="n">
        <v>148</v>
      </c>
      <c r="B152" s="19" t="n">
        <v>2</v>
      </c>
      <c r="C152" s="20" t="inlineStr">
        <is>
          <t>WB-FRM-01 / Grading</t>
        </is>
      </c>
      <c r="D152" s="20" t="inlineStr">
        <is>
          <t>WB-FRM-01</t>
        </is>
      </c>
      <c r="E152" s="21" t="inlineStr">
        <is>
          <t>Grading</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n"/>
      <c r="O152" s="17" t="n"/>
      <c r="P152" s="17" t="n"/>
      <c r="Q152" s="17" t="n"/>
      <c r="R152" s="17" t="n"/>
    </row>
    <row r="153" ht="149.2" customHeight="1">
      <c r="A153" s="18" t="n">
        <v>149</v>
      </c>
      <c r="B153" s="19" t="n">
        <v>2</v>
      </c>
      <c r="C153" s="20" t="inlineStr">
        <is>
          <t>WB-FRM-01 / Cages Track</t>
        </is>
      </c>
      <c r="D153" s="20" t="inlineStr">
        <is>
          <t>WB-FRM-01</t>
        </is>
      </c>
      <c r="E153" s="21" t="inlineStr">
        <is>
          <t>Cages Track</t>
        </is>
      </c>
      <c r="F153" s="22" t="inlineStr">
        <is>
          <t>Web — Data Stasiun (WB-)</t>
        </is>
      </c>
      <c r="G153" s="21" t="inlineStr">
        <is>
          <t>Simpan berhasil, status langsung Tersimpan</t>
        </is>
      </c>
      <c r="H153" s="22" t="inlineStr">
        <is>
          <t>SPV-A</t>
        </is>
      </c>
      <c r="I153" s="22" t="inlineStr">
        <is>
          <t>periode Terbuka</t>
        </is>
      </c>
      <c r="J153"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53" s="22" t="inlineStr">
        <is>
          <t>- Simpan berhasil, dengan pesan konfirmasi.
- Status record langsung Tersimpan — bukan Draft, karena input web tidak punya alur draft.
- Record muncul di Data Browser tanpa perlu muat ulang manual.</t>
        </is>
      </c>
      <c r="L153" s="16" t="inlineStr">
        <is>
          <t>Tinggi</t>
        </is>
      </c>
      <c r="M153" s="22" t="inlineStr"/>
      <c r="N153" s="17" t="n"/>
      <c r="O153" s="17" t="n"/>
      <c r="P153" s="17" t="n"/>
      <c r="Q153" s="17" t="n"/>
      <c r="R153" s="17" t="n"/>
    </row>
    <row r="154" ht="149.2" customHeight="1">
      <c r="A154" s="18" t="n">
        <v>150</v>
      </c>
      <c r="B154" s="19" t="n">
        <v>2</v>
      </c>
      <c r="C154" s="20" t="inlineStr">
        <is>
          <t>WB-FRM-01 / Sterilizer</t>
        </is>
      </c>
      <c r="D154" s="20" t="inlineStr">
        <is>
          <t>WB-FRM-01</t>
        </is>
      </c>
      <c r="E154" s="21" t="inlineStr">
        <is>
          <t>Sterilizer</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n"/>
      <c r="O154" s="17" t="n"/>
      <c r="P154" s="17" t="n"/>
      <c r="Q154" s="17" t="n"/>
      <c r="R154" s="17" t="n"/>
    </row>
    <row r="155" ht="149.2" customHeight="1">
      <c r="A155" s="18" t="n">
        <v>151</v>
      </c>
      <c r="B155" s="19" t="n">
        <v>2</v>
      </c>
      <c r="C155" s="20" t="inlineStr">
        <is>
          <t>WB-FRM-01 / Threshing</t>
        </is>
      </c>
      <c r="D155" s="20" t="inlineStr">
        <is>
          <t>WB-FRM-01</t>
        </is>
      </c>
      <c r="E155" s="21" t="inlineStr">
        <is>
          <t>Threshing</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n"/>
      <c r="O155" s="17" t="n"/>
      <c r="P155" s="17" t="n"/>
      <c r="Q155" s="17" t="n"/>
      <c r="R155" s="17" t="n"/>
    </row>
    <row r="156" ht="149.2" customHeight="1">
      <c r="A156" s="18" t="n">
        <v>152</v>
      </c>
      <c r="B156" s="19" t="n">
        <v>2</v>
      </c>
      <c r="C156" s="20" t="inlineStr">
        <is>
          <t>WB-FRM-01 / Pressing</t>
        </is>
      </c>
      <c r="D156" s="20" t="inlineStr">
        <is>
          <t>WB-FRM-01</t>
        </is>
      </c>
      <c r="E156" s="21" t="inlineStr">
        <is>
          <t>Pressing</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n"/>
      <c r="O156" s="17" t="n"/>
      <c r="P156" s="17" t="n"/>
      <c r="Q156" s="17" t="n"/>
      <c r="R156" s="17" t="n"/>
    </row>
    <row r="157" ht="149.2" customHeight="1">
      <c r="A157" s="18" t="n">
        <v>153</v>
      </c>
      <c r="B157" s="19" t="n">
        <v>2</v>
      </c>
      <c r="C157" s="20" t="inlineStr">
        <is>
          <t>WB-FRM-01 / Clarification</t>
        </is>
      </c>
      <c r="D157" s="20" t="inlineStr">
        <is>
          <t>WB-FRM-01</t>
        </is>
      </c>
      <c r="E157" s="21" t="inlineStr">
        <is>
          <t>Clarification</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n"/>
      <c r="O157" s="17" t="n"/>
      <c r="P157" s="17" t="n"/>
      <c r="Q157" s="17" t="n"/>
      <c r="R157" s="17" t="n"/>
    </row>
    <row r="158" ht="149.2" customHeight="1">
      <c r="A158" s="18" t="n">
        <v>154</v>
      </c>
      <c r="B158" s="19" t="n">
        <v>2</v>
      </c>
      <c r="C158" s="20" t="inlineStr">
        <is>
          <t>WB-FRM-01 / Kernel Plant</t>
        </is>
      </c>
      <c r="D158" s="20" t="inlineStr">
        <is>
          <t>WB-FRM-01</t>
        </is>
      </c>
      <c r="E158" s="21" t="inlineStr">
        <is>
          <t>Kernel Plant</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n"/>
      <c r="O158" s="17" t="n"/>
      <c r="P158" s="17" t="n"/>
      <c r="Q158" s="17" t="n"/>
      <c r="R158" s="17" t="n"/>
    </row>
    <row r="159" ht="149.2" customHeight="1">
      <c r="A159" s="18" t="n">
        <v>155</v>
      </c>
      <c r="B159" s="19" t="n">
        <v>2</v>
      </c>
      <c r="C159" s="20" t="inlineStr">
        <is>
          <t>WB-FRM-01 / Boiler Room</t>
        </is>
      </c>
      <c r="D159" s="20" t="inlineStr">
        <is>
          <t>WB-FRM-01</t>
        </is>
      </c>
      <c r="E159" s="21" t="inlineStr">
        <is>
          <t>Boiler Room</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n"/>
      <c r="O159" s="17" t="n"/>
      <c r="P159" s="17" t="n"/>
      <c r="Q159" s="17" t="n"/>
      <c r="R159" s="17" t="n"/>
    </row>
    <row r="160" ht="149.2" customHeight="1">
      <c r="A160" s="18" t="n">
        <v>156</v>
      </c>
      <c r="B160" s="19" t="n">
        <v>2</v>
      </c>
      <c r="C160" s="20" t="inlineStr">
        <is>
          <t>WB-FRM-01 / Effluent Plant</t>
        </is>
      </c>
      <c r="D160" s="20" t="inlineStr">
        <is>
          <t>WB-FRM-01</t>
        </is>
      </c>
      <c r="E160" s="21" t="inlineStr">
        <is>
          <t>Effluent Plant</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n"/>
      <c r="O160" s="17" t="n"/>
      <c r="P160" s="17" t="n"/>
      <c r="Q160" s="17" t="n"/>
      <c r="R160" s="17" t="n"/>
    </row>
    <row r="161" ht="149.2" customHeight="1">
      <c r="A161" s="11" t="n">
        <v>157</v>
      </c>
      <c r="B161" s="12" t="n">
        <v>1</v>
      </c>
      <c r="C161" s="13" t="inlineStr">
        <is>
          <t>WB-FRM-01 / Depricarping</t>
        </is>
      </c>
      <c r="D161" s="13" t="inlineStr">
        <is>
          <t>WB-FRM-01</t>
        </is>
      </c>
      <c r="E161" s="15" t="inlineStr">
        <is>
          <t>Depricarping</t>
        </is>
      </c>
      <c r="F161" s="14" t="inlineStr">
        <is>
          <t>Web — Data Stasiun (WB-)</t>
        </is>
      </c>
      <c r="G161" s="15" t="inlineStr">
        <is>
          <t>Simpan berhasil, status langsung Tersimpan</t>
        </is>
      </c>
      <c r="H161" s="14" t="inlineStr">
        <is>
          <t>SPV-A</t>
        </is>
      </c>
      <c r="I161" s="14" t="inlineStr">
        <is>
          <t>periode Terbuka</t>
        </is>
      </c>
      <c r="J16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61" s="14" t="inlineStr">
        <is>
          <t>- Simpan berhasil, dengan pesan konfirmasi.
- Status record langsung Tersimpan — bukan Draft, karena input web tidak punya alur draft.
- Record muncul di Data Browser tanpa perlu muat ulang manual.</t>
        </is>
      </c>
      <c r="L161" s="16" t="inlineStr">
        <is>
          <t>Tinggi</t>
        </is>
      </c>
      <c r="M161" s="14" t="inlineStr"/>
      <c r="N161" s="17" t="n"/>
      <c r="O161" s="17" t="n"/>
      <c r="P161" s="17" t="n"/>
      <c r="Q161" s="17" t="n"/>
      <c r="R161" s="17" t="n"/>
    </row>
    <row r="162" ht="149.2" customHeight="1">
      <c r="A162" s="18" t="n">
        <v>158</v>
      </c>
      <c r="B162" s="19" t="n">
        <v>2</v>
      </c>
      <c r="C162" s="20" t="inlineStr">
        <is>
          <t>WB-FRM-01 / Engine Room</t>
        </is>
      </c>
      <c r="D162" s="20" t="inlineStr">
        <is>
          <t>WB-FRM-01</t>
        </is>
      </c>
      <c r="E162" s="21" t="inlineStr">
        <is>
          <t>Engine Room</t>
        </is>
      </c>
      <c r="F162" s="22" t="inlineStr">
        <is>
          <t>Web — Data Stasiun (WB-)</t>
        </is>
      </c>
      <c r="G162" s="21" t="inlineStr">
        <is>
          <t>Simpan berhasil, status langsung Tersimpan</t>
        </is>
      </c>
      <c r="H162" s="22" t="inlineStr">
        <is>
          <t>SPV-A</t>
        </is>
      </c>
      <c r="I162" s="22" t="inlineStr">
        <is>
          <t>periode Terbuka</t>
        </is>
      </c>
      <c r="J162"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62" s="22" t="inlineStr">
        <is>
          <t>- Simpan berhasil, dengan pesan konfirmasi.
- Status record langsung Tersimpan — bukan Draft, karena input web tidak punya alur draft.
- Record muncul di Data Browser tanpa perlu muat ulang manual.</t>
        </is>
      </c>
      <c r="L162" s="16" t="inlineStr">
        <is>
          <t>Tinggi</t>
        </is>
      </c>
      <c r="M162" s="22" t="inlineStr"/>
      <c r="N162" s="17" t="n"/>
      <c r="O162" s="17" t="n"/>
      <c r="P162" s="17" t="n"/>
      <c r="Q162" s="17" t="n"/>
      <c r="R162" s="17" t="n"/>
    </row>
    <row r="163" ht="149.2" customHeight="1">
      <c r="A163" s="18" t="n">
        <v>159</v>
      </c>
      <c r="B163" s="19" t="n">
        <v>2</v>
      </c>
      <c r="C163" s="20" t="inlineStr">
        <is>
          <t>WB-FRM-01 / Process Water</t>
        </is>
      </c>
      <c r="D163" s="20" t="inlineStr">
        <is>
          <t>WB-FRM-01</t>
        </is>
      </c>
      <c r="E163" s="21" t="inlineStr">
        <is>
          <t>Process Water</t>
        </is>
      </c>
      <c r="F163" s="22" t="inlineStr">
        <is>
          <t>Web — Data Stasiun (WB-)</t>
        </is>
      </c>
      <c r="G163" s="21" t="inlineStr">
        <is>
          <t>Simpan berhasil, status langsung Tersimpan</t>
        </is>
      </c>
      <c r="H163" s="22" t="inlineStr">
        <is>
          <t>SPV-A</t>
        </is>
      </c>
      <c r="I163" s="22" t="inlineStr">
        <is>
          <t>periode Terbuka</t>
        </is>
      </c>
      <c r="J163"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63" s="22" t="inlineStr">
        <is>
          <t>- Simpan berhasil, dengan pesan konfirmasi.
- Status record langsung Tersimpan — bukan Draft, karena input web tidak punya alur draft.
- Record muncul di Data Browser tanpa perlu muat ulang manual.</t>
        </is>
      </c>
      <c r="L163" s="16" t="inlineStr">
        <is>
          <t>Tinggi</t>
        </is>
      </c>
      <c r="M163" s="22" t="inlineStr"/>
      <c r="N163" s="17" t="n"/>
      <c r="O163" s="17" t="n"/>
      <c r="P163" s="17" t="n"/>
      <c r="Q163" s="17" t="n"/>
      <c r="R163" s="17" t="n"/>
    </row>
    <row r="164" ht="149.2" customHeight="1">
      <c r="A164" s="18" t="n">
        <v>160</v>
      </c>
      <c r="B164" s="19" t="n">
        <v>2</v>
      </c>
      <c r="C164" s="20" t="inlineStr">
        <is>
          <t>WB-FRM-01 / Storage Tank</t>
        </is>
      </c>
      <c r="D164" s="20" t="inlineStr">
        <is>
          <t>WB-FRM-01</t>
        </is>
      </c>
      <c r="E164" s="21" t="inlineStr">
        <is>
          <t>Storage Tank</t>
        </is>
      </c>
      <c r="F164" s="22" t="inlineStr">
        <is>
          <t>Web — Data Stasiun (WB-)</t>
        </is>
      </c>
      <c r="G164" s="21" t="inlineStr">
        <is>
          <t>Simpan berhasil, status langsung Tersimpan</t>
        </is>
      </c>
      <c r="H164" s="22" t="inlineStr">
        <is>
          <t>SPV-A</t>
        </is>
      </c>
      <c r="I164" s="22" t="inlineStr">
        <is>
          <t>periode Terbuka</t>
        </is>
      </c>
      <c r="J164"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64" s="22" t="inlineStr">
        <is>
          <t>- Simpan berhasil, dengan pesan konfirmasi.
- Status record langsung Tersimpan — bukan Draft, karena input web tidak punya alur draft.
- Record muncul di Data Browser tanpa perlu muat ulang manual.</t>
        </is>
      </c>
      <c r="L164" s="16" t="inlineStr">
        <is>
          <t>Tinggi</t>
        </is>
      </c>
      <c r="M164" s="22" t="inlineStr"/>
      <c r="N164" s="17" t="n"/>
      <c r="O164" s="17" t="n"/>
      <c r="P164" s="17" t="n"/>
      <c r="Q164" s="17" t="n"/>
      <c r="R164" s="17" t="n"/>
    </row>
    <row r="165" ht="162.4" customHeight="1">
      <c r="A165" s="18" t="n">
        <v>161</v>
      </c>
      <c r="B165" s="19" t="n">
        <v>2</v>
      </c>
      <c r="C165" s="20" t="inlineStr">
        <is>
          <t>WB-FRM-01 / Solid Waste Disposal</t>
        </is>
      </c>
      <c r="D165" s="20" t="inlineStr">
        <is>
          <t>WB-FRM-01</t>
        </is>
      </c>
      <c r="E165" s="21" t="inlineStr">
        <is>
          <t>Solid Waste Disposal</t>
        </is>
      </c>
      <c r="F165" s="22" t="inlineStr">
        <is>
          <t>Web — Data Stasiun (WB-)</t>
        </is>
      </c>
      <c r="G165" s="21" t="inlineStr">
        <is>
          <t>Simpan berhasil, status langsung Tersimpan</t>
        </is>
      </c>
      <c r="H165" s="22" t="inlineStr">
        <is>
          <t>SPV-A</t>
        </is>
      </c>
      <c r="I165" s="22" t="inlineStr">
        <is>
          <t>periode Terbuka</t>
        </is>
      </c>
      <c r="J165"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65" s="22" t="inlineStr">
        <is>
          <t>- Simpan berhasil, dengan pesan konfirmasi.
- Status record langsung Tersimpan — bukan Draft, karena input web tidak punya alur draft.
- Record muncul di Data Browser tanpa perlu muat ulang manual.</t>
        </is>
      </c>
      <c r="L165" s="16" t="inlineStr">
        <is>
          <t>Tinggi</t>
        </is>
      </c>
      <c r="M165" s="22" t="inlineStr"/>
      <c r="N165" s="17" t="n"/>
      <c r="O165" s="17" t="n"/>
      <c r="P165" s="17" t="n"/>
      <c r="Q165" s="17" t="n"/>
      <c r="R165" s="17" t="n"/>
    </row>
    <row r="166" ht="149.2" customHeight="1">
      <c r="A166" s="18" t="n">
        <v>162</v>
      </c>
      <c r="B166" s="19" t="n">
        <v>2</v>
      </c>
      <c r="C166" s="20" t="inlineStr">
        <is>
          <t>WB-FRM-01 / Kernel Dispatch</t>
        </is>
      </c>
      <c r="D166" s="20" t="inlineStr">
        <is>
          <t>WB-FRM-01</t>
        </is>
      </c>
      <c r="E166" s="21" t="inlineStr">
        <is>
          <t>Kernel Dispatch</t>
        </is>
      </c>
      <c r="F166" s="22" t="inlineStr">
        <is>
          <t>Web — Data Stasiun (WB-)</t>
        </is>
      </c>
      <c r="G166" s="21" t="inlineStr">
        <is>
          <t>Simpan berhasil, status langsung Tersimpan</t>
        </is>
      </c>
      <c r="H166" s="22" t="inlineStr">
        <is>
          <t>SPV-A</t>
        </is>
      </c>
      <c r="I166" s="22" t="inlineStr">
        <is>
          <t>periode Terbuka</t>
        </is>
      </c>
      <c r="J166"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66" s="22" t="inlineStr">
        <is>
          <t>- Simpan berhasil, dengan pesan konfirmasi.
- Status record langsung Tersimpan — bukan Draft, karena input web tidak punya alur draft.
- Record muncul di Data Browser tanpa perlu muat ulang manual.</t>
        </is>
      </c>
      <c r="L166" s="16" t="inlineStr">
        <is>
          <t>Tinggi</t>
        </is>
      </c>
      <c r="M166" s="22" t="inlineStr"/>
      <c r="N166" s="17" t="n"/>
      <c r="O166" s="17" t="n"/>
      <c r="P166" s="17" t="n"/>
      <c r="Q166" s="17" t="n"/>
      <c r="R166" s="17" t="n"/>
    </row>
    <row r="167" ht="149.2" customHeight="1">
      <c r="A167" s="18" t="n">
        <v>163</v>
      </c>
      <c r="B167" s="19" t="n">
        <v>2</v>
      </c>
      <c r="C167" s="20" t="inlineStr">
        <is>
          <t>WB-FRM-01 / CPO Dispatch</t>
        </is>
      </c>
      <c r="D167" s="20" t="inlineStr">
        <is>
          <t>WB-FRM-01</t>
        </is>
      </c>
      <c r="E167" s="21" t="inlineStr">
        <is>
          <t>CPO Dispatch</t>
        </is>
      </c>
      <c r="F167" s="22" t="inlineStr">
        <is>
          <t>Web — Data Stasiun (WB-)</t>
        </is>
      </c>
      <c r="G167" s="21" t="inlineStr">
        <is>
          <t>Simpan berhasil, status langsung Tersimpan</t>
        </is>
      </c>
      <c r="H167" s="22" t="inlineStr">
        <is>
          <t>SPV-A</t>
        </is>
      </c>
      <c r="I167" s="22" t="inlineStr">
        <is>
          <t>periode Terbuka</t>
        </is>
      </c>
      <c r="J167"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67" s="22" t="inlineStr">
        <is>
          <t>- Simpan berhasil, dengan pesan konfirmasi.
- Status record langsung Tersimpan — bukan Draft, karena input web tidak punya alur draft.
- Record muncul di Data Browser tanpa perlu muat ulang manual.</t>
        </is>
      </c>
      <c r="L167" s="16" t="inlineStr">
        <is>
          <t>Tinggi</t>
        </is>
      </c>
      <c r="M167" s="22" t="inlineStr"/>
      <c r="N167" s="17" t="n"/>
      <c r="O167" s="17" t="n"/>
      <c r="P167" s="17" t="n"/>
      <c r="Q167" s="17" t="n"/>
      <c r="R167" s="17" t="n"/>
    </row>
    <row r="168" ht="162.4" customHeight="1">
      <c r="A168" s="18" t="n">
        <v>164</v>
      </c>
      <c r="B168" s="19" t="n">
        <v>2</v>
      </c>
      <c r="C168" s="20" t="inlineStr">
        <is>
          <t>WB-FRM-01 / Process Quality Control</t>
        </is>
      </c>
      <c r="D168" s="20" t="inlineStr">
        <is>
          <t>WB-FRM-01</t>
        </is>
      </c>
      <c r="E168" s="21" t="inlineStr">
        <is>
          <t>Process Quality Control</t>
        </is>
      </c>
      <c r="F168" s="22" t="inlineStr">
        <is>
          <t>Web — Data Stasiun (WB-)</t>
        </is>
      </c>
      <c r="G168" s="21" t="inlineStr">
        <is>
          <t>Simpan berhasil, status langsung Tersimpan</t>
        </is>
      </c>
      <c r="H168" s="22" t="inlineStr">
        <is>
          <t>SPV-A</t>
        </is>
      </c>
      <c r="I168" s="22" t="inlineStr">
        <is>
          <t>periode Terbuka</t>
        </is>
      </c>
      <c r="J168"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8" s="22" t="inlineStr">
        <is>
          <t>- Simpan berhasil, dengan pesan konfirmasi.
- Status record langsung Tersimpan — bukan Draft, karena input web tidak punya alur draft.
- Record muncul di Data Browser tanpa perlu muat ulang manual.</t>
        </is>
      </c>
      <c r="L168" s="16" t="inlineStr">
        <is>
          <t>Tinggi</t>
        </is>
      </c>
      <c r="M168" s="22" t="inlineStr"/>
      <c r="N168" s="17" t="n"/>
      <c r="O168" s="17" t="n"/>
      <c r="P168" s="17" t="n"/>
      <c r="Q168" s="17" t="n"/>
      <c r="R168" s="17" t="n"/>
    </row>
    <row r="169" ht="122.8" customHeight="1">
      <c r="A169" s="11" t="n">
        <v>165</v>
      </c>
      <c r="B169" s="12" t="n">
        <v>1</v>
      </c>
      <c r="C169" s="13" t="inlineStr">
        <is>
          <t>WB-FRM-02 / Depricarping</t>
        </is>
      </c>
      <c r="D169" s="13" t="inlineStr">
        <is>
          <t>WB-FRM-02</t>
        </is>
      </c>
      <c r="E169" s="15" t="inlineStr">
        <is>
          <t>Depricarping</t>
        </is>
      </c>
      <c r="F169" s="14" t="inlineStr">
        <is>
          <t>Web — Data Stasiun (WB-)</t>
        </is>
      </c>
      <c r="G169" s="15" t="inlineStr">
        <is>
          <t>Production Line wajib pada mode tambah, terkunci pada mode ubah</t>
        </is>
      </c>
      <c r="H169" s="14" t="inlineStr">
        <is>
          <t>SPV-A</t>
        </is>
      </c>
      <c r="I169" s="14" t="inlineStr">
        <is>
          <t>—</t>
        </is>
      </c>
      <c r="J16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9" s="14" t="inlineStr">
        <is>
          <t>- Langkah 2: ditolak, dengan pesan yang menunjuk kolom Production Line.
- Langkah 3: berhasil.
- Langkah 5: Production Line tidak dapat diubah — ia dipaku saat record dibuat, dan ada keterangan yang menyebutkannya.</t>
        </is>
      </c>
      <c r="L169" s="16" t="inlineStr">
        <is>
          <t>Tinggi</t>
        </is>
      </c>
      <c r="M169" s="14" t="inlineStr"/>
      <c r="N169" s="17" t="n"/>
      <c r="O169" s="17" t="n"/>
      <c r="P169" s="17" t="n"/>
      <c r="Q169" s="17" t="n"/>
      <c r="R169" s="17" t="n"/>
    </row>
    <row r="170" ht="162.4" customHeight="1">
      <c r="A170" s="11" t="n">
        <v>166</v>
      </c>
      <c r="B170" s="12" t="n">
        <v>1</v>
      </c>
      <c r="C170" s="13" t="inlineStr">
        <is>
          <t>WB-FRM-03 / Depricarping</t>
        </is>
      </c>
      <c r="D170" s="13" t="inlineStr">
        <is>
          <t>WB-FRM-03</t>
        </is>
      </c>
      <c r="E170" s="15" t="inlineStr">
        <is>
          <t>Depricarping</t>
        </is>
      </c>
      <c r="F170" s="14" t="inlineStr">
        <is>
          <t>Web — Data Stasiun (WB-)</t>
        </is>
      </c>
      <c r="G170" s="15" t="inlineStr">
        <is>
          <t>Kolom wajib dan tanggal divalidasi</t>
        </is>
      </c>
      <c r="H170" s="14" t="inlineStr">
        <is>
          <t>SPV-A</t>
        </is>
      </c>
      <c r="I170" s="14" t="inlineStr">
        <is>
          <t>—</t>
        </is>
      </c>
      <c r="J170"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170" s="14" t="inlineStr">
        <is>
          <t>- Setiap langkah ditolak; record tidak tersimpan.
- Setiap pesan galat muncul di sebelah kolom yang bersangkutan.
- Tanggal di luar periode terbuka ditolak dengan pesan yang menyebut periode.
- Isi kolom lain tidak hilang setiap kali penolakan terjadi.</t>
        </is>
      </c>
      <c r="L170" s="16" t="inlineStr">
        <is>
          <t>Tinggi</t>
        </is>
      </c>
      <c r="M170" s="14" t="inlineStr"/>
      <c r="N170" s="17" t="n"/>
      <c r="O170" s="17" t="n"/>
      <c r="P170" s="17" t="n"/>
      <c r="Q170" s="17" t="n"/>
      <c r="R170" s="17" t="n"/>
    </row>
    <row r="171" ht="122.8" customHeight="1">
      <c r="A171" s="11" t="n">
        <v>167</v>
      </c>
      <c r="B171" s="12" t="n">
        <v>1</v>
      </c>
      <c r="C171" s="13" t="inlineStr">
        <is>
          <t>WB-FRM-04 / Depricarping</t>
        </is>
      </c>
      <c r="D171" s="13" t="inlineStr">
        <is>
          <t>WB-FRM-04</t>
        </is>
      </c>
      <c r="E171" s="15" t="inlineStr">
        <is>
          <t>Depricarping</t>
        </is>
      </c>
      <c r="F171" s="14" t="inlineStr">
        <is>
          <t>Web — Data Stasiun (WB-)</t>
        </is>
      </c>
      <c r="G171" s="15" t="inlineStr">
        <is>
          <t>Aturan slot waktu sama seperti mobile</t>
        </is>
      </c>
      <c r="H171" s="14" t="inlineStr">
        <is>
          <t>SPV-A</t>
        </is>
      </c>
      <c r="I171" s="14" t="inlineStr">
        <is>
          <t>—</t>
        </is>
      </c>
      <c r="J171" s="14"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171" s="14" t="inlineStr">
        <is>
          <t>- Aturan slotnya sama persis dengan mobile: harus menaik, tidak boleh kembar.
- Urutannya 07:00 → 23:00 → 00:00 → 06:00, tepat 24 pilihan.
- Bila web dan mobile berbeda di titik mana pun, catat perbedaannya — itu temuan.</t>
        </is>
      </c>
      <c r="L171" s="16" t="inlineStr">
        <is>
          <t>Tinggi</t>
        </is>
      </c>
      <c r="M171" s="14" t="inlineStr">
        <is>
          <t>lewati untuk 4 stasiun per-transaksi</t>
        </is>
      </c>
      <c r="N171" s="17" t="n"/>
      <c r="O171" s="17" t="n"/>
      <c r="P171" s="17" t="n"/>
      <c r="Q171" s="17" t="n"/>
      <c r="R171" s="17" t="n"/>
    </row>
    <row r="172" ht="109.6" customHeight="1">
      <c r="A172" s="11" t="n">
        <v>168</v>
      </c>
      <c r="B172" s="12" t="n">
        <v>1</v>
      </c>
      <c r="C172" s="13" t="inlineStr">
        <is>
          <t>WB-FRM-05 / Depricarping</t>
        </is>
      </c>
      <c r="D172" s="13" t="inlineStr">
        <is>
          <t>WB-FRM-05</t>
        </is>
      </c>
      <c r="E172" s="15" t="inlineStr">
        <is>
          <t>Depricarping</t>
        </is>
      </c>
      <c r="F172" s="14" t="inlineStr">
        <is>
          <t>Web — Data Stasiun (WB-)</t>
        </is>
      </c>
      <c r="G172" s="15" t="inlineStr">
        <is>
          <t>Melebihi 24 baris ditolak</t>
        </is>
      </c>
      <c r="H172" s="14" t="inlineStr">
        <is>
          <t>SPV-A</t>
        </is>
      </c>
      <c r="I172" s="14" t="inlineStr">
        <is>
          <t>—</t>
        </is>
      </c>
      <c r="J172" s="14" t="inlineStr">
        <is>
          <t>1. Login di web, buka /data/depricarping (Depricarping), lalu tekan Tambah (/data/depricarping/create) (lewati untuk keempat stasiun per-transaksi).
2. Isi header dengan benar.
3. Tambah baris terus-menerus sampai mencapai 24 baris.
4. Coba tambah baris ke-25.</t>
        </is>
      </c>
      <c r="K172" s="14" t="inlineStr">
        <is>
          <t>- Pada 24 baris, tombol tambah baris tidak lagi bisa dipakai, atau penambahan ditolak dengan pesan.
- Pesannya menyebut batas 24 slot.
- Simpan pada 24 baris tetap berhasil.</t>
        </is>
      </c>
      <c r="L172" s="11" t="inlineStr">
        <is>
          <t>Sedang</t>
        </is>
      </c>
      <c r="M172" s="14" t="inlineStr">
        <is>
          <t>lewati untuk 4 stasiun per-transaksi</t>
        </is>
      </c>
      <c r="N172" s="17" t="n"/>
      <c r="O172" s="17" t="n"/>
      <c r="P172" s="17" t="n"/>
      <c r="Q172" s="17" t="n"/>
      <c r="R172" s="17" t="n"/>
    </row>
    <row r="173" ht="96.39999999999999" customHeight="1">
      <c r="A173" s="11" t="n">
        <v>169</v>
      </c>
      <c r="B173" s="12" t="n">
        <v>1</v>
      </c>
      <c r="C173" s="13" t="inlineStr">
        <is>
          <t>WB-FRM-06 / Depricarping</t>
        </is>
      </c>
      <c r="D173" s="13" t="inlineStr">
        <is>
          <t>WB-FRM-06</t>
        </is>
      </c>
      <c r="E173" s="15" t="inlineStr">
        <is>
          <t>Depricarping</t>
        </is>
      </c>
      <c r="F173" s="14" t="inlineStr">
        <is>
          <t>Web — Data Stasiun (WB-)</t>
        </is>
      </c>
      <c r="G173" s="15" t="inlineStr">
        <is>
          <t>Minimal satu baris terisi</t>
        </is>
      </c>
      <c r="H173" s="14" t="inlineStr">
        <is>
          <t>SPV-A</t>
        </is>
      </c>
      <c r="I173" s="14" t="inlineStr">
        <is>
          <t>—</t>
        </is>
      </c>
      <c r="J173" s="14" t="inlineStr">
        <is>
          <t>1. Login di web, buka /data/depricarping (Depricarping), lalu tekan Tambah (/data/depricarping/create).
2. Isi header dengan benar.
3. Tambah satu baris, pilih slot waktu, tapi jangan isi satu pun kolom bacaan.
4. Tekan Simpan.</t>
        </is>
      </c>
      <c r="K173" s="14" t="inlineStr">
        <is>
          <t>- Ditolak — record tidak tersimpan.
- Pesannya menyebut bahwa minimal satu baris harus punya slot waktu dan minimal satu kolom bacaan terisi.
- Perilakunya sama dengan MB-FORM-05 di mobile.</t>
        </is>
      </c>
      <c r="L173" s="16" t="inlineStr">
        <is>
          <t>Tinggi</t>
        </is>
      </c>
      <c r="M173" s="14" t="inlineStr"/>
      <c r="N173" s="17" t="n"/>
      <c r="O173" s="17" t="n"/>
      <c r="P173" s="17" t="n"/>
      <c r="Q173" s="17" t="n"/>
      <c r="R173" s="17" t="n"/>
    </row>
    <row r="174" ht="109.6" customHeight="1">
      <c r="A174" s="11" t="n">
        <v>170</v>
      </c>
      <c r="B174" s="12" t="n">
        <v>1</v>
      </c>
      <c r="C174" s="13" t="inlineStr">
        <is>
          <t>WB-FRM-07 / Depricarping</t>
        </is>
      </c>
      <c r="D174" s="13" t="inlineStr">
        <is>
          <t>WB-FRM-07</t>
        </is>
      </c>
      <c r="E174" s="15" t="inlineStr">
        <is>
          <t>Depricarping</t>
        </is>
      </c>
      <c r="F174" s="14" t="inlineStr">
        <is>
          <t>Web — Data Stasiun (WB-)</t>
        </is>
      </c>
      <c r="G174" s="15" t="inlineStr">
        <is>
          <t>Line tanpa stasiun aktif ditolak</t>
        </is>
      </c>
      <c r="H174" s="14" t="inlineStr">
        <is>
          <t>SPV-A</t>
        </is>
      </c>
      <c r="I174" s="14" t="inlineStr">
        <is>
          <t>—</t>
        </is>
      </c>
      <c r="J174"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74" s="14" t="inlineStr">
        <is>
          <t>- Ditolak dengan pesan yang menyebut bahwa Production Line itu tidak punya stasiun jenis ini yang aktif.
- BUKAN pesan galat teknis.
- Isi form tidak hilang.</t>
        </is>
      </c>
      <c r="L174" s="16" t="inlineStr">
        <is>
          <t>Tinggi</t>
        </is>
      </c>
      <c r="M174" s="14" t="inlineStr"/>
      <c r="N174" s="17" t="n"/>
      <c r="O174" s="17" t="n"/>
      <c r="P174" s="17" t="n"/>
      <c r="Q174" s="17" t="n"/>
      <c r="R174" s="17" t="n"/>
    </row>
    <row r="175" ht="136" customHeight="1">
      <c r="A175" s="11" t="n">
        <v>171</v>
      </c>
      <c r="B175" s="12" t="n">
        <v>1</v>
      </c>
      <c r="C175" s="13" t="inlineStr">
        <is>
          <t>WB-FRM-08 / Depricarping</t>
        </is>
      </c>
      <c r="D175" s="13" t="inlineStr">
        <is>
          <t>WB-FRM-08</t>
        </is>
      </c>
      <c r="E175" s="15" t="inlineStr">
        <is>
          <t>Depricarping</t>
        </is>
      </c>
      <c r="F175" s="14" t="inlineStr">
        <is>
          <t>Web — Data Stasiun (WB-)</t>
        </is>
      </c>
      <c r="G175" s="15" t="inlineStr">
        <is>
          <t>Pembatasan peran pada verifikasi</t>
        </is>
      </c>
      <c r="H175" s="14" t="inlineStr">
        <is>
          <t>SPV-A, MGR-A, ADM</t>
        </is>
      </c>
      <c r="I175" s="14" t="inlineStr">
        <is>
          <t>—</t>
        </is>
      </c>
      <c r="J175"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75" s="14" t="inlineStr">
        <is>
          <t>- SPV-A: Checked By bisa, Acknowledged By tidak.
- MGR-A: Acknowledged By bisa, Checked By tidak.
- ADM: keduanya bisa.
- Kolom yang tidak boleh diisi disertai keterangan siapa yang berhak (lihat LS-14).</t>
        </is>
      </c>
      <c r="L175" s="16" t="inlineStr">
        <is>
          <t>Tinggi</t>
        </is>
      </c>
      <c r="M175" s="14" t="inlineStr"/>
      <c r="N175" s="17" t="n"/>
      <c r="O175" s="17" t="n"/>
      <c r="P175" s="17" t="n"/>
      <c r="Q175" s="17" t="n"/>
      <c r="R175" s="17" t="n"/>
    </row>
    <row r="176" ht="122.8" customHeight="1">
      <c r="A176" s="11" t="n">
        <v>172</v>
      </c>
      <c r="B176" s="12" t="n">
        <v>1</v>
      </c>
      <c r="C176" s="13" t="inlineStr">
        <is>
          <t>WB-FRM-09 / Depricarping</t>
        </is>
      </c>
      <c r="D176" s="13" t="inlineStr">
        <is>
          <t>WB-FRM-09</t>
        </is>
      </c>
      <c r="E176" s="15" t="inlineStr">
        <is>
          <t>Depricarping</t>
        </is>
      </c>
      <c r="F176" s="14" t="inlineStr">
        <is>
          <t>Web — Data Stasiun (WB-)</t>
        </is>
      </c>
      <c r="G176" s="15" t="inlineStr">
        <is>
          <t>Batal tidak menyimpan apa pun</t>
        </is>
      </c>
      <c r="H176" s="14" t="inlineStr">
        <is>
          <t>SPV-A</t>
        </is>
      </c>
      <c r="I176" s="14" t="inlineStr">
        <is>
          <t>—</t>
        </is>
      </c>
      <c r="J176"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76" s="14" t="inlineStr">
        <is>
          <t>- Kembali ke layar sebelumnya.
- Seluruh nilai record tidak berubah — tidak satu pun suntingan tersimpan.
- Bila ada dialog konfirmasi saat Batal, isinya menyebut bahwa perubahan akan dibuang.</t>
        </is>
      </c>
      <c r="L176" s="11" t="inlineStr">
        <is>
          <t>Sedang</t>
        </is>
      </c>
      <c r="M176" s="14" t="inlineStr"/>
      <c r="N176" s="17" t="n"/>
      <c r="O176" s="17" t="n"/>
      <c r="P176" s="17" t="n"/>
      <c r="Q176" s="17" t="n"/>
      <c r="R176" s="17" t="n"/>
    </row>
    <row r="177" ht="136" customHeight="1">
      <c r="A177" s="11" t="n">
        <v>173</v>
      </c>
      <c r="B177" s="12" t="n">
        <v>1</v>
      </c>
      <c r="C177" s="13" t="inlineStr">
        <is>
          <t>WB-FRM-10 / Depricarping</t>
        </is>
      </c>
      <c r="D177" s="13" t="inlineStr">
        <is>
          <t>WB-FRM-10</t>
        </is>
      </c>
      <c r="E177" s="15" t="inlineStr">
        <is>
          <t>Depricarping</t>
        </is>
      </c>
      <c r="F177" s="14" t="inlineStr">
        <is>
          <t>Web — Data Stasiun (WB-)</t>
        </is>
      </c>
      <c r="G177" s="15" t="inlineStr">
        <is>
          <t>Ubah record berhasil dan terlihat di Detail</t>
        </is>
      </c>
      <c r="H177" s="14" t="inlineStr">
        <is>
          <t>SPV-A</t>
        </is>
      </c>
      <c r="I177" s="14" t="inlineStr">
        <is>
          <t>—</t>
        </is>
      </c>
      <c r="J177"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77" s="14" t="inlineStr">
        <is>
          <t>- Simpan berhasil.
- Ketiga perubahan terlihat di Detail.
- Baris di Data Browser juga menunjukkan identitas yang baru.</t>
        </is>
      </c>
      <c r="L177" s="16" t="inlineStr">
        <is>
          <t>Tinggi</t>
        </is>
      </c>
      <c r="M177" s="14" t="inlineStr"/>
      <c r="N177" s="17" t="n"/>
      <c r="O177" s="17" t="n"/>
      <c r="P177" s="17" t="n"/>
      <c r="Q177" s="17" t="n"/>
      <c r="R177" s="17" t="n"/>
    </row>
    <row r="178" ht="136" customHeight="1">
      <c r="A178" s="11" t="n">
        <v>174</v>
      </c>
      <c r="B178" s="12" t="n">
        <v>1</v>
      </c>
      <c r="C178" s="13" t="inlineStr">
        <is>
          <t>WB-FRM-11 / Depricarping</t>
        </is>
      </c>
      <c r="D178" s="13" t="inlineStr">
        <is>
          <t>WB-FRM-11</t>
        </is>
      </c>
      <c r="E178" s="15" t="inlineStr">
        <is>
          <t>Depricarping</t>
        </is>
      </c>
      <c r="F178" s="14" t="inlineStr">
        <is>
          <t>Web — Data Stasiun (WB-)</t>
        </is>
      </c>
      <c r="G178" s="15" t="inlineStr">
        <is>
          <t>Hapus baris mengurangi "Jumlah Baris Terisi"</t>
        </is>
      </c>
      <c r="H178" s="14" t="inlineStr">
        <is>
          <t>SPV-A</t>
        </is>
      </c>
      <c r="I178" s="14" t="inlineStr">
        <is>
          <t>record dengan 3 baris terisi</t>
        </is>
      </c>
      <c r="J178"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8" s="14" t="inlineStr">
        <is>
          <t>- Angkanya turun dari 3 menjadi 2 — penyebutnya tetap 24.
- Detail record juga hanya menampilkan 2 baris.
- Baris yang dihapus tidak kembali setelah muat ulang.</t>
        </is>
      </c>
      <c r="L178" s="11" t="inlineStr">
        <is>
          <t>Sedang</t>
        </is>
      </c>
      <c r="M178" s="14" t="inlineStr"/>
      <c r="N178" s="17" t="n"/>
      <c r="O178" s="17" t="n"/>
      <c r="P178" s="17" t="n"/>
      <c r="Q178" s="17" t="n"/>
      <c r="R178" s="17" t="n"/>
    </row>
    <row r="179" ht="162.4" customHeight="1">
      <c r="A179" s="18" t="n">
        <v>175</v>
      </c>
      <c r="B179" s="19" t="n">
        <v>2</v>
      </c>
      <c r="C179" s="20" t="inlineStr">
        <is>
          <t>LP-W-01 / Weighbridge</t>
        </is>
      </c>
      <c r="D179" s="20" t="inlineStr">
        <is>
          <t>LP-W-01</t>
        </is>
      </c>
      <c r="E179" s="21" t="inlineStr">
        <is>
          <t>Weighbridge</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n"/>
      <c r="O179" s="17" t="n"/>
      <c r="P179" s="17" t="n"/>
      <c r="Q179" s="17" t="n"/>
      <c r="R179" s="17" t="n"/>
    </row>
    <row r="180" ht="162.4" customHeight="1">
      <c r="A180" s="18" t="n">
        <v>176</v>
      </c>
      <c r="B180" s="19" t="n">
        <v>2</v>
      </c>
      <c r="C180" s="20" t="inlineStr">
        <is>
          <t>LP-W-01 / Grading</t>
        </is>
      </c>
      <c r="D180" s="20" t="inlineStr">
        <is>
          <t>LP-W-01</t>
        </is>
      </c>
      <c r="E180" s="21" t="inlineStr">
        <is>
          <t>Grading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n"/>
      <c r="O180" s="17" t="n"/>
      <c r="P180" s="17" t="n"/>
      <c r="Q180" s="17" t="n"/>
      <c r="R180" s="17" t="n"/>
    </row>
    <row r="181" ht="162.4" customHeight="1">
      <c r="A181" s="18" t="n">
        <v>177</v>
      </c>
      <c r="B181" s="19" t="n">
        <v>2</v>
      </c>
      <c r="C181" s="20" t="inlineStr">
        <is>
          <t>LP-W-01 / Cages Track</t>
        </is>
      </c>
      <c r="D181" s="20" t="inlineStr">
        <is>
          <t>LP-W-01</t>
        </is>
      </c>
      <c r="E181" s="21" t="inlineStr">
        <is>
          <t>Cages Track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n"/>
      <c r="O181" s="17" t="n"/>
      <c r="P181" s="17" t="n"/>
      <c r="Q181" s="17" t="n"/>
      <c r="R181" s="17" t="n"/>
    </row>
    <row r="182" ht="162.4" customHeight="1">
      <c r="A182" s="18" t="n">
        <v>178</v>
      </c>
      <c r="B182" s="19" t="n">
        <v>2</v>
      </c>
      <c r="C182" s="20" t="inlineStr">
        <is>
          <t>LP-W-01 / Sterilizer</t>
        </is>
      </c>
      <c r="D182" s="20" t="inlineStr">
        <is>
          <t>LP-W-01</t>
        </is>
      </c>
      <c r="E182" s="21" t="inlineStr">
        <is>
          <t>Sterilizer</t>
        </is>
      </c>
      <c r="F182" s="22" t="inlineStr">
        <is>
          <t>Laporan Periode Stasiun (LP-)</t>
        </is>
      </c>
      <c r="G182" s="21" t="inlineStr">
        <is>
          <t>Laporan tampil lengkap setelah periode dan line dipilih</t>
        </is>
      </c>
      <c r="H182" s="22" t="inlineStr">
        <is>
          <t>SPV-A</t>
        </is>
      </c>
      <c r="I182" s="22" t="inlineStr">
        <is>
          <t>periode dengan data terisi pada satu line</t>
        </is>
      </c>
      <c r="J182"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8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2" s="16" t="inlineStr">
        <is>
          <t>Tinggi</t>
        </is>
      </c>
      <c r="M182" s="22" t="inlineStr"/>
      <c r="N182" s="17" t="n"/>
      <c r="O182" s="17" t="n"/>
      <c r="P182" s="17" t="n"/>
      <c r="Q182" s="17" t="n"/>
      <c r="R182" s="17" t="n"/>
    </row>
    <row r="183" ht="162.4" customHeight="1">
      <c r="A183" s="18" t="n">
        <v>179</v>
      </c>
      <c r="B183" s="19" t="n">
        <v>2</v>
      </c>
      <c r="C183" s="20" t="inlineStr">
        <is>
          <t>LP-W-01 / Threshing</t>
        </is>
      </c>
      <c r="D183" s="20" t="inlineStr">
        <is>
          <t>LP-W-01</t>
        </is>
      </c>
      <c r="E183" s="21" t="inlineStr">
        <is>
          <t>Threshing</t>
        </is>
      </c>
      <c r="F183" s="22" t="inlineStr">
        <is>
          <t>Laporan Periode Stasiun (LP-)</t>
        </is>
      </c>
      <c r="G183" s="21" t="inlineStr">
        <is>
          <t>Laporan tampil lengkap setelah periode dan line dipilih</t>
        </is>
      </c>
      <c r="H183" s="22" t="inlineStr">
        <is>
          <t>SPV-A</t>
        </is>
      </c>
      <c r="I183" s="22" t="inlineStr">
        <is>
          <t>periode dengan data terisi pada satu line</t>
        </is>
      </c>
      <c r="J183"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8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3" s="16" t="inlineStr">
        <is>
          <t>Tinggi</t>
        </is>
      </c>
      <c r="M183" s="22" t="inlineStr"/>
      <c r="N183" s="17" t="n"/>
      <c r="O183" s="17" t="n"/>
      <c r="P183" s="17" t="n"/>
      <c r="Q183" s="17" t="n"/>
      <c r="R183" s="17" t="n"/>
    </row>
    <row r="184" ht="162.4" customHeight="1">
      <c r="A184" s="18" t="n">
        <v>180</v>
      </c>
      <c r="B184" s="19" t="n">
        <v>2</v>
      </c>
      <c r="C184" s="20" t="inlineStr">
        <is>
          <t>LP-W-01 / Pressing</t>
        </is>
      </c>
      <c r="D184" s="20" t="inlineStr">
        <is>
          <t>LP-W-01</t>
        </is>
      </c>
      <c r="E184" s="21" t="inlineStr">
        <is>
          <t>Pressing</t>
        </is>
      </c>
      <c r="F184" s="22" t="inlineStr">
        <is>
          <t>Laporan Periode Stasiun (LP-)</t>
        </is>
      </c>
      <c r="G184" s="21" t="inlineStr">
        <is>
          <t>Laporan tampil lengkap setelah periode dan line dipilih</t>
        </is>
      </c>
      <c r="H184" s="22" t="inlineStr">
        <is>
          <t>SPV-A</t>
        </is>
      </c>
      <c r="I184" s="22" t="inlineStr">
        <is>
          <t>periode dengan data terisi pada satu line</t>
        </is>
      </c>
      <c r="J184"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8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4" s="16" t="inlineStr">
        <is>
          <t>Tinggi</t>
        </is>
      </c>
      <c r="M184" s="22" t="inlineStr"/>
      <c r="N184" s="17" t="n"/>
      <c r="O184" s="17" t="n"/>
      <c r="P184" s="17" t="n"/>
      <c r="Q184" s="17" t="n"/>
      <c r="R184" s="17" t="n"/>
    </row>
    <row r="185" ht="162.4" customHeight="1">
      <c r="A185" s="18" t="n">
        <v>181</v>
      </c>
      <c r="B185" s="19" t="n">
        <v>2</v>
      </c>
      <c r="C185" s="20" t="inlineStr">
        <is>
          <t>LP-W-01 / Clarification</t>
        </is>
      </c>
      <c r="D185" s="20" t="inlineStr">
        <is>
          <t>LP-W-01</t>
        </is>
      </c>
      <c r="E185" s="21" t="inlineStr">
        <is>
          <t>Clarification</t>
        </is>
      </c>
      <c r="F185" s="22" t="inlineStr">
        <is>
          <t>Laporan Periode Stasiun (LP-)</t>
        </is>
      </c>
      <c r="G185" s="21" t="inlineStr">
        <is>
          <t>Laporan tampil lengkap setelah periode dan line dipilih</t>
        </is>
      </c>
      <c r="H185" s="22" t="inlineStr">
        <is>
          <t>SPV-A</t>
        </is>
      </c>
      <c r="I185" s="22" t="inlineStr">
        <is>
          <t>periode dengan data terisi pada satu line</t>
        </is>
      </c>
      <c r="J185"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8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5" s="16" t="inlineStr">
        <is>
          <t>Tinggi</t>
        </is>
      </c>
      <c r="M185" s="22" t="inlineStr"/>
      <c r="N185" s="17" t="n"/>
      <c r="O185" s="17" t="n"/>
      <c r="P185" s="17" t="n"/>
      <c r="Q185" s="17" t="n"/>
      <c r="R185" s="17" t="n"/>
    </row>
    <row r="186" ht="162.4" customHeight="1">
      <c r="A186" s="11" t="n">
        <v>182</v>
      </c>
      <c r="B186" s="12" t="n">
        <v>1</v>
      </c>
      <c r="C186" s="13" t="inlineStr">
        <is>
          <t>LP-W-01 / Kernel Plant</t>
        </is>
      </c>
      <c r="D186" s="13" t="inlineStr">
        <is>
          <t>LP-W-01</t>
        </is>
      </c>
      <c r="E186" s="15" t="inlineStr">
        <is>
          <t>Kernel Plant</t>
        </is>
      </c>
      <c r="F186" s="14" t="inlineStr">
        <is>
          <t>Laporan Periode Stasiun (LP-)</t>
        </is>
      </c>
      <c r="G186" s="15" t="inlineStr">
        <is>
          <t>Laporan tampil lengkap setelah periode dan line dipilih</t>
        </is>
      </c>
      <c r="H186" s="14" t="inlineStr">
        <is>
          <t>SPV-A</t>
        </is>
      </c>
      <c r="I186" s="14" t="inlineStr">
        <is>
          <t>periode dengan data terisi pada satu line</t>
        </is>
      </c>
      <c r="J1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6" s="16" t="inlineStr">
        <is>
          <t>Tinggi</t>
        </is>
      </c>
      <c r="M186" s="14" t="inlineStr"/>
      <c r="N186" s="17" t="n"/>
      <c r="O186" s="17" t="n"/>
      <c r="P186" s="17" t="n"/>
      <c r="Q186" s="17" t="n"/>
      <c r="R186" s="17" t="n"/>
    </row>
    <row r="187" ht="162.4" customHeight="1">
      <c r="A187" s="18" t="n">
        <v>183</v>
      </c>
      <c r="B187" s="19" t="n">
        <v>2</v>
      </c>
      <c r="C187" s="20" t="inlineStr">
        <is>
          <t>LP-W-01 / Boiler Room</t>
        </is>
      </c>
      <c r="D187" s="20" t="inlineStr">
        <is>
          <t>LP-W-01</t>
        </is>
      </c>
      <c r="E187" s="21" t="inlineStr">
        <is>
          <t>Boiler Room</t>
        </is>
      </c>
      <c r="F187" s="22" t="inlineStr">
        <is>
          <t>Laporan Periode Stasiun (LP-)</t>
        </is>
      </c>
      <c r="G187" s="21" t="inlineStr">
        <is>
          <t>Laporan tampil lengkap setelah periode dan line dipilih</t>
        </is>
      </c>
      <c r="H187" s="22" t="inlineStr">
        <is>
          <t>SPV-A</t>
        </is>
      </c>
      <c r="I187" s="22" t="inlineStr">
        <is>
          <t>periode dengan data terisi pada satu line</t>
        </is>
      </c>
      <c r="J187"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8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7" s="16" t="inlineStr">
        <is>
          <t>Tinggi</t>
        </is>
      </c>
      <c r="M187" s="22" t="inlineStr"/>
      <c r="N187" s="17" t="n"/>
      <c r="O187" s="17" t="n"/>
      <c r="P187" s="17" t="n"/>
      <c r="Q187" s="17" t="n"/>
      <c r="R187" s="17" t="n"/>
    </row>
    <row r="188" ht="162.4" customHeight="1">
      <c r="A188" s="18" t="n">
        <v>184</v>
      </c>
      <c r="B188" s="19" t="n">
        <v>2</v>
      </c>
      <c r="C188" s="20" t="inlineStr">
        <is>
          <t>LP-W-01 / Depricarping</t>
        </is>
      </c>
      <c r="D188" s="20" t="inlineStr">
        <is>
          <t>LP-W-01</t>
        </is>
      </c>
      <c r="E188" s="21" t="inlineStr">
        <is>
          <t>Depricarping</t>
        </is>
      </c>
      <c r="F188" s="22" t="inlineStr">
        <is>
          <t>Laporan Periode Stasiun (LP-)</t>
        </is>
      </c>
      <c r="G188" s="21" t="inlineStr">
        <is>
          <t>Laporan tampil lengkap setelah periode dan line dipilih</t>
        </is>
      </c>
      <c r="H188" s="22" t="inlineStr">
        <is>
          <t>SPV-A</t>
        </is>
      </c>
      <c r="I188" s="22" t="inlineStr">
        <is>
          <t>periode dengan data terisi pada satu line</t>
        </is>
      </c>
      <c r="J188"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8"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8" s="16" t="inlineStr">
        <is>
          <t>Tinggi</t>
        </is>
      </c>
      <c r="M188" s="22" t="inlineStr"/>
      <c r="N188" s="17" t="n"/>
      <c r="O188" s="17" t="n"/>
      <c r="P188" s="17" t="n"/>
      <c r="Q188" s="17" t="n"/>
      <c r="R188" s="17" t="n"/>
    </row>
    <row r="189" ht="162.4" customHeight="1">
      <c r="A189" s="18" t="n">
        <v>185</v>
      </c>
      <c r="B189" s="19" t="n">
        <v>2</v>
      </c>
      <c r="C189" s="20" t="inlineStr">
        <is>
          <t>LP-W-01 / Storage Tank</t>
        </is>
      </c>
      <c r="D189" s="20" t="inlineStr">
        <is>
          <t>LP-W-01</t>
        </is>
      </c>
      <c r="E189" s="21" t="inlineStr">
        <is>
          <t>Storage Tank</t>
        </is>
      </c>
      <c r="F189" s="22" t="inlineStr">
        <is>
          <t>Laporan Periode Stasiun (LP-)</t>
        </is>
      </c>
      <c r="G189" s="21" t="inlineStr">
        <is>
          <t>Laporan tampil lengkap setelah periode dan line dipilih</t>
        </is>
      </c>
      <c r="H189" s="22" t="inlineStr">
        <is>
          <t>SPV-A</t>
        </is>
      </c>
      <c r="I189" s="22" t="inlineStr">
        <is>
          <t>periode dengan data terisi pada satu line</t>
        </is>
      </c>
      <c r="J189"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9" s="16" t="inlineStr">
        <is>
          <t>Tinggi</t>
        </is>
      </c>
      <c r="M189" s="22" t="inlineStr"/>
      <c r="N189" s="17" t="n"/>
      <c r="O189" s="17" t="n"/>
      <c r="P189" s="17" t="n"/>
      <c r="Q189" s="17" t="n"/>
      <c r="R189" s="17" t="n"/>
    </row>
    <row r="190" ht="122.8" customHeight="1">
      <c r="A190" s="11" t="n">
        <v>186</v>
      </c>
      <c r="B190" s="12" t="n">
        <v>1</v>
      </c>
      <c r="C190" s="13" t="inlineStr">
        <is>
          <t>LP-W-02 / Kernel Plant</t>
        </is>
      </c>
      <c r="D190" s="13" t="inlineStr">
        <is>
          <t>LP-W-02</t>
        </is>
      </c>
      <c r="E190" s="15" t="inlineStr">
        <is>
          <t>Kernel Plant</t>
        </is>
      </c>
      <c r="F190" s="14" t="inlineStr">
        <is>
          <t>Laporan Periode Stasiun (LP-)</t>
        </is>
      </c>
      <c r="G190" s="15" t="inlineStr">
        <is>
          <t>Cakupan pencatatan berada DI ATAS semua angka lain</t>
        </is>
      </c>
      <c r="H190" s="14" t="inlineStr">
        <is>
          <t>SPV-A</t>
        </is>
      </c>
      <c r="I190" s="14" t="inlineStr">
        <is>
          <t>—</t>
        </is>
      </c>
      <c r="J190"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90"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90" s="16" t="inlineStr">
        <is>
          <t>Tinggi</t>
        </is>
      </c>
      <c r="M190" s="14" t="inlineStr">
        <is>
          <t>periode yang baru terisi seperlima pun menghasilkan rata-rata yang terlihat rapi. Pembaca harus melihat seberapa lengkap datanya sebelum mempercayai angkanya — itu sebabnya urutan ini diuji.</t>
        </is>
      </c>
      <c r="N190" s="17" t="n"/>
      <c r="O190" s="17" t="n"/>
      <c r="P190" s="17" t="n"/>
      <c r="Q190" s="17" t="n"/>
      <c r="R190" s="17" t="n"/>
    </row>
    <row r="191" ht="162.4" customHeight="1">
      <c r="A191" s="11" t="n">
        <v>187</v>
      </c>
      <c r="B191" s="12" t="n">
        <v>1</v>
      </c>
      <c r="C191" s="13" t="inlineStr">
        <is>
          <t>LP-W-03 / Kernel Plant</t>
        </is>
      </c>
      <c r="D191" s="13" t="inlineStr">
        <is>
          <t>LP-W-03</t>
        </is>
      </c>
      <c r="E191" s="15" t="inlineStr">
        <is>
          <t>Kernel Plant</t>
        </is>
      </c>
      <c r="F191" s="14" t="inlineStr">
        <is>
          <t>Laporan Periode Stasiun (LP-)</t>
        </is>
      </c>
      <c r="G191" s="15" t="inlineStr">
        <is>
          <t>Setiap parameter mencetak penyebutnya sendiri</t>
        </is>
      </c>
      <c r="H191" s="14" t="inlineStr">
        <is>
          <t>SPV-A</t>
        </is>
      </c>
      <c r="I191" s="14" t="inlineStr">
        <is>
          <t>periode yang kolom-kolomnya terisi tidak sama banyak (mis. satu kolom 6 slot, kolom lain 2 slot)</t>
        </is>
      </c>
      <c r="J191"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91"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91" s="16" t="inlineStr">
        <is>
          <t>Tinggi</t>
        </is>
      </c>
      <c r="M191" s="14" t="inlineStr"/>
      <c r="N191" s="17" t="n"/>
      <c r="O191" s="17" t="n"/>
      <c r="P191" s="17" t="n"/>
      <c r="Q191" s="17" t="n"/>
      <c r="R191" s="17" t="n"/>
    </row>
    <row r="192" ht="149.2" customHeight="1">
      <c r="A192" s="11" t="n">
        <v>188</v>
      </c>
      <c r="B192" s="12" t="n">
        <v>1</v>
      </c>
      <c r="C192" s="13" t="inlineStr">
        <is>
          <t>LP-W-04 / Kernel Plant</t>
        </is>
      </c>
      <c r="D192" s="13" t="inlineStr">
        <is>
          <t>LP-W-04</t>
        </is>
      </c>
      <c r="E192" s="15" t="inlineStr">
        <is>
          <t>Kernel Plant</t>
        </is>
      </c>
      <c r="F192" s="14" t="inlineStr">
        <is>
          <t>Laporan Periode Stasiun (LP-)</t>
        </is>
      </c>
      <c r="G192" s="15" t="inlineStr">
        <is>
          <t>Semua baris parameter tetap tampil, termasuk yang tak pernah diukur</t>
        </is>
      </c>
      <c r="H192" s="14" t="inlineStr">
        <is>
          <t>SPV-A</t>
        </is>
      </c>
      <c r="I192" s="14" t="inlineStr">
        <is>
          <t>satu kolom yang tidak pernah diisi sepanjang periode</t>
        </is>
      </c>
      <c r="J192"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92"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92" s="16" t="inlineStr">
        <is>
          <t>Tinggi</t>
        </is>
      </c>
      <c r="M192" s="14" t="inlineStr">
        <is>
          <t>baris yang hilang terbaca "parameter ini tidak ada", padahal yang benar "tidak ada yang mengukurnya".</t>
        </is>
      </c>
      <c r="N192" s="17" t="n"/>
      <c r="O192" s="17" t="n"/>
      <c r="P192" s="17" t="n"/>
      <c r="Q192" s="17" t="n"/>
      <c r="R192" s="17" t="n"/>
    </row>
    <row r="193" ht="149.2" customHeight="1">
      <c r="A193" s="11" t="n">
        <v>189</v>
      </c>
      <c r="B193" s="12" t="n">
        <v>1</v>
      </c>
      <c r="C193" s="13" t="inlineStr">
        <is>
          <t>LP-W-05 / Kernel Plant</t>
        </is>
      </c>
      <c r="D193" s="13" t="inlineStr">
        <is>
          <t>LP-W-05</t>
        </is>
      </c>
      <c r="E193" s="15" t="inlineStr">
        <is>
          <t>Kernel Plant</t>
        </is>
      </c>
      <c r="F193" s="14" t="inlineStr">
        <is>
          <t>Laporan Periode Stasiun (LP-)</t>
        </is>
      </c>
      <c r="G193" s="15" t="inlineStr">
        <is>
          <t>Persen cakupan: tanda pisah vs 0,0%</t>
        </is>
      </c>
      <c r="H193" s="14" t="inlineStr">
        <is>
          <t>SPV-A</t>
        </is>
      </c>
      <c r="I193" s="14" t="inlineStr">
        <is>
          <t>dua keadaan — (a) periode tanpa satu record pun, (b) periode yang punya record tapi seluruh kolomnya kosong</t>
        </is>
      </c>
      <c r="J193"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93"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93" s="16" t="inlineStr">
        <is>
          <t>Tinggi</t>
        </is>
      </c>
      <c r="M193" s="14" t="inlineStr">
        <is>
          <t>keduanya benar dan berbeda. (a) penyebutnya tak terbentuk — tak ada unit untuk dihitung. (b) penyebutnya ada, dan nol dari sekian slot memang terisi. Kalau keduanya terlihat sama, itu bug.</t>
        </is>
      </c>
      <c r="N193" s="17" t="n"/>
      <c r="O193" s="17" t="n"/>
      <c r="P193" s="17" t="n"/>
      <c r="Q193" s="17" t="n"/>
      <c r="R193" s="17" t="n"/>
    </row>
    <row r="194" ht="122.8" customHeight="1">
      <c r="A194" s="11" t="n">
        <v>190</v>
      </c>
      <c r="B194" s="12" t="n">
        <v>1</v>
      </c>
      <c r="C194" s="13" t="inlineStr">
        <is>
          <t>LP-W-06 / Kernel Plant</t>
        </is>
      </c>
      <c r="D194" s="13" t="inlineStr">
        <is>
          <t>LP-W-06</t>
        </is>
      </c>
      <c r="E194" s="15" t="inlineStr">
        <is>
          <t>Kernel Plant</t>
        </is>
      </c>
      <c r="F194" s="14" t="inlineStr">
        <is>
          <t>Laporan Periode Stasiun (LP-)</t>
        </is>
      </c>
      <c r="G194" s="15" t="inlineStr">
        <is>
          <t>Periode belum mulai dijelaskan sebagai BELUM MULAI</t>
        </is>
      </c>
      <c r="H194" s="14" t="inlineStr">
        <is>
          <t>SPV-A</t>
        </is>
      </c>
      <c r="I194" s="14" t="inlineStr">
        <is>
          <t>periode yang tanggal mulainya di masa depan</t>
        </is>
      </c>
      <c r="J194"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94"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94" s="16" t="inlineStr">
        <is>
          <t>Tinggi</t>
        </is>
      </c>
      <c r="M194" s="14" t="inlineStr">
        <is>
          <t>kedua keterangan ini mudah tertukar di sistem. Kalau periode masa depan dijelaskan "sedang berjalan", itu bug.</t>
        </is>
      </c>
      <c r="N194" s="17" t="n"/>
      <c r="O194" s="17" t="n"/>
      <c r="P194" s="17" t="n"/>
      <c r="Q194" s="17" t="n"/>
      <c r="R194" s="17" t="n"/>
    </row>
    <row r="195" ht="175.6" customHeight="1">
      <c r="A195" s="11" t="n">
        <v>191</v>
      </c>
      <c r="B195" s="12" t="n">
        <v>1</v>
      </c>
      <c r="C195" s="13" t="inlineStr">
        <is>
          <t>LP-W-07 / Kernel Plant</t>
        </is>
      </c>
      <c r="D195" s="13" t="inlineStr">
        <is>
          <t>LP-W-07</t>
        </is>
      </c>
      <c r="E195" s="15" t="inlineStr">
        <is>
          <t>Kernel Plant</t>
        </is>
      </c>
      <c r="F195" s="14" t="inlineStr">
        <is>
          <t>Laporan Periode Stasiun (LP-)</t>
        </is>
      </c>
      <c r="G195" s="15" t="inlineStr">
        <is>
          <t>Periode sedang berjalan: penyebut berhenti di hari ini</t>
        </is>
      </c>
      <c r="H195" s="14" t="inlineStr">
        <is>
          <t>SPV-A</t>
        </is>
      </c>
      <c r="I195" s="14" t="inlineStr">
        <is>
          <t>periode yang sudah mulai dan belum berakhir</t>
        </is>
      </c>
      <c r="J195"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95"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95" s="16" t="inlineStr">
        <is>
          <t>Tinggi</t>
        </is>
      </c>
      <c r="M195" s="14" t="inlineStr"/>
      <c r="N195" s="17" t="n"/>
      <c r="O195" s="17" t="n"/>
      <c r="P195" s="17" t="n"/>
      <c r="Q195" s="17" t="n"/>
      <c r="R195" s="17" t="n"/>
    </row>
    <row r="196" ht="96.39999999999999" customHeight="1">
      <c r="A196" s="11" t="n">
        <v>192</v>
      </c>
      <c r="B196" s="12" t="n">
        <v>1</v>
      </c>
      <c r="C196" s="13" t="inlineStr">
        <is>
          <t>LP-W-08 / Kernel Plant</t>
        </is>
      </c>
      <c r="D196" s="13" t="inlineStr">
        <is>
          <t>LP-W-08</t>
        </is>
      </c>
      <c r="E196" s="15" t="inlineStr">
        <is>
          <t>Kernel Plant</t>
        </is>
      </c>
      <c r="F196" s="14" t="inlineStr">
        <is>
          <t>Laporan Periode Stasiun (LP-)</t>
        </is>
      </c>
      <c r="G196" s="15" t="inlineStr">
        <is>
          <t>Mill tanpa periode stasiun itu memberi arahan</t>
        </is>
      </c>
      <c r="H196" s="14" t="inlineStr">
        <is>
          <t>SPV-A</t>
        </is>
      </c>
      <c r="I196" s="14" t="inlineStr">
        <is>
          <t>mill yang belum punya periode mencakup stasiun itu</t>
        </is>
      </c>
      <c r="J196"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96" s="14" t="inlineStr">
        <is>
          <t>- Muncul arahan yang menyebut periode — mis. agar Admin membuat periode lebih dulu.
- Pemilih periode tetap ada, dalam keadaan kosong.
- BUKAN layar kosong, BUKAN tabel nol baris, BUKAN angka 0.</t>
        </is>
      </c>
      <c r="L196" s="11" t="inlineStr">
        <is>
          <t>Sedang</t>
        </is>
      </c>
      <c r="M196" s="14" t="inlineStr"/>
      <c r="N196" s="17" t="n"/>
      <c r="O196" s="17" t="n"/>
      <c r="P196" s="17" t="n"/>
      <c r="Q196" s="17" t="n"/>
      <c r="R196" s="17" t="n"/>
    </row>
    <row r="197" ht="162.4" customHeight="1">
      <c r="A197" s="11" t="n">
        <v>193</v>
      </c>
      <c r="B197" s="12" t="n">
        <v>1</v>
      </c>
      <c r="C197" s="13" t="inlineStr">
        <is>
          <t>LP-W-09 / Kernel Plant</t>
        </is>
      </c>
      <c r="D197" s="13" t="inlineStr">
        <is>
          <t>LP-W-09</t>
        </is>
      </c>
      <c r="E197" s="15" t="inlineStr">
        <is>
          <t>Kernel Plant</t>
        </is>
      </c>
      <c r="F197" s="14" t="inlineStr">
        <is>
          <t>Laporan Periode Stasiun (LP-)</t>
        </is>
      </c>
      <c r="G197" s="15" t="inlineStr">
        <is>
          <t>Admin berganti mill mereset pilihan periode dan line</t>
        </is>
      </c>
      <c r="H197" s="14" t="inlineStr">
        <is>
          <t>ADM</t>
        </is>
      </c>
      <c r="I197" s="14" t="inlineStr">
        <is>
          <t>2 mill, keduanya punya data</t>
        </is>
      </c>
      <c r="J197"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97"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97" s="16" t="inlineStr">
        <is>
          <t>Tinggi</t>
        </is>
      </c>
      <c r="M197" s="14" t="inlineStr"/>
      <c r="N197" s="17" t="n"/>
      <c r="O197" s="17" t="n"/>
      <c r="P197" s="17" t="n"/>
      <c r="Q197" s="17" t="n"/>
      <c r="R197" s="17" t="n"/>
    </row>
    <row r="198" ht="162.4" customHeight="1">
      <c r="A198" s="11" t="n">
        <v>194</v>
      </c>
      <c r="B198" s="12" t="n">
        <v>1</v>
      </c>
      <c r="C198" s="13" t="inlineStr">
        <is>
          <t>LP-W-10 / Kernel Plant</t>
        </is>
      </c>
      <c r="D198" s="13" t="inlineStr">
        <is>
          <t>LP-W-10</t>
        </is>
      </c>
      <c r="E198" s="15" t="inlineStr">
        <is>
          <t>Kernel Plant</t>
        </is>
      </c>
      <c r="F198" s="14" t="inlineStr">
        <is>
          <t>Laporan Periode Stasiun (LP-)</t>
        </is>
      </c>
      <c r="G198" s="15" t="inlineStr">
        <is>
          <t>Rekap harian dapat ditutup tanpa mengubah angka</t>
        </is>
      </c>
      <c r="H198" s="14" t="inlineStr">
        <is>
          <t>SPV-A</t>
        </is>
      </c>
      <c r="I198" s="14" t="inlineStr">
        <is>
          <t>—</t>
        </is>
      </c>
      <c r="J198"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8" s="14" t="inlineStr">
        <is>
          <t>- Rekap Harian terbuka secara bawaan.
- Menutupnya tidak mengubah satu angka pun di bagian lain.
- Membukanya kembali menampilkan isi yang sama.</t>
        </is>
      </c>
      <c r="L198" s="11" t="inlineStr">
        <is>
          <t>Rendah</t>
        </is>
      </c>
      <c r="M198" s="14" t="inlineStr"/>
      <c r="N198" s="17" t="n"/>
      <c r="O198" s="17" t="n"/>
      <c r="P198" s="17" t="n"/>
      <c r="Q198" s="17" t="n"/>
      <c r="R198" s="17" t="n"/>
    </row>
    <row r="199" ht="188.8" customHeight="1">
      <c r="A199" s="11" t="n">
        <v>195</v>
      </c>
      <c r="B199" s="12" t="n">
        <v>1</v>
      </c>
      <c r="C199" s="13" t="inlineStr">
        <is>
          <t>LP-W-11 / Kernel Plant</t>
        </is>
      </c>
      <c r="D199" s="13" t="inlineStr">
        <is>
          <t>LP-W-11</t>
        </is>
      </c>
      <c r="E199" s="15" t="inlineStr">
        <is>
          <t>Kernel Plant</t>
        </is>
      </c>
      <c r="F199" s="14" t="inlineStr">
        <is>
          <t>Laporan Periode Stasiun (LP-)</t>
        </is>
      </c>
      <c r="G199" s="15" t="inlineStr">
        <is>
          <t>Baris total periode bukan rata-rata dari rata-rata harian</t>
        </is>
      </c>
      <c r="H199" s="14" t="inlineStr">
        <is>
          <t>SPV-A</t>
        </is>
      </c>
      <c r="I199" s="14" t="inlineStr">
        <is>
          <t>periode yang jumlah slot per harinya tidak sama (mis. hari-1 isi 2 slot, hari-2 isi 20 slot) dengan nilai yang berbeda jauh</t>
        </is>
      </c>
      <c r="J199"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9" s="14" t="inlineStr">
        <is>
          <t>- Angka total periode berbeda dari hasil hitungan langkah 4.
- Total periode dihitung ulang dari seluruh slot, bukan dirata-ratakan dari rata-rata harian.
- Kalau keduanya sama, itu temuan: hari dengan 2 slot akan berbobot sama dengan hari 20 slot.</t>
        </is>
      </c>
      <c r="L199" s="11" t="inlineStr">
        <is>
          <t>Sedang</t>
        </is>
      </c>
      <c r="M199" s="14" t="inlineStr"/>
      <c r="N199" s="17" t="n"/>
      <c r="O199" s="17" t="n"/>
      <c r="P199" s="17" t="n"/>
      <c r="Q199" s="17" t="n"/>
      <c r="R199" s="17" t="n"/>
    </row>
    <row r="200" ht="175.6" customHeight="1">
      <c r="A200" s="11" t="n">
        <v>196</v>
      </c>
      <c r="B200" s="12" t="n">
        <v>1</v>
      </c>
      <c r="C200" s="13" t="inlineStr">
        <is>
          <t>LP-W-12 / Kernel Plant</t>
        </is>
      </c>
      <c r="D200" s="13" t="inlineStr">
        <is>
          <t>LP-W-12</t>
        </is>
      </c>
      <c r="E200" s="15" t="inlineStr">
        <is>
          <t>Kernel Plant</t>
        </is>
      </c>
      <c r="F200" s="14" t="inlineStr">
        <is>
          <t>Laporan Periode Stasiun (LP-)</t>
        </is>
      </c>
      <c r="G200" s="15" t="inlineStr">
        <is>
          <t>Downtime: tanda pisah vs nol yang tercatat</t>
        </is>
      </c>
      <c r="H200" s="14" t="inlineStr">
        <is>
          <t>SPV-A</t>
        </is>
      </c>
      <c r="I200" s="14" t="inlineStr">
        <is>
          <t>stasiun yang punya kolom downtime angka (Depricarping, Kernel Plant). Dua keadaan: (a) tak satu slot pun mengisi downtime, (b) beberapa slot mengisi 0 menit</t>
        </is>
      </c>
      <c r="J200"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200" s="14" t="inlineStr">
        <is>
          <t>- Periode (a): downtime tampil sebagai tanda pisah "—" atau keterangan ketiadaan, bukan 0 menit.
- Periode (b): downtime tampil sebagai 0 menit — nol yang benar-benar terukur.
- Keduanya berbeda: tidak pernah dicatat bukan hal yang sama dengan dicatat nol.</t>
        </is>
      </c>
      <c r="L200" s="16" t="inlineStr">
        <is>
          <t>Tinggi</t>
        </is>
      </c>
      <c r="M200" s="14" t="inlineStr">
        <is>
          <t>"tercatat 0 menit" berarti seseorang menyatakan stasiun tidak berhenti. "Tidak dicatat" berarti tidak ada yang mengisinya. Keduanya tidak boleh terlihat sama.</t>
        </is>
      </c>
      <c r="N200" s="17" t="n"/>
      <c r="O200" s="17" t="n"/>
      <c r="P200" s="17" t="n"/>
      <c r="Q200" s="17" t="n"/>
      <c r="R200" s="17" t="n"/>
    </row>
    <row r="201" ht="136" customHeight="1">
      <c r="A201" s="11" t="n">
        <v>197</v>
      </c>
      <c r="B201" s="12" t="n">
        <v>1</v>
      </c>
      <c r="C201" s="13" t="inlineStr">
        <is>
          <t>LP-W-13 / Kernel Plant</t>
        </is>
      </c>
      <c r="D201" s="13" t="inlineStr">
        <is>
          <t>LP-W-13</t>
        </is>
      </c>
      <c r="E201" s="15" t="inlineStr">
        <is>
          <t>Kernel Plant</t>
        </is>
      </c>
      <c r="F201" s="14" t="inlineStr">
        <is>
          <t>Laporan Periode Stasiun (LP-)</t>
        </is>
      </c>
      <c r="G201" s="15" t="inlineStr">
        <is>
          <t>Temuan dikelompokkan harfiah, dua ejaan jadi dua baris</t>
        </is>
      </c>
      <c r="H201" s="14" t="inlineStr">
        <is>
          <t>SPV-A</t>
        </is>
      </c>
      <c r="I201" s="14" t="inlineStr">
        <is>
          <t>dua record dengan temuan yang hanya beda huruf besar-kecil atau spasi (mis. Bearing panas dan bearing panas)</t>
        </is>
      </c>
      <c r="J201"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201" s="14" t="inlineStr">
        <is>
          <t>- Muncul dua baris terpisah — pengelompokannya harfiah, apa adanya.
- Sistem tidak menyatukan ejaan yang berbeda; menyatukannya berarti menebak maksud operator.
- Masing-masing membawa jumlah kemunculannya sendiri.</t>
        </is>
      </c>
      <c r="L201" s="11" t="inlineStr">
        <is>
          <t>Sedang</t>
        </is>
      </c>
      <c r="M201" s="14" t="inlineStr">
        <is>
          <t>menggabungkan keduanya akan menyatukan hal yang mungkin bukan satu hal. Yang dilaporkan sebagai bug adalah kalau keduanya digabung, atau kalau keterangannya hilang.</t>
        </is>
      </c>
      <c r="N201" s="17" t="n"/>
      <c r="O201" s="17" t="n"/>
      <c r="P201" s="17" t="n"/>
      <c r="Q201" s="17" t="n"/>
      <c r="R201" s="17" t="n"/>
    </row>
    <row r="202" ht="136" customHeight="1">
      <c r="A202" s="11" t="n">
        <v>198</v>
      </c>
      <c r="B202" s="12" t="n">
        <v>1</v>
      </c>
      <c r="C202" s="13" t="inlineStr">
        <is>
          <t>LP-W-14 / Kernel Plant</t>
        </is>
      </c>
      <c r="D202" s="13" t="inlineStr">
        <is>
          <t>LP-W-14</t>
        </is>
      </c>
      <c r="E202" s="15" t="inlineStr">
        <is>
          <t>Kernel Plant</t>
        </is>
      </c>
      <c r="F202" s="14" t="inlineStr">
        <is>
          <t>Laporan Periode Stasiun (LP-)</t>
        </is>
      </c>
      <c r="G202" s="15" t="inlineStr">
        <is>
          <t>Temuan terpisah dari downtime</t>
        </is>
      </c>
      <c r="H202" s="14" t="inlineStr">
        <is>
          <t>SPV-A</t>
        </is>
      </c>
      <c r="I202" s="14" t="inlineStr">
        <is>
          <t>satu slot yang mengisi downtime dan temuan sekaligus</t>
        </is>
      </c>
      <c r="J202"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202" s="14" t="inlineStr">
        <is>
          <t>- Keduanya dihitung terpisah: slot yang hanya mengisi temuan tidak menambah menit downtime.
- Slot yang mengisi keduanya muncul di kedua tempat.
- Daftar temuan tidak hanya memuat temuan yang punya downtime.</t>
        </is>
      </c>
      <c r="L202" s="11" t="inlineStr">
        <is>
          <t>Sedang</t>
        </is>
      </c>
      <c r="M202" s="14" t="inlineStr"/>
      <c r="N202" s="17" t="n"/>
      <c r="O202" s="17" t="n"/>
      <c r="P202" s="17" t="n"/>
      <c r="Q202" s="17" t="n"/>
      <c r="R202" s="17" t="n"/>
    </row>
    <row r="203" ht="136" customHeight="1">
      <c r="A203" s="11" t="n">
        <v>199</v>
      </c>
      <c r="B203" s="12" t="n">
        <v>1</v>
      </c>
      <c r="C203" s="13" t="inlineStr">
        <is>
          <t>LP-W-15 / Kernel Plant</t>
        </is>
      </c>
      <c r="D203" s="13" t="inlineStr">
        <is>
          <t>LP-W-15</t>
        </is>
      </c>
      <c r="E203" s="15" t="inlineStr">
        <is>
          <t>Kernel Plant</t>
        </is>
      </c>
      <c r="F203" s="14" t="inlineStr">
        <is>
          <t>Laporan Periode Stasiun (LP-)</t>
        </is>
      </c>
      <c r="G203" s="15" t="inlineStr">
        <is>
          <t>Bagian "standar tanpa pengukuran" tetap digambar walau kosong</t>
        </is>
      </c>
      <c r="H203" s="14" t="inlineStr">
        <is>
          <t>SPV-A</t>
        </is>
      </c>
      <c r="I203" s="14" t="inlineStr">
        <is>
          <t>stasiun yang punya master target (Threshing, Pressing, Depricarping, Kernel Plant)</t>
        </is>
      </c>
      <c r="J203"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203"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203" s="11" t="inlineStr">
        <is>
          <t>Sedang</t>
        </is>
      </c>
      <c r="M203" s="14" t="inlineStr">
        <is>
          <t>bagian yang menghilang saat kosong tak dapat dibedakan dari bagian yang belum pernah dibuat.</t>
        </is>
      </c>
      <c r="N203" s="17" t="n"/>
      <c r="O203" s="17" t="n"/>
      <c r="P203" s="17" t="n"/>
      <c r="Q203" s="17" t="n"/>
      <c r="R203" s="17" t="n"/>
    </row>
    <row r="204" ht="122.8" customHeight="1">
      <c r="A204" s="11" t="n">
        <v>200</v>
      </c>
      <c r="B204" s="12" t="n">
        <v>1</v>
      </c>
      <c r="C204" s="13" t="inlineStr">
        <is>
          <t>LP-W-16 / Kernel Plant</t>
        </is>
      </c>
      <c r="D204" s="13" t="inlineStr">
        <is>
          <t>LP-W-16</t>
        </is>
      </c>
      <c r="E204" s="15" t="inlineStr">
        <is>
          <t>Kernel Plant</t>
        </is>
      </c>
      <c r="F204" s="14" t="inlineStr">
        <is>
          <t>Laporan Periode Stasiun (LP-)</t>
        </is>
      </c>
      <c r="G204" s="15" t="inlineStr">
        <is>
          <t>Kolom target dirender utuh, termasuk keterangan dalam tanda kurung</t>
        </is>
      </c>
      <c r="H204" s="14" t="inlineStr">
        <is>
          <t>SPV-A</t>
        </is>
      </c>
      <c r="I204" s="14" t="inlineStr">
        <is>
          <t>stasiun bermaster target</t>
        </is>
      </c>
      <c r="J204"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204" s="14" t="inlineStr">
        <is>
          <t>- Teks targetnya dirender utuh, termasuk keterangan dalam tanda kurung — mis. ≤ 7.0% (Prevents mold growth).
- Tidak dipotong, tidak dibuang tanda kurungnya, tidak diuraikan menjadi angka saja.
- Isinya sama dengan tabel Target Operasional di Form.</t>
        </is>
      </c>
      <c r="L204" s="11" t="inlineStr">
        <is>
          <t>Sedang</t>
        </is>
      </c>
      <c r="M204" s="14" t="inlineStr"/>
      <c r="N204" s="17" t="n"/>
      <c r="O204" s="17" t="n"/>
      <c r="P204" s="17" t="n"/>
      <c r="Q204" s="17" t="n"/>
      <c r="R204" s="17" t="n"/>
    </row>
    <row r="205" ht="188.8" customHeight="1">
      <c r="A205" s="11" t="n">
        <v>201</v>
      </c>
      <c r="B205" s="12" t="n">
        <v>1</v>
      </c>
      <c r="C205" s="13" t="inlineStr">
        <is>
          <t>LP-W-17 / Kernel Plant</t>
        </is>
      </c>
      <c r="D205" s="13" t="inlineStr">
        <is>
          <t>LP-W-17</t>
        </is>
      </c>
      <c r="E205" s="15" t="inlineStr">
        <is>
          <t>Kernel Plant</t>
        </is>
      </c>
      <c r="F205" s="14" t="inlineStr">
        <is>
          <t>Laporan Periode Stasiun (LP-)</t>
        </is>
      </c>
      <c r="G205" s="15" t="inlineStr">
        <is>
          <t>Kolom yang berbagi satu standar ditandai, dan angkanya tidak dirata-ratakan</t>
        </is>
      </c>
      <c r="H205" s="14" t="inlineStr">
        <is>
          <t>SPV-A</t>
        </is>
      </c>
      <c r="I205" s="14" t="inlineStr">
        <is>
          <t>Kernel Plant (2 pasang: ripple mill 1–2 dan kernel silo 1–2) atau Depricarping (1 pasang: nut silo)</t>
        </is>
      </c>
      <c r="J205"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205"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205" s="16" t="inlineStr">
        <is>
          <t>Tinggi</t>
        </is>
      </c>
      <c r="M205" s="14" t="inlineStr">
        <is>
          <t>pada Kernel Plant ada dua pasangan — pastikan keempat baris bertanda, bukan hanya dua.</t>
        </is>
      </c>
      <c r="N205" s="17" t="n"/>
      <c r="O205" s="17" t="n"/>
      <c r="P205" s="17" t="n"/>
      <c r="Q205" s="17" t="n"/>
      <c r="R205" s="17" t="n"/>
    </row>
    <row r="206" ht="175.6" customHeight="1">
      <c r="A206" s="11" t="n">
        <v>202</v>
      </c>
      <c r="B206" s="12" t="n">
        <v>1</v>
      </c>
      <c r="C206" s="13" t="inlineStr">
        <is>
          <t>LP-W-18 / Kernel Plant</t>
        </is>
      </c>
      <c r="D206" s="13" t="inlineStr">
        <is>
          <t>LP-W-18</t>
        </is>
      </c>
      <c r="E206" s="15" t="inlineStr">
        <is>
          <t>Kernel Plant</t>
        </is>
      </c>
      <c r="F206" s="14" t="inlineStr">
        <is>
          <t>Laporan Periode Stasiun (LP-)</t>
        </is>
      </c>
      <c r="G206" s="15" t="inlineStr">
        <is>
          <t>Ekspor mengikuti periode dan line yang terpilih</t>
        </is>
      </c>
      <c r="H206" s="14" t="inlineStr">
        <is>
          <t>SPV-A</t>
        </is>
      </c>
      <c r="I206" s="14" t="inlineStr">
        <is>
          <t>—</t>
        </is>
      </c>
      <c r="J206"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206" s="14" t="inlineStr">
        <is>
          <t>- Berkas pertama memuat data Periode A / Line 1 saja.
- Berkas kedua berbeda isinya, mengikuti pilihan baru.
- Nama periode dan Production Line tertulis di dalam berkas, bukan hanya di layar.
- Tidak ada baris dari periode atau line yang tidak terpilih.</t>
        </is>
      </c>
      <c r="L206" s="16" t="inlineStr">
        <is>
          <t>Tinggi</t>
        </is>
      </c>
      <c r="M206" s="14" t="inlineStr"/>
      <c r="N206" s="17" t="n"/>
      <c r="O206" s="17" t="n"/>
      <c r="P206" s="17" t="n"/>
      <c r="Q206" s="17" t="n"/>
      <c r="R206" s="17" t="n"/>
    </row>
    <row r="207" ht="202" customHeight="1">
      <c r="A207" s="11" t="n">
        <v>203</v>
      </c>
      <c r="B207" s="12" t="n">
        <v>1</v>
      </c>
      <c r="C207" s="13" t="inlineStr">
        <is>
          <t>LP-W-19 / Kernel Plant</t>
        </is>
      </c>
      <c r="D207" s="13" t="inlineStr">
        <is>
          <t>LP-W-19</t>
        </is>
      </c>
      <c r="E207" s="15" t="inlineStr">
        <is>
          <t>Kernel Plant</t>
        </is>
      </c>
      <c r="F207" s="14" t="inlineStr">
        <is>
          <t>Laporan Periode Stasiun (LP-)</t>
        </is>
      </c>
      <c r="G207" s="15" t="inlineStr">
        <is>
          <t>Laporan tidak pernah mengubah data</t>
        </is>
      </c>
      <c r="H207" s="14" t="inlineStr">
        <is>
          <t>SPV-A</t>
        </is>
      </c>
      <c r="I207" s="14" t="inlineStr">
        <is>
          <t>—</t>
        </is>
      </c>
      <c r="J207"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207" s="14" t="inlineStr">
        <is>
          <t>- Layar laporan tidak punya satu pun tombol yang mengubah data — hanya pemilih, pengulang, dan ekspor.
- Jumlah data dan status seluruh record tidak berubah.
- Ekspor tidak mengubah status record menjadi apa pun.</t>
        </is>
      </c>
      <c r="L207" s="16" t="inlineStr">
        <is>
          <t>Tinggi</t>
        </is>
      </c>
      <c r="M207" s="14" t="inlineStr"/>
      <c r="N207" s="17" t="n"/>
      <c r="O207" s="17" t="n"/>
      <c r="P207" s="17" t="n"/>
      <c r="Q207" s="17" t="n"/>
      <c r="R207" s="17" t="n"/>
    </row>
    <row r="208" ht="215.2" customHeight="1">
      <c r="A208" s="11" t="n">
        <v>204</v>
      </c>
      <c r="B208" s="12" t="n">
        <v>1</v>
      </c>
      <c r="C208" s="13" t="inlineStr">
        <is>
          <t>LP-M-01 / Kernel Plant</t>
        </is>
      </c>
      <c r="D208" s="13" t="inlineStr">
        <is>
          <t>LP-M-01</t>
        </is>
      </c>
      <c r="E208" s="15" t="inlineStr">
        <is>
          <t>Kernel Plant</t>
        </is>
      </c>
      <c r="F208" s="14" t="inlineStr">
        <is>
          <t>Laporan Periode Stasiun (LP-)</t>
        </is>
      </c>
      <c r="G208" s="15" t="inlineStr">
        <is>
          <t>Isi laporan sama dengan versi web</t>
        </is>
      </c>
      <c r="H208" s="14" t="inlineStr">
        <is>
          <t>OPR-A (mobile) + SPV-A (web)</t>
        </is>
      </c>
      <c r="I208" s="14" t="inlineStr">
        <is>
          <t>periode &amp; line yang sama tersedia di keduanya</t>
        </is>
      </c>
      <c r="J208"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8" s="14" t="inlineStr">
        <is>
          <t>- Setiap angka sama antara web dan mobile — termasuk penyebut tiap kartu.
- Jumlah kartu parameter sama.
- Keterangan cakupannya menyampaikan hal yang sama.
- Perbedaan angka mana pun adalah temuan, dan sebutkan angka mana yang berbeda.</t>
        </is>
      </c>
      <c r="L208" s="16" t="inlineStr">
        <is>
          <t>Tinggi</t>
        </is>
      </c>
      <c r="M208" s="14" t="inlineStr">
        <is>
          <t>ini kasus terpenting di bagian ini. Kalau satu angka berbeda, laporkan sebagai temuan prioritas tinggi beserta nama kolomnya.</t>
        </is>
      </c>
      <c r="N208" s="17" t="n"/>
      <c r="O208" s="17" t="n"/>
      <c r="P208" s="17" t="n"/>
      <c r="Q208" s="17" t="n"/>
      <c r="R208" s="17" t="n"/>
    </row>
    <row r="209" ht="202" customHeight="1">
      <c r="A209" s="11" t="n">
        <v>205</v>
      </c>
      <c r="B209" s="12" t="n">
        <v>1</v>
      </c>
      <c r="C209" s="13" t="inlineStr">
        <is>
          <t>LP-M-02 / Kernel Plant</t>
        </is>
      </c>
      <c r="D209" s="13" t="inlineStr">
        <is>
          <t>LP-M-02</t>
        </is>
      </c>
      <c r="E209" s="15" t="inlineStr">
        <is>
          <t>Kernel Plant</t>
        </is>
      </c>
      <c r="F209" s="14" t="inlineStr">
        <is>
          <t>Laporan Periode Stasiun (LP-)</t>
        </is>
      </c>
      <c r="G209" s="15" t="inlineStr">
        <is>
          <t>Tabel menjadi kartu bertumpuk, isinya tidak berkurang</t>
        </is>
      </c>
      <c r="H209" s="14" t="inlineStr">
        <is>
          <t>OPR-A</t>
        </is>
      </c>
      <c r="I209" s="14" t="inlineStr">
        <is>
          <t>—</t>
        </is>
      </c>
      <c r="J209"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9" s="14" t="inlineStr">
        <is>
          <t>- Di mobile, tabel berubah menjadi kartu bertumpuk (satu kartu per hari / per unit).
- Setiap kolom web punya padanan berlabel di dalam kartu — tidak ada kolom yang dibuang demi ruang.
- Labelnya terbaca, bukan disingkat sampai tidak jelas.</t>
        </is>
      </c>
      <c r="L209" s="16" t="inlineStr">
        <is>
          <t>Tinggi</t>
        </is>
      </c>
      <c r="M209" s="14" t="inlineStr"/>
      <c r="N209" s="17" t="n"/>
      <c r="O209" s="17" t="n"/>
      <c r="P209" s="17" t="n"/>
      <c r="Q209" s="17" t="n"/>
      <c r="R209" s="17" t="n"/>
    </row>
    <row r="210" ht="136" customHeight="1">
      <c r="A210" s="11" t="n">
        <v>206</v>
      </c>
      <c r="B210" s="12" t="n">
        <v>1</v>
      </c>
      <c r="C210" s="13" t="inlineStr">
        <is>
          <t>LP-M-03 / Kernel Plant</t>
        </is>
      </c>
      <c r="D210" s="13" t="inlineStr">
        <is>
          <t>LP-M-03</t>
        </is>
      </c>
      <c r="E210" s="15" t="inlineStr">
        <is>
          <t>Kernel Plant</t>
        </is>
      </c>
      <c r="F210" s="14" t="inlineStr">
        <is>
          <t>Laporan Periode Stasiun (LP-)</t>
        </is>
      </c>
      <c r="G210" s="15" t="inlineStr">
        <is>
          <t>Halaman tidak menggulir mendatar pada lebar 390px</t>
        </is>
      </c>
      <c r="H210" s="14" t="inlineStr">
        <is>
          <t>OPR-A</t>
        </is>
      </c>
      <c r="I210" s="14" t="inlineStr">
        <is>
          <t>lebar layar 390px</t>
        </is>
      </c>
      <c r="J210"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10" s="14" t="inlineStr">
        <is>
          <t>- Halaman tidak dapat digulir mendatar sama sekali.
- Tidak ada isi yang terpotong di tepi kanan.
- Tabel yang lebar di web sudah berubah bentuk, bukan dibiarkan melebar.
- Kalau ada satu bagian saja yang memaksa gulir mendatar, catat bagian mana.</t>
        </is>
      </c>
      <c r="L210" s="11" t="inlineStr">
        <is>
          <t>Sedang</t>
        </is>
      </c>
      <c r="M210" s="14" t="inlineStr"/>
      <c r="N210" s="17" t="n"/>
      <c r="O210" s="17" t="n"/>
      <c r="P210" s="17" t="n"/>
      <c r="Q210" s="17" t="n"/>
      <c r="R210" s="17" t="n"/>
    </row>
    <row r="211" ht="122.8" customHeight="1">
      <c r="A211" s="11" t="n">
        <v>207</v>
      </c>
      <c r="B211" s="12" t="n">
        <v>1</v>
      </c>
      <c r="C211" s="13" t="inlineStr">
        <is>
          <t>LP-M-04 / Kernel Plant</t>
        </is>
      </c>
      <c r="D211" s="13" t="inlineStr">
        <is>
          <t>LP-M-04</t>
        </is>
      </c>
      <c r="E211" s="15" t="inlineStr">
        <is>
          <t>Kernel Plant</t>
        </is>
      </c>
      <c r="F211" s="14" t="inlineStr">
        <is>
          <t>Laporan Periode Stasiun (LP-)</t>
        </is>
      </c>
      <c r="G211" s="15" t="inlineStr">
        <is>
          <t>Production Line wajib, termasuk saat hanya satu</t>
        </is>
      </c>
      <c r="H211" s="14" t="inlineStr">
        <is>
          <t>OPR-A</t>
        </is>
      </c>
      <c r="I211" s="14" t="inlineStr">
        <is>
          <t>—</t>
        </is>
      </c>
      <c r="J211"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11" s="14" t="inlineStr">
        <is>
          <t>- Sebelum line dipilih: tidak ada satu angka pun, dan ada permintaan memilih Production Line.
- Line tunggal tidak terpilih otomatis.
- Sesudah dipilih, angkanya muncul.
- Perilakunya sama dengan LS-08 di web.</t>
        </is>
      </c>
      <c r="L211" s="16" t="inlineStr">
        <is>
          <t>Tinggi</t>
        </is>
      </c>
      <c r="M211" s="14" t="inlineStr"/>
      <c r="N211" s="17" t="n"/>
      <c r="O211" s="17" t="n"/>
      <c r="P211" s="17" t="n"/>
      <c r="Q211" s="17" t="n"/>
      <c r="R211" s="17" t="n"/>
    </row>
    <row r="212" ht="175.6" customHeight="1">
      <c r="A212" s="11" t="n">
        <v>208</v>
      </c>
      <c r="B212" s="12" t="n">
        <v>1</v>
      </c>
      <c r="C212" s="13" t="inlineStr">
        <is>
          <t>LP-M-05 / Kernel Plant</t>
        </is>
      </c>
      <c r="D212" s="13" t="inlineStr">
        <is>
          <t>LP-M-05</t>
        </is>
      </c>
      <c r="E212" s="15" t="inlineStr">
        <is>
          <t>Kernel Plant</t>
        </is>
      </c>
      <c r="F212" s="14" t="inlineStr">
        <is>
          <t>Laporan Periode Stasiun (LP-)</t>
        </is>
      </c>
      <c r="G212" s="15" t="inlineStr">
        <is>
          <t>Penjagaan line tidak bisa dilewati lewat coba-lagi atau ganti periode</t>
        </is>
      </c>
      <c r="H212" s="14" t="inlineStr">
        <is>
          <t>OPR-A</t>
        </is>
      </c>
      <c r="I212" s="14" t="inlineStr">
        <is>
          <t>mill dengan 2 line, belum ada yang terpilih</t>
        </is>
      </c>
      <c r="J212"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12" s="14" t="inlineStr">
        <is>
          <t>- Tidak satu pun dari langkah 3–5 memunculkan angka.
- Permintaan memilih Production Line tetap berdiri di setiap langkah.
- Penjagaan ini tidak dapat dilewati dengan memutar lewat Coba Lagi atau ganti periode.</t>
        </is>
      </c>
      <c r="L212" s="16" t="inlineStr">
        <is>
          <t>Tinggi</t>
        </is>
      </c>
      <c r="M212" s="14" t="inlineStr"/>
      <c r="N212" s="17" t="n"/>
      <c r="O212" s="17" t="n"/>
      <c r="P212" s="17" t="n"/>
      <c r="Q212" s="17" t="n"/>
      <c r="R212" s="17" t="n"/>
    </row>
    <row r="213" ht="136" customHeight="1">
      <c r="A213" s="11" t="n">
        <v>209</v>
      </c>
      <c r="B213" s="12" t="n">
        <v>1</v>
      </c>
      <c r="C213" s="13" t="inlineStr">
        <is>
          <t>LP-M-06 / Kernel Plant</t>
        </is>
      </c>
      <c r="D213" s="13" t="inlineStr">
        <is>
          <t>LP-M-06</t>
        </is>
      </c>
      <c r="E213" s="15" t="inlineStr">
        <is>
          <t>Kernel Plant</t>
        </is>
      </c>
      <c r="F213" s="14" t="inlineStr">
        <is>
          <t>Laporan Periode Stasiun (LP-)</t>
        </is>
      </c>
      <c r="G213" s="15" t="inlineStr">
        <is>
          <t>Line yang diingat perangkat dipakai tanpa diminta memilih lagi</t>
        </is>
      </c>
      <c r="H213" s="14" t="inlineStr">
        <is>
          <t>OPR-A</t>
        </is>
      </c>
      <c r="I213" s="14" t="inlineStr">
        <is>
          <t>—</t>
        </is>
      </c>
      <c r="J213"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13" s="14" t="inlineStr">
        <is>
          <t>- Langkah 3: Line 1 sudah terpilih — tidak diminta memilih lagi.
- Langkah 4: masih Line 1 — pilihannya diingat perangkat.
- Angkanya langsung muncul sesudah periode dipilih, tanpa langkah memilih line lagi.</t>
        </is>
      </c>
      <c r="L213" s="11" t="inlineStr">
        <is>
          <t>Sedang</t>
        </is>
      </c>
      <c r="M213" s="14" t="inlineStr"/>
      <c r="N213" s="17" t="n"/>
      <c r="O213" s="17" t="n"/>
      <c r="P213" s="17" t="n"/>
      <c r="Q213" s="17" t="n"/>
      <c r="R213" s="17" t="n"/>
    </row>
    <row r="214" ht="122.8" customHeight="1">
      <c r="A214" s="11" t="n">
        <v>210</v>
      </c>
      <c r="B214" s="12" t="n">
        <v>1</v>
      </c>
      <c r="C214" s="13" t="inlineStr">
        <is>
          <t>LP-M-07 / Kernel Plant</t>
        </is>
      </c>
      <c r="D214" s="13" t="inlineStr">
        <is>
          <t>LP-M-07</t>
        </is>
      </c>
      <c r="E214" s="15" t="inlineStr">
        <is>
          <t>Kernel Plant</t>
        </is>
      </c>
      <c r="F214" s="14" t="inlineStr">
        <is>
          <t>Laporan Periode Stasiun (LP-)</t>
        </is>
      </c>
      <c r="G214" s="15" t="inlineStr">
        <is>
          <t>Line yang diingat sudah tidak ada: pemilih muncul lagi, tanpa menebak</t>
        </is>
      </c>
      <c r="H214" s="14" t="inlineStr">
        <is>
          <t>OPR-A + ADM</t>
        </is>
      </c>
      <c r="I214" s="14" t="inlineStr">
        <is>
          <t>line sudah diingat perangkat</t>
        </is>
      </c>
      <c r="J214"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14"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14" s="11" t="inlineStr">
        <is>
          <t>Sedang</t>
        </is>
      </c>
      <c r="M214" s="14" t="inlineStr"/>
      <c r="N214" s="17" t="n"/>
      <c r="O214" s="17" t="n"/>
      <c r="P214" s="17" t="n"/>
      <c r="Q214" s="17" t="n"/>
      <c r="R214" s="17" t="n"/>
    </row>
    <row r="215" ht="202" customHeight="1">
      <c r="A215" s="11" t="n">
        <v>211</v>
      </c>
      <c r="B215" s="12" t="n">
        <v>1</v>
      </c>
      <c r="C215" s="13" t="inlineStr">
        <is>
          <t>LP-M-08 / Kernel Plant</t>
        </is>
      </c>
      <c r="D215" s="13" t="inlineStr">
        <is>
          <t>LP-M-08</t>
        </is>
      </c>
      <c r="E215" s="15" t="inlineStr">
        <is>
          <t>Kernel Plant</t>
        </is>
      </c>
      <c r="F215" s="14" t="inlineStr">
        <is>
          <t>Laporan Periode Stasiun (LP-)</t>
        </is>
      </c>
      <c r="G215" s="15" t="inlineStr">
        <is>
          <t>Dua pesan yang harus berbeda: mill tanpa line vs daftar line gagal dimuat</t>
        </is>
      </c>
      <c r="H215" s="14" t="inlineStr">
        <is>
          <t>OPR-A</t>
        </is>
      </c>
      <c r="I215" s="14" t="inlineStr">
        <is>
          <t>—</t>
        </is>
      </c>
      <c r="J215"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15"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15" s="11" t="inlineStr">
        <is>
          <t>Sedang</t>
        </is>
      </c>
      <c r="M215" s="14" t="inlineStr">
        <is>
          <t>menyatukan keduanya akan menyuruh pengguna menelepon Admin untuk masalah jaringan.</t>
        </is>
      </c>
      <c r="N215" s="17" t="n"/>
      <c r="O215" s="17" t="n"/>
      <c r="P215" s="17" t="n"/>
      <c r="Q215" s="17" t="n"/>
      <c r="R215" s="17" t="n"/>
    </row>
    <row r="216" ht="215.2" customHeight="1">
      <c r="A216" s="11" t="n">
        <v>212</v>
      </c>
      <c r="B216" s="12" t="n">
        <v>1</v>
      </c>
      <c r="C216" s="13" t="inlineStr">
        <is>
          <t>LP-M-09 / Kernel Plant</t>
        </is>
      </c>
      <c r="D216" s="13" t="inlineStr">
        <is>
          <t>LP-M-09</t>
        </is>
      </c>
      <c r="E216" s="15" t="inlineStr">
        <is>
          <t>Kernel Plant</t>
        </is>
      </c>
      <c r="F216" s="14" t="inlineStr">
        <is>
          <t>Laporan Periode Stasiun (LP-)</t>
        </is>
      </c>
      <c r="G216" s="15" t="inlineStr">
        <is>
          <t>Ganti periode cepat: hanya hasil terakhir yang tampil</t>
        </is>
      </c>
      <c r="H216" s="14" t="inlineStr">
        <is>
          <t>OPR-A</t>
        </is>
      </c>
      <c r="I216" s="14" t="inlineStr">
        <is>
          <t>2 periode dengan angka yang berbeda jelas; koneksi lambat (gunakan throttling bila tersedia)</t>
        </is>
      </c>
      <c r="J216"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16"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16" s="11" t="inlineStr">
        <is>
          <t>Sedang</t>
        </is>
      </c>
      <c r="M216" s="14" t="inlineStr"/>
      <c r="N216" s="17" t="n"/>
      <c r="O216" s="17" t="n"/>
      <c r="P216" s="17" t="n"/>
      <c r="Q216" s="17" t="n"/>
      <c r="R216" s="17" t="n"/>
    </row>
    <row r="217" ht="149.2" customHeight="1">
      <c r="A217" s="11" t="n">
        <v>213</v>
      </c>
      <c r="B217" s="12" t="n">
        <v>1</v>
      </c>
      <c r="C217" s="13" t="inlineStr">
        <is>
          <t>LP-M-10 / Kernel Plant</t>
        </is>
      </c>
      <c r="D217" s="13" t="inlineStr">
        <is>
          <t>LP-M-10</t>
        </is>
      </c>
      <c r="E217" s="15" t="inlineStr">
        <is>
          <t>Kernel Plant</t>
        </is>
      </c>
      <c r="F217" s="14" t="inlineStr">
        <is>
          <t>Laporan Periode Stasiun (LP-)</t>
        </is>
      </c>
      <c r="G217" s="15" t="inlineStr">
        <is>
          <t>Gagal jaringan tidak menghapus pilihan</t>
        </is>
      </c>
      <c r="H217" s="14" t="inlineStr">
        <is>
          <t>OPR-A</t>
        </is>
      </c>
      <c r="I217" s="14" t="inlineStr">
        <is>
          <t>—</t>
        </is>
      </c>
      <c r="J217"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17" s="14" t="inlineStr">
        <is>
          <t>- Muncul pesan jaringan beserta tombol Coba Lagi.
- Pilihan periode dan line tidak hilang — keduanya masih seperti catatan langkah 1.
- Sesudah koneksi kembali, Coba Lagi memuat laporan untuk pilihan yang sama tanpa diminta memilih ulang.</t>
        </is>
      </c>
      <c r="L217" s="11" t="inlineStr">
        <is>
          <t>Sedang</t>
        </is>
      </c>
      <c r="M217" s="14" t="inlineStr"/>
      <c r="N217" s="17" t="n"/>
      <c r="O217" s="17" t="n"/>
      <c r="P217" s="17" t="n"/>
      <c r="Q217" s="17" t="n"/>
      <c r="R217" s="17" t="n"/>
    </row>
    <row r="218" ht="136" customHeight="1">
      <c r="A218" s="11" t="n">
        <v>214</v>
      </c>
      <c r="B218" s="12" t="n">
        <v>1</v>
      </c>
      <c r="C218" s="13" t="inlineStr">
        <is>
          <t>LP-M-11 / Kernel Plant</t>
        </is>
      </c>
      <c r="D218" s="13" t="inlineStr">
        <is>
          <t>LP-M-11</t>
        </is>
      </c>
      <c r="E218" s="15" t="inlineStr">
        <is>
          <t>Kernel Plant</t>
        </is>
      </c>
      <c r="F218" s="14" t="inlineStr">
        <is>
          <t>Laporan Periode Stasiun (LP-)</t>
        </is>
      </c>
      <c r="G218" s="15" t="inlineStr">
        <is>
          <t>Ekspor CSV berhasil mengunduh</t>
        </is>
      </c>
      <c r="H218" s="14" t="inlineStr">
        <is>
          <t>OPR-A</t>
        </is>
      </c>
      <c r="I218" s="14" t="inlineStr">
        <is>
          <t>—</t>
        </is>
      </c>
      <c r="J218"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8" s="14" t="inlineStr">
        <is>
          <t>- Hanya ada pilihan CSV (lihat LS-12).
- Berkas benar-benar terunduh dan dapat dibuka.
- Nama berkasnya menyebut stasiun dan periode.
- Angkanya cocok dengan layar.</t>
        </is>
      </c>
      <c r="L218" s="11" t="inlineStr">
        <is>
          <t>Sedang</t>
        </is>
      </c>
      <c r="M218" s="14" t="inlineStr"/>
      <c r="N218" s="17" t="n"/>
      <c r="O218" s="17" t="n"/>
      <c r="P218" s="17" t="n"/>
      <c r="Q218" s="17" t="n"/>
      <c r="R218" s="17" t="n"/>
    </row>
    <row r="219" ht="109.6" customHeight="1">
      <c r="A219" s="11" t="n">
        <v>215</v>
      </c>
      <c r="B219" s="12" t="n">
        <v>1</v>
      </c>
      <c r="C219" s="13" t="inlineStr">
        <is>
          <t>LP-M-12 / Kernel Plant</t>
        </is>
      </c>
      <c r="D219" s="13" t="inlineStr">
        <is>
          <t>LP-M-12</t>
        </is>
      </c>
      <c r="E219" s="15" t="inlineStr">
        <is>
          <t>Kernel Plant</t>
        </is>
      </c>
      <c r="F219" s="14" t="inlineStr">
        <is>
          <t>Laporan Periode Stasiun (LP-)</t>
        </is>
      </c>
      <c r="G219" s="15" t="inlineStr">
        <is>
          <t>Laporan mobile read-only</t>
        </is>
      </c>
      <c r="H219" s="14" t="inlineStr">
        <is>
          <t>OPR-A</t>
        </is>
      </c>
      <c r="I219" s="14" t="inlineStr">
        <is>
          <t>—</t>
        </is>
      </c>
      <c r="J219"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9" s="14" t="inlineStr">
        <is>
          <t>- Tombol di bagian bawah hanya Ekspor dan Back — tidak ada Simpan, Edit, atau Hapus.
- Tidak satu pun angka dapat diubah.
- Tidak ada kolom input di layar ini selain pemilih periode/line/mill.</t>
        </is>
      </c>
      <c r="L219" s="11" t="inlineStr">
        <is>
          <t>Tinggi ---</t>
        </is>
      </c>
      <c r="M219" s="14" t="inlineStr"/>
      <c r="N219" s="17" t="n"/>
      <c r="O219" s="17" t="n"/>
      <c r="P219" s="17" t="n"/>
      <c r="Q219" s="17" t="n"/>
      <c r="R219" s="17" t="n"/>
    </row>
    <row r="220" ht="122.8" customHeight="1">
      <c r="A220" s="11" t="n">
        <v>216</v>
      </c>
      <c r="B220" s="12" t="n">
        <v>1</v>
      </c>
      <c r="C220" s="13" t="inlineStr">
        <is>
          <t>DS-01</t>
        </is>
      </c>
      <c r="D220" s="13" t="inlineStr">
        <is>
          <t>DS-01</t>
        </is>
      </c>
      <c r="E220" s="14" t="inlineStr">
        <is>
          <t>—</t>
        </is>
      </c>
      <c r="F220" s="14" t="inlineStr">
        <is>
          <t>Dashboard &amp; Laporan lain (DS-)</t>
        </is>
      </c>
      <c r="G220" s="15" t="inlineStr">
        <is>
          <t>Dashboard adalah demo, dan layar MENYATAKANNYA</t>
        </is>
      </c>
      <c r="H220" s="14" t="inlineStr">
        <is>
          <t>SPV-A, MGR-A, ADM</t>
        </is>
      </c>
      <c r="I220" s="14" t="inlineStr">
        <is>
          <t>—</t>
        </is>
      </c>
      <c r="J2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20" s="14" t="inlineStr">
        <is>
          <t>- Judulnya menyebut demo — mis. "CPO Mill Demo · Laporan Harian".
- Ada penanda "Data dummy" yang terlihat tanpa perlu dicari.
- Keterangan hover-nya menyatakan angkanya fiktif dan belum terhubung ke data stasiun.
- Ketiga peran melihat penanda yang sama.</t>
        </is>
      </c>
      <c r="L220" s="16" t="inlineStr">
        <is>
          <t>Tinggi</t>
        </is>
      </c>
      <c r="M220" s="14" t="inlineStr">
        <is>
          <t>ini kasus terpenting di halaman ini. Angka seperti "Milling Hours 11.00" tanpa penanda akan dibaca Mill Management sebagai angka pabriknya sendiri. Kalau penandanya hilang, laporkan sebagai prioritas tinggi — bukan kosmetik.</t>
        </is>
      </c>
      <c r="N220" s="17" t="n"/>
      <c r="O220" s="17" t="n"/>
      <c r="P220" s="17" t="n"/>
      <c r="Q220" s="17" t="n"/>
      <c r="R220" s="17" t="n"/>
    </row>
    <row r="221" ht="162.4" customHeight="1">
      <c r="A221" s="11" t="n">
        <v>217</v>
      </c>
      <c r="B221" s="12" t="n">
        <v>1</v>
      </c>
      <c r="C221" s="13" t="inlineStr">
        <is>
          <t>DS-02</t>
        </is>
      </c>
      <c r="D221" s="13" t="inlineStr">
        <is>
          <t>DS-02</t>
        </is>
      </c>
      <c r="E221" s="14" t="inlineStr">
        <is>
          <t>—</t>
        </is>
      </c>
      <c r="F221" s="14" t="inlineStr">
        <is>
          <t>Dashboard &amp; Laporan lain (DS-)</t>
        </is>
      </c>
      <c r="G221" s="15" t="inlineStr">
        <is>
          <t>Angka dashboard tidak berubah oleh peran, mill, atau tanggal</t>
        </is>
      </c>
      <c r="H221" s="14" t="inlineStr">
        <is>
          <t>SPV-A, SPV-B, MGR-A, ADM</t>
        </is>
      </c>
      <c r="I221" s="14" t="inlineStr">
        <is>
          <t>Mill A dan Mill B punya data stasiun yang berbeda jauh</t>
        </is>
      </c>
      <c r="J2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21" s="11" t="inlineStr">
        <is>
          <t>Sedang</t>
        </is>
      </c>
      <c r="M221" s="14" t="inlineStr">
        <is>
          <t>jangan jalankan LS-03 (isolasi mill) di sini. Halaman ini tidak membaca mill sama sekali, jadi "mill lain terlihat" bukan konsep yang berlaku. Isolasi mill diuji pada Laporan Periode, Data Browser, dan Production Process Activity.</t>
        </is>
      </c>
      <c r="N221" s="17" t="n"/>
      <c r="O221" s="17" t="n"/>
      <c r="P221" s="17" t="n"/>
      <c r="Q221" s="17" t="n"/>
      <c r="R221" s="17" t="n"/>
    </row>
    <row r="222" ht="241.6" customHeight="1">
      <c r="A222" s="11" t="n">
        <v>218</v>
      </c>
      <c r="B222" s="12" t="n">
        <v>1</v>
      </c>
      <c r="C222" s="13" t="inlineStr">
        <is>
          <t>DS-03</t>
        </is>
      </c>
      <c r="D222" s="13" t="inlineStr">
        <is>
          <t>DS-03</t>
        </is>
      </c>
      <c r="E222" s="14" t="inlineStr">
        <is>
          <t>—</t>
        </is>
      </c>
      <c r="F222" s="14" t="inlineStr">
        <is>
          <t>Dashboard &amp; Laporan lain (DS-)</t>
        </is>
      </c>
      <c r="G222" s="15" t="inlineStr">
        <is>
          <t>Angka antar panel saling konsisten</t>
        </is>
      </c>
      <c r="H222" s="14" t="inlineStr">
        <is>
          <t>SPV-A</t>
        </is>
      </c>
      <c r="I222" s="14" t="inlineStr">
        <is>
          <t>—</t>
        </is>
      </c>
      <c r="J2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22" s="11" t="inlineStr">
        <is>
          <t>Sedang</t>
        </is>
      </c>
      <c r="M222" s="14" t="inlineStr">
        <is>
          <t>angkanya dummy, tetapi hubungan antar angkanya tetap harus benar. Ketiga panel ini dulu ditulis tangan di tiga tempat dan pernah berselisih; sejak 2026-09-30 ketiganya diturunkan dari satu sumber. Yang diuji di sini adalah bahwa ketiganya tidak berselisih lagi.</t>
        </is>
      </c>
      <c r="N222" s="17" t="n"/>
      <c r="O222" s="17" t="n"/>
      <c r="P222" s="17" t="n"/>
      <c r="Q222" s="17" t="n"/>
      <c r="R222" s="17" t="n"/>
    </row>
    <row r="223" ht="149.2" customHeight="1">
      <c r="A223" s="11" t="n">
        <v>219</v>
      </c>
      <c r="B223" s="12" t="n">
        <v>1</v>
      </c>
      <c r="C223" s="13" t="inlineStr">
        <is>
          <t>DS-04</t>
        </is>
      </c>
      <c r="D223" s="13" t="inlineStr">
        <is>
          <t>DS-04</t>
        </is>
      </c>
      <c r="E223" s="14" t="inlineStr">
        <is>
          <t>—</t>
        </is>
      </c>
      <c r="F223" s="14" t="inlineStr">
        <is>
          <t>Dashboard &amp; Laporan lain (DS-)</t>
        </is>
      </c>
      <c r="G223" s="15" t="inlineStr">
        <is>
          <t>Laporan Stasiun (Web): tile laporan yang ada aktif, sisanya kelabu</t>
        </is>
      </c>
      <c r="H223" s="14" t="inlineStr">
        <is>
          <t>SPV-A</t>
        </is>
      </c>
      <c r="I223" s="14" t="inlineStr">
        <is>
          <t>—</t>
        </is>
      </c>
      <c r="J223" s="14"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K223" s="14"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23" s="16" t="inlineStr">
        <is>
          <t>Tinggi</t>
        </is>
      </c>
      <c r="M223" s="14" t="inlineStr">
        <is>
          <t>stasiun yang laporannya belum dibangun tetap ditampilkan, bukan dihilangkan — supaya pembaca tahu stasiun itu ada.</t>
        </is>
      </c>
      <c r="N223" s="17" t="n"/>
      <c r="O223" s="17" t="n"/>
      <c r="P223" s="17" t="n"/>
      <c r="Q223" s="17" t="n"/>
      <c r="R223" s="17" t="n"/>
    </row>
    <row r="224" ht="109.6" customHeight="1">
      <c r="A224" s="11" t="n">
        <v>220</v>
      </c>
      <c r="B224" s="12" t="n">
        <v>1</v>
      </c>
      <c r="C224" s="13" t="inlineStr">
        <is>
          <t>DS-05</t>
        </is>
      </c>
      <c r="D224" s="13" t="inlineStr">
        <is>
          <t>DS-05</t>
        </is>
      </c>
      <c r="E224" s="14" t="inlineStr">
        <is>
          <t>—</t>
        </is>
      </c>
      <c r="F224" s="14" t="inlineStr">
        <is>
          <t>Dashboard &amp; Laporan lain (DS-)</t>
        </is>
      </c>
      <c r="G224" s="15" t="inlineStr">
        <is>
          <t>Tile aktif mendarat di laporan stasiun yang benar</t>
        </is>
      </c>
      <c r="H224" s="14" t="inlineStr">
        <is>
          <t>SPV-A</t>
        </is>
      </c>
      <c r="I224" s="14" t="inlineStr">
        <is>
          <t>—</t>
        </is>
      </c>
      <c r="J224" s="14" t="inlineStr">
        <is>
          <t>1. Sidebar → Laporan Stasiun sebagai SPV-A.
2. Tekan tile Pressing. Catat judul layar dan alamatnya.
3. Periksa apakah mill dan Production Line ikut terbawa (sudah terpilih atau tinggal dipilih).
4. Tekan Back, lalu ulangi untuk Kernel Plant dan Storage Tank.</t>
        </is>
      </c>
      <c r="K224" s="14" t="inlineStr">
        <is>
          <t>- Setiap tile aktif mendarat di laporan stasiun yang sama dengan namanya (/reports/&lt;stasiun&gt;).
- Judul layarnya cocok dengan tile yang ditekan.
- Konteks mill terbawa; Production Line tetap wajib dipilih (lihat LS-08).</t>
        </is>
      </c>
      <c r="L224" s="16" t="inlineStr">
        <is>
          <t>Tinggi</t>
        </is>
      </c>
      <c r="M224" s="14" t="inlineStr"/>
      <c r="N224" s="17" t="n"/>
      <c r="O224" s="17" t="n"/>
      <c r="P224" s="17" t="n"/>
      <c r="Q224" s="17" t="n"/>
      <c r="R224" s="17" t="n"/>
    </row>
    <row r="225" ht="109.6" customHeight="1">
      <c r="A225" s="11" t="n">
        <v>221</v>
      </c>
      <c r="B225" s="12" t="n">
        <v>1</v>
      </c>
      <c r="C225" s="13" t="inlineStr">
        <is>
          <t>DS-06</t>
        </is>
      </c>
      <c r="D225" s="13" t="inlineStr">
        <is>
          <t>DS-06</t>
        </is>
      </c>
      <c r="E225" s="14" t="inlineStr">
        <is>
          <t>—</t>
        </is>
      </c>
      <c r="F225" s="14" t="inlineStr">
        <is>
          <t>Dashboard &amp; Laporan lain (DS-)</t>
        </is>
      </c>
      <c r="G225" s="15" t="inlineStr">
        <is>
          <t>Laporan Manajemen hanya untuk Mill Management dan Admin</t>
        </is>
      </c>
      <c r="H225" s="14" t="inlineStr">
        <is>
          <t>SPV-A, MGR-A, ADM</t>
        </is>
      </c>
      <c r="I225" s="14" t="inlineStr">
        <is>
          <t>—</t>
        </is>
      </c>
      <c r="J2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25" s="14" t="inlineStr">
        <is>
          <t>- SPV-A: menu tidak ada di sidebar, dan alamat langsung menjawab 403.
- MGR-A: menu ada dan layarnya terbuka.
- ADM: menu ada dan layarnya terbuka.</t>
        </is>
      </c>
      <c r="L225" s="16" t="inlineStr">
        <is>
          <t>Tinggi</t>
        </is>
      </c>
      <c r="M225" s="14" t="inlineStr"/>
      <c r="N225" s="17" t="n"/>
      <c r="O225" s="17" t="n"/>
      <c r="P225" s="17" t="n"/>
      <c r="Q225" s="17" t="n"/>
      <c r="R225" s="17" t="n"/>
    </row>
    <row r="226" ht="175.6" customHeight="1">
      <c r="A226" s="11" t="n">
        <v>222</v>
      </c>
      <c r="B226" s="12" t="n">
        <v>1</v>
      </c>
      <c r="C226" s="13" t="inlineStr">
        <is>
          <t>DS-07</t>
        </is>
      </c>
      <c r="D226" s="13" t="inlineStr">
        <is>
          <t>DS-07</t>
        </is>
      </c>
      <c r="E226" s="14" t="inlineStr">
        <is>
          <t>—</t>
        </is>
      </c>
      <c r="F226" s="14" t="inlineStr">
        <is>
          <t>Dashboard &amp; Laporan lain (DS-)</t>
        </is>
      </c>
      <c r="G226" s="15" t="inlineStr">
        <is>
          <t>Dashboard &amp; Reporting (Mobile) → Pilih Stasiun</t>
        </is>
      </c>
      <c r="H226" s="14" t="inlineStr">
        <is>
          <t>OPR-A</t>
        </is>
      </c>
      <c r="I226" s="14" t="inlineStr">
        <is>
          <t>—</t>
        </is>
      </c>
      <c r="J2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26" s="16" t="inlineStr">
        <is>
          <t>Tinggi</t>
        </is>
      </c>
      <c r="M226" s="14" t="inlineStr"/>
      <c r="N226" s="17" t="n"/>
      <c r="O226" s="17" t="n"/>
      <c r="P226" s="17" t="n"/>
      <c r="Q226" s="17" t="n"/>
      <c r="R226" s="17" t="n"/>
    </row>
    <row r="227" ht="162.4" customHeight="1">
      <c r="A227" s="11" t="n">
        <v>223</v>
      </c>
      <c r="B227" s="12" t="n">
        <v>1</v>
      </c>
      <c r="C227" s="13" t="inlineStr">
        <is>
          <t>DS-08</t>
        </is>
      </c>
      <c r="D227" s="13" t="inlineStr">
        <is>
          <t>DS-08</t>
        </is>
      </c>
      <c r="E227" s="14" t="inlineStr">
        <is>
          <t>—</t>
        </is>
      </c>
      <c r="F227" s="14" t="inlineStr">
        <is>
          <t>Dashboard &amp; Laporan lain (DS-)</t>
        </is>
      </c>
      <c r="G227" s="15" t="inlineStr">
        <is>
          <t>Production Process Activity (Web): papan status, bukan sekadar peluncur</t>
        </is>
      </c>
      <c r="H227" s="14" t="inlineStr">
        <is>
          <t>SPV-A</t>
        </is>
      </c>
      <c r="I227" s="14" t="inlineStr">
        <is>
          <t>beberapa stasiun punya record hari ini, beberapa belum</t>
        </is>
      </c>
      <c r="J2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27" s="16" t="inlineStr">
        <is>
          <t>Tinggi</t>
        </is>
      </c>
      <c r="M227" s="14" t="inlineStr"/>
      <c r="N227" s="17" t="n"/>
      <c r="O227" s="17" t="n"/>
      <c r="P227" s="17" t="n"/>
      <c r="Q227" s="17" t="n"/>
      <c r="R227" s="17" t="n"/>
    </row>
    <row r="228" ht="136" customHeight="1">
      <c r="A228" s="11" t="n">
        <v>224</v>
      </c>
      <c r="B228" s="12" t="n">
        <v>1</v>
      </c>
      <c r="C228" s="13" t="inlineStr">
        <is>
          <t>DS-09</t>
        </is>
      </c>
      <c r="D228" s="13" t="inlineStr">
        <is>
          <t>DS-09</t>
        </is>
      </c>
      <c r="E228" s="14" t="inlineStr">
        <is>
          <t>—</t>
        </is>
      </c>
      <c r="F228" s="14" t="inlineStr">
        <is>
          <t>Dashboard &amp; Laporan lain (DS-)</t>
        </is>
      </c>
      <c r="G228" s="15" t="inlineStr">
        <is>
          <t>Jumlah tile berwarna cocok dengan angka di kepala halaman</t>
        </is>
      </c>
      <c r="H228" s="14" t="inlineStr">
        <is>
          <t>SPV-A</t>
        </is>
      </c>
      <c r="I228" s="14" t="inlineStr">
        <is>
          <t>—</t>
        </is>
      </c>
      <c r="J2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8" s="11" t="inlineStr">
        <is>
          <t>Sedang</t>
        </is>
      </c>
      <c r="M228" s="14" t="inlineStr"/>
      <c r="N228" s="17" t="n"/>
      <c r="O228" s="17" t="n"/>
      <c r="P228" s="17" t="n"/>
      <c r="Q228" s="17" t="n"/>
      <c r="R228" s="17" t="n"/>
    </row>
    <row r="229" ht="136" customHeight="1">
      <c r="A229" s="11" t="n">
        <v>225</v>
      </c>
      <c r="B229" s="12" t="n">
        <v>1</v>
      </c>
      <c r="C229" s="13" t="inlineStr">
        <is>
          <t>DS-10</t>
        </is>
      </c>
      <c r="D229" s="13" t="inlineStr">
        <is>
          <t>DS-10</t>
        </is>
      </c>
      <c r="E229" s="14" t="inlineStr">
        <is>
          <t>—</t>
        </is>
      </c>
      <c r="F229" s="14" t="inlineStr">
        <is>
          <t>Dashboard &amp; Laporan lain (DS-)</t>
        </is>
      </c>
      <c r="G229" s="15" t="inlineStr">
        <is>
          <t>"Nol hari ini" boleh berdampingan dengan "input terakhir beberapa menit lalu"</t>
        </is>
      </c>
      <c r="H229" s="14" t="inlineStr">
        <is>
          <t>SPV-A</t>
        </is>
      </c>
      <c r="I229" s="14" t="inlineStr">
        <is>
          <t>satu stasiun yang record terakhirnya dibuat tadi tapi tanggalnya kemarin</t>
        </is>
      </c>
      <c r="J2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9" s="11" t="inlineStr">
        <is>
          <t>Sedang</t>
        </is>
      </c>
      <c r="M229" s="14" t="inlineStr">
        <is>
          <t>ini bukan bug. "Hari ini" menghitung record bertanggal hari ini; "input terakhir" tidak dibatasi tanggal. Keterangan di halaman menjelaskannya.</t>
        </is>
      </c>
      <c r="N229" s="17" t="n"/>
      <c r="O229" s="17" t="n"/>
      <c r="P229" s="17" t="n"/>
      <c r="Q229" s="17" t="n"/>
      <c r="R229" s="17" t="n"/>
    </row>
    <row r="230" ht="122.8" customHeight="1">
      <c r="A230" s="11" t="n">
        <v>226</v>
      </c>
      <c r="B230" s="12" t="n">
        <v>1</v>
      </c>
      <c r="C230" s="13" t="inlineStr">
        <is>
          <t>DS-11</t>
        </is>
      </c>
      <c r="D230" s="13" t="inlineStr">
        <is>
          <t>DS-11</t>
        </is>
      </c>
      <c r="E230" s="14" t="inlineStr">
        <is>
          <t>—</t>
        </is>
      </c>
      <c r="F230" s="14" t="inlineStr">
        <is>
          <t>Dashboard &amp; Laporan lain (DS-)</t>
        </is>
      </c>
      <c r="G230" s="15" t="inlineStr">
        <is>
          <t>Tile mengantar ke Data Browser stasiun yang benar</t>
        </is>
      </c>
      <c r="H230" s="14" t="inlineStr">
        <is>
          <t>SPV-A</t>
        </is>
      </c>
      <c r="I230" s="14" t="inlineStr">
        <is>
          <t>—</t>
        </is>
      </c>
      <c r="J2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30" s="14" t="inlineStr">
        <is>
          <t>- Setiap tile aktif mendarat di Data Browser stasiun yang sama dengan namanya (/data/&lt;stasiun&gt;).
- Judul layarnya cocok dengan tile yang ditekan.
- Tile tidak aktif tidak berpindah layar dan tidak memunculkan galat.</t>
        </is>
      </c>
      <c r="L230" s="16" t="inlineStr">
        <is>
          <t>Tinggi</t>
        </is>
      </c>
      <c r="M230" s="14" t="inlineStr"/>
      <c r="N230" s="17" t="n"/>
      <c r="O230" s="17" t="n"/>
      <c r="P230" s="17" t="n"/>
      <c r="Q230" s="17" t="n"/>
      <c r="R230" s="17" t="n"/>
    </row>
    <row r="231" ht="162.4" customHeight="1">
      <c r="A231" s="11" t="n">
        <v>227</v>
      </c>
      <c r="B231" s="12" t="n">
        <v>1</v>
      </c>
      <c r="C231" s="13" t="inlineStr">
        <is>
          <t>DS-12</t>
        </is>
      </c>
      <c r="D231" s="13" t="inlineStr">
        <is>
          <t>DS-12</t>
        </is>
      </c>
      <c r="E231" s="14" t="inlineStr">
        <is>
          <t>—</t>
        </is>
      </c>
      <c r="F231" s="14" t="inlineStr">
        <is>
          <t>Dashboard &amp; Laporan lain (DS-)</t>
        </is>
      </c>
      <c r="G231" s="15" t="inlineStr">
        <is>
          <t>Urutan tile sama antara Web dan Mobile</t>
        </is>
      </c>
      <c r="H231" s="14" t="inlineStr">
        <is>
          <t>SPV-A (web) + OPR-A (mobile)</t>
        </is>
      </c>
      <c r="I231" s="14" t="inlineStr">
        <is>
          <t>—</t>
        </is>
      </c>
      <c r="J2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31" s="11" t="inlineStr">
        <is>
          <t>Sedang</t>
        </is>
      </c>
      <c r="M231" s="14" t="inlineStr">
        <is>
          <t>urutan ini bukan alfabetis dan bukan alur proses — ia urutan yang diminta produk. Yang diuji adalah web dan mobile tidak menyimpang satu dari yang lain. ---</t>
        </is>
      </c>
      <c r="N231" s="17" t="n"/>
      <c r="O231" s="17" t="n"/>
      <c r="P231" s="17" t="n"/>
      <c r="Q231" s="17" t="n"/>
      <c r="R231" s="17" t="n"/>
    </row>
    <row r="232" ht="122.8" customHeight="1">
      <c r="A232" s="11" t="n">
        <v>228</v>
      </c>
      <c r="B232" s="12" t="n">
        <v>1</v>
      </c>
      <c r="C232" s="13" t="inlineStr">
        <is>
          <t>MD-KEL-01 / Business Unit</t>
        </is>
      </c>
      <c r="D232" s="13" t="inlineStr">
        <is>
          <t>MD-KEL-01</t>
        </is>
      </c>
      <c r="E232" s="15" t="inlineStr">
        <is>
          <t>Business Unit</t>
        </is>
      </c>
      <c r="F232" s="14" t="inlineStr">
        <is>
          <t>Master Data (MD-)</t>
        </is>
      </c>
      <c r="G232" s="15" t="inlineStr">
        <is>
          <t>Tambah data berhasil dan langsung terlihat</t>
        </is>
      </c>
      <c r="H232" s="14" t="inlineStr">
        <is>
          <t>ADM</t>
        </is>
      </c>
      <c r="I232" s="14" t="inlineStr">
        <is>
          <t>—</t>
        </is>
      </c>
      <c r="J232"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32" s="14" t="inlineStr">
        <is>
          <t>- Simpan berhasil dengan pesan konfirmasi.
- Entri baru langsung muncul di daftar — tanpa muat ulang manual.
- Jumlah data bertambah satu.</t>
        </is>
      </c>
      <c r="L232" s="16" t="inlineStr">
        <is>
          <t>Tinggi</t>
        </is>
      </c>
      <c r="M232" s="14" t="inlineStr"/>
      <c r="N232" s="17" t="n"/>
      <c r="O232" s="17" t="n"/>
      <c r="P232" s="17" t="n"/>
      <c r="Q232" s="17" t="n"/>
      <c r="R232" s="17" t="n"/>
    </row>
    <row r="233" ht="109.6" customHeight="1">
      <c r="A233" s="11" t="n">
        <v>229</v>
      </c>
      <c r="B233" s="12" t="n">
        <v>1</v>
      </c>
      <c r="C233" s="13" t="inlineStr">
        <is>
          <t>MD-KEL-02 / Business Unit</t>
        </is>
      </c>
      <c r="D233" s="13" t="inlineStr">
        <is>
          <t>MD-KEL-02</t>
        </is>
      </c>
      <c r="E233" s="15" t="inlineStr">
        <is>
          <t>Business Unit</t>
        </is>
      </c>
      <c r="F233" s="14" t="inlineStr">
        <is>
          <t>Master Data (MD-)</t>
        </is>
      </c>
      <c r="G233" s="15" t="inlineStr">
        <is>
          <t>Kolom wajib divalidasi di sebelah kolomnya</t>
        </is>
      </c>
      <c r="H233" s="14" t="inlineStr">
        <is>
          <t>ADM</t>
        </is>
      </c>
      <c r="I233" s="14" t="inlineStr">
        <is>
          <t>—</t>
        </is>
      </c>
      <c r="J233"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33" s="14" t="inlineStr">
        <is>
          <t>- Setiap kali ditolak; data tidak tersimpan.
- Pesan galat muncul di sebelah kolom yang bersangkutan — bukan satu pesan umum di atas form.
- Isi kolom lain tidak hilang.</t>
        </is>
      </c>
      <c r="L233" s="16" t="inlineStr">
        <is>
          <t>Tinggi</t>
        </is>
      </c>
      <c r="M233" s="14" t="inlineStr"/>
      <c r="N233" s="17" t="n"/>
      <c r="O233" s="17" t="n"/>
      <c r="P233" s="17" t="n"/>
      <c r="Q233" s="17" t="n"/>
      <c r="R233" s="17" t="n"/>
    </row>
    <row r="234" ht="122.8" customHeight="1">
      <c r="A234" s="11" t="n">
        <v>230</v>
      </c>
      <c r="B234" s="12" t="n">
        <v>1</v>
      </c>
      <c r="C234" s="13" t="inlineStr">
        <is>
          <t>MD-KEL-03 / Business Unit</t>
        </is>
      </c>
      <c r="D234" s="13" t="inlineStr">
        <is>
          <t>MD-KEL-03</t>
        </is>
      </c>
      <c r="E234" s="15" t="inlineStr">
        <is>
          <t>Business Unit</t>
        </is>
      </c>
      <c r="F234" s="14" t="inlineStr">
        <is>
          <t>Master Data (MD-)</t>
        </is>
      </c>
      <c r="G234" s="15" t="inlineStr">
        <is>
          <t>Nama kembar ditolak, tidak peduli huruf besar-kecil</t>
        </is>
      </c>
      <c r="H234" s="14" t="inlineStr">
        <is>
          <t>ADM</t>
        </is>
      </c>
      <c r="I234" s="14" t="inlineStr">
        <is>
          <t>sudah ada entri bernama mis. PT Contoh</t>
        </is>
      </c>
      <c r="J234" s="14"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234" s="14" t="inlineStr">
        <is>
          <t>- Langkah 2, 3, dan 4 semuanya ditolak.
- Pesannya menyebut bahwa namanya sudah dipakai.
- Hanya satu entri yang ada di daftar.</t>
        </is>
      </c>
      <c r="L234" s="16" t="inlineStr">
        <is>
          <t>Tinggi</t>
        </is>
      </c>
      <c r="M234" s="14" t="inlineStr"/>
      <c r="N234" s="17" t="n"/>
      <c r="O234" s="17" t="n"/>
      <c r="P234" s="17" t="n"/>
      <c r="Q234" s="17" t="n"/>
      <c r="R234" s="17" t="n"/>
    </row>
    <row r="235" ht="175.6" customHeight="1">
      <c r="A235" s="11" t="n">
        <v>231</v>
      </c>
      <c r="B235" s="12" t="n">
        <v>1</v>
      </c>
      <c r="C235" s="13" t="inlineStr">
        <is>
          <t>MD-KEL-04 / Business Unit</t>
        </is>
      </c>
      <c r="D235" s="13" t="inlineStr">
        <is>
          <t>MD-KEL-04</t>
        </is>
      </c>
      <c r="E235" s="15" t="inlineStr">
        <is>
          <t>Business Unit</t>
        </is>
      </c>
      <c r="F235" s="14" t="inlineStr">
        <is>
          <t>Master Data (MD-)</t>
        </is>
      </c>
      <c r="G235" s="15" t="inlineStr">
        <is>
          <t>Induk wajib dipilih</t>
        </is>
      </c>
      <c r="H235" s="14" t="inlineStr">
        <is>
          <t>ADM</t>
        </is>
      </c>
      <c r="I235" s="14" t="inlineStr">
        <is>
          <t>berlaku untuk Company (induk: Corporate), Business Unit (induk: Company), Production Line (induk: Business Unit), Station (induk: Production Line), Machinery (induk: Machinery Group)</t>
        </is>
      </c>
      <c r="J235"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35" s="14"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235" s="16" t="inlineStr">
        <is>
          <t>Tinggi</t>
        </is>
      </c>
      <c r="M235" s="14" t="inlineStr">
        <is>
          <t>pernah ada bug di sini yang memunculkan galat teknis, bukan pesan validasi. Perhatikan bentuk pesannya.</t>
        </is>
      </c>
      <c r="N235" s="17" t="n"/>
      <c r="O235" s="17" t="n"/>
      <c r="P235" s="17" t="n"/>
      <c r="Q235" s="17" t="n"/>
      <c r="R235" s="17" t="n"/>
    </row>
    <row r="236" ht="136" customHeight="1">
      <c r="A236" s="11" t="n">
        <v>232</v>
      </c>
      <c r="B236" s="12" t="n">
        <v>1</v>
      </c>
      <c r="C236" s="13" t="inlineStr">
        <is>
          <t>MD-KEL-05 / Business Unit</t>
        </is>
      </c>
      <c r="D236" s="13" t="inlineStr">
        <is>
          <t>MD-KEL-05</t>
        </is>
      </c>
      <c r="E236" s="15" t="inlineStr">
        <is>
          <t>Business Unit</t>
        </is>
      </c>
      <c r="F236" s="14" t="inlineStr">
        <is>
          <t>Master Data (MD-)</t>
        </is>
      </c>
      <c r="G236" s="15" t="inlineStr">
        <is>
          <t>Nama kembar diperiksa dalam lingkup induknya</t>
        </is>
      </c>
      <c r="H236" s="14" t="inlineStr">
        <is>
          <t>ADM</t>
        </is>
      </c>
      <c r="I236" s="14" t="inlineStr">
        <is>
          <t>dua Corporate berbeda</t>
        </is>
      </c>
      <c r="J236" s="14"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236" s="14" t="inlineStr">
        <is>
          <t>- Langkah 3 berhasil — nama yang sama sah di induk yang berbeda.
- Langkah 4 ditolak — nama kembar di induk yang sama tidak boleh.
- Daftar memuat dua PT Sama, masing-masing dengan induk berbeda, dan induknya terlihat di daftar.</t>
        </is>
      </c>
      <c r="L236" s="11" t="inlineStr">
        <is>
          <t>Sedang</t>
        </is>
      </c>
      <c r="M236" s="14" t="inlineStr"/>
      <c r="N236" s="17" t="n"/>
      <c r="O236" s="17" t="n"/>
      <c r="P236" s="17" t="n"/>
      <c r="Q236" s="17" t="n"/>
      <c r="R236" s="17" t="n"/>
    </row>
    <row r="237" ht="122.8" customHeight="1">
      <c r="A237" s="11" t="n">
        <v>233</v>
      </c>
      <c r="B237" s="12" t="n">
        <v>1</v>
      </c>
      <c r="C237" s="13" t="inlineStr">
        <is>
          <t>MD-KEL-06 / Business Unit</t>
        </is>
      </c>
      <c r="D237" s="13" t="inlineStr">
        <is>
          <t>MD-KEL-06</t>
        </is>
      </c>
      <c r="E237" s="15" t="inlineStr">
        <is>
          <t>Business Unit</t>
        </is>
      </c>
      <c r="F237" s="14" t="inlineStr">
        <is>
          <t>Master Data (MD-)</t>
        </is>
      </c>
      <c r="G237" s="15" t="inlineStr">
        <is>
          <t>Ubah data berhasil dan terlihat</t>
        </is>
      </c>
      <c r="H237" s="14" t="inlineStr">
        <is>
          <t>ADM</t>
        </is>
      </c>
      <c r="I237" s="14" t="inlineStr">
        <is>
          <t>—</t>
        </is>
      </c>
      <c r="J237"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37" s="14" t="inlineStr">
        <is>
          <t>- Nama baru terlihat di daftar.
- Nama baru juga terlihat di layar lain yang memakainya — tidak ada tempat yang masih menampilkan nama lama.
- Id entrinya tidak berubah: record yang menunjuknya tidak terlepas.</t>
        </is>
      </c>
      <c r="L237" s="16" t="inlineStr">
        <is>
          <t>Tinggi</t>
        </is>
      </c>
      <c r="M237" s="14" t="inlineStr"/>
      <c r="N237" s="17" t="n"/>
      <c r="O237" s="17" t="n"/>
      <c r="P237" s="17" t="n"/>
      <c r="Q237" s="17" t="n"/>
      <c r="R237" s="17" t="n"/>
    </row>
    <row r="238" ht="188.8" customHeight="1">
      <c r="A238" s="11" t="n">
        <v>234</v>
      </c>
      <c r="B238" s="12" t="n">
        <v>1</v>
      </c>
      <c r="C238" s="13" t="inlineStr">
        <is>
          <t>MD-KEL-07 / Business Unit</t>
        </is>
      </c>
      <c r="D238" s="13" t="inlineStr">
        <is>
          <t>MD-KEL-07</t>
        </is>
      </c>
      <c r="E238" s="15" t="inlineStr">
        <is>
          <t>Business Unit</t>
        </is>
      </c>
      <c r="F238" s="14" t="inlineStr">
        <is>
          <t>Master Data (MD-)</t>
        </is>
      </c>
      <c r="G238" s="15" t="inlineStr">
        <is>
          <t>Hapus ditolak bila masih punya anak, dengan menyebut jumlahnya</t>
        </is>
      </c>
      <c r="H238" s="14" t="inlineStr">
        <is>
          <t>ADM</t>
        </is>
      </c>
      <c r="I238" s="14" t="inlineStr">
        <is>
          <t>satu Corporate yang punya 2 Company; satu Company yang punya Business Unit; satu Business Unit yang punya Production Line</t>
        </is>
      </c>
      <c r="J238"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8" s="14" t="inlineStr">
        <is>
          <t>- Setiap penghapusan ditolak.
- Pesannya menyebut jumlah penghalangnya — mis. "masih memiliki 2 Company".
- Induknya tidak terhapus, dan tidak ada penghapusan berantai: anak-anaknya juga masih utuh.</t>
        </is>
      </c>
      <c r="L238" s="16" t="inlineStr">
        <is>
          <t>Tinggi</t>
        </is>
      </c>
      <c r="M238" s="14" t="inlineStr"/>
      <c r="N238" s="17" t="n"/>
      <c r="O238" s="17" t="n"/>
      <c r="P238" s="17" t="n"/>
      <c r="Q238" s="17" t="n"/>
      <c r="R238" s="17" t="n"/>
    </row>
    <row r="239" ht="70" customHeight="1">
      <c r="A239" s="11" t="n">
        <v>235</v>
      </c>
      <c r="B239" s="12" t="n">
        <v>1</v>
      </c>
      <c r="C239" s="13" t="inlineStr">
        <is>
          <t>MD-KEL-08 / Business Unit</t>
        </is>
      </c>
      <c r="D239" s="13" t="inlineStr">
        <is>
          <t>MD-KEL-08</t>
        </is>
      </c>
      <c r="E239" s="15" t="inlineStr">
        <is>
          <t>Business Unit</t>
        </is>
      </c>
      <c r="F239" s="14" t="inlineStr">
        <is>
          <t>Master Data (MD-)</t>
        </is>
      </c>
      <c r="G239" s="15" t="inlineStr">
        <is>
          <t>Hapus berhasil bila sudah tidak punya anak</t>
        </is>
      </c>
      <c r="H239" s="14" t="inlineStr">
        <is>
          <t>ADM</t>
        </is>
      </c>
      <c r="I239" s="14" t="inlineStr">
        <is>
          <t>—</t>
        </is>
      </c>
      <c r="J239" s="14" t="inlineStr">
        <is>
          <t>1. Pakai induk yang sama dari MD-KEL-07.
2. Hapus seluruh anaknya satu per satu lebih dulu.
3. Periksa daftar anaknya sudah kosong.
4. Hapus induknya.</t>
        </is>
      </c>
      <c r="K239" s="14" t="inlineStr">
        <is>
          <t>- Penghapusan anak-anaknya berhasil.
- Penghapusan induknya kini berhasil.
- Induk itu hilang dari daftar, dan jumlah data berkurang.</t>
        </is>
      </c>
      <c r="L239" s="16" t="inlineStr">
        <is>
          <t>Tinggi</t>
        </is>
      </c>
      <c r="M239" s="14" t="inlineStr"/>
      <c r="N239" s="17" t="n"/>
      <c r="O239" s="17" t="n"/>
      <c r="P239" s="17" t="n"/>
      <c r="Q239" s="17" t="n"/>
      <c r="R239" s="17" t="n"/>
    </row>
    <row r="240" ht="109.6" customHeight="1">
      <c r="A240" s="11" t="n">
        <v>236</v>
      </c>
      <c r="B240" s="12" t="n">
        <v>1</v>
      </c>
      <c r="C240" s="13" t="inlineStr">
        <is>
          <t>MD-KEL-09 / Business Unit</t>
        </is>
      </c>
      <c r="D240" s="13" t="inlineStr">
        <is>
          <t>MD-KEL-09</t>
        </is>
      </c>
      <c r="E240" s="15" t="inlineStr">
        <is>
          <t>Business Unit</t>
        </is>
      </c>
      <c r="F240" s="14" t="inlineStr">
        <is>
          <t>Master Data (MD-)</t>
        </is>
      </c>
      <c r="G240" s="15" t="inlineStr">
        <is>
          <t>Hapus meminta konfirmasi</t>
        </is>
      </c>
      <c r="H240" s="14" t="inlineStr">
        <is>
          <t>ADM</t>
        </is>
      </c>
      <c r="I240" s="14" t="inlineStr">
        <is>
          <t>—</t>
        </is>
      </c>
      <c r="J240" s="14" t="inlineStr">
        <is>
          <t>1. Login di web, lalu sidebar &gt; Kelola Business Unit (/master-data/business-units) sebagai ADM. Pilih satu entri tanpa anak.
2. Tekan Hapus. Baca dialognya, lalu tekan Batal.
3. Periksa daftar: apakah entri itu masih ada?
4. Tekan Hapus lagi, kali ini setujui.</t>
        </is>
      </c>
      <c r="K240" s="14" t="inlineStr">
        <is>
          <t>- Langkah 2 memunculkan dialog konfirmasi — tidak langsung menghapus.
- Langkah 3: entri masih ada, utuh.
- Langkah 4: entri terhapus dan hilang dari daftar.</t>
        </is>
      </c>
      <c r="L240" s="11" t="inlineStr">
        <is>
          <t>Sedang</t>
        </is>
      </c>
      <c r="M240" s="14" t="inlineStr"/>
      <c r="N240" s="17" t="n"/>
      <c r="O240" s="17" t="n"/>
      <c r="P240" s="17" t="n"/>
      <c r="Q240" s="17" t="n"/>
      <c r="R240" s="17" t="n"/>
    </row>
    <row r="241" ht="162.4" customHeight="1">
      <c r="A241" s="11" t="n">
        <v>237</v>
      </c>
      <c r="B241" s="12" t="n">
        <v>1</v>
      </c>
      <c r="C241" s="13" t="inlineStr">
        <is>
          <t>MD-KEL-10 / Business Unit</t>
        </is>
      </c>
      <c r="D241" s="13" t="inlineStr">
        <is>
          <t>MD-KEL-10</t>
        </is>
      </c>
      <c r="E241" s="15" t="inlineStr">
        <is>
          <t>Business Unit</t>
        </is>
      </c>
      <c r="F241" s="14" t="inlineStr">
        <is>
          <t>Master Data (MD-)</t>
        </is>
      </c>
      <c r="G241" s="15" t="inlineStr">
        <is>
          <t>Pencarian dan paginasi bekerja bersama</t>
        </is>
      </c>
      <c r="H241" s="14" t="inlineStr">
        <is>
          <t>ADM</t>
        </is>
      </c>
      <c r="I241" s="14" t="inlineStr">
        <is>
          <t>data lebih dari satu halaman</t>
        </is>
      </c>
      <c r="J241" s="14"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41" s="14" t="inlineStr">
        <is>
          <t>- Seluruh baris di halaman 2 (dan 3) masih cocok dengan kata kuncinya.
- Jumlah total hasil tidak berubah saat berpindah halaman.
- Kata kuncinya masih terisi di kolom pencarian setelah pindah halaman.</t>
        </is>
      </c>
      <c r="L241" s="16" t="inlineStr">
        <is>
          <t>Tinggi</t>
        </is>
      </c>
      <c r="M241" s="14" t="inlineStr"/>
      <c r="N241" s="17" t="n"/>
      <c r="O241" s="17" t="n"/>
      <c r="P241" s="17" t="n"/>
      <c r="Q241" s="17" t="n"/>
      <c r="R241" s="17" t="n"/>
    </row>
    <row r="242" ht="122.8" customHeight="1">
      <c r="A242" s="11" t="n">
        <v>238</v>
      </c>
      <c r="B242" s="12" t="n">
        <v>1</v>
      </c>
      <c r="C242" s="13" t="inlineStr">
        <is>
          <t>MD-KEL-11 / Business Unit</t>
        </is>
      </c>
      <c r="D242" s="13" t="inlineStr">
        <is>
          <t>MD-KEL-11</t>
        </is>
      </c>
      <c r="E242" s="15" t="inlineStr">
        <is>
          <t>Business Unit</t>
        </is>
      </c>
      <c r="F242" s="14" t="inlineStr">
        <is>
          <t>Master Data (MD-)</t>
        </is>
      </c>
      <c r="G242" s="15" t="inlineStr">
        <is>
          <t>Pencarian tidak peduli huruf besar-kecil, dan karakter khusus diperlakukan sebagai huruf biasa</t>
        </is>
      </c>
      <c r="H242" s="14" t="inlineStr">
        <is>
          <t>ADM</t>
        </is>
      </c>
      <c r="I242" s="14" t="inlineStr">
        <is>
          <t>entri bernama mis. Mill 100% Murni dan Mill BU_A</t>
        </is>
      </c>
      <c r="J242" s="14"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242"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42" s="11" t="inlineStr">
        <is>
          <t>Sedang</t>
        </is>
      </c>
      <c r="M242" s="14" t="inlineStr">
        <is>
          <t>% dan _ adalah karakter khusus pencarian di banyak sistem. Di sini keduanya harus diperlakukan sebagai huruf biasa.</t>
        </is>
      </c>
      <c r="N242" s="17" t="n"/>
      <c r="O242" s="17" t="n"/>
      <c r="P242" s="17" t="n"/>
      <c r="Q242" s="17" t="n"/>
      <c r="R242" s="17" t="n"/>
    </row>
    <row r="243" ht="122.8" customHeight="1">
      <c r="A243" s="11" t="n">
        <v>239</v>
      </c>
      <c r="B243" s="12" t="n">
        <v>1</v>
      </c>
      <c r="C243" s="13" t="inlineStr">
        <is>
          <t>MD-KEL-12 / Business Unit</t>
        </is>
      </c>
      <c r="D243" s="13" t="inlineStr">
        <is>
          <t>MD-KEL-12</t>
        </is>
      </c>
      <c r="E243" s="15" t="inlineStr">
        <is>
          <t>Business Unit</t>
        </is>
      </c>
      <c r="F243" s="14" t="inlineStr">
        <is>
          <t>Master Data (MD-)</t>
        </is>
      </c>
      <c r="G243" s="15" t="inlineStr">
        <is>
          <t>Logo mill dapat diunggah dan terlihat</t>
        </is>
      </c>
      <c r="H243" s="14" t="inlineStr">
        <is>
          <t>ADM</t>
        </is>
      </c>
      <c r="I243" s="14" t="inlineStr">
        <is>
          <t>berlaku untuk Business Unit</t>
        </is>
      </c>
      <c r="J243"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43" s="14" t="inlineStr">
        <is>
          <t>- Logo gambar tersimpan dan terlihat saat entri dibuka kembali.
- Berkas bukan gambar ditolak dengan pesan yang jelas.
- Penolakan itu tidak menghapus logo yang sudah tersimpan sebelumnya.</t>
        </is>
      </c>
      <c r="L243" s="11" t="inlineStr">
        <is>
          <t>Rendah</t>
        </is>
      </c>
      <c r="M243" s="14" t="inlineStr"/>
      <c r="N243" s="17" t="n"/>
      <c r="O243" s="17" t="n"/>
      <c r="P243" s="17" t="n"/>
      <c r="Q243" s="17" t="n"/>
      <c r="R243" s="17" t="n"/>
    </row>
    <row r="244" ht="122.8" customHeight="1">
      <c r="A244" s="11" t="n">
        <v>240</v>
      </c>
      <c r="B244" s="12" t="n">
        <v>1</v>
      </c>
      <c r="C244" s="13" t="inlineStr">
        <is>
          <t>MD-STR-01</t>
        </is>
      </c>
      <c r="D244" s="13" t="inlineStr">
        <is>
          <t>MD-STR-01</t>
        </is>
      </c>
      <c r="E244" s="14" t="inlineStr">
        <is>
          <t>—</t>
        </is>
      </c>
      <c r="F244" s="14" t="inlineStr">
        <is>
          <t>Master Data (MD-)</t>
        </is>
      </c>
      <c r="G244" s="15" t="inlineStr">
        <is>
          <t>Papan kartu per mill tampil dengan hierarki di atasnya</t>
        </is>
      </c>
      <c r="H244" s="14" t="inlineStr">
        <is>
          <t>ADM</t>
        </is>
      </c>
      <c r="I244" s="14" t="inlineStr">
        <is>
          <t>—</t>
        </is>
      </c>
      <c r="J244"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44" s="14" t="inlineStr">
        <is>
          <t>- Satu kartu per mill.
- Tiap kartu memuat jalur corporate › company di atas nama mill-nya.
- Kode mill dan jumlah Production Line tercetak.
- Daftar Production Line ada di dalam kartu, masing-masing dengan aksinya.</t>
        </is>
      </c>
      <c r="L244" s="16" t="inlineStr">
        <is>
          <t>Tinggi</t>
        </is>
      </c>
      <c r="M244" s="14" t="inlineStr"/>
      <c r="N244" s="17" t="n"/>
      <c r="O244" s="17" t="n"/>
      <c r="P244" s="17" t="n"/>
      <c r="Q244" s="17" t="n"/>
      <c r="R244" s="17" t="n"/>
    </row>
    <row r="245" ht="136" customHeight="1">
      <c r="A245" s="11" t="n">
        <v>241</v>
      </c>
      <c r="B245" s="12" t="n">
        <v>1</v>
      </c>
      <c r="C245" s="13" t="inlineStr">
        <is>
          <t>MD-STR-02</t>
        </is>
      </c>
      <c r="D245" s="13" t="inlineStr">
        <is>
          <t>MD-STR-02</t>
        </is>
      </c>
      <c r="E245" s="14" t="inlineStr">
        <is>
          <t>—</t>
        </is>
      </c>
      <c r="F245" s="14" t="inlineStr">
        <is>
          <t>Master Data (MD-)</t>
        </is>
      </c>
      <c r="G245" s="15" t="inlineStr">
        <is>
          <t>Keempat tingkat dapat dikelola dari layar ini</t>
        </is>
      </c>
      <c r="H245" s="14" t="inlineStr">
        <is>
          <t>ADM</t>
        </is>
      </c>
      <c r="I245" s="14" t="inlineStr">
        <is>
          <t>—</t>
        </is>
      </c>
      <c r="J245"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45" s="14" t="inlineStr">
        <is>
          <t>- Ketiga aksi (tambah, ubah, hapus) berhasil pada keempat tingkat.
- Semuanya lewat modal — tidak berpindah ke layar lain.
- Sesudah tiap aksi, kartu/daftarnya ikut berubah tanpa muat ulang manual.</t>
        </is>
      </c>
      <c r="L245" s="16" t="inlineStr">
        <is>
          <t>Tinggi</t>
        </is>
      </c>
      <c r="M245" s="14" t="inlineStr"/>
      <c r="N245" s="17" t="n"/>
      <c r="O245" s="17" t="n"/>
      <c r="P245" s="17" t="n"/>
      <c r="Q245" s="17" t="n"/>
      <c r="R245" s="17" t="n"/>
    </row>
    <row r="246" ht="96.39999999999999" customHeight="1">
      <c r="A246" s="11" t="n">
        <v>242</v>
      </c>
      <c r="B246" s="12" t="n">
        <v>1</v>
      </c>
      <c r="C246" s="13" t="inlineStr">
        <is>
          <t>MD-STR-03</t>
        </is>
      </c>
      <c r="D246" s="13" t="inlineStr">
        <is>
          <t>MD-STR-03</t>
        </is>
      </c>
      <c r="E246" s="14" t="inlineStr">
        <is>
          <t>—</t>
        </is>
      </c>
      <c r="F246" s="14" t="inlineStr">
        <is>
          <t>Master Data (MD-)</t>
        </is>
      </c>
      <c r="G246" s="15" t="inlineStr">
        <is>
          <t>Corporate dan Company tetap terkelola walau tidak punya anak</t>
        </is>
      </c>
      <c r="H246" s="14" t="inlineStr">
        <is>
          <t>ADM</t>
        </is>
      </c>
      <c r="I246" s="14" t="inlineStr">
        <is>
          <t>satu Corporate yang belum punya Company</t>
        </is>
      </c>
      <c r="J246" s="14" t="inlineStr">
        <is>
          <t>1. Sebagai ADM, siapkan satu Corporate yang belum punya Company sama sekali.
2. Login di web, lalu sidebar &gt; Struktur Mills (/master-data/tree-view).
3. Cari Corporate itu di bagian ringkas Corporate/Company.
4. Ubah namanya dari layar ini, lalu Simpan.</t>
        </is>
      </c>
      <c r="K246"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46" s="16" t="inlineStr">
        <is>
          <t>Tinggi</t>
        </is>
      </c>
      <c r="M246" s="14" t="inlineStr">
        <is>
          <t>kartu mill hanya memuat mill. Corporate/Company tanpa anak tidak boleh hilang dari layar ini, karena kalau hilang ia tidak dapat dikelola di mana pun.</t>
        </is>
      </c>
      <c r="N246" s="17" t="n"/>
      <c r="O246" s="17" t="n"/>
      <c r="P246" s="17" t="n"/>
      <c r="Q246" s="17" t="n"/>
      <c r="R246" s="17" t="n"/>
    </row>
    <row r="247" ht="122.8" customHeight="1">
      <c r="A247" s="11" t="n">
        <v>243</v>
      </c>
      <c r="B247" s="12" t="n">
        <v>1</v>
      </c>
      <c r="C247" s="13" t="inlineStr">
        <is>
          <t>MD-STR-04</t>
        </is>
      </c>
      <c r="D247" s="13" t="inlineStr">
        <is>
          <t>MD-STR-04</t>
        </is>
      </c>
      <c r="E247" s="14" t="inlineStr">
        <is>
          <t>—</t>
        </is>
      </c>
      <c r="F247" s="14" t="inlineStr">
        <is>
          <t>Master Data (MD-)</t>
        </is>
      </c>
      <c r="G247" s="15" t="inlineStr">
        <is>
          <t>Pencarian menyaring sebelum paginasi</t>
        </is>
      </c>
      <c r="H247" s="14" t="inlineStr">
        <is>
          <t>ADM</t>
        </is>
      </c>
      <c r="I247" s="14" t="inlineStr">
        <is>
          <t>mill lebih dari satu halaman</t>
        </is>
      </c>
      <c r="J247"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47" s="14" t="inlineStr">
        <is>
          <t>- Mill itu ditemukan.
- Pencarian menyaring seluruh data, bukan hanya halaman yang sedang tampil.
- Kalau tidak ditemukan, itu bug: hasil di halaman lain akan terbaca "tidak ada".</t>
        </is>
      </c>
      <c r="L247" s="16" t="inlineStr">
        <is>
          <t>Tinggi</t>
        </is>
      </c>
      <c r="M247" s="14" t="inlineStr">
        <is>
          <t>kalau pencarian hanya menyaring halaman aktif, hasil di halaman lain terbaca sebagai "tidak ditemukan" — itu bug.</t>
        </is>
      </c>
      <c r="N247" s="17" t="n"/>
      <c r="O247" s="17" t="n"/>
      <c r="P247" s="17" t="n"/>
      <c r="Q247" s="17" t="n"/>
      <c r="R247" s="17" t="n"/>
    </row>
    <row r="248" ht="96.39999999999999" customHeight="1">
      <c r="A248" s="11" t="n">
        <v>244</v>
      </c>
      <c r="B248" s="12" t="n">
        <v>1</v>
      </c>
      <c r="C248" s="13" t="inlineStr">
        <is>
          <t>MD-STR-05</t>
        </is>
      </c>
      <c r="D248" s="13" t="inlineStr">
        <is>
          <t>MD-STR-05</t>
        </is>
      </c>
      <c r="E248" s="14" t="inlineStr">
        <is>
          <t>—</t>
        </is>
      </c>
      <c r="F248" s="14" t="inlineStr">
        <is>
          <t>Master Data (MD-)</t>
        </is>
      </c>
      <c r="G248" s="15" t="inlineStr">
        <is>
          <t>Aturan hapus sama dengan layar Kelola</t>
        </is>
      </c>
      <c r="H248" s="14" t="inlineStr">
        <is>
          <t>ADM</t>
        </is>
      </c>
      <c r="I248" s="14" t="inlineStr">
        <is>
          <t>—</t>
        </is>
      </c>
      <c r="J248" s="14" t="inlineStr">
        <is>
          <t>1. Login di web, lalu sidebar &gt; Struktur Mills (/master-data/tree-view) sebagai ADM.
2. Jalankan seluruh langkah MD-KEL-07 dari layar ini (hapus induk yang masih punya anak).
3. Jalankan seluruh langkah MD-KEL-08 dari layar ini.</t>
        </is>
      </c>
      <c r="K248" s="14" t="inlineStr">
        <is>
          <t>- Hasilnya sama dengan layar Kelola: penolakan menyebut jumlah penghalangnya.
- Tidak ada penghapusan berantai.
- Penghapusan berhasil hanya setelah anaknya habis.</t>
        </is>
      </c>
      <c r="L248" s="16" t="inlineStr">
        <is>
          <t>Tinggi</t>
        </is>
      </c>
      <c r="M248" s="14" t="inlineStr"/>
      <c r="N248" s="17" t="n"/>
      <c r="O248" s="17" t="n"/>
      <c r="P248" s="17" t="n"/>
      <c r="Q248" s="17" t="n"/>
      <c r="R248" s="17" t="n"/>
    </row>
    <row r="249" ht="109.6" customHeight="1">
      <c r="A249" s="11" t="n">
        <v>245</v>
      </c>
      <c r="B249" s="12" t="n">
        <v>1</v>
      </c>
      <c r="C249" s="13" t="inlineStr">
        <is>
          <t>MD-PRD-01</t>
        </is>
      </c>
      <c r="D249" s="13" t="inlineStr">
        <is>
          <t>MD-PRD-01</t>
        </is>
      </c>
      <c r="E249" s="14" t="inlineStr">
        <is>
          <t>—</t>
        </is>
      </c>
      <c r="F249" s="14" t="inlineStr">
        <is>
          <t>Master Data (MD-)</t>
        </is>
      </c>
      <c r="G249" s="15" t="inlineStr">
        <is>
          <t>Hanya Admin dapat membuka layar ini</t>
        </is>
      </c>
      <c r="H249" s="14" t="inlineStr">
        <is>
          <t>SPV-A, MGR-A, ADM</t>
        </is>
      </c>
      <c r="I249" s="14" t="inlineStr">
        <is>
          <t>—</t>
        </is>
      </c>
      <c r="J249"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9" s="14" t="inlineStr">
        <is>
          <t>- SPV-A: menu tidak ada, alamat langsung menjawab 403.
- MGR-A: sama — 403.
- ADM: menu ada dan layarnya terbuka.</t>
        </is>
      </c>
      <c r="L249" s="16" t="inlineStr">
        <is>
          <t>Tinggi</t>
        </is>
      </c>
      <c r="M249" s="14" t="inlineStr"/>
      <c r="N249" s="17" t="n"/>
      <c r="O249" s="17" t="n"/>
      <c r="P249" s="17" t="n"/>
      <c r="Q249" s="17" t="n"/>
      <c r="R249" s="17" t="n"/>
    </row>
    <row r="250" ht="136" customHeight="1">
      <c r="A250" s="11" t="n">
        <v>246</v>
      </c>
      <c r="B250" s="12" t="n">
        <v>1</v>
      </c>
      <c r="C250" s="13" t="inlineStr">
        <is>
          <t>MD-PRD-02</t>
        </is>
      </c>
      <c r="D250" s="13" t="inlineStr">
        <is>
          <t>MD-PRD-02</t>
        </is>
      </c>
      <c r="E250" s="14" t="inlineStr">
        <is>
          <t>—</t>
        </is>
      </c>
      <c r="F250" s="14" t="inlineStr">
        <is>
          <t>Master Data (MD-)</t>
        </is>
      </c>
      <c r="G250" s="15" t="inlineStr">
        <is>
          <t>Panel "Periode Terbuka Hari Ini" memakai syarat gabungan</t>
        </is>
      </c>
      <c r="H250" s="14" t="inlineStr">
        <is>
          <t>ADM</t>
        </is>
      </c>
      <c r="I250" s="14" t="inlineStr">
        <is>
          <t>(a) periode yang punya stasiun Terbuka dan mencakup hari ini; (b) periode yang punya stasiun Terbuka tapi tidak mencakup hari ini</t>
        </is>
      </c>
      <c r="J250"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50" s="14" t="inlineStr">
        <is>
          <t>- Hanya (a) yang muncul di panel.
- (b) tidak muncul — tanggal hari ini adalah bagian dari syaratnya, bukan sekadar penanda.
- Keduanya tetap terlihat di daftar periode utama di bawahnya.</t>
        </is>
      </c>
      <c r="L250" s="11" t="inlineStr">
        <is>
          <t>Sedang</t>
        </is>
      </c>
      <c r="M250" s="14" t="inlineStr"/>
      <c r="N250" s="17" t="n"/>
      <c r="O250" s="17" t="n"/>
      <c r="P250" s="17" t="n"/>
      <c r="Q250" s="17" t="n"/>
      <c r="R250" s="17" t="n"/>
    </row>
    <row r="251" ht="109.6" customHeight="1">
      <c r="A251" s="11" t="n">
        <v>247</v>
      </c>
      <c r="B251" s="12" t="n">
        <v>1</v>
      </c>
      <c r="C251" s="13" t="inlineStr">
        <is>
          <t>MD-PRD-03</t>
        </is>
      </c>
      <c r="D251" s="13" t="inlineStr">
        <is>
          <t>MD-PRD-03</t>
        </is>
      </c>
      <c r="E251" s="14" t="inlineStr">
        <is>
          <t>—</t>
        </is>
      </c>
      <c r="F251" s="14" t="inlineStr">
        <is>
          <t>Master Data (MD-)</t>
        </is>
      </c>
      <c r="G251" s="15" t="inlineStr">
        <is>
          <t>Mill tanpa periode yang memenuhi syarat tetap punya kartu, dalam keadaan redup</t>
        </is>
      </c>
      <c r="H251" s="14" t="inlineStr">
        <is>
          <t>ADM</t>
        </is>
      </c>
      <c r="I251" s="14" t="inlineStr">
        <is>
          <t>satu mill tanpa periode terbuka hari ini</t>
        </is>
      </c>
      <c r="J251"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51" s="14" t="inlineStr">
        <is>
          <t>- Mill itu tetap punya kartu, tampil redup.
- Ia tidak disembunyikan — ketiadaan periode adalah informasi, bukan alasan menghilangkan mill.
- Ada keterangan pada kartu itu bahwa belum ada periode terbuka hari ini.</t>
        </is>
      </c>
      <c r="L251" s="11" t="inlineStr">
        <is>
          <t>Sedang</t>
        </is>
      </c>
      <c r="M251" s="14" t="inlineStr"/>
      <c r="N251" s="17" t="n"/>
      <c r="O251" s="17" t="n"/>
      <c r="P251" s="17" t="n"/>
      <c r="Q251" s="17" t="n"/>
      <c r="R251" s="17" t="n"/>
    </row>
    <row r="252" ht="162.4" customHeight="1">
      <c r="A252" s="11" t="n">
        <v>248</v>
      </c>
      <c r="B252" s="12" t="n">
        <v>1</v>
      </c>
      <c r="C252" s="13" t="inlineStr">
        <is>
          <t>MD-PRD-04</t>
        </is>
      </c>
      <c r="D252" s="13" t="inlineStr">
        <is>
          <t>MD-PRD-04</t>
        </is>
      </c>
      <c r="E252" s="14" t="inlineStr">
        <is>
          <t>—</t>
        </is>
      </c>
      <c r="F252" s="14" t="inlineStr">
        <is>
          <t>Master Data (MD-)</t>
        </is>
      </c>
      <c r="G252" s="15" t="inlineStr">
        <is>
          <t>Hitungan pada kartu adalah stasiun Terbuka dibanding seluruh stasiun periode</t>
        </is>
      </c>
      <c r="H252" s="14" t="inlineStr">
        <is>
          <t>ADM</t>
        </is>
      </c>
      <c r="I252" s="14" t="inlineStr">
        <is>
          <t>periode dengan sebagian stasiun Terbuka dan sebagian Tertutup</t>
        </is>
      </c>
      <c r="J252"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52" s="14" t="inlineStr">
        <is>
          <t>- Angka pada kartu adalah stasiun Terbuka dibanding seluruh stasiun periode itu.
- Angkanya cocok dengan hitungan manual dari Detail Periode.
- Penyebutnya bukan 18 dan bukan jumlah stasiun mill — tapi jumlah stasiun pada periode itu.</t>
        </is>
      </c>
      <c r="L252" s="11" t="inlineStr">
        <is>
          <t>Sedang</t>
        </is>
      </c>
      <c r="M252" s="14" t="inlineStr"/>
      <c r="N252" s="17" t="n"/>
      <c r="O252" s="17" t="n"/>
      <c r="P252" s="17" t="n"/>
      <c r="Q252" s="17" t="n"/>
      <c r="R252" s="17" t="n"/>
    </row>
    <row r="253" ht="83.19999999999999" customHeight="1">
      <c r="A253" s="11" t="n">
        <v>249</v>
      </c>
      <c r="B253" s="12" t="n">
        <v>1</v>
      </c>
      <c r="C253" s="13" t="inlineStr">
        <is>
          <t>MD-PRD-05</t>
        </is>
      </c>
      <c r="D253" s="13" t="inlineStr">
        <is>
          <t>MD-PRD-05</t>
        </is>
      </c>
      <c r="E253" s="14" t="inlineStr">
        <is>
          <t>—</t>
        </is>
      </c>
      <c r="F253" s="14" t="inlineStr">
        <is>
          <t>Master Data (MD-)</t>
        </is>
      </c>
      <c r="G253" s="15" t="inlineStr">
        <is>
          <t>Mill wajib dipilih saat membuat periode</t>
        </is>
      </c>
      <c r="H253" s="14" t="inlineStr">
        <is>
          <t>ADM</t>
        </is>
      </c>
      <c r="I253" s="14" t="inlineStr">
        <is>
          <t>—</t>
        </is>
      </c>
      <c r="J253" s="14" t="inlineStr">
        <is>
          <t>1. Login di web, lalu sidebar &gt; Kelola Periode Pelaporan (/master-data/periods) sebagai ADM. Tekan Tambah Periode.
2. Isi nama, tanggal mulai, dan tanggal selesai — tapi jangan pilih Business Unit.
3. Tekan Simpan.</t>
        </is>
      </c>
      <c r="K253" s="14" t="inlineStr">
        <is>
          <t>- Ditolak dengan pesan yang menunjuk kolom mill / Business Unit.
- Periode tidak tersimpan.
- Isi kolom lain tidak hilang.</t>
        </is>
      </c>
      <c r="L253" s="16" t="inlineStr">
        <is>
          <t>Tinggi</t>
        </is>
      </c>
      <c r="M253" s="14" t="inlineStr"/>
      <c r="N253" s="17" t="n"/>
      <c r="O253" s="17" t="n"/>
      <c r="P253" s="17" t="n"/>
      <c r="Q253" s="17" t="n"/>
      <c r="R253" s="17" t="n"/>
    </row>
    <row r="254" ht="122.8" customHeight="1">
      <c r="A254" s="11" t="n">
        <v>250</v>
      </c>
      <c r="B254" s="12" t="n">
        <v>1</v>
      </c>
      <c r="C254" s="13" t="inlineStr">
        <is>
          <t>MD-PRD-06</t>
        </is>
      </c>
      <c r="D254" s="13" t="inlineStr">
        <is>
          <t>MD-PRD-06</t>
        </is>
      </c>
      <c r="E254" s="14" t="inlineStr">
        <is>
          <t>—</t>
        </is>
      </c>
      <c r="F254" s="14" t="inlineStr">
        <is>
          <t>Master Data (MD-)</t>
        </is>
      </c>
      <c r="G254" s="15" t="inlineStr">
        <is>
          <t>Periode tumpang tindih pada satu mill ditolak</t>
        </is>
      </c>
      <c r="H254" s="14" t="inlineStr">
        <is>
          <t>ADM</t>
        </is>
      </c>
      <c r="I254" s="14" t="inlineStr">
        <is>
          <t>sudah ada periode 1–31 Oktober pada Mill A</t>
        </is>
      </c>
      <c r="J254"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54" s="14" t="inlineStr">
        <is>
          <t>- Langkah 2 ditolak, dengan pesan yang menyebut tumpang tindih dengan periode yang sudah ada.
- Langkah 4 berhasil — tumpang tindih hanya dilarang dalam satu mill yang sama.</t>
        </is>
      </c>
      <c r="L254" s="16" t="inlineStr">
        <is>
          <t>Tinggi</t>
        </is>
      </c>
      <c r="M254" s="14" t="inlineStr"/>
      <c r="N254" s="17" t="n"/>
      <c r="O254" s="17" t="n"/>
      <c r="P254" s="17" t="n"/>
      <c r="Q254" s="17" t="n"/>
      <c r="R254" s="17" t="n"/>
    </row>
    <row r="255" ht="122.8" customHeight="1">
      <c r="A255" s="11" t="n">
        <v>251</v>
      </c>
      <c r="B255" s="12" t="n">
        <v>1</v>
      </c>
      <c r="C255" s="13" t="inlineStr">
        <is>
          <t>MD-PRD-07</t>
        </is>
      </c>
      <c r="D255" s="13" t="inlineStr">
        <is>
          <t>MD-PRD-07</t>
        </is>
      </c>
      <c r="E255" s="14" t="inlineStr">
        <is>
          <t>—</t>
        </is>
      </c>
      <c r="F255" s="14" t="inlineStr">
        <is>
          <t>Master Data (MD-)</t>
        </is>
      </c>
      <c r="G255" s="15" t="inlineStr">
        <is>
          <t>Periode tidak memilih jenis stasiun; daftarnya diturunkan sistem</t>
        </is>
      </c>
      <c r="H255" s="14" t="inlineStr">
        <is>
          <t>ADM</t>
        </is>
      </c>
      <c r="I255" s="14" t="inlineStr">
        <is>
          <t>—</t>
        </is>
      </c>
      <c r="J255"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55" s="14" t="inlineStr">
        <is>
          <t>- Saat membuat, tidak ada pilihan jenis stasiun sama sekali.
- Di Detail, daftar stasiunnya sudah terisi sesuai stasiun yang ada di mill itu — diturunkan sistem.
- Setiap stasiun pada daftar itu punya statusnya sendiri (draft/terbuka/tertutup).</t>
        </is>
      </c>
      <c r="L255" s="11" t="inlineStr">
        <is>
          <t>Sedang</t>
        </is>
      </c>
      <c r="M255" s="14" t="inlineStr"/>
      <c r="N255" s="17" t="n"/>
      <c r="O255" s="17" t="n"/>
      <c r="P255" s="17" t="n"/>
      <c r="Q255" s="17" t="n"/>
      <c r="R255" s="17" t="n"/>
    </row>
    <row r="256" ht="122.8" customHeight="1">
      <c r="A256" s="11" t="n">
        <v>252</v>
      </c>
      <c r="B256" s="12" t="n">
        <v>1</v>
      </c>
      <c r="C256" s="13" t="inlineStr">
        <is>
          <t>MD-PRD-08</t>
        </is>
      </c>
      <c r="D256" s="13" t="inlineStr">
        <is>
          <t>MD-PRD-08</t>
        </is>
      </c>
      <c r="E256" s="14" t="inlineStr">
        <is>
          <t>—</t>
        </is>
      </c>
      <c r="F256" s="14" t="inlineStr">
        <is>
          <t>Master Data (MD-)</t>
        </is>
      </c>
      <c r="G256" s="15" t="inlineStr">
        <is>
          <t>Tanggal akhir tidak boleh sebelum tanggal mulai</t>
        </is>
      </c>
      <c r="H256" s="14" t="inlineStr">
        <is>
          <t>ADM</t>
        </is>
      </c>
      <c r="I256" s="14" t="inlineStr">
        <is>
          <t>—</t>
        </is>
      </c>
      <c r="J256"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56" s="14" t="inlineStr">
        <is>
          <t>- Tanggal selesai lebih awal ditolak, dengan pesan yang menyebut rentangnya, muncul di sebelah kolom Tanggal Selesai.
- Periode tidak tersimpan.
- Tanggal selesai sama dengan tanggal mulai: catat perilakunya apa adanya (periode satu hari).</t>
        </is>
      </c>
      <c r="L256" s="16" t="inlineStr">
        <is>
          <t>Tinggi</t>
        </is>
      </c>
      <c r="M256" s="14" t="inlineStr"/>
      <c r="N256" s="17" t="n"/>
      <c r="O256" s="17" t="n"/>
      <c r="P256" s="17" t="n"/>
      <c r="Q256" s="17" t="n"/>
      <c r="R256" s="17" t="n"/>
    </row>
    <row r="257" ht="136" customHeight="1">
      <c r="A257" s="11" t="n">
        <v>253</v>
      </c>
      <c r="B257" s="12" t="n">
        <v>1</v>
      </c>
      <c r="C257" s="13" t="inlineStr">
        <is>
          <t>MD-PRD-09</t>
        </is>
      </c>
      <c r="D257" s="13" t="inlineStr">
        <is>
          <t>MD-PRD-09</t>
        </is>
      </c>
      <c r="E257" s="14" t="inlineStr">
        <is>
          <t>—</t>
        </is>
      </c>
      <c r="F257" s="14" t="inlineStr">
        <is>
          <t>Master Data (MD-)</t>
        </is>
      </c>
      <c r="G257" s="15" t="inlineStr">
        <is>
          <t>Tutup dan Buka periode hanya oleh Admin, dan statusnya berpengaruh</t>
        </is>
      </c>
      <c r="H257" s="14" t="inlineStr">
        <is>
          <t>ADM, lalu SPV-A</t>
        </is>
      </c>
      <c r="I257" s="14" t="inlineStr">
        <is>
          <t>—</t>
        </is>
      </c>
      <c r="J257"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57" s="14" t="inlineStr">
        <is>
          <t>- Hasil LS-10 terpenuhi: status periode benar-benar mengunci dan membuka input.
- SPV-A dan MGR-A tidak punya aksi tutup/buka sama sekali — bukan hanya tombolnya kelabu, tapi memang tidak ada.
- Hanya ADM yang dapat melakukannya.</t>
        </is>
      </c>
      <c r="L257" s="16" t="inlineStr">
        <is>
          <t>Tinggi</t>
        </is>
      </c>
      <c r="M257" s="14" t="inlineStr"/>
      <c r="N257" s="17" t="n"/>
      <c r="O257" s="17" t="n"/>
      <c r="P257" s="17" t="n"/>
      <c r="Q257" s="17" t="n"/>
      <c r="R257" s="17" t="n"/>
    </row>
    <row r="258" ht="122.8" customHeight="1">
      <c r="A258" s="11" t="n">
        <v>254</v>
      </c>
      <c r="B258" s="12" t="n">
        <v>1</v>
      </c>
      <c r="C258" s="13" t="inlineStr">
        <is>
          <t>MD-PRD-10</t>
        </is>
      </c>
      <c r="D258" s="13" t="inlineStr">
        <is>
          <t>MD-PRD-10</t>
        </is>
      </c>
      <c r="E258" s="14" t="inlineStr">
        <is>
          <t>—</t>
        </is>
      </c>
      <c r="F258" s="14" t="inlineStr">
        <is>
          <t>Master Data (MD-)</t>
        </is>
      </c>
      <c r="G258" s="15" t="inlineStr">
        <is>
          <t>Hapus periode yang sudah punya record ditolak</t>
        </is>
      </c>
      <c r="H258" s="14" t="inlineStr">
        <is>
          <t>ADM</t>
        </is>
      </c>
      <c r="I258" s="14" t="inlineStr">
        <is>
          <t>periode yang sudah membingkai record stasiun</t>
        </is>
      </c>
      <c r="J258"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8" s="14" t="inlineStr">
        <is>
          <t>- Ditolak dengan pesan yang menyebut sebabnya (masih punya record).
- Periode tidak terhapus.
- Record stasiunnya tidak terhapus — tidak ada penghapusan berantai.</t>
        </is>
      </c>
      <c r="L258" s="16" t="inlineStr">
        <is>
          <t>Tinggi</t>
        </is>
      </c>
      <c r="M258" s="14" t="inlineStr"/>
      <c r="N258" s="17" t="n"/>
      <c r="O258" s="17" t="n"/>
      <c r="P258" s="17" t="n"/>
      <c r="Q258" s="17" t="n"/>
      <c r="R258" s="17" t="n"/>
    </row>
    <row r="259" ht="109.6" customHeight="1">
      <c r="A259" s="11" t="n">
        <v>255</v>
      </c>
      <c r="B259" s="12" t="n">
        <v>1</v>
      </c>
      <c r="C259" s="13" t="inlineStr">
        <is>
          <t>MD-PRD-11</t>
        </is>
      </c>
      <c r="D259" s="13" t="inlineStr">
        <is>
          <t>MD-PRD-11</t>
        </is>
      </c>
      <c r="E259" s="14" t="inlineStr">
        <is>
          <t>—</t>
        </is>
      </c>
      <c r="F259" s="14" t="inlineStr">
        <is>
          <t>Master Data (MD-)</t>
        </is>
      </c>
      <c r="G259" s="15" t="inlineStr">
        <is>
          <t>Filter dan paginasi daftar periode</t>
        </is>
      </c>
      <c r="H259" s="14" t="inlineStr">
        <is>
          <t>ADM</t>
        </is>
      </c>
      <c r="I259" s="14" t="inlineStr">
        <is>
          <t>—</t>
        </is>
      </c>
      <c r="J259"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9" s="14" t="inlineStr">
        <is>
          <t>- Hasilnya sama dengan MD-KEL-10: seluruh baris halaman 2 masih cocok dengan filternya.
- Jumlah total hasil tidak berubah antar halaman.</t>
        </is>
      </c>
      <c r="L259" s="11" t="inlineStr">
        <is>
          <t>Sedang ---</t>
        </is>
      </c>
      <c r="M259" s="14" t="inlineStr"/>
      <c r="N259" s="17" t="n"/>
      <c r="O259" s="17" t="n"/>
      <c r="P259" s="17" t="n"/>
      <c r="Q259" s="17" t="n"/>
      <c r="R259" s="17" t="n"/>
    </row>
    <row r="260" ht="149.2" customHeight="1">
      <c r="A260" s="11" t="n">
        <v>256</v>
      </c>
      <c r="B260" s="12" t="n">
        <v>1</v>
      </c>
      <c r="C260" s="13" t="inlineStr">
        <is>
          <t>AD-01</t>
        </is>
      </c>
      <c r="D260" s="13" t="inlineStr">
        <is>
          <t>AD-01</t>
        </is>
      </c>
      <c r="E260" s="14" t="inlineStr">
        <is>
          <t>—</t>
        </is>
      </c>
      <c r="F260" s="14" t="inlineStr">
        <is>
          <t>User &amp; Role, Pengaturan Mill (AD-)</t>
        </is>
      </c>
      <c r="G260" s="15" t="inlineStr">
        <is>
          <t>Tambah user dengan peran dan mill</t>
        </is>
      </c>
      <c r="H260" s="14" t="inlineStr">
        <is>
          <t>ADM</t>
        </is>
      </c>
      <c r="I260" s="14" t="inlineStr">
        <is>
          <t>—</t>
        </is>
      </c>
      <c r="J260"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60"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60" s="16" t="inlineStr">
        <is>
          <t>Tinggi</t>
        </is>
      </c>
      <c r="M260" s="14" t="inlineStr"/>
      <c r="N260" s="17" t="n"/>
      <c r="O260" s="17" t="n"/>
      <c r="P260" s="17" t="n"/>
      <c r="Q260" s="17" t="n"/>
      <c r="R260" s="17" t="n"/>
    </row>
    <row r="261" ht="122.8" customHeight="1">
      <c r="A261" s="11" t="n">
        <v>257</v>
      </c>
      <c r="B261" s="12" t="n">
        <v>1</v>
      </c>
      <c r="C261" s="13" t="inlineStr">
        <is>
          <t>AD-02</t>
        </is>
      </c>
      <c r="D261" s="13" t="inlineStr">
        <is>
          <t>AD-02</t>
        </is>
      </c>
      <c r="E261" s="14" t="inlineStr">
        <is>
          <t>—</t>
        </is>
      </c>
      <c r="F261" s="14" t="inlineStr">
        <is>
          <t>User &amp; Role, Pengaturan Mill (AD-)</t>
        </is>
      </c>
      <c r="G261" s="15" t="inlineStr">
        <is>
          <t>Username kembar ditolak</t>
        </is>
      </c>
      <c r="H261" s="14" t="inlineStr">
        <is>
          <t>ADM</t>
        </is>
      </c>
      <c r="I261" s="14" t="inlineStr">
        <is>
          <t>—</t>
        </is>
      </c>
      <c r="J261"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61" s="14" t="inlineStr">
        <is>
          <t>- Ketiganya ditolak.
- Pesannya menyebut bahwa username sudah dipakai.
- Tidak ada user ganda yang tercipta.</t>
        </is>
      </c>
      <c r="L261" s="16" t="inlineStr">
        <is>
          <t>Tinggi</t>
        </is>
      </c>
      <c r="M261" s="14" t="inlineStr"/>
      <c r="N261" s="17" t="n"/>
      <c r="O261" s="17" t="n"/>
      <c r="P261" s="17" t="n"/>
      <c r="Q261" s="17" t="n"/>
      <c r="R261" s="17" t="n"/>
    </row>
    <row r="262" ht="96.39999999999999" customHeight="1">
      <c r="A262" s="11" t="n">
        <v>258</v>
      </c>
      <c r="B262" s="12" t="n">
        <v>1</v>
      </c>
      <c r="C262" s="13" t="inlineStr">
        <is>
          <t>AD-03</t>
        </is>
      </c>
      <c r="D262" s="13" t="inlineStr">
        <is>
          <t>AD-03</t>
        </is>
      </c>
      <c r="E262" s="14" t="inlineStr">
        <is>
          <t>—</t>
        </is>
      </c>
      <c r="F262" s="14" t="inlineStr">
        <is>
          <t>User &amp; Role, Pengaturan Mill (AD-)</t>
        </is>
      </c>
      <c r="G262" s="15" t="inlineStr">
        <is>
          <t>Peran terikat mill wajib punya mill</t>
        </is>
      </c>
      <c r="H262" s="14" t="inlineStr">
        <is>
          <t>ADM</t>
        </is>
      </c>
      <c r="I262" s="14" t="inlineStr">
        <is>
          <t>—</t>
        </is>
      </c>
      <c r="J262"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62" s="14" t="inlineStr">
        <is>
          <t>- Langkah 2 ditolak, dengan pesan yang menunjuk kolom mill.
- Langkah 4 berhasil — Admin memang tidak terikat satu mill.
- Kalau Admin juga ditolak, itu temuan: ia akan membuat Admin mustahil dibuat.</t>
        </is>
      </c>
      <c r="L262" s="16" t="inlineStr">
        <is>
          <t>Tinggi</t>
        </is>
      </c>
      <c r="M262" s="14" t="inlineStr"/>
      <c r="N262" s="17" t="n"/>
      <c r="O262" s="17" t="n"/>
      <c r="P262" s="17" t="n"/>
      <c r="Q262" s="17" t="n"/>
      <c r="R262" s="17" t="n"/>
    </row>
    <row r="263" ht="215.2" customHeight="1">
      <c r="A263" s="11" t="n">
        <v>259</v>
      </c>
      <c r="B263" s="12" t="n">
        <v>1</v>
      </c>
      <c r="C263" s="13" t="inlineStr">
        <is>
          <t>AD-04</t>
        </is>
      </c>
      <c r="D263" s="13" t="inlineStr">
        <is>
          <t>AD-04</t>
        </is>
      </c>
      <c r="E263" s="14" t="inlineStr">
        <is>
          <t>—</t>
        </is>
      </c>
      <c r="F263" s="14" t="inlineStr">
        <is>
          <t>User &amp; Role, Pengaturan Mill (AD-)</t>
        </is>
      </c>
      <c r="G263" s="15" t="inlineStr">
        <is>
          <t>Ubah peran langsung mengubah menu yang terlihat</t>
        </is>
      </c>
      <c r="H263" s="14" t="inlineStr">
        <is>
          <t>ADM + akun uji</t>
        </is>
      </c>
      <c r="I263" s="14" t="inlineStr">
        <is>
          <t>—</t>
        </is>
      </c>
      <c r="J263"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63" s="14" t="inlineStr">
        <is>
          <t>- Sidebar berubah sesuai peran baru — mis. Laporan Manajemen kini muncul.
- Checked By kini tidak bisa diisi.
- Acknowledged By kini bisa diisi.
- Perubahan peran berlaku tanpa perlu membuat akun baru.</t>
        </is>
      </c>
      <c r="L263" s="16" t="inlineStr">
        <is>
          <t>Tinggi</t>
        </is>
      </c>
      <c r="M263" s="14" t="inlineStr"/>
      <c r="N263" s="17" t="n"/>
      <c r="O263" s="17" t="n"/>
      <c r="P263" s="17" t="n"/>
      <c r="Q263" s="17" t="n"/>
      <c r="R263" s="17" t="n"/>
    </row>
    <row r="264" ht="70" customHeight="1">
      <c r="A264" s="11" t="n">
        <v>260</v>
      </c>
      <c r="B264" s="12" t="n">
        <v>1</v>
      </c>
      <c r="C264" s="13" t="inlineStr">
        <is>
          <t>AD-05</t>
        </is>
      </c>
      <c r="D264" s="13" t="inlineStr">
        <is>
          <t>AD-05</t>
        </is>
      </c>
      <c r="E264" s="14" t="inlineStr">
        <is>
          <t>—</t>
        </is>
      </c>
      <c r="F264" s="14" t="inlineStr">
        <is>
          <t>User &amp; Role, Pengaturan Mill (AD-)</t>
        </is>
      </c>
      <c r="G264" s="15" t="inlineStr">
        <is>
          <t>Nonaktifkan user memblokir login</t>
        </is>
      </c>
      <c r="H264" s="14" t="inlineStr">
        <is>
          <t>ADM</t>
        </is>
      </c>
      <c r="I264" s="14" t="inlineStr">
        <is>
          <t>—</t>
        </is>
      </c>
      <c r="J264" s="14" t="inlineStr">
        <is>
          <t>1. Jalankan seluruh langkah AU-04 dari layar Login di web, lalu sidebar &gt; Kelola User &amp; Role (/users).
2. Pastikan langkah terakhir AU-04 dijalankan: aktifkan kembali akunnya.</t>
        </is>
      </c>
      <c r="K264" s="14" t="inlineStr">
        <is>
          <t>- Hasilnya sesuai AU-04: sesi yang sedang berjalan dikeluarkan, dan login berikutnya gagal dengan pesan akun tidak aktif.
- Sesudah diaktifkan kembali, akun itu bisa login lagi.</t>
        </is>
      </c>
      <c r="L264" s="16" t="inlineStr">
        <is>
          <t>Tinggi</t>
        </is>
      </c>
      <c r="M264" s="14" t="inlineStr"/>
      <c r="N264" s="17" t="n"/>
      <c r="O264" s="17" t="n"/>
      <c r="P264" s="17" t="n"/>
      <c r="Q264" s="17" t="n"/>
      <c r="R264" s="17" t="n"/>
    </row>
    <row r="265" ht="136" customHeight="1">
      <c r="A265" s="11" t="n">
        <v>261</v>
      </c>
      <c r="B265" s="12" t="n">
        <v>1</v>
      </c>
      <c r="C265" s="13" t="inlineStr">
        <is>
          <t>AD-06</t>
        </is>
      </c>
      <c r="D265" s="13" t="inlineStr">
        <is>
          <t>AD-06</t>
        </is>
      </c>
      <c r="E265" s="14" t="inlineStr">
        <is>
          <t>—</t>
        </is>
      </c>
      <c r="F265" s="14" t="inlineStr">
        <is>
          <t>User &amp; Role, Pengaturan Mill (AD-)</t>
        </is>
      </c>
      <c r="G265" s="15" t="inlineStr">
        <is>
          <t>Reset password oleh Admin</t>
        </is>
      </c>
      <c r="H265" s="14" t="inlineStr">
        <is>
          <t>ADM + akun uji</t>
        </is>
      </c>
      <c r="I265" s="14" t="inlineStr">
        <is>
          <t>—</t>
        </is>
      </c>
      <c r="J265"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65" s="14" t="inlineStr">
        <is>
          <t>- Reset berhasil dengan pesan konfirmasi.
- Login dengan password baru berhasil.
- Login dengan password lama gagal.</t>
        </is>
      </c>
      <c r="L265" s="16" t="inlineStr">
        <is>
          <t>Tinggi</t>
        </is>
      </c>
      <c r="M265" s="14" t="inlineStr"/>
      <c r="N265" s="17" t="n"/>
      <c r="O265" s="17" t="n"/>
      <c r="P265" s="17" t="n"/>
      <c r="Q265" s="17" t="n"/>
      <c r="R265" s="17" t="n"/>
    </row>
    <row r="266" ht="96.39999999999999" customHeight="1">
      <c r="A266" s="11" t="n">
        <v>262</v>
      </c>
      <c r="B266" s="12" t="n">
        <v>1</v>
      </c>
      <c r="C266" s="13" t="inlineStr">
        <is>
          <t>AD-07</t>
        </is>
      </c>
      <c r="D266" s="13" t="inlineStr">
        <is>
          <t>AD-07</t>
        </is>
      </c>
      <c r="E266" s="14" t="inlineStr">
        <is>
          <t>—</t>
        </is>
      </c>
      <c r="F266" s="14" t="inlineStr">
        <is>
          <t>User &amp; Role, Pengaturan Mill (AD-)</t>
        </is>
      </c>
      <c r="G266" s="15" t="inlineStr">
        <is>
          <t>Pengaturan Mill: Mill Management hanya mill sendiri</t>
        </is>
      </c>
      <c r="H266" s="14" t="inlineStr">
        <is>
          <t>MGR-A</t>
        </is>
      </c>
      <c r="I266" s="14" t="inlineStr">
        <is>
          <t>2 mill ada</t>
        </is>
      </c>
      <c r="J266" s="14" t="inlineStr">
        <is>
          <t>1. Pastikan ada 2 mill di sistem.
2. Login di web, lalu sidebar &gt; Mills Setting (/mill-settings) sebagai MGR-A.
3. Baca nama mill yang dapat diatur. Cari pemilih mill.
4. Periksa apakah nama mill kedua muncul di mana pun pada layar ini.</t>
        </is>
      </c>
      <c r="K266" s="14" t="inlineStr">
        <is>
          <t>- Hanya mill sendiri yang dapat diatur.
- Mill lain tidak terlihat dan tidak dapat dipilih — tidak ada pemilih mill untuk peran ini.
- Nama mill kedua tidak tercetak di layar mana pun.</t>
        </is>
      </c>
      <c r="L266" s="16" t="inlineStr">
        <is>
          <t>Tinggi</t>
        </is>
      </c>
      <c r="M266" s="14" t="inlineStr"/>
      <c r="N266" s="17" t="n"/>
      <c r="O266" s="17" t="n"/>
      <c r="P266" s="17" t="n"/>
      <c r="Q266" s="17" t="n"/>
      <c r="R266" s="17" t="n"/>
    </row>
    <row r="267" ht="70" customHeight="1">
      <c r="A267" s="11" t="n">
        <v>263</v>
      </c>
      <c r="B267" s="12" t="n">
        <v>1</v>
      </c>
      <c r="C267" s="13" t="inlineStr">
        <is>
          <t>AD-08</t>
        </is>
      </c>
      <c r="D267" s="13" t="inlineStr">
        <is>
          <t>AD-08</t>
        </is>
      </c>
      <c r="E267" s="14" t="inlineStr">
        <is>
          <t>—</t>
        </is>
      </c>
      <c r="F267" s="14" t="inlineStr">
        <is>
          <t>User &amp; Role, Pengaturan Mill (AD-)</t>
        </is>
      </c>
      <c r="G267" s="15" t="inlineStr">
        <is>
          <t>Pengaturan Mill: Admin dapat semua mill</t>
        </is>
      </c>
      <c r="H267" s="14" t="inlineStr">
        <is>
          <t>ADM</t>
        </is>
      </c>
      <c r="I267" s="14" t="inlineStr">
        <is>
          <t>—</t>
        </is>
      </c>
      <c r="J267" s="14" t="inlineStr">
        <is>
          <t>1. Login di web, lalu sidebar &gt; Mills Setting (/mill-settings) sebagai ADM.
2. Cari pemilih mill dan buka daftarnya.
3. Pilih Mill A, baca pengaturannya. Lalu pilih Mill B dan baca pengaturannya.</t>
        </is>
      </c>
      <c r="K267" s="14" t="inlineStr">
        <is>
          <t>- Pemilih mill ada dan memuat seluruh mill.
- Pengaturan setiap mill dapat dibuka dan diatur.
- Berganti mill mengganti nilai yang tampil — bukan menampilkan nilai mill sebelumnya.</t>
        </is>
      </c>
      <c r="L267" s="16" t="inlineStr">
        <is>
          <t>Tinggi</t>
        </is>
      </c>
      <c r="M267" s="14" t="inlineStr"/>
      <c r="N267" s="17" t="n"/>
      <c r="O267" s="17" t="n"/>
      <c r="P267" s="17" t="n"/>
      <c r="Q267" s="17" t="n"/>
      <c r="R267" s="17" t="n"/>
    </row>
    <row r="268" ht="96.39999999999999" customHeight="1">
      <c r="A268" s="11" t="n">
        <v>264</v>
      </c>
      <c r="B268" s="12" t="n">
        <v>1</v>
      </c>
      <c r="C268" s="13" t="inlineStr">
        <is>
          <t>AD-09</t>
        </is>
      </c>
      <c r="D268" s="13" t="inlineStr">
        <is>
          <t>AD-09</t>
        </is>
      </c>
      <c r="E268" s="14" t="inlineStr">
        <is>
          <t>—</t>
        </is>
      </c>
      <c r="F268" s="14" t="inlineStr">
        <is>
          <t>User &amp; Role, Pengaturan Mill (AD-)</t>
        </is>
      </c>
      <c r="G268" s="15" t="inlineStr">
        <is>
          <t>Supervisor dan Operator tidak punya Pengaturan Mill</t>
        </is>
      </c>
      <c r="H268" s="14" t="inlineStr">
        <is>
          <t>SPV-A, OPR-A</t>
        </is>
      </c>
      <c r="I268" s="14" t="inlineStr">
        <is>
          <t>—</t>
        </is>
      </c>
      <c r="J268" s="14" t="inlineStr">
        <is>
          <t>1. Login di web (buka /login, isi username dan password akun pada kolom Peran, tekan Login) sebagai SPV-A. Cari menu Mills Setting di sidebar.
2. Ketik /mill-settings langsung di bilah alamat.
3. Logout, ulangi langkah 1–2 sebagai OPR-A.</t>
        </is>
      </c>
      <c r="K268" s="14" t="inlineStr">
        <is>
          <t>- Menu tidak ada di sidebar untuk keduanya.
- Alamat langsung menjawab 403 untuk keduanya.
- Halaman 403-nya masih di dalam kerangka aplikasi (lihat LS-01).</t>
        </is>
      </c>
      <c r="L268" s="16" t="inlineStr">
        <is>
          <t>Tinggi</t>
        </is>
      </c>
      <c r="M268" s="14" t="inlineStr"/>
      <c r="N268" s="17" t="n"/>
      <c r="O268" s="17" t="n"/>
      <c r="P268" s="17" t="n"/>
      <c r="Q268" s="17" t="n"/>
      <c r="R268" s="17" t="n"/>
    </row>
    <row r="269" ht="149.2" customHeight="1">
      <c r="A269" s="11" t="n">
        <v>265</v>
      </c>
      <c r="B269" s="12" t="n">
        <v>1</v>
      </c>
      <c r="C269" s="13" t="inlineStr">
        <is>
          <t>AD-10</t>
        </is>
      </c>
      <c r="D269" s="13" t="inlineStr">
        <is>
          <t>AD-10</t>
        </is>
      </c>
      <c r="E269" s="14" t="inlineStr">
        <is>
          <t>—</t>
        </is>
      </c>
      <c r="F269" s="14" t="inlineStr">
        <is>
          <t>User &amp; Role, Pengaturan Mill (AD-)</t>
        </is>
      </c>
      <c r="G269" s="15" t="inlineStr">
        <is>
          <t>Perubahan Pengaturan Mill tersimpan dan berlaku</t>
        </is>
      </c>
      <c r="H269" s="14" t="inlineStr">
        <is>
          <t>MGR-A</t>
        </is>
      </c>
      <c r="I269" s="14" t="inlineStr">
        <is>
          <t>—</t>
        </is>
      </c>
      <c r="J269" s="14"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269" s="14" t="inlineStr">
        <is>
          <t>- Simpan berhasil dengan pesan konfirmasi.
- Nilai baru bertahan sesudah muat ulang.
- Nilai baru berlaku di layar yang memakainya.
- Nilai yang tersimpan tapi tidak berpengaruh ke layar mana pun adalah separuh fitur — itu yang diperiksa di langkah 4–5.</t>
        </is>
      </c>
      <c r="L269" s="11" t="inlineStr">
        <is>
          <t>Sedang ---</t>
        </is>
      </c>
      <c r="M269" s="14" t="inlineStr"/>
      <c r="N269" s="17" t="n"/>
      <c r="O269" s="17" t="n"/>
      <c r="P269" s="17" t="n"/>
      <c r="Q269" s="17" t="n"/>
      <c r="R269" s="17" t="n"/>
    </row>
  </sheetData>
  <autoFilter ref="A4:R269"/>
  <mergeCells count="2">
    <mergeCell ref="A2:Q2"/>
    <mergeCell ref="A1:Q1"/>
  </mergeCells>
  <dataValidations count="1">
    <dataValidation sqref="P5:P269"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Uji'!$D$5:$D$269,"LS-*",'Kasus Uji'!$P$5:$P$269,"Lulus")</f>
        <v/>
      </c>
      <c r="F5" s="25">
        <f>COUNTIFS('Kasus Uji'!$D$5:$D$269,"LS-*",'Kasus Uji'!$P$5:$P$269,"Gagal")</f>
        <v/>
      </c>
      <c r="G5" s="25">
        <f>COUNTIFS('Kasus Uji'!$D$5:$D$269,"LS-*",'Kasus Uji'!$P$5:$P$269,"Tidak diuji")</f>
        <v/>
      </c>
      <c r="H5" s="25">
        <f>COUNTIFS('Kasus Uji'!$D$5:$D$269,"LS-*",'Kasus Uji'!$P$5:$P$269,"Terhalang")</f>
        <v/>
      </c>
      <c r="I5" s="25">
        <f>D5-E5-F5-G5-H5</f>
        <v/>
      </c>
    </row>
    <row r="6">
      <c r="A6" s="23" t="inlineStr">
        <is>
          <t>Autentikasi &amp; Akun</t>
        </is>
      </c>
      <c r="B6" s="24" t="inlineStr">
        <is>
          <t>AU-</t>
        </is>
      </c>
      <c r="C6" s="25" t="n">
        <v>9</v>
      </c>
      <c r="D6" s="25" t="n">
        <v>9</v>
      </c>
      <c r="E6" s="25">
        <f>COUNTIFS('Kasus Uji'!$D$5:$D$269,"AU-*",'Kasus Uji'!$P$5:$P$269,"Lulus")</f>
        <v/>
      </c>
      <c r="F6" s="25">
        <f>COUNTIFS('Kasus Uji'!$D$5:$D$269,"AU-*",'Kasus Uji'!$P$5:$P$269,"Gagal")</f>
        <v/>
      </c>
      <c r="G6" s="25">
        <f>COUNTIFS('Kasus Uji'!$D$5:$D$269,"AU-*",'Kasus Uji'!$P$5:$P$269,"Tidak diuji")</f>
        <v/>
      </c>
      <c r="H6" s="25">
        <f>COUNTIFS('Kasus Uji'!$D$5:$D$269,"AU-*",'Kasus Uji'!$P$5:$P$269,"Terhalang")</f>
        <v/>
      </c>
      <c r="I6" s="25">
        <f>D6-E6-F6-G6-H6</f>
        <v/>
      </c>
    </row>
    <row r="7">
      <c r="A7" s="23" t="inlineStr">
        <is>
          <t>Mobile — Operasional Stasiun</t>
        </is>
      </c>
      <c r="B7" s="24" t="inlineStr">
        <is>
          <t>MB-</t>
        </is>
      </c>
      <c r="C7" s="25" t="n">
        <v>39</v>
      </c>
      <c r="D7" s="25" t="n">
        <v>73</v>
      </c>
      <c r="E7" s="25">
        <f>COUNTIFS('Kasus Uji'!$D$5:$D$269,"MB-*",'Kasus Uji'!$P$5:$P$269,"Lulus")</f>
        <v/>
      </c>
      <c r="F7" s="25">
        <f>COUNTIFS('Kasus Uji'!$D$5:$D$269,"MB-*",'Kasus Uji'!$P$5:$P$269,"Gagal")</f>
        <v/>
      </c>
      <c r="G7" s="25">
        <f>COUNTIFS('Kasus Uji'!$D$5:$D$269,"MB-*",'Kasus Uji'!$P$5:$P$269,"Tidak diuji")</f>
        <v/>
      </c>
      <c r="H7" s="25">
        <f>COUNTIFS('Kasus Uji'!$D$5:$D$269,"MB-*",'Kasus Uji'!$P$5:$P$269,"Terhalang")</f>
        <v/>
      </c>
      <c r="I7" s="25">
        <f>D7-E7-F7-G7-H7</f>
        <v/>
      </c>
    </row>
    <row r="8">
      <c r="A8" s="23" t="inlineStr">
        <is>
          <t>Web — Data Stasiun</t>
        </is>
      </c>
      <c r="B8" s="24" t="inlineStr">
        <is>
          <t>WB-</t>
        </is>
      </c>
      <c r="C8" s="25" t="n">
        <v>25</v>
      </c>
      <c r="D8" s="25" t="n">
        <v>76</v>
      </c>
      <c r="E8" s="25">
        <f>COUNTIFS('Kasus Uji'!$D$5:$D$269,"WB-*",'Kasus Uji'!$P$5:$P$269,"Lulus")</f>
        <v/>
      </c>
      <c r="F8" s="25">
        <f>COUNTIFS('Kasus Uji'!$D$5:$D$269,"WB-*",'Kasus Uji'!$P$5:$P$269,"Gagal")</f>
        <v/>
      </c>
      <c r="G8" s="25">
        <f>COUNTIFS('Kasus Uji'!$D$5:$D$269,"WB-*",'Kasus Uji'!$P$5:$P$269,"Tidak diuji")</f>
        <v/>
      </c>
      <c r="H8" s="25">
        <f>COUNTIFS('Kasus Uji'!$D$5:$D$269,"WB-*",'Kasus Uji'!$P$5:$P$269,"Terhalang")</f>
        <v/>
      </c>
      <c r="I8" s="25">
        <f>D8-E8-F8-G8-H8</f>
        <v/>
      </c>
    </row>
    <row r="9">
      <c r="A9" s="23" t="inlineStr">
        <is>
          <t>Laporan Periode Stasiun</t>
        </is>
      </c>
      <c r="B9" s="24" t="inlineStr">
        <is>
          <t>LP-</t>
        </is>
      </c>
      <c r="C9" s="25" t="n">
        <v>31</v>
      </c>
      <c r="D9" s="25" t="n">
        <v>41</v>
      </c>
      <c r="E9" s="25">
        <f>COUNTIFS('Kasus Uji'!$D$5:$D$269,"LP-*",'Kasus Uji'!$P$5:$P$269,"Lulus")</f>
        <v/>
      </c>
      <c r="F9" s="25">
        <f>COUNTIFS('Kasus Uji'!$D$5:$D$269,"LP-*",'Kasus Uji'!$P$5:$P$269,"Gagal")</f>
        <v/>
      </c>
      <c r="G9" s="25">
        <f>COUNTIFS('Kasus Uji'!$D$5:$D$269,"LP-*",'Kasus Uji'!$P$5:$P$269,"Tidak diuji")</f>
        <v/>
      </c>
      <c r="H9" s="25">
        <f>COUNTIFS('Kasus Uji'!$D$5:$D$269,"LP-*",'Kasus Uji'!$P$5:$P$269,"Terhalang")</f>
        <v/>
      </c>
      <c r="I9" s="25">
        <f>D9-E9-F9-G9-H9</f>
        <v/>
      </c>
    </row>
    <row r="10">
      <c r="A10" s="23" t="inlineStr">
        <is>
          <t>Dashboard &amp; Laporan lain</t>
        </is>
      </c>
      <c r="B10" s="24" t="inlineStr">
        <is>
          <t>DS-</t>
        </is>
      </c>
      <c r="C10" s="25" t="n">
        <v>12</v>
      </c>
      <c r="D10" s="25" t="n">
        <v>12</v>
      </c>
      <c r="E10" s="25">
        <f>COUNTIFS('Kasus Uji'!$D$5:$D$269,"DS-*",'Kasus Uji'!$P$5:$P$269,"Lulus")</f>
        <v/>
      </c>
      <c r="F10" s="25">
        <f>COUNTIFS('Kasus Uji'!$D$5:$D$269,"DS-*",'Kasus Uji'!$P$5:$P$269,"Gagal")</f>
        <v/>
      </c>
      <c r="G10" s="25">
        <f>COUNTIFS('Kasus Uji'!$D$5:$D$269,"DS-*",'Kasus Uji'!$P$5:$P$269,"Tidak diuji")</f>
        <v/>
      </c>
      <c r="H10" s="25">
        <f>COUNTIFS('Kasus Uji'!$D$5:$D$269,"DS-*",'Kasus Uji'!$P$5:$P$269,"Terhalang")</f>
        <v/>
      </c>
      <c r="I10" s="25">
        <f>D10-E10-F10-G10-H10</f>
        <v/>
      </c>
    </row>
    <row r="11">
      <c r="A11" s="23" t="inlineStr">
        <is>
          <t>Master Data</t>
        </is>
      </c>
      <c r="B11" s="24" t="inlineStr">
        <is>
          <t>MD-</t>
        </is>
      </c>
      <c r="C11" s="25" t="n">
        <v>28</v>
      </c>
      <c r="D11" s="25" t="n">
        <v>28</v>
      </c>
      <c r="E11" s="25">
        <f>COUNTIFS('Kasus Uji'!$D$5:$D$269,"MD-*",'Kasus Uji'!$P$5:$P$269,"Lulus")</f>
        <v/>
      </c>
      <c r="F11" s="25">
        <f>COUNTIFS('Kasus Uji'!$D$5:$D$269,"MD-*",'Kasus Uji'!$P$5:$P$269,"Gagal")</f>
        <v/>
      </c>
      <c r="G11" s="25">
        <f>COUNTIFS('Kasus Uji'!$D$5:$D$269,"MD-*",'Kasus Uji'!$P$5:$P$269,"Tidak diuji")</f>
        <v/>
      </c>
      <c r="H11" s="25">
        <f>COUNTIFS('Kasus Uji'!$D$5:$D$269,"MD-*",'Kasus Uji'!$P$5:$P$269,"Terhalang")</f>
        <v/>
      </c>
      <c r="I11" s="25">
        <f>D11-E11-F11-G11-H11</f>
        <v/>
      </c>
    </row>
    <row r="12">
      <c r="A12" s="23" t="inlineStr">
        <is>
          <t>User &amp; Role, Pengaturan Mill</t>
        </is>
      </c>
      <c r="B12" s="24" t="inlineStr">
        <is>
          <t>AD-</t>
        </is>
      </c>
      <c r="C12" s="25" t="n">
        <v>10</v>
      </c>
      <c r="D12" s="25" t="n">
        <v>10</v>
      </c>
      <c r="E12" s="25">
        <f>COUNTIFS('Kasus Uji'!$D$5:$D$269,"AD-*",'Kasus Uji'!$P$5:$P$269,"Lulus")</f>
        <v/>
      </c>
      <c r="F12" s="25">
        <f>COUNTIFS('Kasus Uji'!$D$5:$D$269,"AD-*",'Kasus Uji'!$P$5:$P$269,"Gagal")</f>
        <v/>
      </c>
      <c r="G12" s="25">
        <f>COUNTIFS('Kasus Uji'!$D$5:$D$269,"AD-*",'Kasus Uji'!$P$5:$P$269,"Tidak diuji")</f>
        <v/>
      </c>
      <c r="H12" s="25">
        <f>COUNTIFS('Kasus Uji'!$D$5:$D$269,"AD-*",'Kasus Uji'!$P$5:$P$269,"Terhalang")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Uji'!$L$5:$L$269,"Tinggi",'Kasus Uji'!$P$5:$P$269,"")</f>
        <v/>
      </c>
    </row>
    <row r="16">
      <c r="A16" s="28" t="inlineStr">
        <is>
          <t>Baris Gagal yang belum punya No. Bug</t>
        </is>
      </c>
      <c r="B16" s="6" t="n"/>
      <c r="C16" s="7" t="n"/>
      <c r="D16" s="16">
        <f>COUNTIFS('Kasus Uji'!$P$5:$P$269,"Gagal",'Kasus Uji'!$Q$5:$Q$269,"")</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Uji'!$B$5:$B$269,1,'Kasus Uji'!$P$5:$P$269,"Lulus")</f>
        <v/>
      </c>
      <c r="E20" s="11">
        <f>COUNTIFS('Kasus Uji'!$B$5:$B$269,1,'Kasus Uji'!$P$5:$P$269,"Gagal")</f>
        <v/>
      </c>
      <c r="F20" s="11">
        <f>COUNTIFS('Kasus Uji'!$B$5:$B$269,1,'Kasus Uji'!$P$5:$P$269,"Tidak diuji")</f>
        <v/>
      </c>
      <c r="G20" s="11">
        <f>COUNTIFS('Kasus Uji'!$B$5:$B$269,1,'Kasus Uji'!$P$5:$P$269,"Terhalang")</f>
        <v/>
      </c>
      <c r="H20" s="11">
        <f>C20-D20-E20-F20-G20</f>
        <v/>
      </c>
      <c r="I20" s="11" t="inlineStr"/>
    </row>
    <row r="21">
      <c r="A21" s="19" t="n">
        <v>2</v>
      </c>
      <c r="B21" s="22" t="inlineStr">
        <is>
          <t>KABEL — 5 kasus pada 17 stasiun sisanya. Menangkap stasiun yang salah dikabel.</t>
        </is>
      </c>
      <c r="C21" s="19" t="n">
        <v>95</v>
      </c>
      <c r="D21" s="18">
        <f>COUNTIFS('Kasus Uji'!$B$5:$B$269,2,'Kasus Uji'!$P$5:$P$269,"Lulus")</f>
        <v/>
      </c>
      <c r="E21" s="18">
        <f>COUNTIFS('Kasus Uji'!$B$5:$B$269,2,'Kasus Uji'!$P$5:$P$269,"Gagal")</f>
        <v/>
      </c>
      <c r="F21" s="18">
        <f>COUNTIFS('Kasus Uji'!$B$5:$B$269,2,'Kasus Uji'!$P$5:$P$269,"Tidak diuji")</f>
        <v/>
      </c>
      <c r="G21" s="18">
        <f>COUNTIFS('Kasus Uji'!$B$5:$B$269,2,'Kasus Uji'!$P$5:$P$269,"Terhalang")</f>
        <v/>
      </c>
      <c r="H21" s="18">
        <f>C21-D21-E21-F21-G21</f>
        <v/>
      </c>
      <c r="I21" s="18" t="inlineStr"/>
    </row>
    <row r="22">
      <c r="A22" s="27" t="n">
        <v>3</v>
      </c>
      <c r="B22" s="29" t="inlineStr">
        <is>
          <t>SISA — pengulangan penuh. Untuk putaran rilis atau saat satu stasiun berubah.</t>
        </is>
      </c>
      <c r="C22" s="27" t="n">
        <v>0</v>
      </c>
      <c r="D22" s="26">
        <f>COUNTIFS('Kasus Uji'!$B$5:$B$269,3,'Kasus Uji'!$P$5:$P$269,"Lulus")</f>
        <v/>
      </c>
      <c r="E22" s="26">
        <f>COUNTIFS('Kasus Uji'!$B$5:$B$269,3,'Kasus Uji'!$P$5:$P$269,"Gagal")</f>
        <v/>
      </c>
      <c r="F22" s="26">
        <f>COUNTIFS('Kasus Uji'!$B$5:$B$269,3,'Kasus Uji'!$P$5:$P$269,"Tidak diuji")</f>
        <v/>
      </c>
      <c r="G22" s="26">
        <f>COUNTIFS('Kasus Uji'!$B$5:$B$269,3,'Kasus Uji'!$P$5:$P$269,"Terhalang")</f>
        <v/>
      </c>
      <c r="H22" s="26">
        <f>C22-D22-E22-F22-G22</f>
        <v/>
      </c>
      <c r="I22" s="26" t="inlineStr"/>
    </row>
    <row r="23">
      <c r="A23" s="27" t="inlineStr">
        <is>
          <t>Tingkat 1+2</t>
        </is>
      </c>
      <c r="B23" s="4" t="inlineStr">
        <is>
          <t>Cakupan yang masuk akal untuk pengujian manual satu putaran.</t>
        </is>
      </c>
      <c r="C23" s="27" t="n">
        <v>265</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40" t="inlineStr">
        <is>
          <t>Kalau QA menemukannya, cukup rujuk nomornya alih-alih membuat laporan bug baru.</t>
        </is>
      </c>
    </row>
    <row r="6">
      <c r="A6" s="10" t="inlineStr">
        <is>
          <t>No</t>
        </is>
      </c>
      <c r="B6" s="10" t="inlineStr">
        <is>
          <t>Hal</t>
        </is>
      </c>
      <c r="C6" s="10" t="inlineStr">
        <is>
          <t>Mengapa begitu</t>
        </is>
      </c>
    </row>
    <row r="7" ht="27" customHeight="1">
      <c r="A7" s="24" t="inlineStr">
        <is>
          <t>K-1</t>
        </is>
      </c>
      <c r="B7" s="23"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41" t="inlineStr">
        <is>
          <t>K-2</t>
        </is>
      </c>
      <c r="B8" s="30" t="inlineStr">
        <is>
          <t>SELESAI 2026-10-08 — penamaan Shell Bin Kernel Loss pada Kernel Plant sudah seragam</t>
        </is>
      </c>
      <c r="C8" s="31"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94.5" customHeight="1">
      <c r="A9" s="24" t="inlineStr">
        <is>
          <t>K-3</t>
        </is>
      </c>
      <c r="B9" s="23" t="inlineStr">
        <is>
          <t>SELESAI 2026-10-08 — jumlah kolom bacaan pada laporan Depricarping sudah benar</t>
        </is>
      </c>
      <c r="C9" s="5" t="inlineStr">
        <is>
          <t>Dulu berbunyi "minimal satu dari ENAM kolom bacaan diisi"; kolom bacaan Depricarping ada SEMBILAN, dan layar yang sama menyebut "sembilan" di tempat lain. Salah di WEB DAN MOBILE (catatan ini dulu menyebut mobile saja), dan bukan kosmetik: angka itu dipakai pembaca untuk menafsirkan penyebut cakupan. Asal-usulnya salin-tempel dari Threshing dan Pressing, yang memang enam kolom. Kini dijaga uji yang menurunkan angkanya dari READING_FIELDS.</t>
        </is>
      </c>
    </row>
    <row r="10" ht="27" customHeight="1">
      <c r="A10" s="41" t="inlineStr">
        <is>
          <t>K-4</t>
        </is>
      </c>
      <c r="B10" s="30" t="inlineStr">
        <is>
          <t>Laporan Depricarping (Mobile): tiga angka pada blok downtime tampil tanpa gaya</t>
        </is>
      </c>
      <c r="C10" s="31" t="inlineStr">
        <is>
          <t>Kosmetik, sudah tercatat.</t>
        </is>
      </c>
    </row>
    <row r="11" ht="108" customHeight="1">
      <c r="A11" s="24" t="inlineStr">
        <is>
          <t>K-5</t>
        </is>
      </c>
      <c r="B11" s="23" t="inlineStr">
        <is>
          <t>DIPERBAIKI 2026-10-08 — catatan ini dulu salah</t>
        </is>
      </c>
      <c r="C11" s="5" t="inlineStr">
        <is>
          <t>Ia berbunyi "Dashboard hanya meringkas 3 stasiun, bukan 18 — disengaja". Blok tiga-stasiun itu SUDAH DIBUANG pada 2026-09-17 atas permintaan user. Keadaan sebenarnya: halaman /dashboard adalah TAMPILAN DEMO dengan angka hard-coded — tanpa filter tanggal, tanpa pemilih mill, tidak membaca data stasiun sama sekali. Ia menyatakan dirinya demo (judul "CPO Mill Demo" + chip "Data dummy"). Ringkasan tiga stasiun kini hanya ada di balik API /api/dashboard/summary, bukan di layar. DS-01..DS-03 ditulis ulang mengikuti keadaan ini.</t>
        </is>
      </c>
    </row>
    <row r="12" ht="27" customHeight="1">
      <c r="A12" s="41" t="inlineStr">
        <is>
          <t>K-6</t>
        </is>
      </c>
      <c r="B12" s="30" t="inlineStr">
        <is>
          <t>Satu kasus uji otomatis kadang gagal acak (DashboardServiceTest)</t>
        </is>
      </c>
      <c r="C12" s="31" t="inlineStr">
        <is>
          <t>Tidak memengaruhi perilaku aplikasi; sedang diselidiki.</t>
        </is>
      </c>
    </row>
    <row r="13" ht="16" customHeight="1">
      <c r="A13" s="24" t="inlineStr">
        <is>
          <t>K-7</t>
        </is>
      </c>
      <c r="B13" s="23" t="inlineStr">
        <is>
          <t>Cakupan baris kode belum diukur</t>
        </is>
      </c>
      <c r="C13" s="5" t="inlineStr">
        <is>
          <t>Tidak ada hubungannya dengan hasil pengujian manual.</t>
        </is>
      </c>
    </row>
    <row r="16">
      <c r="A16" s="3" t="inlineStr">
        <is>
          <t>Hal yang TERLIHAT seperti bug tetapi BUKAN</t>
        </is>
      </c>
    </row>
    <row r="17">
      <c r="A17" s="10" t="inlineStr">
        <is>
          <t>Kasus</t>
        </is>
      </c>
      <c r="B17" s="10" t="inlineStr">
        <is>
          <t>Kelihatan salah</t>
        </is>
      </c>
      <c r="C17" s="10" t="inlineStr">
        <is>
          <t>Sebenarnya</t>
        </is>
      </c>
    </row>
    <row r="18" ht="40.5" customHeight="1">
      <c r="A18" s="24" t="inlineStr">
        <is>
          <t>LS-16</t>
        </is>
      </c>
      <c r="B18" s="5" t="inlineStr">
        <is>
          <t>Laporan tidak menandai nilai yang jelas di luar batas</t>
        </is>
      </c>
      <c r="C18" s="28" t="inlineStr">
        <is>
          <t>DISENGAJA. Kolom targetnya teks bebas yang bentuknya tidak dibatasi, dan satu sel bisa memuat dua angka dengan satuan berbeda. Ada kalimat di layar yang menjelaskannya.</t>
        </is>
      </c>
    </row>
    <row r="19" ht="27" customHeight="1">
      <c r="A19" s="41" t="inlineStr">
        <is>
          <t>MB-FORM-04</t>
        </is>
      </c>
      <c r="B19" s="31" t="inlineStr">
        <is>
          <t>Slot waktu 01:00 dianggap SESUDAH 23:00</t>
        </is>
      </c>
      <c r="C19" s="28" t="inlineStr">
        <is>
          <t>BENAR. Shift dimulai 07:00, jadi urutannya 07:00 → 23:00 → 00:00 → 06:00.</t>
        </is>
      </c>
    </row>
    <row r="20" ht="40.5" customHeight="1">
      <c r="A20" s="24" t="inlineStr">
        <is>
          <t>DS-02</t>
        </is>
      </c>
      <c r="B20" s="5" t="inlineStr">
        <is>
          <t>Dashboard menampilkan angka yang sama untuk semua peran dan semua mill</t>
        </is>
      </c>
      <c r="C20" s="28" t="inlineStr">
        <is>
          <t>BENAR. Halaman itu demo dengan angka hard-coded, dan menyatakannya lewat chip "Data dummy". Jangan jalankan uji isolasi mill di sana — ia tidak membaca mill sama sekali.</t>
        </is>
      </c>
    </row>
    <row r="21" ht="40.5" customHeight="1">
      <c r="A21" s="41" t="inlineStr">
        <is>
          <t>DS-10</t>
        </is>
      </c>
      <c r="B21" s="31" t="inlineStr">
        <is>
          <t>Satu stasiun menunjukkan "belum ada input hari ini" DAN "input terakhir 3 menit lalu"</t>
        </is>
      </c>
      <c r="C21" s="28" t="inlineStr">
        <is>
          <t>BENAR. Dua jendela waktu yang berbeda: "hari ini" dibatasi tanggal, "input terakhir" tidak. Keterangan di halaman menjelaskannya.</t>
        </is>
      </c>
    </row>
    <row r="22" ht="27" customHeight="1">
      <c r="A22" s="24" t="inlineStr">
        <is>
          <t>LP-W-05</t>
        </is>
      </c>
      <c r="B22" s="5" t="inlineStr">
        <is>
          <t>Persen cakupan 0,0% di satu periode dan tanda pisah di periode lain, keduanya "tanpa data"</t>
        </is>
      </c>
      <c r="C22" s="28" t="inlineStr">
        <is>
          <t>BENAR, DAN KEDUANYA BERBEDA. 0,0% = penyebutnya ada, nol yang terisi. Tanda pisah = penyebutnya tidak terbentuk.</t>
        </is>
      </c>
    </row>
    <row r="23" ht="27" customHeight="1">
      <c r="A23" s="41" t="inlineStr">
        <is>
          <t>LP-W-03</t>
        </is>
      </c>
      <c r="B23" s="31" t="inlineStr">
        <is>
          <t>Jumlah slot terisi pada cakupan LEBIH BESAR daripada penyebut parameter mana pun</t>
        </is>
      </c>
      <c r="C23" s="28" t="inlineStr">
        <is>
          <t>BENAR. Slot yang hanya mengisi kolom temuan terhitung terisi tanpa menambah penyebut parameter.</t>
        </is>
      </c>
    </row>
    <row r="24" ht="27" customHeight="1">
      <c r="A24" s="24" t="inlineStr">
        <is>
          <t>LS-08</t>
        </is>
      </c>
      <c r="B24" s="5" t="inlineStr">
        <is>
          <t>Production Line tunggal tetap harus dipilih manual</t>
        </is>
      </c>
      <c r="C24" s="28"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2026-10-09T06:46:00Z</dcterms:created>
  <dcterms:modified xsi:type="dcterms:W3CDTF">2026-10-09T06:46:00Z</dcterms:modified>
</cp:coreProperties>
</file>