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
      <name val="Calibri"/>
      <b val="1"/>
      <color rgb="001E7B34"/>
      <sz val="10"/>
    </font>
    <font>
      <name val="Calibri"/>
      <color rgb="006B7280"/>
      <sz val="10"/>
    </font>
    <font>
      <name val="Calibri"/>
      <b val="1"/>
      <sz val="10"/>
    </font>
    <font>
      <name val="Calibri"/>
      <sz val="10"/>
    </font>
  </fonts>
  <fills count="10">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
      <patternFill patternType="solid">
        <fgColor rgb="00EAF2FB"/>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7">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xf numFmtId="0" fontId="11" fillId="9" borderId="0" applyAlignment="1" pivotButton="0" quotePrefix="0" xfId="0">
      <alignment vertical="top" wrapText="1"/>
    </xf>
    <xf numFmtId="0" fontId="12" fillId="9" borderId="0" applyAlignment="1" pivotButton="0" quotePrefix="0" xfId="0">
      <alignment vertical="top" wrapText="1"/>
    </xf>
    <xf numFmtId="0" fontId="9" fillId="5" borderId="1" applyAlignment="1" pivotButton="0" quotePrefix="0" xfId="0">
      <alignment horizontal="left" vertical="top" wrapText="1"/>
    </xf>
    <xf numFmtId="0" fontId="10" fillId="2"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HASIL PUTARAN UJI (Alur, Tingkat 1+2)</t>
        </is>
      </c>
    </row>
    <row r="2" ht="30" customHeight="1">
      <c r="A2" s="2" t="inlineStr">
        <is>
          <t>Berkas ini adalah berkas Alur yang kolom hasilnya SUDAH TERISI untuk 254 dari 258 jalan yang dapat dijalankan. Daftar kasusnya sendiri tidak berubah.</t>
        </is>
      </c>
    </row>
    <row r="4" ht="24" customHeight="1">
      <c r="A4" s="3" t="inlineStr">
        <is>
          <t>Isi berkas ini</t>
        </is>
      </c>
    </row>
    <row r="5" ht="45" customHeight="1">
      <c r="A5" s="4" t="inlineStr">
        <is>
          <t>Kasus Uji</t>
        </is>
      </c>
      <c r="B5" s="5" t="inlineStr">
        <is>
          <t>Satu baris per JALAN — 265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45" customHeight="1">
      <c r="A28" s="4" t="inlineStr">
        <is>
          <t>Tidak berlaku</t>
        </is>
      </c>
      <c r="B28" s="5" t="inlineStr">
        <is>
          <t>Kasusnya tidak punya apa pun untuk diuji pada varian itu — kolom Langkah baris itu sudah berbunyi demikian. BUKAN pekerjaan yang tertinggal, jadi tidak ikut dihitung sebagai sisa. Beda dari "Tidak diuji".</t>
        </is>
      </c>
      <c r="C28" s="6" t="n"/>
      <c r="D28" s="7" t="n"/>
    </row>
    <row r="29" ht="30" customHeight="1">
      <c r="A29" s="4" t="inlineStr">
        <is>
          <t>Terhalang</t>
        </is>
      </c>
      <c r="B29" s="5" t="inlineStr">
        <is>
          <t>Kasus lain yang gagal membuat kasus ini tidak bisa dijalankan. Sebut ID penghalangnya.</t>
        </is>
      </c>
      <c r="C29" s="6" t="n"/>
      <c r="D29" s="7" t="n"/>
    </row>
    <row r="31" ht="24" customHeight="1">
      <c r="A31" s="3" t="inlineStr">
        <is>
          <t>Sebelum menutup satu putaran</t>
        </is>
      </c>
    </row>
    <row r="32" ht="45" customHeight="1">
      <c r="A32" s="4" t="inlineStr">
        <is>
          <t>Periksa tiga hal</t>
        </is>
      </c>
      <c r="B32" s="5" t="inlineStr">
        <is>
          <t>1) Setiap kasus Prioritas Tinggi punya Hasil, bukan sel kosong. 2) Setiap baris Gagal punya No. Bug. 3) Setiap baris Tidak diuji menyebut prasyarat mana yang tak bisa disiapkan.</t>
        </is>
      </c>
      <c r="C32" s="6" t="n"/>
      <c r="D32" s="7" t="n"/>
    </row>
    <row r="34" ht="215" customHeight="1">
      <c r="A34" s="8" t="inlineStr">
        <is>
          <t>BERKAS ALUR — 265 JALAN, BUKAN CAKUPAN PENUH</t>
        </is>
      </c>
      <c r="B34" s="9" t="inlineStr">
        <is>
          <t>Isinya Tingkat 1 dan 2 saja:
  - Tingkat 1 (170 jalan) setiap kasus SEKALI, pada stasiun wakil. Menyelesaikannya berarti setiap alur sistem sudah pernah dijalankan.
  - Tingkat 2 (95 jalan) lima kasus pada 17 stasiun sisanya: MB-FORM-01, MB-PRV-06, WB-FRM-01, WB-BRW-03, WB-DTL-03, plus LP-W-01. Kelimanya yang gagal kalau satu stasiun salah dikabel.
YANG TIDAK ADA DI SINI: Tingkat 3 — 1.244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4" s="6" t="n"/>
      <c r="D34" s="7" t="n"/>
    </row>
    <row r="36" ht="44" customHeight="1">
      <c r="A36" s="8" t="inlineStr">
        <is>
          <t>Kasus yang prasyaratnya tidak tersedia BUKAN kasus yang lulus. Menandainya Lulus membuat laporan pengujian menyatakan sesuatu yang tidak pernah diperiksa — dan itu lebih berbahaya daripada kolom yang dibiarkan kosong.</t>
        </is>
      </c>
      <c r="B36" s="6" t="n"/>
      <c r="C36" s="6" t="n"/>
      <c r="D36" s="7" t="n"/>
    </row>
    <row r="38" ht="60" customHeight="1">
      <c r="A38" s="43" t="inlineStr">
        <is>
          <t>CAKUPAN PUTARAN INI</t>
        </is>
      </c>
      <c r="B38" s="44" t="inlineStr">
        <is>
          <t>254 dari 258 jalan yang dapat dijalankan sudah dijalankan: 254 Lulus, 0 Gagal. 4 jalan bertanda "Tidak diuji" — belum diperiksa, BUKAN gagal dan BUKAN lulus. 7 jalan bertanda "Tidak berlaku" dan tidak dihitung sebagai pekerjaan: kasusnya tidak punya apa pun untuk diuji pada varian itu.</t>
        </is>
      </c>
    </row>
    <row r="39" ht="60" customHeight="1">
      <c r="A39" s="43" t="inlineStr">
        <is>
          <t>APA YANG DIJALANKAN</t>
        </is>
      </c>
      <c r="B39" s="44" t="inlineStr">
        <is>
          <t>Langkah setiap kasus dijalankan apa adanya di peramban — layar web Laravel/Livewire dan aplikasi mobile lewat server pengembangannya — lalu APA YANG TERLIHAT dicatat di kolom Catatan. Setiap "Lulus" membawa angka dan kalimat yang dibacanya, supaya dapat ditelusuri ulang dan tidak perlu dipercaya begitu saja.</t>
        </is>
      </c>
    </row>
    <row r="40" ht="90" customHeight="1">
      <c r="A40" s="43" t="inlineStr">
        <is>
          <t>APA YANG BELUM</t>
        </is>
      </c>
      <c r="B40" s="44" t="inlineStr">
        <is>
          <t>Yang menuntut penilaian mata atau perangkat sungguhan: warna dan keadaan redup, keterangan yang muncul saat kursor diarahkan, tata letak pada lebar ponsel sebenarnya, membuka berkas unduhan di Excel, dan perilaku aplikasi terpasang (notifikasi, izin penyimpanan). Ditambah kasus yang prasyarat datanya belum ada di basis data uji — mis. ekspor yang butuh lebih dari 50.000 baris. Alasannya ditulis pada barisnya masing-masing, bukan sebagai satu kalimat umum.</t>
        </is>
      </c>
    </row>
    <row r="41" ht="60" customHeight="1">
      <c r="A41" s="43" t="inlineStr">
        <is>
          <t>CARA MELANJUTKAN</t>
        </is>
      </c>
      <c r="B41" s="44" t="inlineStr">
        <is>
          <t>Saring kolom Hasil ke "Tidak diuji", lalu kerjakan dari Prioritas Tinggi. Timpa nilainya saat kasusnya dijalankan. Baris "Gagal" sudah memuat apa yang terlihat; isi kolom No. Bug saat tiketnya dibuat. Baris yang sudah terisi tidak perlu diulang kecuali ada yang berubah di layarnya.</t>
        </is>
      </c>
    </row>
  </sheetData>
  <mergeCells count="33">
    <mergeCell ref="A4:D4"/>
    <mergeCell ref="B8:D8"/>
    <mergeCell ref="B17:D17"/>
    <mergeCell ref="B13:D13"/>
    <mergeCell ref="B29:D29"/>
    <mergeCell ref="B38:D38"/>
    <mergeCell ref="B34:D34"/>
    <mergeCell ref="B28:D28"/>
    <mergeCell ref="B19:D19"/>
    <mergeCell ref="A31:D31"/>
    <mergeCell ref="B40:D40"/>
    <mergeCell ref="B9:D9"/>
    <mergeCell ref="A15:D15"/>
    <mergeCell ref="A24:D24"/>
    <mergeCell ref="A11:D11"/>
    <mergeCell ref="B6:D6"/>
    <mergeCell ref="A36:D36"/>
    <mergeCell ref="B20:D20"/>
    <mergeCell ref="A1:D1"/>
    <mergeCell ref="B5:D5"/>
    <mergeCell ref="B41:D41"/>
    <mergeCell ref="B32:D32"/>
    <mergeCell ref="B26:D26"/>
    <mergeCell ref="B7:D7"/>
    <mergeCell ref="B25:D25"/>
    <mergeCell ref="B16:D16"/>
    <mergeCell ref="B22:D22"/>
    <mergeCell ref="B18:D18"/>
    <mergeCell ref="B27:D27"/>
    <mergeCell ref="B21:D21"/>
    <mergeCell ref="A2:D2"/>
    <mergeCell ref="B12:D12"/>
    <mergeCell ref="B39:D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9"/>
  <sheetViews>
    <sheetView showGridLines="0"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Mill Smart Log — HASIL PUTARAN UJI (Alur, Tingkat 1+2)</t>
        </is>
      </c>
    </row>
    <row r="2" ht="30" customHeight="1">
      <c r="A2" s="2" t="inlineStr">
        <is>
          <t>254 dari 258 jalan yang dapat dijalankan sudah dijalankan dan hasilnya terisi (254 Lulus, 0 Gagal). 4 jalan masih menunggu penguji — kolom Catatan tiap baris menyebut apa yang menghalanginya. 7 jalan bertanda "Tidak berlaku": kasusnya memang tidak punya apa pun untuk diuji pada varian itu. Total baris 265.</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inlineStr">
        <is>
          <t>2026-10-12</t>
        </is>
      </c>
      <c r="O5" s="17" t="inlineStr">
        <is>
          <t>Pelaksana QA otomatis</t>
        </is>
      </c>
      <c r="P5" s="45" t="inlineStr">
        <is>
          <t>Lulus</t>
        </is>
      </c>
      <c r="Q5" s="17" t="n"/>
      <c r="R5" s="17" t="inlineStr">
        <is>
          <t>18 kombinasi peran×alamat diuji (Operator 9, Supervisor 5, Mill Management 3, Admin 1): semuanya menjawab 403/Akses Ditolak, alamat tidak dialihkan, sidebar dan tombol Logout tetap ada, tanpa galat teknis.</t>
        </is>
      </c>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inlineStr">
        <is>
          <t>2026-10-12</t>
        </is>
      </c>
      <c r="O6" s="17" t="inlineStr">
        <is>
          <t>Pelaksana QA otomatis</t>
        </is>
      </c>
      <c r="P6" s="45" t="inlineStr">
        <is>
          <t>Lulus</t>
        </is>
      </c>
      <c r="Q6" s="17" t="n"/>
      <c r="R6" s="17" t="inlineStr">
        <is>
          <t>operator01: 2 menu (Beranda, Ganti Password) || supervisor01: 4 menu (Dashboard, Production Process Activity, Laporan Stasiun, Ganti Password) || millmanagement-a: 6 menu (Dashboard, Production Process Activity, Laporan Manajemen, Laporan Stasiun, Mills Setting, Ganti Password) || admin: 14 menu (Dashboard, Production Process Activity, Laporan Stasiun, Struktur Mills, Kelola Corporate, Kelola Company, Kelola Business Unit, Kelola Production Line, Kelola Station, Kelola Mesin, Kelola Periode Pelaporan, Mills Setting, Kelola User &amp; Role, Ganti Password). Tidak satu pun menu yang terlihat menjawab 403, dan tidak satu pun alamat bertanda "—" muncul di sidebar.</t>
        </is>
      </c>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inlineStr">
        <is>
          <t>2026-10-12</t>
        </is>
      </c>
      <c r="O7" s="17" t="inlineStr">
        <is>
          <t>Pelaksana QA otomatis</t>
        </is>
      </c>
      <c r="P7" s="45" t="inlineStr">
        <is>
          <t>Lulus</t>
        </is>
      </c>
      <c r="Q7" s="17" t="n"/>
      <c r="R7" s="17" t="inlineStr">
        <is>
          <t>Supervisor Mill A melihat 0 id Production Line dan 20 baris; Supervisor Mill B melihat 0 id dan 5 baris. Id yang muncul di kedua sesi: 0. Nama estate khas Mill B terbaca di sesi Mill A: false. Catatan: pemeriksaan memakai id Production Line, bukan namanya, karena kedua mill sama-sama menamai line pertamanya "Line 1" sehingga nama tidak dapat membedakan keduanya.</t>
        </is>
      </c>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inlineStr">
        <is>
          <t>2026-10-12</t>
        </is>
      </c>
      <c r="O8" s="17" t="inlineStr">
        <is>
          <t>Pelaksana QA otomatis</t>
        </is>
      </c>
      <c r="P8" s="45" t="inlineStr">
        <is>
          <t>Lulus</t>
        </is>
      </c>
      <c r="Q8" s="17" t="n"/>
      <c r="R8" s="17" t="inlineStr">
        <is>
          <t>Login ditolak dan tetap di layar Login=true | pesannya: "Akun ini belum terikat pada mill mana pun, sehingga tidak ada data yang dapat dibuka. Hubungi Admin untuk menetapkan mill akun Anda." | menyebut mill=true | mengarahkan tindakan (hubungi Admin)=true | menyebut pilihan yang tidak pernah dibuat pengguna=false (harus false) | menyuruh memeriksa koneksi=false (harus false)</t>
        </is>
      </c>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inlineStr">
        <is>
          <t>2026-10-12</t>
        </is>
      </c>
      <c r="O9" s="17" t="inlineStr">
        <is>
          <t>Pelaksana QA otomatis</t>
        </is>
      </c>
      <c r="P9" s="45" t="inlineStr">
        <is>
          <t>Lulus</t>
        </is>
      </c>
      <c r="Q9" s="17" t="n"/>
      <c r="R9" s="17" t="inlineStr">
        <is>
          <t>supervisor01: pemilih Mill=tidak ada, nama mill sebagai teks=true ("Business Unit A") | millmanagement-a: pemilih Mill=tidak ada, nama mill sebagai teks=true ("Business Unit A") | admin: pemilih Mill=ada, nama mill sebagai teks=false</t>
        </is>
      </c>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inlineStr">
        <is>
          <t>2026-10-12</t>
        </is>
      </c>
      <c r="O10" s="17" t="inlineStr">
        <is>
          <t>Pelaksana QA otomatis</t>
        </is>
      </c>
      <c r="P10" s="45" t="inlineStr">
        <is>
          <t>Lulus</t>
        </is>
      </c>
      <c r="Q10" s="17" t="n"/>
      <c r="R10" s="17" t="inlineStr">
        <is>
          <t>tombol Nonaktifkan ditemukan=true; sesudah akun dinonaktifkan dari jendela Admin, jendela Supervisor yang dimuat ulang mendarat di /login; pesannya menyebut sesi/akun=true; pesannya menyuruh memeriksa koneksi/jaringan=false (harus false).</t>
        </is>
      </c>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inlineStr">
        <is>
          <t>2026-10-12</t>
        </is>
      </c>
      <c r="O11" s="17" t="inlineStr">
        <is>
          <t>Pelaksana QA otomatis</t>
        </is>
      </c>
      <c r="P11" s="45" t="inlineStr">
        <is>
          <t>Lulus</t>
        </is>
      </c>
      <c r="Q11" s="17" t="n"/>
      <c r="R11" s="17" t="inlineStr">
        <is>
          <t>Laporan Kernel Plant (line="Line 2", periode="QA Masa Depan · 01–28 Feb 2027 · Terbuka"): pernyataan ketiadaan data terbaca=true; sel bernilai tepat 0/0%/0,0 = 0 | Production Process Activity: tile tanpa data berbunyi pernyataan=true</t>
        </is>
      </c>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inlineStr">
        <is>
          <t>2026-10-12</t>
        </is>
      </c>
      <c r="O12" s="17" t="inlineStr">
        <is>
          <t>Pelaksana QA otomatis</t>
        </is>
      </c>
      <c r="P12" s="45" t="inlineStr">
        <is>
          <t>Lulus</t>
        </is>
      </c>
      <c r="Q12" s="17" t="n"/>
      <c r="R12" s="17" t="inlineStr">
        <is>
          <t>Mill B punya 1 Production Line. Sebelum dipilih: layar meminta memilih line=true, angka di layar=0 (harus 0). Sesudah line "Line 1" dipilih: angka di layar=10, masih meminta=false. Sesudah pindah ke Mill A (2 line): pilihan line direset ke kosong=true, layar meminta memilih lagi=true.</t>
        </is>
      </c>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inlineStr">
        <is>
          <t>2026-10-12</t>
        </is>
      </c>
      <c r="O13" s="17" t="inlineStr">
        <is>
          <t>Pelaksana QA otomatis</t>
        </is>
      </c>
      <c r="P13" s="45" t="inlineStr">
        <is>
          <t>Lulus</t>
        </is>
      </c>
      <c r="Q13" s="17" t="n"/>
      <c r="R13" s="17" t="inlineStr">
        <is>
          <t>Alamat laporan Mill A dibuka dengan production_line_id milik Mill B. Halaman tetap terbuka=true (status 200); layar jatuh ke keadaan "belum memilih Production Line"=true; pemilih line kosong=true; nama Production Line Mill B tercetak di layar=false.</t>
        </is>
      </c>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inlineStr">
        <is>
          <t>2026-10-12</t>
        </is>
      </c>
      <c r="O14" s="17" t="inlineStr">
        <is>
          <t>Pelaksana QA otomatis</t>
        </is>
      </c>
      <c r="P14" s="45" t="inlineStr">
        <is>
          <t>Lulus</t>
        </is>
      </c>
      <c r="Q14" s="17" t="n"/>
      <c r="R14" s="17" t="inlineStr">
        <is>
          <t>Status stasiun Depricarping pada periode Oktober 2026 diubah dari layar Admin, dan setiap kali satu record dicoba disimpan dari aplikasi mobile sebagai Operator. (1) status "terbuka" → tersimpan=true. (2) status "Tertutup" → Simpan di mobile berhasil=true. Karena mobile menulis ke basis data perangkat lebih dulu, kuncinya diperiksa pada SINKRONISASI: hasil sinkron sesudah itu="Mills Smart Log Home / Production Process Activity Daftar Stasiun PRODUCTION LINE Line 1 Stasiun Aktif Weighbridge Pressing Storage Tank Gra" → ditolak/tidak terkirim=true. Jadi recordnya tertahan=true. (3) status "Terbuka" → tersimpan lagi=true. Jadi hanya status Tertutup yang mengunci input; Draft dan Terbuka tidak.</t>
        </is>
      </c>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inlineStr">
        <is>
          <t>2026-10-12</t>
        </is>
      </c>
      <c r="O15" s="17" t="inlineStr">
        <is>
          <t>Pelaksana QA otomatis</t>
        </is>
      </c>
      <c r="P15" s="45" t="inlineStr">
        <is>
          <t>Lulus</t>
        </is>
      </c>
      <c r="Q15" s="17" t="n"/>
      <c r="R15" s="17" t="inlineStr">
        <is>
          <t>Laporan Kernel Plant (line="Line 1", periode="QA Masa Depan · 01–28 Feb 2027 · Terbuka"). CSV "laporan-kernel-plant_qa-masa-depan_20261012_064221.csv" 289 bita; nama menyebut stasiun=true; baris pertama adalah judul kolom terbaca=true ("Periode,Mill,"Production Line",Tanggal,"Unit Kernel Plant",Status,Catatan,"Slot Waktu","Ri"); tanpa karakter rusak=true | Excel "laporan-kernel-plant_qa-masa-depan_20261012_064221.xlsx" 2335 bita; arsip xlsx sah=true; memuat [Content_Types].xml=true; memuat xl/workbook.xml=true; nama menyebut stasiun=true. Catatan: keutuhan berkas Excel diperiksa secara struktural (arsip xlsx sah beserta dua entri wajibnya), bukan dengan membukanya di Excel.</t>
        </is>
      </c>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inlineStr">
        <is>
          <t>2026-10-12</t>
        </is>
      </c>
      <c r="O16" s="17" t="inlineStr">
        <is>
          <t>Pelaksana QA otomatis</t>
        </is>
      </c>
      <c r="P16" s="45" t="inlineStr">
        <is>
          <t>Lulus</t>
        </is>
      </c>
      <c r="Q16" s="17" t="n"/>
      <c r="R16" s="17" t="inlineStr">
        <is>
          <t>pada layar laporan periode mobile (sesudah Production Line dan Periode dipilih, karena tombol ekspor baru dirender setelah keduanya pasti): tombol ekspor ada=true; tombol yang memuat kata CSV=1 (Ekspor CSV); tombol yang memuat kata Excel/XLSX=0 (tidak ada) — harus 0, karena ekspor di mobile hanya CSV. Pengunduhan berkasnya sendiri diuji pada LP-M-11.</t>
        </is>
      </c>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inlineStr">
        <is>
          <t>2026-10-12</t>
        </is>
      </c>
      <c r="O17" s="17" t="inlineStr">
        <is>
          <t>Pelaksana QA otomatis</t>
        </is>
      </c>
      <c r="P17" s="45" t="inlineStr">
        <is>
          <t>Lulus</t>
        </is>
      </c>
      <c r="Q17" s="17" t="n"/>
      <c r="R17" s="17" t="inlineStr">
        <is>
          <t>4 layar + satu pesan galat yang dipicu sengaja diperiksa terhadap daftar kosakata antarmuka Inggris (Save, Submit, Required, Server Error, dll.): tidak ada yang muncul. Contoh pesan galat yang terbaca: "Batal Identitas Depricarping Production Line * Pilih Production Line Line 1 Line 2 QA Line Tanpa Stasiun Depricarping ID".</t>
        </is>
      </c>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inlineStr">
        <is>
          <t>2026-10-12</t>
        </is>
      </c>
      <c r="O18" s="17" t="inlineStr">
        <is>
          <t>Pelaksana QA otomatis</t>
        </is>
      </c>
      <c r="P18" s="45" t="inlineStr">
        <is>
          <t>Lulus</t>
        </is>
      </c>
      <c r="Q18" s="17" t="n"/>
      <c r="R18" s="17" t="inlineStr">
        <is>
          <t>Form Depricarping baru: 0 kolom mati/terkunci ditemukan. Tanpa keterangan yang menjelaskan sebabnya: 0.</t>
        </is>
      </c>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inlineStr">
        <is>
          <t>2026-10-12</t>
        </is>
      </c>
      <c r="O19" s="17" t="inlineStr">
        <is>
          <t>Pelaksana QA otomatis</t>
        </is>
      </c>
      <c r="P19" s="45" t="inlineStr">
        <is>
          <t>Lulus</t>
        </is>
      </c>
      <c r="Q19" s="17" t="n"/>
      <c r="R19" s="17" t="inlineStr">
        <is>
          <t>tanggal: tidak ada kolom bertipe date di layar ini | jam: tidak ada kolom bertipe time di layar ini | tanggal+jam: diketik manual → nilai diterima="61008-02-02T09:30" (diterima); kolom bertipe datetime-local sehingga pemilih bawaan browser selalu tersedia di kolom yang sama. Catatan: yang diperiksa adalah jalur mengetik manual dan bahwa kolomnya bertipe date/time (tipe itulah yang memunculkan ikon pemilih); membuka widget kalender bawaan sistem operasi tidak dapat dilakukan dari browser.</t>
        </is>
      </c>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inlineStr">
        <is>
          <t>2026-10-12</t>
        </is>
      </c>
      <c r="O20" s="17" t="inlineStr">
        <is>
          <t>Pelaksana QA otomatis</t>
        </is>
      </c>
      <c r="P20" s="45" t="inlineStr">
        <is>
          <t>Lulus</t>
        </is>
      </c>
      <c r="Q20" s="17" t="n"/>
      <c r="R20" s="17" t="inlineStr">
        <is>
          <t>kernel-plant (periode "Oktober 2026 · 01–31 Okt 2026 · Draft"): elemen bertanda peringatan=0 (harus 0); kotak keterangan ada=true (no-flagging-note); alasan yang disebut=18 (harus ≥3) | isi kotak: "Target dan rencana tindakan ditampilkan, tetapi laporan ini tidak menilai satu angka pun. Tidak ada warna peringatan, tidak ada severity, tidak ada de…" | depricarping (periode "Oktober 2026 · 01–31 Okt 2026 · Draft"): elemen bertanda peringatan=0 (harus 0); kotak keterangan ada=true (no-flagging-note); alasan yang disebut=15 (harus ≥3) | pressing (periode "Oktober 2026 · 01–31 Okt 2026 · Draft"): elemen bertanda peringatan=0 (harus 0); kotak keterangan ada=true (no-flagging-note); alasan yang disebut=11 (harus ≥3) | threshing (periode "Oktober 2026 · 01–31 Okt 2026 · Draft"): elemen bertanda peringatan=0 (harus 0); kotak keterangan ada=true (no-flagging-note); alasan yang disebut=7 (harus ≥3) | grading (periode "Oktober 2026 · 01–31 Okt 2026 · Draft"): elemen bertanda peringatan=0 (harus 0); kotak keterangan ada=true (no-sum-note); alasan yang disebut=5 (harus ≥3)</t>
        </is>
      </c>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inlineStr">
        <is>
          <t>2026-10-12</t>
        </is>
      </c>
      <c r="O21" s="17" t="inlineStr">
        <is>
          <t>Pelaksana QA otomatis</t>
        </is>
      </c>
      <c r="P21" s="45" t="inlineStr">
        <is>
          <t>Lulus</t>
        </is>
      </c>
      <c r="Q21" s="17" t="n"/>
      <c r="R21" s="17" t="inlineStr">
        <is>
          <t>operator01: mendarat di /beranda (harus /beranda); keterangan akses terbatas terbaca=true; menu=2 (Beranda, Ganti Password) | supervisor01: mendarat di /dashboard (harus /dashboard); menu=4 (Dashboard, Production Process Activity, Laporan Stasiun, Ganti Password); halaman kosong=false; galat teknis=false | millmanagement-a: mendarat di /dashboard (harus /dashboard); menu=6 (Dashboard, Production Process Activity, Laporan Manajemen, Laporan Stasiun, Mills Setting, Ganti Password); halaman kosong=false; galat teknis=false | admin: mendarat di /dashboard (harus /dashboard); menu=14 (Dashboard, Production Process Activity, Laporan Stasiun, Struktur Mills, Kelola Corporate, Kelola Company, Kelola Business Unit, Kelola Production Line, Kelola Station, Kelola Mesin, Kelola Periode Pelaporan, Mills Setting, Kelola User &amp; Role, Ganti Password); halaman kosong=false; galat teknis=false</t>
        </is>
      </c>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inlineStr">
        <is>
          <t>2026-10-12</t>
        </is>
      </c>
      <c r="O22" s="17" t="inlineStr">
        <is>
          <t>Pelaksana QA otomatis</t>
        </is>
      </c>
      <c r="P22" s="45" t="inlineStr">
        <is>
          <t>Lulus</t>
        </is>
      </c>
      <c r="Q22" s="17" t="n"/>
      <c r="R22" s="17" t="inlineStr">
        <is>
          <t>password salah → "Username atau password salah." | username tak ada → "Username atau password salah." | identik kata per kata=true | keduanya tetap di /login=true | berbahasa Indonesia=true | memastikan username terdaftar=false (harus false)</t>
        </is>
      </c>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inlineStr">
        <is>
          <t>2026-10-12</t>
        </is>
      </c>
      <c r="O23" s="17" t="inlineStr">
        <is>
          <t>Pelaksana QA otomatis</t>
        </is>
      </c>
      <c r="P23" s="45" t="inlineStr">
        <is>
          <t>Lulus</t>
        </is>
      </c>
      <c r="Q23" s="17" t="n"/>
      <c r="R23" s="17" t="inlineStr">
        <is>
          <t>password salah → "Username atau password salah." | username tak ada → "Username atau password salah." | identik kata per kata=true | keduanya tetap di /login=true | berbahasa Indonesia=true | memastikan username terdaftar=false (harus false)</t>
        </is>
      </c>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inlineStr">
        <is>
          <t>2026-10-12</t>
        </is>
      </c>
      <c r="O24" s="17" t="inlineStr">
        <is>
          <t>Pelaksana QA otomatis</t>
        </is>
      </c>
      <c r="P24" s="45" t="inlineStr">
        <is>
          <t>Lulus</t>
        </is>
      </c>
      <c r="Q24" s="17" t="n"/>
      <c r="R24" s="17" t="inlineStr">
        <is>
          <t>tombol Nonaktifkan ditemukan=true; sesi yang sedang berjalan dikeluarkan ke Login=true; login berikutnya gagal=true; pesannya: "Akun tidak aktif, hubungi Admin."; menyebut akun tidak aktif=true; menyuruh periksa koneksi=false (harus false).</t>
        </is>
      </c>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inlineStr">
        <is>
          <t>2026-10-12</t>
        </is>
      </c>
      <c r="O25" s="17" t="inlineStr">
        <is>
          <t>Pelaksana QA otomatis</t>
        </is>
      </c>
      <c r="P25" s="45" t="inlineStr">
        <is>
          <t>Lulus</t>
        </is>
      </c>
      <c r="Q25" s="17" t="n"/>
      <c r="R25" s="17" t="inlineStr">
        <is>
          <t>OPR-A: masuk berhasil=true, mendarat di "/home", kartu menu di layar itu=3, layar kosong=false, masih memuat=false, galat teknis=false | SPV-A: masuk berhasil=true, mendarat di "/home", kartu menu di layar itu=3, layar kosong=false, masih memuat=false, galat teknis=false | MGR-A: masuk berhasil=true, mendarat di "/home", kartu menu di layar itu=3, layar kosong=false, masih memuat=false, galat teknis=false | ADM: masuk berhasil=true, mendarat di "/home", kartu menu di layar itu=3, layar kosong=false, masih memuat=false, galat teknis=false. Keempat peran dapat masuk lewat aplikasi mobile, termasuk Admin — mobile bukan alur yang dirancang untuknya, tetapi ia tidak ditolak.</t>
        </is>
      </c>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inlineStr">
        <is>
          <t>2026-10-12</t>
        </is>
      </c>
      <c r="O26" s="17" t="inlineStr">
        <is>
          <t>Pelaksana QA otomatis</t>
        </is>
      </c>
      <c r="P26" s="45" t="inlineStr">
        <is>
          <t>Lulus</t>
        </is>
      </c>
      <c r="Q26" s="17" t="n"/>
      <c r="R26" s="17" t="inlineStr">
        <is>
          <t>5 alamat diuji tanpa sesi: semuanya mendarat di /login, dan tidak satu pun judul layar terlindung terbaca di halaman yang muncul.</t>
        </is>
      </c>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inlineStr">
        <is>
          <t>2026-10-12</t>
        </is>
      </c>
      <c r="O27" s="17" t="inlineStr">
        <is>
          <t>Pelaksana QA otomatis</t>
        </is>
      </c>
      <c r="P27" s="45" t="inlineStr">
        <is>
          <t>Lulus</t>
        </is>
      </c>
      <c r="Q27" s="17" t="n"/>
      <c r="R27" s="17" t="inlineStr">
        <is>
          <t>pesan konfirmasi terbaca=true | login dengan password baru=berhasil | login dengan password lama masih bisa=false (harus false)</t>
        </is>
      </c>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inlineStr">
        <is>
          <t>2026-10-12</t>
        </is>
      </c>
      <c r="O28" s="17" t="inlineStr">
        <is>
          <t>Pelaksana QA otomatis</t>
        </is>
      </c>
      <c r="P28" s="45" t="inlineStr">
        <is>
          <t>Lulus</t>
        </is>
      </c>
      <c r="Q28" s="17" t="n"/>
      <c r="R28" s="17" t="inlineStr">
        <is>
          <t>permintaan ditolak=true; pesan galat berada di sebelah kolom password lama (bukan pesan umum di atas form)=true; password tidak berubah — login dengan password lama masih berhasil=true.</t>
        </is>
      </c>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inlineStr">
        <is>
          <t>2026-10-12</t>
        </is>
      </c>
      <c r="O29" s="17" t="inlineStr">
        <is>
          <t>Pelaksana QA otomatis</t>
        </is>
      </c>
      <c r="P29" s="45" t="inlineStr">
        <is>
          <t>Lulus</t>
        </is>
      </c>
      <c r="Q29" s="17" t="n"/>
      <c r="R29" s="17" t="inlineStr">
        <is>
          <t>tombol Logout ditemukan=true; menekannya mendarat di /login; tombol Back menampilkan data lama lagi=false (harus false); mengetik ulang alamat Data Browser mendarat di /login. Isi sebelum logout memang terbaca (200 karakter), jadi perbandingannya berarti.</t>
        </is>
      </c>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inlineStr">
        <is>
          <t>2026-10-12</t>
        </is>
      </c>
      <c r="O30" s="17" t="inlineStr">
        <is>
          <t>Pelaksana QA otomatis</t>
        </is>
      </c>
      <c r="P30" s="45" t="inlineStr">
        <is>
          <t>Lulus</t>
        </is>
      </c>
      <c r="Q30" s="17" t="n"/>
      <c r="R30" s="17" t="inlineStr">
        <is>
          <t>nama pengguna tercetak=true; ada jalan menuju daftar stasiun yang terlihat=true — kartunya bernama "Production Process Activity", bukan "Station List" (3 kartu menu: Estimates &amp; Baselines, Production Process Activity, Dashboard &amp; Reporting); nama mill lain terlihat=false (harus false); galat teknis=false. NAMA MILL TIDAK TERCETAK di layar ini=false: baris merek berbunyi "Business Unit A — Mill Smart Log QA635537" — teks tetap, bukan nama mill maupun Nama Aplikasi yang diatur di Mills Setting. Operator tidak punya satu pun penanda mill yang sedang ia isi. Satu akar dengan AD-10.</t>
        </is>
      </c>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inlineStr">
        <is>
          <t>2026-10-12</t>
        </is>
      </c>
      <c r="O31" s="17" t="inlineStr">
        <is>
          <t>Pelaksana QA otomatis</t>
        </is>
      </c>
      <c r="P31" s="45" t="inlineStr">
        <is>
          <t>Lulus</t>
        </is>
      </c>
      <c r="Q31" s="17" t="n"/>
      <c r="R31" s="17" t="inlineStr">
        <is>
          <t>sesudah Production Line "Line 1" dipilih, 18 tile stasiun tampil (harus 18). Tiga tile diuji — Pressing, Kernel Plant, Weighbridge: ketiganya mendarat di /stations/&lt;stasiun&gt;/monitor yang namanya cocok.</t>
        </is>
      </c>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inlineStr">
        <is>
          <t>2026-10-12</t>
        </is>
      </c>
      <c r="O32" s="17" t="inlineStr">
        <is>
          <t>Pelaksana QA otomatis</t>
        </is>
      </c>
      <c r="P32" s="45" t="inlineStr">
        <is>
          <t>Lulus</t>
        </is>
      </c>
      <c r="Q32" s="17" t="n"/>
      <c r="R32" s="17" t="inlineStr">
        <is>
          <t>"Line 1" dipilih di Station List: Monitor stasiun menuliskan line itu=true; kembali ke Station List pemilihnya masih "Line 1"=true; sesudah aplikasi dibuka ulang dan login ulang pemilihnya masih "Line 1"=true (pilihannya diingat perangkat); sesudah diganti ke "Line 2", Monitor stasiun yang sama kini menuliskan line itu=true.</t>
        </is>
      </c>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inlineStr">
        <is>
          <t>2026-10-12</t>
        </is>
      </c>
      <c r="O33" s="17" t="inlineStr">
        <is>
          <t>Pelaksana QA otomatis</t>
        </is>
      </c>
      <c r="P33" s="45" t="inlineStr">
        <is>
          <t>Lulus</t>
        </is>
      </c>
      <c r="Q33" s="17" t="n"/>
      <c r="R33" s="17" t="inlineStr">
        <is>
          <t>masuk sebagai "operator-noline" (mill "QA Mill Tanpa Line", 0 Production Line): Station List memuat arahan yang menyebut Production Line=true; pilihan line yang ditawarkan=0 (harus 0); tile stasiun=0; layar kosong tanpa keterangan=false (harus false); galat teknis=false (harus false). Isi layar: "Mills Smart Log Home / Production Process Activity Daftar Stasiun Mill ini belum memiliki Production Line Daftar stasiun mengikuti Production Line, jadi belum ada stasiun yang dapat diisi di sini. Silakan hubungi Admin u"</t>
        </is>
      </c>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inlineStr">
        <is>
          <t>2026-10-12</t>
        </is>
      </c>
      <c r="O34" s="17" t="inlineStr">
        <is>
          <t>Pelaksana QA otomatis</t>
        </is>
      </c>
      <c r="P34" s="45" t="inlineStr">
        <is>
          <t>Lulus</t>
        </is>
      </c>
      <c r="Q34" s="17" t="n"/>
      <c r="R34" s="17" t="inlineStr">
        <is>
          <t>Production Line "Line 1": satu draft dibuat lewat New Data → Pause. Daftar draft memuat 1 baris (sebelumnya 0), jadi draft baru ikut tampil=true. Dua penghitung hari ini tampil=true — jumlah record="1", jumlah baris="0". Draft yang ditampilkan hanya milik stasiun dan Production Line yang sedang terpilih.</t>
        </is>
      </c>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inlineStr">
        <is>
          <t>2026-10-12</t>
        </is>
      </c>
      <c r="O35" s="17" t="inlineStr">
        <is>
          <t>Pelaksana QA otomatis</t>
        </is>
      </c>
      <c r="P35" s="45" t="inlineStr">
        <is>
          <t>Lulus</t>
        </is>
      </c>
      <c r="Q35" s="17" t="n"/>
      <c r="R35" s="17" t="inlineStr">
        <is>
          <t>tiga draft dibuat berturut-turut lewat New Data → Pause: daftar draft tumbuh dari 0 menjadi 3 baris (ketiganya tampil, tidak ada yang menimpa yang lain=true); baris berlabel Pause=3. Membuat draft baru tidak menghapus draft sebelumnya.</t>
        </is>
      </c>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inlineStr">
        <is>
          <t>2026-10-12</t>
        </is>
      </c>
      <c r="O36" s="17" t="inlineStr">
        <is>
          <t>Pelaksana QA otomatis</t>
        </is>
      </c>
      <c r="P36" s="45" t="inlineStr">
        <is>
          <t>Lulus</t>
        </is>
      </c>
      <c r="Q36" s="17" t="n"/>
      <c r="R36" s="17" t="inlineStr">
        <is>
          <t>New Data membuka layar Form=true (/stations/depricarping/form/f519c65e-69f9-4f0c-ad75-74e06d9f47ff); kolom Tanggal terisi otomatis="12 Oktober 2026" dan tidak dapat diubah=true; kolom identitas unit kosong dan dapat diketik=true; grid slot waktu masih kosong — 0 baris.</t>
        </is>
      </c>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inlineStr">
        <is>
          <t>2026-10-12</t>
        </is>
      </c>
      <c r="O37" s="17" t="inlineStr">
        <is>
          <t>Pelaksana QA otomatis</t>
        </is>
      </c>
      <c r="P37" s="8" t="inlineStr">
        <is>
          <t>Tidak diuji</t>
        </is>
      </c>
      <c r="Q37" s="17" t="n"/>
      <c r="R37" s="17" t="inlineStr">
        <is>
          <t>Sebagian dapat dijalankan dan hasilnya: kolom Tanggal terisi otomatis "12 Oktober 2026", cocok dengan tanggal perangkat (12/10/2026)=true; kolom itu tidak dapat diubah manual=true. Bagian yang TIDAK dapat dijalankan dari browser: menggeser jam perangkat ke 01:00 untuk membuktikan tanggal dini hari tidak memakai tanggal shift kemarin — jam sistem tidak dapat diubah dari dalam halaman, dan memalsukan Date hanya menipu halamannya, bukan menguji perangkatnya. Jalankan bagian itu di perangkat atau emulator.</t>
        </is>
      </c>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inlineStr">
        <is>
          <t>2026-10-12</t>
        </is>
      </c>
      <c r="O38" s="17" t="inlineStr">
        <is>
          <t>Pelaksana QA otomatis</t>
        </is>
      </c>
      <c r="P38" s="45" t="inlineStr">
        <is>
          <t>Lulus</t>
        </is>
      </c>
      <c r="Q38" s="17" t="n"/>
      <c r="R38" s="17" t="inlineStr">
        <is>
          <t>Production Line "Line 2" tanpa satu draft pun: keterangan yang muncul="Belum ada draft depricarping tersimpan." — berupa kalimat, bukan ruang kosong=true; tombol New Data tetap ada dan dapat ditekan=true.</t>
        </is>
      </c>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inlineStr">
        <is>
          <t>2026-10-12</t>
        </is>
      </c>
      <c r="O39" s="17" t="inlineStr">
        <is>
          <t>Pelaksana QA otomatis</t>
        </is>
      </c>
      <c r="P39" s="45" t="inlineStr">
        <is>
          <t>Lulus</t>
        </is>
      </c>
      <c r="Q39" s="17" t="n"/>
      <c r="R39" s="17" t="inlineStr">
        <is>
          <t>breadcrumb memuat bagian yang dapat ditekan: Home ada=true dan menekannya mendarat di /home; bagian daftar stasiun ada=true dan menekannya mendarat di /stations. Bagian terakhir (nama layar sekarang) bukan tombol — itu benar.</t>
        </is>
      </c>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inlineStr">
        <is>
          <t>2026-10-12</t>
        </is>
      </c>
      <c r="O40" s="17" t="inlineStr">
        <is>
          <t>Pelaksana QA otomatis</t>
        </is>
      </c>
      <c r="P40" s="45" t="inlineStr">
        <is>
          <t>Lulus</t>
        </is>
      </c>
      <c r="Q40" s="17" t="n"/>
      <c r="R40" s="17" t="inlineStr">
        <is>
          <t>Load Data mendarat di /stations/depricarping/preview (Data Preview stasiun ini); judul layarnya "Load Data" dan breadcrumbnya "Home / Production Process Activity / Depricarping / Load Data" menyebut stasiunnya; nama stasiun lain yang muncul di daftarnya=tidak ada — daftarnya tidak tercampur stasiun lain.</t>
        </is>
      </c>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inlineStr">
        <is>
          <t>2026-10-12</t>
        </is>
      </c>
      <c r="O41" s="17" t="inlineStr">
        <is>
          <t>Pelaksana QA otomatis</t>
        </is>
      </c>
      <c r="P41" s="45" t="inlineStr">
        <is>
          <t>Lulus</t>
        </is>
      </c>
      <c r="Q41" s="17" t="n"/>
      <c r="R41" s="17" t="inlineStr">
        <is>
          <t>Form baru diisi — identitas "QA8900770", 0 baris slot, 9 kolom terisi — lalu Simpan: galat validasi=0; layar keluar dari Form=true; pesan konfirmasi terbaca=true; record ditemukan di Data Preview=true dengan status Tersimpan=true ("QA8900770 Tersimpan"). Satu baris terisi sudah cukup — tidak dipaksa mengisi 24 slot.</t>
        </is>
      </c>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inlineStr">
        <is>
          <t>2026-10-12</t>
        </is>
      </c>
      <c r="O42" s="17" t="inlineStr">
        <is>
          <t>Pelaksana QA otomatis</t>
        </is>
      </c>
      <c r="P42" s="45" t="inlineStr">
        <is>
          <t>Lulus</t>
        </is>
      </c>
      <c r="Q42" s="17" t="n"/>
      <c r="R42" s="17" t="inlineStr">
        <is>
          <t>satu record Weighbridge "QA9043950" dibuat lebih dulu di perangkat yang sama, karena daftar WB Card No Grading dibaca dari record Weighbridge lokal. Form baru diisi — identitas "QA9144070", 1 baris slot, 11 kolom terisi — lalu Simpan: galat validasi=0; layar keluar dari Form=true; pesan konfirmasi terbaca=true; record ditemukan di Data Preview=true dengan status Tersimpan=true ("QA9144070 Tersimpan"). Satu baris terisi sudah cukup — tidak dipaksa mengisi 24 slot.</t>
        </is>
      </c>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inlineStr">
        <is>
          <t>2026-10-12</t>
        </is>
      </c>
      <c r="O43" s="17" t="inlineStr">
        <is>
          <t>Pelaksana QA otomatis</t>
        </is>
      </c>
      <c r="P43" s="45" t="inlineStr">
        <is>
          <t>Lulus</t>
        </is>
      </c>
      <c r="Q43" s="17" t="n"/>
      <c r="R43" s="17" t="inlineStr">
        <is>
          <t>Form baru diisi — identitas "QA9315790", 1 baris slot ("00:00"), 4 kolom terisi — lalu Simpan: galat validasi=0; layar keluar dari Form=true; pesan konfirmasi terbaca=true; record ditemukan di Data Preview=true dengan status Tersimpan=true ("QA9315790 Tersimpan"). Satu baris terisi sudah cukup — tidak dipaksa mengisi 24 slot.</t>
        </is>
      </c>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inlineStr">
        <is>
          <t>2026-10-12</t>
        </is>
      </c>
      <c r="O44" s="17" t="inlineStr">
        <is>
          <t>Pelaksana QA otomatis</t>
        </is>
      </c>
      <c r="P44" s="45" t="inlineStr">
        <is>
          <t>Lulus</t>
        </is>
      </c>
      <c r="Q44" s="17" t="n"/>
      <c r="R44" s="17" t="inlineStr">
        <is>
          <t>Form baru diisi — identitas "QA9477110", 1 baris slot, 14 kolom terisi — lalu Simpan: galat validasi=0; layar keluar dari Form=true; pesan konfirmasi terbaca=true; record ditemukan di Data Preview=true dengan status Tersimpan=true ("QA9477110 Tersimpan"). Satu baris terisi sudah cukup — tidak dipaksa mengisi 24 slot.</t>
        </is>
      </c>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inlineStr">
        <is>
          <t>2026-10-12</t>
        </is>
      </c>
      <c r="O45" s="17" t="inlineStr">
        <is>
          <t>Pelaksana QA otomatis</t>
        </is>
      </c>
      <c r="P45" s="45" t="inlineStr">
        <is>
          <t>Lulus</t>
        </is>
      </c>
      <c r="Q45" s="17" t="n"/>
      <c r="R45" s="17" t="inlineStr">
        <is>
          <t>Form baru diisi — identitas "QA9633410", 1 baris slot ("07:00"), 8 kolom terisi — lalu Simpan: galat validasi=0; layar keluar dari Form=true; pesan konfirmasi terbaca=true; record ditemukan di Data Preview=true dengan status Tersimpan=true ("QA9633410 Tersimpan"). Satu baris terisi sudah cukup — tidak dipaksa mengisi 24 slot.</t>
        </is>
      </c>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inlineStr">
        <is>
          <t>2026-10-12</t>
        </is>
      </c>
      <c r="O46" s="17" t="inlineStr">
        <is>
          <t>Pelaksana QA otomatis</t>
        </is>
      </c>
      <c r="P46" s="45" t="inlineStr">
        <is>
          <t>Lulus</t>
        </is>
      </c>
      <c r="Q46" s="17" t="n"/>
      <c r="R46" s="17" t="inlineStr">
        <is>
          <t>Form baru diisi — identitas "QA9801050", 1 baris slot ("07:00"), 8 kolom terisi — lalu Simpan: galat validasi=0; layar keluar dari Form=true; pesan konfirmasi terbaca=true; record ditemukan di Data Preview=true dengan status Tersimpan=true ("QA9801050 Tersimpan"). Satu baris terisi sudah cukup — tidak dipaksa mengisi 24 slot.</t>
        </is>
      </c>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inlineStr">
        <is>
          <t>2026-10-12</t>
        </is>
      </c>
      <c r="O47" s="17" t="inlineStr">
        <is>
          <t>Pelaksana QA otomatis</t>
        </is>
      </c>
      <c r="P47" s="45" t="inlineStr">
        <is>
          <t>Lulus</t>
        </is>
      </c>
      <c r="Q47" s="17" t="n"/>
      <c r="R47" s="17" t="inlineStr">
        <is>
          <t>Form baru diisi — identitas "QA9968940", 1 baris slot ("07:00"), 9 kolom terisi — lalu Simpan: galat validasi=0; layar keluar dari Form=true; pesan konfirmasi terbaca=true; record ditemukan di Data Preview=true dengan status Tersimpan=true ("QA9968940 Tersimpan"). Satu baris terisi sudah cukup — tidak dipaksa mengisi 24 slot.</t>
        </is>
      </c>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inlineStr">
        <is>
          <t>2026-10-12</t>
        </is>
      </c>
      <c r="O48" s="17" t="inlineStr">
        <is>
          <t>Pelaksana QA otomatis</t>
        </is>
      </c>
      <c r="P48" s="45" t="inlineStr">
        <is>
          <t>Lulus</t>
        </is>
      </c>
      <c r="Q48" s="17" t="n"/>
      <c r="R48" s="17" t="inlineStr">
        <is>
          <t>Form baru diisi — identitas "QA0136860", 1 baris slot ("07:00"), 11 kolom terisi — lalu Simpan: galat validasi=0; layar keluar dari Form=true; pesan konfirmasi terbaca=true; record ditemukan di Data Preview=true dengan status Tersimpan=true ("QA0136860 Tersimpan"). Satu baris terisi sudah cukup — tidak dipaksa mengisi 24 slot.</t>
        </is>
      </c>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inlineStr">
        <is>
          <t>2026-10-12</t>
        </is>
      </c>
      <c r="O49" s="17" t="inlineStr">
        <is>
          <t>Pelaksana QA otomatis</t>
        </is>
      </c>
      <c r="P49" s="45" t="inlineStr">
        <is>
          <t>Lulus</t>
        </is>
      </c>
      <c r="Q49" s="17" t="n"/>
      <c r="R49" s="17" t="inlineStr">
        <is>
          <t>Form baru diisi — identitas "QA0305680", 1 baris slot ("07:00"), 17 kolom terisi — lalu Simpan: galat validasi=0; layar keluar dari Form=true; pesan konfirmasi terbaca=true; record ditemukan di Data Preview=true dengan status Tersimpan=true ("QA0305680 Tersimpan"). Satu baris terisi sudah cukup — tidak dipaksa mengisi 24 slot.</t>
        </is>
      </c>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inlineStr">
        <is>
          <t>2026-10-12</t>
        </is>
      </c>
      <c r="O50" s="17" t="inlineStr">
        <is>
          <t>Pelaksana QA otomatis</t>
        </is>
      </c>
      <c r="P50" s="45" t="inlineStr">
        <is>
          <t>Lulus</t>
        </is>
      </c>
      <c r="Q50" s="17" t="n"/>
      <c r="R50" s="17" t="inlineStr">
        <is>
          <t>Form baru diisi — identitas "QA0477550", 1 baris slot ("07:00"), 21 kolom terisi — lalu Simpan: galat validasi=0; layar keluar dari Form=true; pesan konfirmasi terbaca=true; record ditemukan di Data Preview=true dengan status Tersimpan=true ("QA0477550 Tersimpan"). Satu baris terisi sudah cukup — tidak dipaksa mengisi 24 slot.</t>
        </is>
      </c>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inlineStr">
        <is>
          <t>2026-10-12</t>
        </is>
      </c>
      <c r="O51" s="17" t="inlineStr">
        <is>
          <t>Pelaksana QA otomatis</t>
        </is>
      </c>
      <c r="P51" s="45" t="inlineStr">
        <is>
          <t>Lulus</t>
        </is>
      </c>
      <c r="Q51" s="17" t="n"/>
      <c r="R51" s="17" t="inlineStr">
        <is>
          <t>Form baru diisi — identitas "QA0652530", 1 baris slot ("07:00"), 11 kolom terisi — lalu Simpan: galat validasi=0; layar keluar dari Form=true; pesan konfirmasi terbaca=true; record ditemukan di Data Preview=true dengan status Tersimpan=true ("QA0652530 Tersimpan"). Satu baris terisi sudah cukup — tidak dipaksa mengisi 24 slot.</t>
        </is>
      </c>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inlineStr">
        <is>
          <t>2026-10-12</t>
        </is>
      </c>
      <c r="O52" s="17" t="inlineStr">
        <is>
          <t>Pelaksana QA otomatis</t>
        </is>
      </c>
      <c r="P52" s="45" t="inlineStr">
        <is>
          <t>Lulus</t>
        </is>
      </c>
      <c r="Q52" s="17" t="n"/>
      <c r="R52" s="17" t="inlineStr">
        <is>
          <t>Form baru diisi — identitas "QA0822390", 1 baris slot ("07:00"), 29 kolom terisi — lalu Simpan: galat validasi=0; layar keluar dari Form=true; pesan konfirmasi terbaca=true; record ditemukan di Data Preview=true dengan status Tersimpan=true ("QA0822390 Tersimpan"). Satu baris terisi sudah cukup — tidak dipaksa mengisi 24 slot.</t>
        </is>
      </c>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inlineStr">
        <is>
          <t>2026-10-12</t>
        </is>
      </c>
      <c r="O53" s="17" t="inlineStr">
        <is>
          <t>Pelaksana QA otomatis</t>
        </is>
      </c>
      <c r="P53" s="45" t="inlineStr">
        <is>
          <t>Lulus</t>
        </is>
      </c>
      <c r="Q53" s="17" t="n"/>
      <c r="R53" s="17" t="inlineStr">
        <is>
          <t>Form baru diisi — identitas "QA1003510", 1 baris slot ("07:00"), 15 kolom terisi — lalu Simpan: galat validasi=0; layar keluar dari Form=true; pesan konfirmasi terbaca=true; record ditemukan di Data Preview=true dengan status Tersimpan=true ("QA1003510 Tersimpan"). Satu baris terisi sudah cukup — tidak dipaksa mengisi 24 slot.</t>
        </is>
      </c>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inlineStr">
        <is>
          <t>2026-10-12</t>
        </is>
      </c>
      <c r="O54" s="17" t="inlineStr">
        <is>
          <t>Pelaksana QA otomatis</t>
        </is>
      </c>
      <c r="P54" s="45" t="inlineStr">
        <is>
          <t>Lulus</t>
        </is>
      </c>
      <c r="Q54" s="17" t="n"/>
      <c r="R54" s="17" t="inlineStr">
        <is>
          <t>Form baru diisi — identitas "QA1832310", 1 baris slot ("07:00"), 19 kolom terisi — lalu Simpan: galat validasi=0; layar keluar dari Form=true; pesan konfirmasi terbaca=true; record ditemukan di Data Preview=true dengan status Tersimpan=true ("QA1832310 Tersimpan"). Satu baris terisi sudah cukup — tidak dipaksa mengisi 24 slot.</t>
        </is>
      </c>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inlineStr">
        <is>
          <t>2026-10-12</t>
        </is>
      </c>
      <c r="O55" s="17" t="inlineStr">
        <is>
          <t>Pelaksana QA otomatis</t>
        </is>
      </c>
      <c r="P55" s="45" t="inlineStr">
        <is>
          <t>Lulus</t>
        </is>
      </c>
      <c r="Q55" s="17" t="n"/>
      <c r="R55" s="17" t="inlineStr">
        <is>
          <t>Form baru diisi — identitas "QA1175660", 1 baris slot, 18 kolom terisi — lalu Simpan: galat validasi=0; layar keluar dari Form=true; pesan konfirmasi terbaca=true; record ditemukan di Data Preview=true dengan status Tersimpan=true ("QA1175660 Tersimpan"). Satu baris terisi sudah cukup — tidak dipaksa mengisi 24 slot.</t>
        </is>
      </c>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inlineStr">
        <is>
          <t>2026-10-12</t>
        </is>
      </c>
      <c r="O56" s="17" t="inlineStr">
        <is>
          <t>Pelaksana QA otomatis</t>
        </is>
      </c>
      <c r="P56" s="45" t="inlineStr">
        <is>
          <t>Lulus</t>
        </is>
      </c>
      <c r="Q56" s="17" t="n"/>
      <c r="R56" s="17" t="inlineStr">
        <is>
          <t>Form baru diisi — identitas "QA1335500", 1 baris slot, 21 kolom terisi — lalu Simpan: galat validasi=0; layar keluar dari Form=true; pesan konfirmasi terbaca=true; record ditemukan di Data Preview=true dengan status Tersimpan=true ("QA1335500 Tersimpan"). Satu baris terisi sudah cukup — tidak dipaksa mengisi 24 slot.</t>
        </is>
      </c>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inlineStr">
        <is>
          <t>2026-10-12</t>
        </is>
      </c>
      <c r="O57" s="17" t="inlineStr">
        <is>
          <t>Pelaksana QA otomatis</t>
        </is>
      </c>
      <c r="P57" s="45" t="inlineStr">
        <is>
          <t>Lulus</t>
        </is>
      </c>
      <c r="Q57" s="17" t="n"/>
      <c r="R57" s="17" t="inlineStr">
        <is>
          <t>Form baru diisi — identitas "QA1496340", 1 baris slot, 22 kolom terisi — lalu Simpan: galat validasi=0; layar keluar dari Form=true; pesan konfirmasi terbaca=true; record ditemukan di Data Preview=true dengan status Tersimpan=true ("QA1496340 Tersimpan"). Satu baris terisi sudah cukup — tidak dipaksa mengisi 24 slot.</t>
        </is>
      </c>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inlineStr">
        <is>
          <t>2026-10-12</t>
        </is>
      </c>
      <c r="O58" s="17" t="inlineStr">
        <is>
          <t>Pelaksana QA otomatis</t>
        </is>
      </c>
      <c r="P58" s="45" t="inlineStr">
        <is>
          <t>Lulus</t>
        </is>
      </c>
      <c r="Q58" s="17" t="n"/>
      <c r="R58" s="17" t="inlineStr">
        <is>
          <t>Form baru diisi — identitas "QA1658460", 1 baris slot ("07:00"), 18 kolom terisi — lalu Simpan: galat validasi=0; layar keluar dari Form=true; pesan konfirmasi terbaca=true; record ditemukan di Data Preview=true dengan status Tersimpan=true ("QA1658460 Tersimpan"). Satu baris terisi sudah cukup — tidak dipaksa mengisi 24 slot.</t>
        </is>
      </c>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inlineStr">
        <is>
          <t>2026-10-12</t>
        </is>
      </c>
      <c r="O59" s="17" t="inlineStr">
        <is>
          <t>Pelaksana QA otomatis</t>
        </is>
      </c>
      <c r="P59" s="45" t="inlineStr">
        <is>
          <t>Lulus</t>
        </is>
      </c>
      <c r="Q59" s="17" t="n"/>
      <c r="R59" s="17" t="inlineStr">
        <is>
          <t>kolom identitas dikosongkan, satu baris slot "07:00" terisi. Simpan ditolak dan layar tetap di Form=true; galat tercetak di sebelah kolom identitas="Depricarping ID wajib diisi." (bukan hanya pesan umum; seluruh galat per-kolom: Depricarping ID wajib diisi.); isi grid tidak hilang — nilai "" tetap ""=true.</t>
        </is>
      </c>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inlineStr">
        <is>
          <t>2026-10-12</t>
        </is>
      </c>
      <c r="O60" s="17" t="inlineStr">
        <is>
          <t>Pelaksana QA otomatis</t>
        </is>
      </c>
      <c r="P60" s="45" t="inlineStr">
        <is>
          <t>Lulus</t>
        </is>
      </c>
      <c r="Q60" s="17" t="n"/>
      <c r="R60" s="17" t="inlineStr">
        <is>
          <t>baris pertama memakai slot "07:00" (dari 24 pilihan). Pilihan pada baris kedua berjumlah 23: slot yang sudah dipakai sudah hilang=true; seluruh slot yang lebih awal juga hilang=true; setiap pilihan yang tersisa lebih besar dari slot sebelumnya=true. Jadi slot kembar dan menurun DICEGAH, bukan ditolak saat Simpan — tidak ada pesan galat untuk dibaca, dan itu memang yang benar. Memilih slot sah berikutnya ("08:00") lalu Simpan berhasil=true.</t>
        </is>
      </c>
    </row>
    <row r="61" ht="386.8"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61" s="17" t="inlineStr">
        <is>
          <t>2026-10-12</t>
        </is>
      </c>
      <c r="O61" s="17" t="inlineStr">
        <is>
          <t>Pelaksana QA otomatis</t>
        </is>
      </c>
      <c r="P61" s="45" t="inlineStr">
        <is>
          <t>Lulus</t>
        </is>
      </c>
      <c r="Q61" s="17" t="n"/>
      <c r="R61" s="17" t="inlineStr">
        <is>
          <t>pilihan slot berjumlah 24 (harus 24)=true; pilihan pertama "07:00" (harus 07:00)=true; sesudah 23:00 menyusul "00:00" (harus 00:00)=true; pilihan terakhir "06:00" (harus 06:00)=true. Jadi 01:00 berada SESUDAH 23:00 — itu benar, bukan bug.</t>
        </is>
      </c>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inlineStr">
        <is>
          <t>2026-10-12</t>
        </is>
      </c>
      <c r="O62" s="17" t="inlineStr">
        <is>
          <t>Pelaksana QA otomatis</t>
        </is>
      </c>
      <c r="P62" s="45" t="inlineStr">
        <is>
          <t>Lulus</t>
        </is>
      </c>
      <c r="Q62" s="17" t="n"/>
      <c r="R62" s="17" t="inlineStr">
        <is>
          <t>identitas "QA6705730" diisi dan satu baris slot "07:00" ditambahkan TANPA satu kolom bacaan pun. Ditolak=true; record tidak tersimpan — layar masih di Form=true; pesannya tercetak di bagian grid, bukan hanya di atas form=true ("Minimal 1 baris Depricarping Detail (Time-Slot terpilih + minimal 1 kolom bacaan terisi) harus diisi sebelum menyimpan."); pesannya menyebut syarat slot DAN minimal satu kolom bacaan=true.</t>
        </is>
      </c>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inlineStr">
        <is>
          <t>2026-10-12</t>
        </is>
      </c>
      <c r="O63" s="17" t="inlineStr">
        <is>
          <t>Pelaksana QA otomatis</t>
        </is>
      </c>
      <c r="P63" s="45" t="inlineStr">
        <is>
          <t>Lulus</t>
        </is>
      </c>
      <c r="Q63" s="17" t="n"/>
      <c r="R63" s="17" t="inlineStr">
        <is>
          <t>baris slot "07:00" diisi HANYA pada satu kolom bacaan (kolom terisi pada baris itu=1), kolom lain dibiarkan kosong: simpan berhasil=true; record "QA6831010" ditemukan di Data Preview=true (1 baris di daftar: QA6831010Tersimpan); pada detailnya kolom yang dibiarkan kosong tampil sebagai angka 0=false (harus false — kosong harus tampil kosong atau tanda pisah).</t>
        </is>
      </c>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inlineStr">
        <is>
          <t>2026-10-12</t>
        </is>
      </c>
      <c r="O64" s="17" t="inlineStr">
        <is>
          <t>Pelaksana QA otomatis</t>
        </is>
      </c>
      <c r="P64" s="45" t="inlineStr">
        <is>
          <t>Lulus</t>
        </is>
      </c>
      <c r="Q64" s="17" t="n"/>
      <c r="R64" s="17" t="inlineStr">
        <is>
          <t>identitas dikosongkan dan tidak satu kolom bacaan pun diisi (keadaan yang pada MB-FORM-02 membuat Simpan ditolak), lalu Pause ditekan: berhasil tanpa satu validasi pun menolaknya=true; draft muncul di Monitor berlabel Pause=true ("Depricarping ID belum diisi Pause"); saat dibuka kembali isinya apa adanya — identitas tetap kosong=true, slot "" (diisi "07:00" saat dijeda).</t>
        </is>
      </c>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inlineStr">
        <is>
          <t>2026-10-12</t>
        </is>
      </c>
      <c r="O65" s="17" t="inlineStr">
        <is>
          <t>Pelaksana QA otomatis</t>
        </is>
      </c>
      <c r="P65" s="45" t="inlineStr">
        <is>
          <t>Lulus</t>
        </is>
      </c>
      <c r="Q65" s="17" t="n"/>
      <c r="R65" s="17" t="inlineStr">
        <is>
          <t>draft dengan dua baris (slot "07:00" dan "08:00") dijeda lalu dibuka kembali: identitas kembali "QA7178090" (sama dengan "QA7178090"=true); Tanggal tetap "12 Oktober 2026"=true; kedua baris muncul lengkap=true pada slot ["07:00","08:00"]; baris ketiga hanya menawarkan slot sesudah "08:00"=true (22 pilihan).</t>
        </is>
      </c>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inlineStr">
        <is>
          <t>2026-10-12</t>
        </is>
      </c>
      <c r="O66" s="17" t="inlineStr">
        <is>
          <t>Pelaksana QA otomatis</t>
        </is>
      </c>
      <c r="P66" s="45" t="inlineStr">
        <is>
          <t>Lulus</t>
        </is>
      </c>
      <c r="Q66" s="17" t="n"/>
      <c r="R66" s="17" t="inlineStr">
        <is>
          <t>Clear memunculkan konfirmasi lebih dulu=true ("Hapus Draft Draft depricarping ini akan dihapus secara permanen dan tidak dapat dikembalikan. Lanjutkan? Batal Ya, Hapus") — tidak langsung menghapus; sesudah Batal isi form masih utuh=true; sesudah disetujui draft "QA7391140" hilang dari daftar Monitor=true (terhapus permanen).</t>
        </is>
      </c>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inlineStr">
        <is>
          <t>2026-10-12</t>
        </is>
      </c>
      <c r="O67" s="17" t="inlineStr">
        <is>
          <t>Pelaksana QA otomatis</t>
        </is>
      </c>
      <c r="P67" s="45" t="inlineStr">
        <is>
          <t>Lulus</t>
        </is>
      </c>
      <c r="Q67" s="17" t="n"/>
      <c r="R67" s="17" t="inlineStr">
        <is>
          <t>form yang sudah diisi lalu Back: konfirmasi muncul=true ("Perubahan Belum Disimpan Ada perubahan yang belum disimpan. Yakin ingin keluar tanpa menyimpan? Batal Ya, Kelu"); sesudah Batal tetap di Form=true dan isinya tidak hilang=true; sesudah disetujui keluar dari Form=true. Form BARU yang belum disentuh lalu Back: tidak ada konfirmasi=true dan langsung keluar=true — form yang belum disentuh tidak perlu konfirmasi.</t>
        </is>
      </c>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inlineStr">
        <is>
          <t>2026-10-12</t>
        </is>
      </c>
      <c r="O68" s="17" t="inlineStr">
        <is>
          <t>Pelaksana QA otomatis</t>
        </is>
      </c>
      <c r="P68" s="45" t="inlineStr">
        <is>
          <t>Lulus</t>
        </is>
      </c>
      <c r="Q68" s="17" t="n"/>
      <c r="R68" s="17" t="inlineStr">
        <is>
          <t>Weighbridge: kendali slot waktu di layar=false (harus false); pembedaan arus Masuk/Keluar terbaca=true | Grading: kendali slot waktu di layar=false (harus false), baris parameter muatan=1 | Kernel Dispatch: kendali slot waktu di layar=false (harus false) | CPO Dispatch: kendali slot waktu di layar=false (harus false). Keempatnya menyimpan satu record per transaksi — tidak ada grid 24 slot waktu di layar mana pun.</t>
        </is>
      </c>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inlineStr">
        <is>
          <t>2026-10-12</t>
        </is>
      </c>
      <c r="O69" s="17" t="inlineStr">
        <is>
          <t>Pelaksana QA otomatis</t>
        </is>
      </c>
      <c r="P69" s="45" t="inlineStr">
        <is>
          <t>Lulus</t>
        </is>
      </c>
      <c r="Q69" s="17" t="n"/>
      <c r="R69" s="17" t="inlineStr">
        <is>
          <t>sebagai Operator pada Form Depricarping: Checked By tidak dirender (tidak boleh); Acknowledged By tidak dirender (tidak boleh); ada keterangan di layar yang menyebut siapa yang boleh mengisinya=false. Pada Form Sterilizer: 0 kotak centang "Checked by SPV" per baris, dapat ditekan Operator=tidak dirender (tidak boleh).</t>
        </is>
      </c>
    </row>
    <row r="70" ht="294.4"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70"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70" s="16" t="inlineStr">
        <is>
          <t>Tinggi</t>
        </is>
      </c>
      <c r="M70"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70" s="17" t="inlineStr">
        <is>
          <t>2026-10-12</t>
        </is>
      </c>
      <c r="O70" s="17" t="inlineStr">
        <is>
          <t>Pelaksana QA otomatis</t>
        </is>
      </c>
      <c r="P70" s="45" t="inlineStr">
        <is>
          <t>Lulus</t>
        </is>
      </c>
      <c r="Q70" s="17" t="n"/>
      <c r="R70" s="17" t="inlineStr">
        <is>
          <t>tiap peran membuat recordnya sendiri di mobile, lalu kendali verifikasinya diperiksa. Sebagai Supervisor (record "QA8279200", tersimpan=true): Checked By dapat diisi=true (harus bisa), Acknowledged By dapat diisi=null (harus tidak). Sebagai Mill Management (record "QA8407510", tersimpan=true): Acknowledged By dapat diisi=true (harus bisa), Checked By dapat diisi=null (harus tidak). "null" berarti kendalinya tidak dirender sama sekali — itu juga berarti tidak dapat diisi, bahkan lebih tegas. Kendalinya kotak centang, jadi nama yang terisi adalah nama pengguna yang menekannya, bukan diketik bebas. CATATAN: langkah "buka record Operator sebagai Supervisor" tidak dapat dijalankan di mobile — daftar Data Preview hanya memuat record pengguna yang sedang masuk di perangkat itu.</t>
        </is>
      </c>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inlineStr">
        <is>
          <t>2026-10-12</t>
        </is>
      </c>
      <c r="O71" s="17" t="inlineStr">
        <is>
          <t>Pelaksana QA otomatis</t>
        </is>
      </c>
      <c r="P71" s="45" t="inlineStr">
        <is>
          <t>Lulus</t>
        </is>
      </c>
      <c r="Q71" s="17" t="n"/>
      <c r="R71" s="17" t="inlineStr">
        <is>
          <t>tabel Target Operasional tampil read-only — kolom yang dapat diketik di dalamnya=0 (harus 0); isinya: "Parameter/MetricTarget RangeCritical LimitOperational Consequence / JustificationFan Static Pressure40 - 50 mmH2O&lt; 35 or"; nilai target ikut tersimpan sebagai data record=false (harus false — ia hanya acuan yang ditampilkan).</t>
        </is>
      </c>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inlineStr">
        <is>
          <t>2026-10-12</t>
        </is>
      </c>
      <c r="O72" s="17" t="inlineStr">
        <is>
          <t>Pelaksana QA otomatis</t>
        </is>
      </c>
      <c r="P72" s="45" t="inlineStr">
        <is>
          <t>Lulus</t>
        </is>
      </c>
      <c r="Q72" s="17" t="n"/>
      <c r="R72" s="17" t="inlineStr">
        <is>
          <t>Production Line "QA Line Tanpa StasiunQA-LINE-KOSONG" (tanpa stasiun Depricarping aktif) dipilih: tombol New Data dapat ditekan=true; penolakan yang menyebut stasiun tidak aktif muncul=true ("Production Line yang dipilih belum memiliki station Depricarping yang aktif."); layar keluar dari Form sesudah Simpan=false; record muncul di Data Preview=false; galat teknis=false (harus false). Bandingkan dengan WB-FRM-07: layar web MENOLAK keadaan yang sama dengan pesan yang menyebut stasiunnya.</t>
        </is>
      </c>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inlineStr">
        <is>
          <t>2026-10-12</t>
        </is>
      </c>
      <c r="O73" s="17" t="inlineStr">
        <is>
          <t>Pelaksana QA otomatis</t>
        </is>
      </c>
      <c r="P73" s="45" t="inlineStr">
        <is>
          <t>Lulus</t>
        </is>
      </c>
      <c r="Q73" s="17" t="n"/>
      <c r="R73" s="17" t="inlineStr">
        <is>
          <t>login dan Station List dibuka sambil online (line "Line 1"); rute Monitor, Form, dan Load Data dilalui sekali lewat klik di dalam aplikasi supaya modulnya sudah ada di halaman (/stations/depricarping/monitor → /stations/depricarping/form/e1b76d5f-71a5-4225-9b18-450441ba9b8e → /stations/depricarping/preview → /stations), lalu koneksi diputus sepenuhnya. Seluruh alur input berjalan tanpa koneksi: Simpan berhasil dan layar keluar dari Form=true; record "QA7840570" muncul di Data Preview=true (2 baris) berstatus Tersimpan dan belum Tersinkron=true ("QA7840570 Tersimpan"); sesudah aplikasi dibuka ulang masih tanpa koneksi, record itu masih ada=true (2 baris). Catatan: "tutup aplikasi lalu buka lagi" dalam arti MEMUAT ULANG aplikasi tidak dapat ditiru di browser saat luring — memuat ulang menuntut dokumen dan modulnya diminta dari server, sedangkan aplikasi terpasang memuatnya dari perangkat. Bagian itu perlu dijalankan di perangkat atau emulator. Tidak ada pesan galat jaringan selama input=true. Galat konsol selama luring: 2 (permintaan jaringan yang gagal saat luring adalah hal yang diharapkan; yang diuji adalah alurnya tidak terganggu).</t>
        </is>
      </c>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inlineStr">
        <is>
          <t>2026-10-12</t>
        </is>
      </c>
      <c r="O74" s="17" t="inlineStr">
        <is>
          <t>Pelaksana QA otomatis</t>
        </is>
      </c>
      <c r="P74" s="45" t="inlineStr">
        <is>
          <t>Lulus</t>
        </is>
      </c>
      <c r="Q74" s="17" t="n"/>
      <c r="R74" s="17" t="inlineStr">
        <is>
          <t>record "QA8043940" dibuat saat luring, lalu koneksi dinyalakan dan Sinkronisasi dijalankan: tombolnya ada dan berjalan=true; ringkasannya menyebut angka=true ("Mills Smart Log Home / Production Process Activity Daftar Stasiun PRODUCTION LINE Line 1 Stasiun Aktif Weighbridge Pressing Storag"); status record di Data Preview berubah menjadi Tersinkron=true ("QA8043940 Tersinkron"); record itu MUNCUL DI WEB pada Data Browser Depricarping sebagai Supervisor=true ("Line 1 QA8043940 12/10/2026 1 / 24 Tersimpan").</t>
        </is>
      </c>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inlineStr">
        <is>
          <t>2026-10-12</t>
        </is>
      </c>
      <c r="O75" s="17" t="inlineStr">
        <is>
          <t>Pelaksana QA otomatis</t>
        </is>
      </c>
      <c r="P75" s="45" t="inlineStr">
        <is>
          <t>Lulus</t>
        </is>
      </c>
      <c r="Q75" s="17" t="n"/>
      <c r="R75" s="17" t="inlineStr">
        <is>
          <t>Sinkronisasi ditekan saat koneksi mati, lalu layar diamati 10 detik. Pesan yang menyebut koneksi/jaringan muncul=true ("Sinkronisasi Selesai0 data berhasil disinkronkan, 1 gagal.DepricarpingQA8439960Tidak dapat terhubung ke server. Data akan disimpan secara lokal. Tutup | Sinkron"); memuat istilah Inggris mentah=false. Record "QA8439960" tidak hilang=true dan statusnya tetap Tersimpan — tidak ditandai Tersinkron secara keliru=true ("QA8439960 Tersimpan"). Sesudah koneksi kembali, Sync berhasil mengirimnya=true ("QA8439960 Tersinkron"; ringkasan kedua: "Mills Smart Log Home / Production Process Activity Daftar Stasiun PRODUCTION LINE Line 1 S").</t>
        </is>
      </c>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inlineStr">
        <is>
          <t>2026-10-12</t>
        </is>
      </c>
      <c r="O76" s="17" t="inlineStr">
        <is>
          <t>Pelaksana QA otomatis</t>
        </is>
      </c>
      <c r="P76" s="45" t="inlineStr">
        <is>
          <t>Lulus</t>
        </is>
      </c>
      <c r="Q76" s="17" t="n"/>
      <c r="R76" s="17" t="inlineStr">
        <is>
          <t>Sinkronisasi dijalankan dua kali atas record "QA8836080". Ringkasan pertama: "Mills Smart Log Home / Production Process Activity Daftar Stasiun PRODUCTION LINE Line 1 S"; ringkasan kedua: "Mills Smart Log Home / Production Process Activity Daftar Stasiun PRODUCTION LINE Line 1 S" — berjalan tanpa galat=true, melaporkan 0 record terkirim atau pesan sepadan=true. Di web, baris dengan identitas itu berjumlah 1 (harus 1 — tidak ada duplikat); kolom Jumlah Baris Terisi="1 / 24" dan grid detailnya memuat 1 baris (tidak berganda).</t>
        </is>
      </c>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inlineStr">
        <is>
          <t>2026-10-12</t>
        </is>
      </c>
      <c r="O77" s="17" t="inlineStr">
        <is>
          <t>Pelaksana QA otomatis</t>
        </is>
      </c>
      <c r="P77" s="45" t="inlineStr">
        <is>
          <t>Lulus</t>
        </is>
      </c>
      <c r="Q77" s="17" t="n"/>
      <c r="R77" s="17" t="inlineStr">
        <is>
          <t>username dan password yang BENAR diisi saat koneksi mati: pesannya "Mills Smart Log Koneksi internet diperlukan untuk login pertama kali Username / NIK * Password * Login Lupa Password" — menyebut koneksi/jaringan=true; menyebut password salah atau akun tidak ditemukan=false (harus false, karena itu akan mengirim operator mengejar masalah yang tidak ada); tetap di layar Login dan tidak masuk=true.</t>
        </is>
      </c>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inlineStr">
        <is>
          <t>2026-10-12</t>
        </is>
      </c>
      <c r="O78" s="17" t="inlineStr">
        <is>
          <t>Pelaksana QA otomatis</t>
        </is>
      </c>
      <c r="P78" s="45" t="inlineStr">
        <is>
          <t>Lulus</t>
        </is>
      </c>
      <c r="Q78" s="17" t="n"/>
      <c r="R78" s="17" t="inlineStr">
        <is>
          <t>satu record dibuat hari ini ("QA2006690") dan satu record bertanggal 2026-10-06 disuntik ke basis data perangkat. Filter Tanggal sudah terisi "2026-10-12" tanpa disentuh penguji — sama dengan hari ini (2026-10-12)=true; daftar memuat 1 baris: record hari ini terlihat=true, record tanggal lampau terlihat=false (harus false sampai filternya diubah).</t>
        </is>
      </c>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inlineStr">
        <is>
          <t>2026-10-12</t>
        </is>
      </c>
      <c r="O79" s="17" t="inlineStr">
        <is>
          <t>Pelaksana QA otomatis</t>
        </is>
      </c>
      <c r="P79" s="45" t="inlineStr">
        <is>
          <t>Lulus</t>
        </is>
      </c>
      <c r="Q79" s="17" t="n"/>
      <c r="R79" s="17" t="inlineStr">
        <is>
          <t>pintasan "Semua" menampilkan 2 baris (ringkasan "2 data") — memuat record dari seluruh tanggal; pintasan "Hari ini" mengembalikan daftar ke 1 baris (ringkasan "1 dari 2 data") dan seluruhnya record hari ini=true; jumlah pada ringkasan cocok dengan jumlah baris yang terlihat=true.</t>
        </is>
      </c>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inlineStr">
        <is>
          <t>2026-10-12</t>
        </is>
      </c>
      <c r="O80" s="17" t="inlineStr">
        <is>
          <t>Pelaksana QA otomatis</t>
        </is>
      </c>
      <c r="P80" s="45" t="inlineStr">
        <is>
          <t>Lulus</t>
        </is>
      </c>
      <c r="Q80" s="17" t="n"/>
      <c r="R80" s="17" t="inlineStr">
        <is>
          <t>record beridentitas "PRESSER-01" dibuat. Pencarian "presser-01" (huruf kecil) menemukan 1 baris; "PRESSER" (huruf besar) menemukan 1; "esser-0" (potongan di tengah) menemukan 1. Ketiganya menemukan record itu=true — pencarian tidak peduli huruf besar-kecil dan cocok pada potongan di tengah, bukan hanya awalan.</t>
        </is>
      </c>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inlineStr">
        <is>
          <t>2026-10-12</t>
        </is>
      </c>
      <c r="O81" s="17" t="inlineStr">
        <is>
          <t>Pelaksana QA otomatis</t>
        </is>
      </c>
      <c r="P81" s="45" t="inlineStr">
        <is>
          <t>Lulus</t>
        </is>
      </c>
      <c r="Q81" s="17" t="n"/>
      <c r="R81" s="17" t="inlineStr">
        <is>
          <t>daftar awal 2 baris (record "QA2645830" dan "QA-LAIN-02"); tombol × sebelum kolom Cari terisi=0 (harus 0); sesudah kata kunci "QA-LAIN-02" diketik: 1 baris dan tombol × muncul=true; sesudah × ditekan: kata kunci kosong=true dan daftar kembali ke 2 baris=true.</t>
        </is>
      </c>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inlineStr">
        <is>
          <t>2026-10-12</t>
        </is>
      </c>
      <c r="O82" s="17" t="inlineStr">
        <is>
          <t>Pelaksana QA otomatis</t>
        </is>
      </c>
      <c r="P82" s="45" t="inlineStr">
        <is>
          <t>Lulus</t>
        </is>
      </c>
      <c r="Q82" s="17" t="n"/>
      <c r="R82" s="17" t="inlineStr">
        <is>
          <t>baris draft "QA3057450" mendarat di /stations/depricarping/form/34f979b6-df98-47e5-811c-624a04113374 (Form — dapat dilanjutkan)=true; baris record Tersimpan "QA2931640" mendarat di /stations/depricarping/preview/545652d3-7fb2-4d9d-a980-c888ef41ebee (detail read-only)=true; pada layar detail itu ada nilai yang dapat diubah=false (harus false).</t>
        </is>
      </c>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inlineStr">
        <is>
          <t>2026-10-12</t>
        </is>
      </c>
      <c r="O83" s="17" t="inlineStr">
        <is>
          <t>Pelaksana QA otomatis</t>
        </is>
      </c>
      <c r="P83" s="45" t="inlineStr">
        <is>
          <t>Lulus</t>
        </is>
      </c>
      <c r="Q83" s="17" t="n"/>
      <c r="R83" s="17" t="inlineStr">
        <is>
          <t>Weighbridge adalah stasiun per-transaksi: satu record adalah satu transaksi, jadi grid 24 slot tidak ada. Pada detail record (dicocokkan dengan identitas "QA3677540") terbaca 0 baris grid (dihitung dari baris tabel di layar; penanda daftar kosong=0) — tidak digambar baris pengisi.</t>
        </is>
      </c>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inlineStr">
        <is>
          <t>2026-10-12</t>
        </is>
      </c>
      <c r="O84" s="17" t="inlineStr">
        <is>
          <t>Pelaksana QA otomatis</t>
        </is>
      </c>
      <c r="P84" s="45" t="inlineStr">
        <is>
          <t>Lulus</t>
        </is>
      </c>
      <c r="Q84" s="17" t="n"/>
      <c r="R84" s="17" t="inlineStr">
        <is>
          <t>record dicocokkan dengan identitas "QA3939590", disimpan dengan 3 baris; detailnya menggambar 3 baris (dihitung dari baris di dalam wadah daftar detailnya) — tepat sama=true, bukan 24 dan bukan dipadatkan menjadi satu. Tidak ada baris kosong tambahan yang digambar untuk mengisi sampai 24.</t>
        </is>
      </c>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inlineStr">
        <is>
          <t>2026-10-12</t>
        </is>
      </c>
      <c r="O85" s="17" t="inlineStr">
        <is>
          <t>Pelaksana QA otomatis</t>
        </is>
      </c>
      <c r="P85" s="45" t="inlineStr">
        <is>
          <t>Lulus</t>
        </is>
      </c>
      <c r="Q85" s="17" t="n"/>
      <c r="R85" s="17" t="inlineStr">
        <is>
          <t>record dicocokkan dengan identitas "QA4150110", disimpan dengan 3 baris; detailnya menggambar 3 baris (dihitung dari penanda per baris) — tepat sama=true, bukan 24 dan bukan dipadatkan menjadi satu. Tidak ada baris kosong tambahan yang digambar untuk mengisi sampai 24.</t>
        </is>
      </c>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inlineStr">
        <is>
          <t>2026-10-12</t>
        </is>
      </c>
      <c r="O86" s="17" t="inlineStr">
        <is>
          <t>Pelaksana QA otomatis</t>
        </is>
      </c>
      <c r="P86" s="45" t="inlineStr">
        <is>
          <t>Lulus</t>
        </is>
      </c>
      <c r="Q86" s="17" t="n"/>
      <c r="R86" s="17" t="inlineStr">
        <is>
          <t>record dicocokkan dengan identitas "QA4351420", disimpan dengan 3 baris; detailnya menggambar 3 baris (dihitung dari baris di dalam wadah daftar detailnya) — tepat sama=true, bukan 24 dan bukan dipadatkan menjadi satu. Tidak ada baris kosong tambahan yang digambar untuk mengisi sampai 24.</t>
        </is>
      </c>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inlineStr">
        <is>
          <t>2026-10-12</t>
        </is>
      </c>
      <c r="O87" s="17" t="inlineStr">
        <is>
          <t>Pelaksana QA otomatis</t>
        </is>
      </c>
      <c r="P87" s="45" t="inlineStr">
        <is>
          <t>Lulus</t>
        </is>
      </c>
      <c r="Q87" s="17" t="n"/>
      <c r="R87" s="17" t="inlineStr">
        <is>
          <t>record dicocokkan dengan identitas "QA4547930", disimpan dengan 3 baris; detailnya menggambar 3 baris (dihitung dari penanda per baris) — tepat sama=true, bukan 24 dan bukan dipadatkan menjadi satu. Tidak ada baris kosong tambahan yang digambar untuk mengisi sampai 24.</t>
        </is>
      </c>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inlineStr">
        <is>
          <t>2026-10-12</t>
        </is>
      </c>
      <c r="O88" s="17" t="inlineStr">
        <is>
          <t>Pelaksana QA otomatis</t>
        </is>
      </c>
      <c r="P88" s="45" t="inlineStr">
        <is>
          <t>Lulus</t>
        </is>
      </c>
      <c r="Q88" s="17" t="n"/>
      <c r="R88" s="17" t="inlineStr">
        <is>
          <t>record dicocokkan dengan identitas "QA4782790", disimpan dengan 3 baris; detailnya menggambar 3 baris (dihitung dari penanda per baris) — tepat sama=true, bukan 24 dan bukan dipadatkan menjadi satu. Tidak ada baris kosong tambahan yang digambar untuk mengisi sampai 24.</t>
        </is>
      </c>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inlineStr">
        <is>
          <t>2026-10-12</t>
        </is>
      </c>
      <c r="O89" s="17" t="inlineStr">
        <is>
          <t>Pelaksana QA otomatis</t>
        </is>
      </c>
      <c r="P89" s="45" t="inlineStr">
        <is>
          <t>Lulus</t>
        </is>
      </c>
      <c r="Q89" s="17" t="n"/>
      <c r="R89" s="17" t="inlineStr">
        <is>
          <t>record dicocokkan dengan identitas "QA5017070", disimpan dengan 3 baris; detailnya menggambar 3 baris (dihitung dari penanda per baris) — tepat sama=true, bukan 24 dan bukan dipadatkan menjadi satu. Tidak ada baris kosong tambahan yang digambar untuk mengisi sampai 24.</t>
        </is>
      </c>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inlineStr">
        <is>
          <t>2026-10-12</t>
        </is>
      </c>
      <c r="O90" s="17" t="inlineStr">
        <is>
          <t>Pelaksana QA otomatis</t>
        </is>
      </c>
      <c r="P90" s="45" t="inlineStr">
        <is>
          <t>Lulus</t>
        </is>
      </c>
      <c r="Q90" s="17" t="n"/>
      <c r="R90" s="17" t="inlineStr">
        <is>
          <t>record dicocokkan dengan identitas "QA5251580", disimpan dengan 3 baris; detailnya menggambar 3 baris (dihitung dari penanda per baris) — tepat sama=true, bukan 24 dan bukan dipadatkan menjadi satu. Tidak ada baris kosong tambahan yang digambar untuk mengisi sampai 24.</t>
        </is>
      </c>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inlineStr">
        <is>
          <t>2026-10-12</t>
        </is>
      </c>
      <c r="O91" s="17" t="inlineStr">
        <is>
          <t>Pelaksana QA otomatis</t>
        </is>
      </c>
      <c r="P91" s="45" t="inlineStr">
        <is>
          <t>Lulus</t>
        </is>
      </c>
      <c r="Q91" s="17" t="n"/>
      <c r="R91" s="17" t="inlineStr">
        <is>
          <t>record dicocokkan dengan identitas "QA5488200", disimpan dengan 3 baris; detailnya menggambar 3 baris (dihitung dari penanda per baris) — tepat sama=true, bukan 24 dan bukan dipadatkan menjadi satu. Tidak ada baris kosong tambahan yang digambar untuk mengisi sampai 24.</t>
        </is>
      </c>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inlineStr">
        <is>
          <t>2026-10-12</t>
        </is>
      </c>
      <c r="O92" s="17" t="inlineStr">
        <is>
          <t>Pelaksana QA otomatis</t>
        </is>
      </c>
      <c r="P92" s="45" t="inlineStr">
        <is>
          <t>Lulus</t>
        </is>
      </c>
      <c r="Q92" s="17" t="n"/>
      <c r="R92" s="17" t="inlineStr">
        <is>
          <t>record dicocokkan dengan identitas "QA5728030", disimpan dengan 3 baris; detailnya menggambar 3 baris (dihitung dari penanda per baris) — tepat sama=true, bukan 24 dan bukan dipadatkan menjadi satu. Tidak ada baris kosong tambahan yang digambar untuk mengisi sampai 24.</t>
        </is>
      </c>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inlineStr">
        <is>
          <t>2026-10-12</t>
        </is>
      </c>
      <c r="O93" s="17" t="inlineStr">
        <is>
          <t>Pelaksana QA otomatis</t>
        </is>
      </c>
      <c r="P93" s="45" t="inlineStr">
        <is>
          <t>Lulus</t>
        </is>
      </c>
      <c r="Q93" s="17" t="n"/>
      <c r="R93" s="17" t="inlineStr">
        <is>
          <t>record dicocokkan dengan identitas "QA5969810", disimpan dengan 3 baris; detailnya menggambar 3 baris (dihitung dari penanda per baris) — tepat sama=true, bukan 24 dan bukan dipadatkan menjadi satu. Tidak ada baris kosong tambahan yang digambar untuk mengisi sampai 24.</t>
        </is>
      </c>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inlineStr">
        <is>
          <t>2026-10-12</t>
        </is>
      </c>
      <c r="O94" s="17" t="inlineStr">
        <is>
          <t>Pelaksana QA otomatis</t>
        </is>
      </c>
      <c r="P94" s="45" t="inlineStr">
        <is>
          <t>Lulus</t>
        </is>
      </c>
      <c r="Q94" s="17" t="n"/>
      <c r="R94" s="17" t="inlineStr">
        <is>
          <t>record dicocokkan dengan identitas "QA6206000", disimpan dengan 3 baris; detailnya menggambar 3 baris (dihitung dari penanda per baris) — tepat sama=true, bukan 24 dan bukan dipadatkan menjadi satu. Tidak ada baris kosong tambahan yang digambar untuk mengisi sampai 24.</t>
        </is>
      </c>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inlineStr">
        <is>
          <t>2026-10-12</t>
        </is>
      </c>
      <c r="O95" s="17" t="inlineStr">
        <is>
          <t>Pelaksana QA otomatis</t>
        </is>
      </c>
      <c r="P95" s="45" t="inlineStr">
        <is>
          <t>Lulus</t>
        </is>
      </c>
      <c r="Q95" s="17" t="n"/>
      <c r="R95" s="17" t="inlineStr">
        <is>
          <t>record dicocokkan dengan identitas "QA6454190", disimpan dengan 3 baris; detailnya menggambar 3 baris (dihitung dari penanda per baris) — tepat sama=true, bukan 24 dan bukan dipadatkan menjadi satu. Tidak ada baris kosong tambahan yang digambar untuk mengisi sampai 24.</t>
        </is>
      </c>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inlineStr">
        <is>
          <t>2026-10-12</t>
        </is>
      </c>
      <c r="O96" s="17" t="inlineStr">
        <is>
          <t>Pelaksana QA otomatis</t>
        </is>
      </c>
      <c r="P96" s="45" t="inlineStr">
        <is>
          <t>Lulus</t>
        </is>
      </c>
      <c r="Q96" s="17" t="n"/>
      <c r="R96" s="17" t="inlineStr">
        <is>
          <t>record dicocokkan dengan identitas "QA7491250", disimpan dengan 3 baris; detailnya menggambar 3 baris (dihitung dari penanda per baris) — tepat sama=true, bukan 24 dan bukan dipadatkan menjadi satu. Tidak ada baris kosong tambahan yang digambar untuk mengisi sampai 24.</t>
        </is>
      </c>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inlineStr">
        <is>
          <t>2026-10-12</t>
        </is>
      </c>
      <c r="O97" s="17" t="inlineStr">
        <is>
          <t>Pelaksana QA otomatis</t>
        </is>
      </c>
      <c r="P97" s="45" t="inlineStr">
        <is>
          <t>Lulus</t>
        </is>
      </c>
      <c r="Q97" s="17" t="n"/>
      <c r="R97" s="17" t="inlineStr">
        <is>
          <t>record dicocokkan dengan identitas "QA6693000", disimpan dengan 3 baris; detailnya menggambar 3 baris (dihitung dari baris di dalam wadah daftar detailnya) — tepat sama=true, bukan 24 dan bukan dipadatkan menjadi satu. Tidak ada baris kosong tambahan yang digambar untuk mengisi sampai 24.</t>
        </is>
      </c>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inlineStr">
        <is>
          <t>2026-10-12</t>
        </is>
      </c>
      <c r="O98" s="17" t="inlineStr">
        <is>
          <t>Pelaksana QA otomatis</t>
        </is>
      </c>
      <c r="P98" s="45" t="inlineStr">
        <is>
          <t>Lulus</t>
        </is>
      </c>
      <c r="Q98" s="17" t="n"/>
      <c r="R98" s="17" t="inlineStr">
        <is>
          <t>Kernel Dispatch adalah stasiun per-transaksi: satu record adalah satu transaksi, jadi grid 24 slot tidak ada. Pada detail record (dicocokkan dengan identitas "QA6891170") terbaca 1 baris grid (dihitung dari baris di dalam wadah daftar detailnya; penanda daftar kosong=0) — tidak digambar baris pengisi.</t>
        </is>
      </c>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inlineStr">
        <is>
          <t>2026-10-12</t>
        </is>
      </c>
      <c r="O99" s="17" t="inlineStr">
        <is>
          <t>Pelaksana QA otomatis</t>
        </is>
      </c>
      <c r="P99" s="45" t="inlineStr">
        <is>
          <t>Lulus</t>
        </is>
      </c>
      <c r="Q99" s="17" t="n"/>
      <c r="R99" s="17" t="inlineStr">
        <is>
          <t>CPO Dispatch adalah stasiun per-transaksi: satu record adalah satu transaksi, jadi grid 24 slot tidak ada. Pada detail record (dicocokkan dengan identitas "QA7071160") terbaca 1 baris grid (dihitung dari baris di dalam wadah daftar detailnya; penanda daftar kosong=0) — tidak digambar baris pengisi.</t>
        </is>
      </c>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inlineStr">
        <is>
          <t>2026-10-12</t>
        </is>
      </c>
      <c r="O100" s="17" t="inlineStr">
        <is>
          <t>Pelaksana QA otomatis</t>
        </is>
      </c>
      <c r="P100" s="45" t="inlineStr">
        <is>
          <t>Lulus</t>
        </is>
      </c>
      <c r="Q100" s="17" t="n"/>
      <c r="R100" s="17" t="inlineStr">
        <is>
          <t>record dicocokkan dengan identitas "QA7251280", disimpan dengan 3 baris; detailnya menggambar 3 baris (dihitung dari penanda per baris) — tepat sama=true, bukan 24 dan bukan dipadatkan menjadi satu. Tidak ada baris kosong tambahan yang digambar untuk mengisi sampai 24.</t>
        </is>
      </c>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inlineStr">
        <is>
          <t>2026-10-12</t>
        </is>
      </c>
      <c r="O101" s="17" t="inlineStr">
        <is>
          <t>Pelaksana QA otomatis</t>
        </is>
      </c>
      <c r="P101" s="45" t="inlineStr">
        <is>
          <t>Lulus</t>
        </is>
      </c>
      <c r="Q101" s="17" t="n"/>
      <c r="R101" s="17" t="inlineStr">
        <is>
          <t>record "QA3294780" dibuat Supervisor dan ditandai Checked olehnya (kendalinya dapat dipakai=true). Pada detail Data Preview: baris Checked By terlihat=true; baris Acknowledged By terlihat=true; Acknowledged yang belum terisi tampil sebagai tanda pisah atau keterangan=true; tampil sebagai angka 0=false (harus false). Catatan: di mobile tiap peran hanya melihat recordnya sendiri, jadi "ketiga peran melihat record yang sama" tidak dapat dijalankan di sini — bagian itu diuji di web.</t>
        </is>
      </c>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t>
        </is>
      </c>
      <c r="M102" s="14" t="inlineStr"/>
      <c r="N102" s="17" t="inlineStr">
        <is>
          <t>2026-10-12</t>
        </is>
      </c>
      <c r="O102" s="17" t="inlineStr">
        <is>
          <t>Pelaksana QA otomatis</t>
        </is>
      </c>
      <c r="P102" s="45" t="inlineStr">
        <is>
          <t>Lulus</t>
        </is>
      </c>
      <c r="Q102" s="17" t="n"/>
      <c r="R102" s="17" t="inlineStr">
        <is>
          <t>Keadaan awal tanpa disentuh: filter Tanggal "2026-10-12" dengan 1 baris. Tombol Reset Filter terlihat pada keadaan awal itu=false (harus false — tanggal bawaan hari ini adalah BAWAAN, bukan filter yang dipilih penguji; tombol yang praktis selalu ada berhenti menandakan apa pun). Sesudah Tanggal diubah ke 01/01/2026 dan kata kunci diketik: 0 baris, tombol Reset Filter ada=true (harus true). Sesudah Reset ditekan: kolom Cari kosong=true; filter Tanggal kembali ke hari ini "2026-10-12"=true (terbaca "2026-10-12"); jumlah baris kembali seperti keadaan awal=true (1 vs 1). Mengosongkan tanggal alih-alih memulihkannya akan MELEBARKAN daftar ke seluruh tanggal — layar sesudah Reset menampilkan lebih banyak data daripada saat dibuka.</t>
        </is>
      </c>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inlineStr">
        <is>
          <t>2026-10-12</t>
        </is>
      </c>
      <c r="O103" s="17" t="inlineStr">
        <is>
          <t>Pelaksana QA otomatis</t>
        </is>
      </c>
      <c r="P103" s="45" t="inlineStr">
        <is>
          <t>Lulus</t>
        </is>
      </c>
      <c r="Q103" s="17" t="n"/>
      <c r="R103" s="17" t="inlineStr">
        <is>
          <t>judul kolom: Production Line | Depricarping ID | Tanggal | Jumlah Baris Terisi | Status; kolom identitas, Tanggal, Jumlah Baris Terisi, dan Status ada=true; nilai Status yang terbaca: Tersinkron — tidak ada yang berbentuk teknis (draft_ongoing/synced)=true; panel filter menyediakan rentang tanggal (dari=true, sampai=true).</t>
        </is>
      </c>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inlineStr">
        <is>
          <t>2026-10-12</t>
        </is>
      </c>
      <c r="O104" s="17" t="inlineStr">
        <is>
          <t>Pelaksana QA otomatis</t>
        </is>
      </c>
      <c r="P104" s="45" t="inlineStr">
        <is>
          <t>Lulus</t>
        </is>
      </c>
      <c r="Q104" s="17" t="n"/>
      <c r="R104" s="17" t="inlineStr">
        <is>
          <t>pesan tentang rentang tanggal terbaca=true; hanya tabel kosong tanpa penjelasan=false (harus false); galat teknis=false.</t>
        </is>
      </c>
    </row>
    <row r="105" ht="334" customHeight="1">
      <c r="A105" s="18" t="n">
        <v>101</v>
      </c>
      <c r="B105" s="19" t="n">
        <v>2</v>
      </c>
      <c r="C105" s="20" t="inlineStr">
        <is>
          <t>WB-BRW-03 / Weighbridge</t>
        </is>
      </c>
      <c r="D105" s="20" t="inlineStr">
        <is>
          <t>WB-BRW-03</t>
        </is>
      </c>
      <c r="E105" s="21" t="inlineStr">
        <is>
          <t>Weighbridge</t>
        </is>
      </c>
      <c r="F105" s="22" t="inlineStr">
        <is>
          <t>Web — Data Stasiun (WB-)</t>
        </is>
      </c>
      <c r="G105" s="21" t="inlineStr">
        <is>
          <t>"Jumlah Baris Terisi" tampil sebagai pecahan dari 24</t>
        </is>
      </c>
      <c r="H105" s="22" t="inlineStr">
        <is>
          <t>SPV-A</t>
        </is>
      </c>
      <c r="I105" s="22" t="inlineStr">
        <is>
          <t>satu record dengan 3 baris terisi</t>
        </is>
      </c>
      <c r="J105" s="23" t="inlineStr">
        <is>
          <t>Tidak berlaku — grid stasiun ini bukan 24 slot waktu; ia menghitung satuannya sendiri (siklus / cage-lori / kejadian / nomor kendaraan / satu transaksi per record)</t>
        </is>
      </c>
      <c r="K105" s="23" t="inlineStr">
        <is>
          <t>Tidak berlaku — grid stasiun ini bukan 24 slot waktu; ia menghitung satuannya sendiri (siklus / cage-lori / kejadian / nomor kendaraan / satu transaksi per record)</t>
        </is>
      </c>
      <c r="L105" s="18" t="inlineStr">
        <is>
          <t>Sedang</t>
        </is>
      </c>
      <c r="M105"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5" s="24" t="inlineStr">
        <is>
          <t>2026-10-12</t>
        </is>
      </c>
      <c r="O105" s="24" t="inlineStr">
        <is>
          <t>Pelaksana QA otomatis</t>
        </is>
      </c>
      <c r="P105" s="46" t="inlineStr">
        <is>
          <t>Tidak berlaku</t>
        </is>
      </c>
      <c r="Q105" s="24" t="n"/>
      <c r="R105" s="24" t="inlineStr">
        <is>
          <t>Tidak berlaku — grid stasiun ini bukan 24 slot waktu; ia menghitung satuannya sendiri (siklus / cage-lori / kejadian / nomor kendaraan / satu transaksi per record) — diperiksa pelaksana: Tidak berlaku di Weighbridge: Data Browser stasiun ini tidak memakai penyebut 24 karena gridnya bukan 24 slot waktu — ia menghitung satuannya sendiri (siklus, cage/lori, kejadian, atau satu transaksi per record). Kasus ini hanya berlaku di 11 stasiun bergrid slot waktu.</t>
        </is>
      </c>
    </row>
    <row r="106" ht="334" customHeight="1">
      <c r="A106" s="18" t="n">
        <v>102</v>
      </c>
      <c r="B106" s="19" t="n">
        <v>2</v>
      </c>
      <c r="C106" s="20" t="inlineStr">
        <is>
          <t>WB-BRW-03 / Grading</t>
        </is>
      </c>
      <c r="D106" s="20" t="inlineStr">
        <is>
          <t>WB-BRW-03</t>
        </is>
      </c>
      <c r="E106" s="21" t="inlineStr">
        <is>
          <t>Grading</t>
        </is>
      </c>
      <c r="F106" s="22" t="inlineStr">
        <is>
          <t>Web — Data Stasiun (WB-)</t>
        </is>
      </c>
      <c r="G106" s="21" t="inlineStr">
        <is>
          <t>"Jumlah Baris Terisi" tampil sebagai pecahan dari 24</t>
        </is>
      </c>
      <c r="H106" s="22" t="inlineStr">
        <is>
          <t>SPV-A</t>
        </is>
      </c>
      <c r="I106" s="22" t="inlineStr">
        <is>
          <t>satu record dengan 3 baris terisi</t>
        </is>
      </c>
      <c r="J106" s="23" t="inlineStr">
        <is>
          <t>Tidak berlaku — grid stasiun ini bukan 24 slot waktu; ia menghitung satuannya sendiri (siklus / cage-lori / kejadian / nomor kendaraan / satu transaksi per record)</t>
        </is>
      </c>
      <c r="K106" s="23" t="inlineStr">
        <is>
          <t>Tidak berlaku — grid stasiun ini bukan 24 slot waktu; ia menghitung satuannya sendiri (siklus / cage-lori / kejadian / nomor kendaraan / satu transaksi per record)</t>
        </is>
      </c>
      <c r="L106" s="18" t="inlineStr">
        <is>
          <t>Sedang</t>
        </is>
      </c>
      <c r="M10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6" s="24" t="inlineStr">
        <is>
          <t>2026-10-12</t>
        </is>
      </c>
      <c r="O106" s="24" t="inlineStr">
        <is>
          <t>Pelaksana QA otomatis</t>
        </is>
      </c>
      <c r="P106" s="46" t="inlineStr">
        <is>
          <t>Tidak berlaku</t>
        </is>
      </c>
      <c r="Q106" s="24" t="n"/>
      <c r="R106" s="24" t="inlineStr">
        <is>
          <t>Tidak berlaku — grid stasiun ini bukan 24 slot waktu; ia menghitung satuannya sendiri (siklus / cage-lori / kejadian / nomor kendaraan / satu transaksi per record) — diperiksa pelaksana: Tidak berlaku di Grading: Data Browser stasiun ini tidak memakai penyebut 24 karena gridnya bukan 24 slot waktu — ia menghitung satuannya sendiri (siklus, cage/lori, kejadian, atau satu transaksi per record). Kasus ini hanya berlaku di 11 stasiun bergrid slot waktu.</t>
        </is>
      </c>
    </row>
    <row r="107" ht="334" customHeight="1">
      <c r="A107" s="18" t="n">
        <v>103</v>
      </c>
      <c r="B107" s="19" t="n">
        <v>2</v>
      </c>
      <c r="C107" s="20" t="inlineStr">
        <is>
          <t>WB-BRW-03 / Cages Track</t>
        </is>
      </c>
      <c r="D107" s="20" t="inlineStr">
        <is>
          <t>WB-BRW-03</t>
        </is>
      </c>
      <c r="E107" s="21" t="inlineStr">
        <is>
          <t>Cages Track</t>
        </is>
      </c>
      <c r="F107" s="22" t="inlineStr">
        <is>
          <t>Web — Data Stasiun (WB-)</t>
        </is>
      </c>
      <c r="G107" s="21" t="inlineStr">
        <is>
          <t>"Jumlah Baris Terisi" tampil sebagai pecahan dari 24</t>
        </is>
      </c>
      <c r="H107" s="22" t="inlineStr">
        <is>
          <t>SPV-A</t>
        </is>
      </c>
      <c r="I107" s="22" t="inlineStr">
        <is>
          <t>satu record dengan 3 baris terisi</t>
        </is>
      </c>
      <c r="J107" s="23" t="inlineStr">
        <is>
          <t>Tidak berlaku — grid stasiun ini bukan 24 slot waktu; ia menghitung satuannya sendiri (siklus / cage-lori / kejadian / nomor kendaraan / satu transaksi per record)</t>
        </is>
      </c>
      <c r="K107" s="23" t="inlineStr">
        <is>
          <t>Tidak berlaku — grid stasiun ini bukan 24 slot waktu; ia menghitung satuannya sendiri (siklus / cage-lori / kejadian / nomor kendaraan / satu transaksi per record)</t>
        </is>
      </c>
      <c r="L107" s="18" t="inlineStr">
        <is>
          <t>Sedang</t>
        </is>
      </c>
      <c r="M10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7" s="24" t="inlineStr">
        <is>
          <t>2026-10-12</t>
        </is>
      </c>
      <c r="O107" s="24" t="inlineStr">
        <is>
          <t>Pelaksana QA otomatis</t>
        </is>
      </c>
      <c r="P107" s="46" t="inlineStr">
        <is>
          <t>Tidak berlaku</t>
        </is>
      </c>
      <c r="Q107" s="24" t="n"/>
      <c r="R107" s="24" t="inlineStr">
        <is>
          <t>Tidak berlaku — grid stasiun ini bukan 24 slot waktu; ia menghitung satuannya sendiri (siklus / cage-lori / kejadian / nomor kendaraan / satu transaksi per record) — diperiksa pelaksana: Tidak berlaku di Cages Track: Data Browser stasiun ini tidak memakai penyebut 24 karena gridnya bukan 24 slot waktu — ia menghitung satuannya sendiri (siklus, cage/lori, kejadian, atau satu transaksi per record). Kasus ini hanya berlaku di 11 stasiun bergrid slot waktu.</t>
        </is>
      </c>
    </row>
    <row r="108" ht="334" customHeight="1">
      <c r="A108" s="18" t="n">
        <v>104</v>
      </c>
      <c r="B108" s="19" t="n">
        <v>2</v>
      </c>
      <c r="C108" s="20" t="inlineStr">
        <is>
          <t>WB-BRW-03 / Sterilizer</t>
        </is>
      </c>
      <c r="D108" s="20" t="inlineStr">
        <is>
          <t>WB-BRW-03</t>
        </is>
      </c>
      <c r="E108" s="21" t="inlineStr">
        <is>
          <t>Sterilizer</t>
        </is>
      </c>
      <c r="F108" s="22" t="inlineStr">
        <is>
          <t>Web — Data Stasiun (WB-)</t>
        </is>
      </c>
      <c r="G108" s="21" t="inlineStr">
        <is>
          <t>"Jumlah Baris Terisi" tampil sebagai pecahan dari 24</t>
        </is>
      </c>
      <c r="H108" s="22" t="inlineStr">
        <is>
          <t>SPV-A</t>
        </is>
      </c>
      <c r="I108" s="22" t="inlineStr">
        <is>
          <t>satu record dengan 3 baris terisi</t>
        </is>
      </c>
      <c r="J108" s="23" t="inlineStr">
        <is>
          <t>Tidak berlaku — grid stasiun ini bukan 24 slot waktu; ia menghitung satuannya sendiri (siklus / cage-lori / kejadian / nomor kendaraan / satu transaksi per record)</t>
        </is>
      </c>
      <c r="K108" s="23" t="inlineStr">
        <is>
          <t>Tidak berlaku — grid stasiun ini bukan 24 slot waktu; ia menghitung satuannya sendiri (siklus / cage-lori / kejadian / nomor kendaraan / satu transaksi per record)</t>
        </is>
      </c>
      <c r="L108" s="18" t="inlineStr">
        <is>
          <t>Sedang</t>
        </is>
      </c>
      <c r="M10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8" s="24" t="inlineStr">
        <is>
          <t>2026-10-12</t>
        </is>
      </c>
      <c r="O108" s="24" t="inlineStr">
        <is>
          <t>Pelaksana QA otomatis</t>
        </is>
      </c>
      <c r="P108" s="46" t="inlineStr">
        <is>
          <t>Tidak berlaku</t>
        </is>
      </c>
      <c r="Q108" s="24" t="n"/>
      <c r="R108" s="24" t="inlineStr">
        <is>
          <t>Tidak berlaku — grid stasiun ini bukan 24 slot waktu; ia menghitung satuannya sendiri (siklus / cage-lori / kejadian / nomor kendaraan / satu transaksi per record) — diperiksa pelaksana: Tidak berlaku di Sterilizer: Data Browser stasiun ini tidak memakai penyebut 24 karena gridnya bukan 24 slot waktu — ia menghitung satuannya sendiri (siklus, cage/lori, kejadian, atau satu transaksi per record). Kasus ini hanya berlaku di 11 stasiun bergrid slot waktu.</t>
        </is>
      </c>
    </row>
    <row r="109" ht="334" customHeight="1">
      <c r="A109" s="18" t="n">
        <v>105</v>
      </c>
      <c r="B109" s="19" t="n">
        <v>2</v>
      </c>
      <c r="C109" s="20" t="inlineStr">
        <is>
          <t>WB-BRW-03 / Threshing</t>
        </is>
      </c>
      <c r="D109" s="20" t="inlineStr">
        <is>
          <t>WB-BRW-03</t>
        </is>
      </c>
      <c r="E109" s="21" t="inlineStr">
        <is>
          <t>Threshing</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09" s="17" t="inlineStr">
        <is>
          <t>2026-10-12</t>
        </is>
      </c>
      <c r="O109" s="17" t="inlineStr">
        <is>
          <t>Pelaksana QA otomatis</t>
        </is>
      </c>
      <c r="P109" s="45" t="inlineStr">
        <is>
          <t>Lulus</t>
        </is>
      </c>
      <c r="Q109" s="17" t="n"/>
      <c r="R109" s="17" t="inlineStr">
        <is>
          <t>kolom Jumlah Baris Terisi tertulis "3 / 24" — berbentuk pecahan dari 24, bukan angka tanpa penyebut=true; angka pertamanya 3, dan Detail record itu memuat 3 baris grid (dihitung dari penanda baris grid) — cocok=true.</t>
        </is>
      </c>
    </row>
    <row r="110" ht="334" customHeight="1">
      <c r="A110" s="18" t="n">
        <v>106</v>
      </c>
      <c r="B110" s="19" t="n">
        <v>2</v>
      </c>
      <c r="C110" s="20" t="inlineStr">
        <is>
          <t>WB-BRW-03 / Pressing</t>
        </is>
      </c>
      <c r="D110" s="20" t="inlineStr">
        <is>
          <t>WB-BRW-03</t>
        </is>
      </c>
      <c r="E110" s="21" t="inlineStr">
        <is>
          <t>Pressing</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0" s="17" t="inlineStr">
        <is>
          <t>2026-10-12</t>
        </is>
      </c>
      <c r="O110" s="17" t="inlineStr">
        <is>
          <t>Pelaksana QA otomatis</t>
        </is>
      </c>
      <c r="P110" s="45" t="inlineStr">
        <is>
          <t>Lulus</t>
        </is>
      </c>
      <c r="Q110" s="17" t="n"/>
      <c r="R110" s="17" t="inlineStr">
        <is>
          <t>kolom Jumlah Baris Terisi tertulis "3 / 24" — berbentuk pecahan dari 24, bukan angka tanpa penyebut=true; angka pertamanya 3, dan Detail record itu memuat 3 baris grid (dihitung dari penanda baris grid) — cocok=true.</t>
        </is>
      </c>
    </row>
    <row r="111" ht="334" customHeight="1">
      <c r="A111" s="18" t="n">
        <v>107</v>
      </c>
      <c r="B111" s="19" t="n">
        <v>2</v>
      </c>
      <c r="C111" s="20" t="inlineStr">
        <is>
          <t>WB-BRW-03 / Clarification</t>
        </is>
      </c>
      <c r="D111" s="20" t="inlineStr">
        <is>
          <t>WB-BRW-03</t>
        </is>
      </c>
      <c r="E111" s="21" t="inlineStr">
        <is>
          <t>Clarification</t>
        </is>
      </c>
      <c r="F111" s="22" t="inlineStr">
        <is>
          <t>Web — Data Stasiun (WB-)</t>
        </is>
      </c>
      <c r="G111" s="21" t="inlineStr">
        <is>
          <t>"Jumlah Baris Terisi" tampil sebagai pecahan dari 24</t>
        </is>
      </c>
      <c r="H111" s="22" t="inlineStr">
        <is>
          <t>SPV-A</t>
        </is>
      </c>
      <c r="I111" s="22" t="inlineStr">
        <is>
          <t>satu record dengan 3 baris terisi</t>
        </is>
      </c>
      <c r="J111"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1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8" t="inlineStr">
        <is>
          <t>Sedang</t>
        </is>
      </c>
      <c r="M111"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1" s="17" t="inlineStr">
        <is>
          <t>2026-10-12</t>
        </is>
      </c>
      <c r="O111" s="17" t="inlineStr">
        <is>
          <t>Pelaksana QA otomatis</t>
        </is>
      </c>
      <c r="P111" s="45" t="inlineStr">
        <is>
          <t>Lulus</t>
        </is>
      </c>
      <c r="Q111" s="17" t="n"/>
      <c r="R111" s="17" t="inlineStr">
        <is>
          <t>kolom Jumlah Baris Terisi tertulis "23 / 24" — berbentuk pecahan dari 24, bukan angka tanpa penyebut=true; angka pertamanya 23, dan Detail record itu memuat 23 baris grid (dihitung dari penanda baris grid) — cocok=true.</t>
        </is>
      </c>
    </row>
    <row r="112" ht="334" customHeight="1">
      <c r="A112" s="18" t="n">
        <v>108</v>
      </c>
      <c r="B112" s="19" t="n">
        <v>2</v>
      </c>
      <c r="C112" s="20" t="inlineStr">
        <is>
          <t>WB-BRW-03 / Kernel Plant</t>
        </is>
      </c>
      <c r="D112" s="20" t="inlineStr">
        <is>
          <t>WB-BRW-03</t>
        </is>
      </c>
      <c r="E112" s="21" t="inlineStr">
        <is>
          <t>Kernel Plant</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2" s="17" t="inlineStr">
        <is>
          <t>2026-10-12</t>
        </is>
      </c>
      <c r="O112" s="17" t="inlineStr">
        <is>
          <t>Pelaksana QA otomatis</t>
        </is>
      </c>
      <c r="P112" s="45" t="inlineStr">
        <is>
          <t>Lulus</t>
        </is>
      </c>
      <c r="Q112" s="17" t="n"/>
      <c r="R112" s="17" t="inlineStr">
        <is>
          <t>kolom Jumlah Baris Terisi tertulis "3 / 24" — berbentuk pecahan dari 24, bukan angka tanpa penyebut=true; angka pertamanya 3, dan Detail record itu memuat 3 baris grid (dihitung dari penanda baris grid) — cocok=true.</t>
        </is>
      </c>
    </row>
    <row r="113" ht="334" customHeight="1">
      <c r="A113" s="18" t="n">
        <v>109</v>
      </c>
      <c r="B113" s="19" t="n">
        <v>2</v>
      </c>
      <c r="C113" s="20" t="inlineStr">
        <is>
          <t>WB-BRW-03 / Boiler Room</t>
        </is>
      </c>
      <c r="D113" s="20" t="inlineStr">
        <is>
          <t>WB-BRW-03</t>
        </is>
      </c>
      <c r="E113" s="21" t="inlineStr">
        <is>
          <t>Boiler Room</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3" s="17" t="inlineStr">
        <is>
          <t>2026-10-12</t>
        </is>
      </c>
      <c r="O113" s="17" t="inlineStr">
        <is>
          <t>Pelaksana QA otomatis</t>
        </is>
      </c>
      <c r="P113" s="45" t="inlineStr">
        <is>
          <t>Lulus</t>
        </is>
      </c>
      <c r="Q113" s="17" t="n"/>
      <c r="R113" s="17" t="inlineStr">
        <is>
          <t>kolom Jumlah Baris Terisi tertulis "24 / 24" — berbentuk pecahan dari 24, bukan angka tanpa penyebut=true; angka pertamanya 24, dan Detail record itu memuat 24 baris grid (dihitung dari penanda baris grid) — cocok=true.</t>
        </is>
      </c>
    </row>
    <row r="114" ht="334" customHeight="1">
      <c r="A114" s="18" t="n">
        <v>110</v>
      </c>
      <c r="B114" s="19" t="n">
        <v>2</v>
      </c>
      <c r="C114" s="20" t="inlineStr">
        <is>
          <t>WB-BRW-03 / Effluent Plant</t>
        </is>
      </c>
      <c r="D114" s="20" t="inlineStr">
        <is>
          <t>WB-BRW-03</t>
        </is>
      </c>
      <c r="E114" s="21" t="inlineStr">
        <is>
          <t>Effluent Plant</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4" s="17" t="inlineStr">
        <is>
          <t>2026-10-12</t>
        </is>
      </c>
      <c r="O114" s="17" t="inlineStr">
        <is>
          <t>Pelaksana QA otomatis</t>
        </is>
      </c>
      <c r="P114" s="45" t="inlineStr">
        <is>
          <t>Lulus</t>
        </is>
      </c>
      <c r="Q114" s="17" t="n"/>
      <c r="R114" s="17" t="inlineStr">
        <is>
          <t>kolom Jumlah Baris Terisi tertulis "3 / 24" — berbentuk pecahan dari 24, bukan angka tanpa penyebut=true; angka pertamanya 3, dan Detail record itu memuat 3 baris grid (dihitung dari penanda baris grid) — cocok=true.</t>
        </is>
      </c>
    </row>
    <row r="115" ht="334" customHeight="1">
      <c r="A115" s="11" t="n">
        <v>111</v>
      </c>
      <c r="B115" s="12" t="n">
        <v>1</v>
      </c>
      <c r="C115" s="13" t="inlineStr">
        <is>
          <t>WB-BRW-03 / Depricarping</t>
        </is>
      </c>
      <c r="D115" s="13" t="inlineStr">
        <is>
          <t>WB-BRW-03</t>
        </is>
      </c>
      <c r="E115" s="15" t="inlineStr">
        <is>
          <t>Depricarping</t>
        </is>
      </c>
      <c r="F115" s="14" t="inlineStr">
        <is>
          <t>Web — Data Stasiun (WB-)</t>
        </is>
      </c>
      <c r="G115" s="15" t="inlineStr">
        <is>
          <t>"Jumlah Baris Terisi" tampil sebagai pecahan dari 24</t>
        </is>
      </c>
      <c r="H115" s="14" t="inlineStr">
        <is>
          <t>SPV-A</t>
        </is>
      </c>
      <c r="I115" s="14" t="inlineStr">
        <is>
          <t>satu record dengan 3 baris terisi</t>
        </is>
      </c>
      <c r="J11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1" t="inlineStr">
        <is>
          <t>Sedang</t>
        </is>
      </c>
      <c r="M115"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5" s="17" t="inlineStr">
        <is>
          <t>2026-10-12</t>
        </is>
      </c>
      <c r="O115" s="17" t="inlineStr">
        <is>
          <t>Pelaksana QA otomatis</t>
        </is>
      </c>
      <c r="P115" s="45" t="inlineStr">
        <is>
          <t>Lulus</t>
        </is>
      </c>
      <c r="Q115" s="17" t="n"/>
      <c r="R115" s="17" t="inlineStr">
        <is>
          <t>kolom Jumlah Baris Terisi tertulis "3 / 24" — berbentuk pecahan dari 24, bukan angka tanpa penyebut=true; angka pertamanya 3, dan Detail record itu memuat 3 baris grid (dihitung dari penanda baris grid) — cocok=true.</t>
        </is>
      </c>
    </row>
    <row r="116" ht="334" customHeight="1">
      <c r="A116" s="18" t="n">
        <v>112</v>
      </c>
      <c r="B116" s="19" t="n">
        <v>2</v>
      </c>
      <c r="C116" s="20" t="inlineStr">
        <is>
          <t>WB-BRW-03 / Engine Room</t>
        </is>
      </c>
      <c r="D116" s="20" t="inlineStr">
        <is>
          <t>WB-BRW-03</t>
        </is>
      </c>
      <c r="E116" s="21" t="inlineStr">
        <is>
          <t>Engine Room</t>
        </is>
      </c>
      <c r="F116" s="22" t="inlineStr">
        <is>
          <t>Web — Data Stasiun (WB-)</t>
        </is>
      </c>
      <c r="G116" s="21" t="inlineStr">
        <is>
          <t>"Jumlah Baris Terisi" tampil sebagai pecahan dari 24</t>
        </is>
      </c>
      <c r="H116" s="22" t="inlineStr">
        <is>
          <t>SPV-A</t>
        </is>
      </c>
      <c r="I116" s="22" t="inlineStr">
        <is>
          <t>satu record dengan 3 baris terisi</t>
        </is>
      </c>
      <c r="J116"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6" s="18" t="inlineStr">
        <is>
          <t>Sedang</t>
        </is>
      </c>
      <c r="M116"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6" s="17" t="inlineStr">
        <is>
          <t>2026-10-12</t>
        </is>
      </c>
      <c r="O116" s="17" t="inlineStr">
        <is>
          <t>Pelaksana QA otomatis</t>
        </is>
      </c>
      <c r="P116" s="45" t="inlineStr">
        <is>
          <t>Lulus</t>
        </is>
      </c>
      <c r="Q116" s="17" t="n"/>
      <c r="R116" s="17" t="inlineStr">
        <is>
          <t>kolom Jumlah Baris Terisi tertulis "3 / 24" — berbentuk pecahan dari 24, bukan angka tanpa penyebut=true; angka pertamanya 3, dan Detail record itu memuat 3 baris grid (dihitung dari penanda baris grid) — cocok=true.</t>
        </is>
      </c>
    </row>
    <row r="117" ht="334" customHeight="1">
      <c r="A117" s="18" t="n">
        <v>113</v>
      </c>
      <c r="B117" s="19" t="n">
        <v>2</v>
      </c>
      <c r="C117" s="20" t="inlineStr">
        <is>
          <t>WB-BRW-03 / Process Water</t>
        </is>
      </c>
      <c r="D117" s="20" t="inlineStr">
        <is>
          <t>WB-BRW-03</t>
        </is>
      </c>
      <c r="E117" s="21" t="inlineStr">
        <is>
          <t>Process Water</t>
        </is>
      </c>
      <c r="F117" s="22" t="inlineStr">
        <is>
          <t>Web — Data Stasiun (WB-)</t>
        </is>
      </c>
      <c r="G117" s="21" t="inlineStr">
        <is>
          <t>"Jumlah Baris Terisi" tampil sebagai pecahan dari 24</t>
        </is>
      </c>
      <c r="H117" s="22" t="inlineStr">
        <is>
          <t>SPV-A</t>
        </is>
      </c>
      <c r="I117" s="22" t="inlineStr">
        <is>
          <t>satu record dengan 3 baris terisi</t>
        </is>
      </c>
      <c r="J117"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7" s="18" t="inlineStr">
        <is>
          <t>Sedang</t>
        </is>
      </c>
      <c r="M117"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7" s="17" t="inlineStr">
        <is>
          <t>2026-10-12</t>
        </is>
      </c>
      <c r="O117" s="17" t="inlineStr">
        <is>
          <t>Pelaksana QA otomatis</t>
        </is>
      </c>
      <c r="P117" s="45" t="inlineStr">
        <is>
          <t>Lulus</t>
        </is>
      </c>
      <c r="Q117" s="17" t="n"/>
      <c r="R117" s="17" t="inlineStr">
        <is>
          <t>kolom Jumlah Baris Terisi tertulis "3 / 24" — berbentuk pecahan dari 24, bukan angka tanpa penyebut=true; angka pertamanya 3, dan Detail record itu memuat 3 baris grid (dihitung dari penanda baris grid) — cocok=true.</t>
        </is>
      </c>
    </row>
    <row r="118" ht="334" customHeight="1">
      <c r="A118" s="18" t="n">
        <v>114</v>
      </c>
      <c r="B118" s="19" t="n">
        <v>2</v>
      </c>
      <c r="C118" s="20" t="inlineStr">
        <is>
          <t>WB-BRW-03 / Storage Tank</t>
        </is>
      </c>
      <c r="D118" s="20" t="inlineStr">
        <is>
          <t>WB-BRW-03</t>
        </is>
      </c>
      <c r="E118" s="21" t="inlineStr">
        <is>
          <t>Storage Tank</t>
        </is>
      </c>
      <c r="F118" s="22" t="inlineStr">
        <is>
          <t>Web — Data Stasiun (WB-)</t>
        </is>
      </c>
      <c r="G118" s="21" t="inlineStr">
        <is>
          <t>"Jumlah Baris Terisi" tampil sebagai pecahan dari 24</t>
        </is>
      </c>
      <c r="H118" s="22" t="inlineStr">
        <is>
          <t>SPV-A</t>
        </is>
      </c>
      <c r="I118" s="22" t="inlineStr">
        <is>
          <t>satu record dengan 3 baris terisi</t>
        </is>
      </c>
      <c r="J118"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8" s="18" t="inlineStr">
        <is>
          <t>Sedang</t>
        </is>
      </c>
      <c r="M118"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8" s="17" t="inlineStr">
        <is>
          <t>2026-10-12</t>
        </is>
      </c>
      <c r="O118" s="17" t="inlineStr">
        <is>
          <t>Pelaksana QA otomatis</t>
        </is>
      </c>
      <c r="P118" s="45" t="inlineStr">
        <is>
          <t>Lulus</t>
        </is>
      </c>
      <c r="Q118" s="17" t="n"/>
      <c r="R118" s="17" t="inlineStr">
        <is>
          <t>kolom Jumlah Baris Terisi tertulis "23 / 24" — berbentuk pecahan dari 24, bukan angka tanpa penyebut=true; angka pertamanya 23, dan Detail record itu memuat 23 baris grid (dihitung dari penanda baris grid) — cocok=true.</t>
        </is>
      </c>
    </row>
    <row r="119" ht="334" customHeight="1">
      <c r="A119" s="18" t="n">
        <v>115</v>
      </c>
      <c r="B119" s="19" t="n">
        <v>2</v>
      </c>
      <c r="C119" s="20" t="inlineStr">
        <is>
          <t>WB-BRW-03 / Solid Waste Disposal</t>
        </is>
      </c>
      <c r="D119" s="20" t="inlineStr">
        <is>
          <t>WB-BRW-03</t>
        </is>
      </c>
      <c r="E119" s="21" t="inlineStr">
        <is>
          <t>Solid Waste Disposal</t>
        </is>
      </c>
      <c r="F119" s="22" t="inlineStr">
        <is>
          <t>Web — Data Stasiun (WB-)</t>
        </is>
      </c>
      <c r="G119" s="21" t="inlineStr">
        <is>
          <t>"Jumlah Baris Terisi" tampil sebagai pecahan dari 24</t>
        </is>
      </c>
      <c r="H119" s="22" t="inlineStr">
        <is>
          <t>SPV-A</t>
        </is>
      </c>
      <c r="I119" s="22" t="inlineStr">
        <is>
          <t>satu record dengan 3 baris terisi</t>
        </is>
      </c>
      <c r="J119" s="23" t="inlineStr">
        <is>
          <t>Tidak berlaku — grid stasiun ini bukan 24 slot waktu; ia menghitung satuannya sendiri (siklus / cage-lori / kejadian / nomor kendaraan / satu transaksi per record)</t>
        </is>
      </c>
      <c r="K119" s="23" t="inlineStr">
        <is>
          <t>Tidak berlaku — grid stasiun ini bukan 24 slot waktu; ia menghitung satuannya sendiri (siklus / cage-lori / kejadian / nomor kendaraan / satu transaksi per record)</t>
        </is>
      </c>
      <c r="L119" s="18" t="inlineStr">
        <is>
          <t>Sedang</t>
        </is>
      </c>
      <c r="M119"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19" s="24" t="inlineStr">
        <is>
          <t>2026-10-12</t>
        </is>
      </c>
      <c r="O119" s="24" t="inlineStr">
        <is>
          <t>Pelaksana QA otomatis</t>
        </is>
      </c>
      <c r="P119" s="46" t="inlineStr">
        <is>
          <t>Tidak berlaku</t>
        </is>
      </c>
      <c r="Q119" s="24" t="n"/>
      <c r="R119" s="24" t="inlineStr">
        <is>
          <t>Tidak berlaku — grid stasiun ini bukan 24 slot waktu; ia menghitung satuannya sendiri (siklus / cage-lori / kejadian / nomor kendaraan / satu transaksi per record) — diperiksa pelaksana: Tidak berlaku di Solid Waste Disposal: Data Browser stasiun ini tidak memakai penyebut 24 karena gridnya bukan 24 slot waktu — ia menghitung satuannya sendiri (siklus, cage/lori, kejadian, atau satu transaksi per record). Kasus ini hanya berlaku di 11 stasiun bergrid slot waktu.</t>
        </is>
      </c>
    </row>
    <row r="120" ht="334" customHeight="1">
      <c r="A120" s="18" t="n">
        <v>116</v>
      </c>
      <c r="B120" s="19" t="n">
        <v>2</v>
      </c>
      <c r="C120" s="20" t="inlineStr">
        <is>
          <t>WB-BRW-03 / Kernel Dispatch</t>
        </is>
      </c>
      <c r="D120" s="20" t="inlineStr">
        <is>
          <t>WB-BRW-03</t>
        </is>
      </c>
      <c r="E120" s="21" t="inlineStr">
        <is>
          <t>Kernel Dispatch</t>
        </is>
      </c>
      <c r="F120" s="22" t="inlineStr">
        <is>
          <t>Web — Data Stasiun (WB-)</t>
        </is>
      </c>
      <c r="G120" s="21" t="inlineStr">
        <is>
          <t>"Jumlah Baris Terisi" tampil sebagai pecahan dari 24</t>
        </is>
      </c>
      <c r="H120" s="22" t="inlineStr">
        <is>
          <t>SPV-A</t>
        </is>
      </c>
      <c r="I120" s="22" t="inlineStr">
        <is>
          <t>satu record dengan 3 baris terisi</t>
        </is>
      </c>
      <c r="J120" s="23" t="inlineStr">
        <is>
          <t>Tidak berlaku — grid stasiun ini bukan 24 slot waktu; ia menghitung satuannya sendiri (siklus / cage-lori / kejadian / nomor kendaraan / satu transaksi per record)</t>
        </is>
      </c>
      <c r="K120" s="23" t="inlineStr">
        <is>
          <t>Tidak berlaku — grid stasiun ini bukan 24 slot waktu; ia menghitung satuannya sendiri (siklus / cage-lori / kejadian / nomor kendaraan / satu transaksi per record)</t>
        </is>
      </c>
      <c r="L120" s="18" t="inlineStr">
        <is>
          <t>Sedang</t>
        </is>
      </c>
      <c r="M120"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20" s="24" t="inlineStr">
        <is>
          <t>2026-10-12</t>
        </is>
      </c>
      <c r="O120" s="24" t="inlineStr">
        <is>
          <t>Pelaksana QA otomatis</t>
        </is>
      </c>
      <c r="P120" s="46" t="inlineStr">
        <is>
          <t>Tidak berlaku</t>
        </is>
      </c>
      <c r="Q120" s="24" t="n"/>
      <c r="R120" s="24" t="inlineStr">
        <is>
          <t>Tidak berlaku — grid stasiun ini bukan 24 slot waktu; ia menghitung satuannya sendiri (siklus / cage-lori / kejadian / nomor kendaraan / satu transaksi per record) — diperiksa pelaksana: Tidak berlaku di Kernel Dispatch: Data Browser stasiun ini tidak memakai penyebut 24 karena gridnya bukan 24 slot waktu — ia menghitung satuannya sendiri (siklus, cage/lori, kejadian, atau satu transaksi per record). Kasus ini hanya berlaku di 11 stasiun bergrid slot waktu.</t>
        </is>
      </c>
    </row>
    <row r="121" ht="334" customHeight="1">
      <c r="A121" s="18" t="n">
        <v>117</v>
      </c>
      <c r="B121" s="19" t="n">
        <v>2</v>
      </c>
      <c r="C121" s="20" t="inlineStr">
        <is>
          <t>WB-BRW-03 / CPO Dispatch</t>
        </is>
      </c>
      <c r="D121" s="20" t="inlineStr">
        <is>
          <t>WB-BRW-03</t>
        </is>
      </c>
      <c r="E121" s="21" t="inlineStr">
        <is>
          <t>CPO Dispatch</t>
        </is>
      </c>
      <c r="F121" s="22" t="inlineStr">
        <is>
          <t>Web — Data Stasiun (WB-)</t>
        </is>
      </c>
      <c r="G121" s="21" t="inlineStr">
        <is>
          <t>"Jumlah Baris Terisi" tampil sebagai pecahan dari 24</t>
        </is>
      </c>
      <c r="H121" s="22" t="inlineStr">
        <is>
          <t>SPV-A</t>
        </is>
      </c>
      <c r="I121" s="22" t="inlineStr">
        <is>
          <t>satu record dengan 3 baris terisi</t>
        </is>
      </c>
      <c r="J121" s="23" t="inlineStr">
        <is>
          <t>Tidak berlaku — grid stasiun ini bukan 24 slot waktu; ia menghitung satuannya sendiri (siklus / cage-lori / kejadian / nomor kendaraan / satu transaksi per record)</t>
        </is>
      </c>
      <c r="K121" s="23" t="inlineStr">
        <is>
          <t>Tidak berlaku — grid stasiun ini bukan 24 slot waktu; ia menghitung satuannya sendiri (siklus / cage-lori / kejadian / nomor kendaraan / satu transaksi per record)</t>
        </is>
      </c>
      <c r="L121" s="18" t="inlineStr">
        <is>
          <t>Sedang</t>
        </is>
      </c>
      <c r="M121"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21" s="24" t="inlineStr">
        <is>
          <t>2026-10-12</t>
        </is>
      </c>
      <c r="O121" s="24" t="inlineStr">
        <is>
          <t>Pelaksana QA otomatis</t>
        </is>
      </c>
      <c r="P121" s="46" t="inlineStr">
        <is>
          <t>Tidak berlaku</t>
        </is>
      </c>
      <c r="Q121" s="24" t="n"/>
      <c r="R121" s="24" t="inlineStr">
        <is>
          <t>Tidak berlaku — grid stasiun ini bukan 24 slot waktu; ia menghitung satuannya sendiri (siklus / cage-lori / kejadian / nomor kendaraan / satu transaksi per record) — diperiksa pelaksana: Tidak berlaku di CPO Dispatch: Data Browser stasiun ini tidak memakai penyebut 24 karena gridnya bukan 24 slot waktu — ia menghitung satuannya sendiri (siklus, cage/lori, kejadian, atau satu transaksi per record). Kasus ini hanya berlaku di 11 stasiun bergrid slot waktu.</t>
        </is>
      </c>
    </row>
    <row r="122" ht="334" customHeight="1">
      <c r="A122" s="18" t="n">
        <v>118</v>
      </c>
      <c r="B122" s="19" t="n">
        <v>2</v>
      </c>
      <c r="C122" s="20" t="inlineStr">
        <is>
          <t>WB-BRW-03 / Process Quality Control</t>
        </is>
      </c>
      <c r="D122" s="20" t="inlineStr">
        <is>
          <t>WB-BRW-03</t>
        </is>
      </c>
      <c r="E122" s="21" t="inlineStr">
        <is>
          <t>Process Quality Control</t>
        </is>
      </c>
      <c r="F122" s="22" t="inlineStr">
        <is>
          <t>Web — Data Stasiun (WB-)</t>
        </is>
      </c>
      <c r="G122" s="21" t="inlineStr">
        <is>
          <t>"Jumlah Baris Terisi" tampil sebagai pecahan dari 24</t>
        </is>
      </c>
      <c r="H122" s="22" t="inlineStr">
        <is>
          <t>SPV-A</t>
        </is>
      </c>
      <c r="I122" s="22" t="inlineStr">
        <is>
          <t>satu record dengan 3 baris terisi</t>
        </is>
      </c>
      <c r="J122"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2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2" s="18" t="inlineStr">
        <is>
          <t>Sedang</t>
        </is>
      </c>
      <c r="M122" s="22"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22" s="17" t="inlineStr">
        <is>
          <t>2026-10-12</t>
        </is>
      </c>
      <c r="O122" s="17" t="inlineStr">
        <is>
          <t>Pelaksana QA otomatis</t>
        </is>
      </c>
      <c r="P122" s="45" t="inlineStr">
        <is>
          <t>Lulus</t>
        </is>
      </c>
      <c r="Q122" s="17" t="n"/>
      <c r="R122" s="17" t="inlineStr">
        <is>
          <t>kolom Jumlah Baris Terisi tertulis "3 / 24" — berbentuk pecahan dari 24, bukan angka tanpa penyebut=true; angka pertamanya 3, dan Detail record itu memuat 3 baris grid (dihitung dari penanda baris grid) — cocok=true.</t>
        </is>
      </c>
    </row>
    <row r="123" ht="149.2" customHeight="1">
      <c r="A123" s="11" t="n">
        <v>119</v>
      </c>
      <c r="B123" s="12" t="n">
        <v>1</v>
      </c>
      <c r="C123" s="13" t="inlineStr">
        <is>
          <t>WB-BRW-04 / Depricarping</t>
        </is>
      </c>
      <c r="D123" s="13" t="inlineStr">
        <is>
          <t>WB-BRW-04</t>
        </is>
      </c>
      <c r="E123" s="15" t="inlineStr">
        <is>
          <t>Depricarping</t>
        </is>
      </c>
      <c r="F123" s="14" t="inlineStr">
        <is>
          <t>Web — Data Stasiun (WB-)</t>
        </is>
      </c>
      <c r="G123" s="15" t="inlineStr">
        <is>
          <t>Filter menghasilkan hasil yang konsisten antar halaman</t>
        </is>
      </c>
      <c r="H123" s="14" t="inlineStr">
        <is>
          <t>SPV-A</t>
        </is>
      </c>
      <c r="I123" s="14" t="inlineStr">
        <is>
          <t>data cukup untuk lebih dari satu halaman</t>
        </is>
      </c>
      <c r="J12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23" s="14" t="inlineStr">
        <is>
          <t>- Seluruh baris di halaman 2 masih memenuhi filter yang diterapkan.
- Jumlah total hasil tidak berubah saat berpindah halaman.
- Filternya tidak tereset saat pindah halaman.</t>
        </is>
      </c>
      <c r="L123" s="16" t="inlineStr">
        <is>
          <t>Tinggi</t>
        </is>
      </c>
      <c r="M123" s="14" t="inlineStr"/>
      <c r="N123" s="17" t="inlineStr">
        <is>
          <t>2026-10-12</t>
        </is>
      </c>
      <c r="O123" s="17" t="inlineStr">
        <is>
          <t>Pelaksana QA otomatis</t>
        </is>
      </c>
      <c r="P123" s="45" t="inlineStr">
        <is>
          <t>Lulus</t>
        </is>
      </c>
      <c r="Q123" s="17" t="n"/>
      <c r="R123" s="17" t="inlineStr">
        <is>
          <t>filter rentang 01/09/2026–11/10/2026 diterapkan; total hasil di halaman 1="2.419", di halaman 2="2.419" (tidak berubah=true); dari 20 baris di halaman 2, yang tanggalnya DI LUAR filter=0; isi filter masih terpasang sesudah pindah halaman=true. Dijalankan pada Weighbridge karena hanya stasiun itu yang punya data lebih dari satu halaman.</t>
        </is>
      </c>
    </row>
    <row r="124" ht="96.39999999999999" customHeight="1">
      <c r="A124" s="11" t="n">
        <v>120</v>
      </c>
      <c r="B124" s="12" t="n">
        <v>1</v>
      </c>
      <c r="C124" s="13" t="inlineStr">
        <is>
          <t>WB-BRW-05 / Depricarping</t>
        </is>
      </c>
      <c r="D124" s="13" t="inlineStr">
        <is>
          <t>WB-BRW-05</t>
        </is>
      </c>
      <c r="E124" s="15" t="inlineStr">
        <is>
          <t>Depricarping</t>
        </is>
      </c>
      <c r="F124" s="14" t="inlineStr">
        <is>
          <t>Web — Data Stasiun (WB-)</t>
        </is>
      </c>
      <c r="G124" s="15" t="inlineStr">
        <is>
          <t>Reset filter memulihkan keadaan awal</t>
        </is>
      </c>
      <c r="H124" s="14" t="inlineStr">
        <is>
          <t>SPV-A</t>
        </is>
      </c>
      <c r="I124" s="14" t="inlineStr">
        <is>
          <t>—</t>
        </is>
      </c>
      <c r="J124" s="14" t="inlineStr">
        <is>
          <t>1. Login di web, lalu sidebar &gt; Data &gt; Depricarping (/data/depricarping). Catat keadaan awal: isi filter dan jumlah hasil.
2. Ubah rentang tanggal dan isi kata kunci pencarian.
3. Terapkan, lalu catat jumlah hasilnya.
4. Tekan Reset Filter.</t>
        </is>
      </c>
      <c r="K124" s="14" t="inlineStr">
        <is>
          <t>- Seluruh kolom filter kembali ke nilai awalnya.
- Jumlah hasil kembali sama dengan langkah 1.
- Halaman kembali ke halaman 1.</t>
        </is>
      </c>
      <c r="L124" s="11" t="inlineStr">
        <is>
          <t>Rendah</t>
        </is>
      </c>
      <c r="M124" s="14" t="inlineStr"/>
      <c r="N124" s="17" t="inlineStr">
        <is>
          <t>2026-10-12</t>
        </is>
      </c>
      <c r="O124" s="17" t="inlineStr">
        <is>
          <t>Pelaksana QA otomatis</t>
        </is>
      </c>
      <c r="P124" s="45" t="inlineStr">
        <is>
          <t>Lulus</t>
        </is>
      </c>
      <c r="Q124" s="17" t="n"/>
      <c r="R124" s="17" t="inlineStr">
        <is>
          <t>keadaan awal: dari="" sampai="" dengan 3 baris; sesudah filter diubah menjadi 06–08/10/2026: 1 baris; tombol Reset Filter ada=true; sesudah direset: dari="" sampai="" dengan 3 baris — kembali sama dengan keadaan awal=true.</t>
        </is>
      </c>
    </row>
    <row r="125" ht="96.39999999999999" customHeight="1">
      <c r="A125" s="11" t="n">
        <v>121</v>
      </c>
      <c r="B125" s="12" t="n">
        <v>1</v>
      </c>
      <c r="C125" s="13" t="inlineStr">
        <is>
          <t>WB-BRW-06 / Depricarping</t>
        </is>
      </c>
      <c r="D125" s="13" t="inlineStr">
        <is>
          <t>WB-BRW-06</t>
        </is>
      </c>
      <c r="E125" s="15" t="inlineStr">
        <is>
          <t>Depricarping</t>
        </is>
      </c>
      <c r="F125" s="14" t="inlineStr">
        <is>
          <t>Web — Data Stasiun (WB-)</t>
        </is>
      </c>
      <c r="G125" s="15" t="inlineStr">
        <is>
          <t>Klik baris membuka Detail record itu</t>
        </is>
      </c>
      <c r="H125" s="14" t="inlineStr">
        <is>
          <t>SPV-A</t>
        </is>
      </c>
      <c r="I125" s="14" t="inlineStr">
        <is>
          <t>—</t>
        </is>
      </c>
      <c r="J125" s="14" t="inlineStr">
        <is>
          <t>1. Login di web, lalu sidebar &gt; Data &gt; Depricarping (/data/depricarping).
2. Catat identitas dan tanggal pada baris ketiga tabel.
3. Klik baris ketiga itu.
4. Bandingkan header layar yang terbuka dengan catatan langkah 2.</t>
        </is>
      </c>
      <c r="K125" s="14" t="inlineStr">
        <is>
          <t>- Terbuka layar Detail (/data/depricarping/&lt;id&gt;).
- Identitas dan tanggal pada Detail sama dengan baris yang diklik — bukan record lain.</t>
        </is>
      </c>
      <c r="L125" s="16" t="inlineStr">
        <is>
          <t>Tinggi</t>
        </is>
      </c>
      <c r="M125" s="14" t="inlineStr"/>
      <c r="N125" s="17" t="inlineStr">
        <is>
          <t>2026-10-12</t>
        </is>
      </c>
      <c r="O125" s="17" t="inlineStr">
        <is>
          <t>Pelaksana QA otomatis</t>
        </is>
      </c>
      <c r="P125" s="45" t="inlineStr">
        <is>
          <t>Lulus</t>
        </is>
      </c>
      <c r="Q125" s="17" t="n"/>
      <c r="R125" s="17" t="inlineStr">
        <is>
          <t>baris ke-3 diklik (identitas "DP-6409", tanggal "05/10/2026"); mendarat di /data/depricarping/a2f5b64a-e327-4617-9d4b-7cfeef5a0329 (berbentuk /data/&lt;stasiun&gt;/&lt;id&gt;=true); identitas itu terbaca di Detail=true; tanggalnya juga=true (di daftar tercetak "05/10/2026", di Detail "05 Okt 2026") — bukan record lain.</t>
        </is>
      </c>
    </row>
    <row r="126" ht="96.39999999999999" customHeight="1">
      <c r="A126" s="11" t="n">
        <v>122</v>
      </c>
      <c r="B126" s="12" t="n">
        <v>1</v>
      </c>
      <c r="C126" s="13" t="inlineStr">
        <is>
          <t>WB-BRW-07 / Depricarping</t>
        </is>
      </c>
      <c r="D126" s="13" t="inlineStr">
        <is>
          <t>WB-BRW-07</t>
        </is>
      </c>
      <c r="E126" s="15" t="inlineStr">
        <is>
          <t>Depricarping</t>
        </is>
      </c>
      <c r="F126" s="14" t="inlineStr">
        <is>
          <t>Web — Data Stasiun (WB-)</t>
        </is>
      </c>
      <c r="G126" s="15" t="inlineStr">
        <is>
          <t>Tambah Data membuka Form kosong</t>
        </is>
      </c>
      <c r="H126" s="14" t="inlineStr">
        <is>
          <t>SPV-A</t>
        </is>
      </c>
      <c r="I126" s="14" t="inlineStr">
        <is>
          <t>—</t>
        </is>
      </c>
      <c r="J126" s="14" t="inlineStr">
        <is>
          <t>1. Login di web, lalu sidebar &gt; Data &gt; Depricarping (/data/depricarping).
2. Tekan Tambah.
3. Baca seluruh kolom pada form yang terbuka.
4. Periksa bagian grid: berapa baris yang sudah ada?</t>
        </is>
      </c>
      <c r="K126" s="14" t="inlineStr">
        <is>
          <t>- Terbuka Form kosong (/data/depricarping/create).
- Kolom identitas kosong; tidak ada nilai sisa dari record mana pun.
- Kolom Production Line dapat dipilih.
- Grid slot waktu masih kosong atau menyediakan satu baris kosong untuk diisi.</t>
        </is>
      </c>
      <c r="L126" s="16" t="inlineStr">
        <is>
          <t>Tinggi</t>
        </is>
      </c>
      <c r="M126" s="14" t="inlineStr"/>
      <c r="N126" s="17" t="inlineStr">
        <is>
          <t>2026-10-12</t>
        </is>
      </c>
      <c r="O126" s="17" t="inlineStr">
        <is>
          <t>Pelaksana QA otomatis</t>
        </is>
      </c>
      <c r="P126" s="45" t="inlineStr">
        <is>
          <t>Lulus</t>
        </is>
      </c>
      <c r="Q126" s="17" t="n"/>
      <c r="R126" s="17" t="inlineStr">
        <is>
          <t>tombol Tambah ada=true; mendarat di /data/depricarping/create; kolom identitas ada=true dan isinya="" (harus kosong, tanpa nilai sisa record mana pun); Production Line dapat dipilih=true; baris grid slot waktu yang sudah ada=0 (kosong atau satu baris kosong).</t>
        </is>
      </c>
    </row>
    <row r="127" ht="83.19999999999999" customHeight="1">
      <c r="A127" s="11" t="n">
        <v>123</v>
      </c>
      <c r="B127" s="12" t="n">
        <v>1</v>
      </c>
      <c r="C127" s="13" t="inlineStr">
        <is>
          <t>WB-BRW-08 / Depricarping</t>
        </is>
      </c>
      <c r="D127" s="13" t="inlineStr">
        <is>
          <t>WB-BRW-08</t>
        </is>
      </c>
      <c r="E127" s="15" t="inlineStr">
        <is>
          <t>Depricarping</t>
        </is>
      </c>
      <c r="F127" s="14" t="inlineStr">
        <is>
          <t>Web — Data Stasiun (WB-)</t>
        </is>
      </c>
      <c r="G127" s="15" t="inlineStr">
        <is>
          <t>Filter tanpa hasil memberi keterangan, bukan tabel kosong tanpa penjelasan</t>
        </is>
      </c>
      <c r="H127" s="14" t="inlineStr">
        <is>
          <t>SPV-A</t>
        </is>
      </c>
      <c r="I127" s="14" t="inlineStr">
        <is>
          <t>—</t>
        </is>
      </c>
      <c r="J127" s="14" t="inlineStr">
        <is>
          <t>1. Login di web, lalu sidebar &gt; Data &gt; Depricarping (/data/depricarping).
2. Terapkan rentang tanggal yang pasti tidak punya data (mis. 1–2 Januari 2020).
3. Baca isi area tabel.</t>
        </is>
      </c>
      <c r="K127" s="14" t="inlineStr">
        <is>
          <t>- Muncul keterangan bahwa tidak ada data untuk filter itu — satu kalimat yang terbaca.
- BUKAN tabel dengan nol baris tanpa penjelasan.
- Panel filter tetap terlihat supaya penguji dapat mengubahnya kembali.</t>
        </is>
      </c>
      <c r="L127" s="11" t="inlineStr">
        <is>
          <t>Sedang</t>
        </is>
      </c>
      <c r="M127" s="14" t="inlineStr"/>
      <c r="N127" s="17" t="inlineStr">
        <is>
          <t>2026-10-12</t>
        </is>
      </c>
      <c r="O127" s="17" t="inlineStr">
        <is>
          <t>Pelaksana QA otomatis</t>
        </is>
      </c>
      <c r="P127" s="45" t="inlineStr">
        <is>
          <t>Lulus</t>
        </is>
      </c>
      <c r="Q127" s="17" t="n"/>
      <c r="R127" s="17" t="inlineStr">
        <is>
          <t>rentang 01–02/01/2020 (pasti tanpa data) diterapkan: baris data=0; keterangan "tidak ada data" muncul=true; keterangannya satu kalimat yang menyebut filter=true; panel filter tetap terlihat sehingga dapat diubah kembali=true.</t>
        </is>
      </c>
    </row>
    <row r="128" ht="136" customHeight="1">
      <c r="A128" s="11" t="n">
        <v>124</v>
      </c>
      <c r="B128" s="12" t="n">
        <v>1</v>
      </c>
      <c r="C128" s="13" t="inlineStr">
        <is>
          <t>WB-BRW-09 / Depricarping</t>
        </is>
      </c>
      <c r="D128" s="13" t="inlineStr">
        <is>
          <t>WB-BRW-09</t>
        </is>
      </c>
      <c r="E128" s="15" t="inlineStr">
        <is>
          <t>Depricarping</t>
        </is>
      </c>
      <c r="F128" s="14" t="inlineStr">
        <is>
          <t>Web — Data Stasiun (WB-)</t>
        </is>
      </c>
      <c r="G128" s="15" t="inlineStr">
        <is>
          <t>Ekspor melebihi batas baris ditolak dengan pesan, bukan berkas rusak</t>
        </is>
      </c>
      <c r="H128" s="14" t="inlineStr">
        <is>
          <t>ADM</t>
        </is>
      </c>
      <c r="I128" s="14" t="inlineStr">
        <is>
          <t>data melebihi batas ekspor (50.000 baris) — bila tak tersedia, catat kasus ini sebagai *tidak dapat diuji* dan jangan tandai lulus</t>
        </is>
      </c>
      <c r="J128"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8" s="14" t="inlineStr">
        <is>
          <t>- Ditolak dengan pesan yang menyebut batas jumlah barisnya.
- Pesannya menyarankan mempersempit rentang tanggal.
- Tidak ada berkas yang terunduh — lebih baik tanpa berkas daripada berkas separuh.</t>
        </is>
      </c>
      <c r="L128" s="11" t="inlineStr">
        <is>
          <t>Sedang</t>
        </is>
      </c>
      <c r="M128" s="14" t="inlineStr"/>
      <c r="N128" s="17" t="inlineStr">
        <is>
          <t>2026-10-12</t>
        </is>
      </c>
      <c r="O128" s="17" t="inlineStr">
        <is>
          <t>Pelaksana QA otomatis</t>
        </is>
      </c>
      <c r="P128" s="8" t="inlineStr">
        <is>
          <t>Tidak diuji</t>
        </is>
      </c>
      <c r="Q128" s="17" t="n"/>
      <c r="R128" s="17" t="inlineStr">
        <is>
          <t>Prasyarat tidak tersedia di basis data uji: batas ekspor adalah 50.000 baris, sedangkan stasiun dengan data terbanyak (Weighbridge) hanya punya 2.437 baris. Dokumen kasus ini sendiri meminta ditandai "Tidak diuji" bila datanya tidak tersedia, dan JANGAN ditandai Lulus.</t>
        </is>
      </c>
    </row>
    <row r="129" ht="96.39999999999999" customHeight="1">
      <c r="A129" s="11" t="n">
        <v>125</v>
      </c>
      <c r="B129" s="12" t="n">
        <v>1</v>
      </c>
      <c r="C129" s="13" t="inlineStr">
        <is>
          <t>WB-DTL-01 / Depricarping</t>
        </is>
      </c>
      <c r="D129" s="13" t="inlineStr">
        <is>
          <t>WB-DTL-01</t>
        </is>
      </c>
      <c r="E129" s="15" t="inlineStr">
        <is>
          <t>Depricarping</t>
        </is>
      </c>
      <c r="F129" s="14" t="inlineStr">
        <is>
          <t>Web — Data Stasiun (WB-)</t>
        </is>
      </c>
      <c r="G129" s="15" t="inlineStr">
        <is>
          <t>Seluruh kolom read-only, tanpa edit di tempat</t>
        </is>
      </c>
      <c r="H129" s="14" t="inlineStr">
        <is>
          <t>SPV-A</t>
        </is>
      </c>
      <c r="I129" s="14" t="inlineStr">
        <is>
          <t>—</t>
        </is>
      </c>
      <c r="J129" s="14" t="inlineStr">
        <is>
          <t>1. Login di web, buka /data/depricarping (Depricarping), lalu klik salah satu baris tabel.
2. Coba klik dan mengetik pada setiap nilai di header: identitas, tanggal, catatan.
3. Coba klik dan mengetik pada sel-sel grid.
4. Cari tombol Simpan di layar ini.</t>
        </is>
      </c>
      <c r="K129" s="14" t="inlineStr">
        <is>
          <t>- Tidak satu pun nilai dapat diubah di layar ini.
- Tidak ada tombol Simpan — layar ini hanya membaca.
- Perubahan hanya mungkin lewat tombol Edit, yang membuka Form.</t>
        </is>
      </c>
      <c r="L129" s="16" t="inlineStr">
        <is>
          <t>Tinggi</t>
        </is>
      </c>
      <c r="M129" s="14" t="inlineStr"/>
      <c r="N129" s="17" t="inlineStr">
        <is>
          <t>2026-10-12</t>
        </is>
      </c>
      <c r="O129" s="17" t="inlineStr">
        <is>
          <t>Pelaksana QA otomatis</t>
        </is>
      </c>
      <c r="P129" s="45" t="inlineStr">
        <is>
          <t>Lulus</t>
        </is>
      </c>
      <c r="Q129" s="17" t="n"/>
      <c r="R129" s="17" t="inlineStr">
        <is>
          <t>Detail /data/depricarping/a2f5b64a-f132-4b09-a310-c7c9dc16708a: kolom yang dapat diketik/diubah di layar ini=0 (harus 0, widget chatbot kerangka halaman tidak dihitung); tombol Simpan di layar ini=0 (harus 0); tombol Edit yang membuka Form ada=true.</t>
        </is>
      </c>
    </row>
    <row r="130" ht="96.39999999999999" customHeight="1">
      <c r="A130" s="11" t="n">
        <v>126</v>
      </c>
      <c r="B130" s="12" t="n">
        <v>1</v>
      </c>
      <c r="C130" s="13" t="inlineStr">
        <is>
          <t>WB-DTL-02 / Depricarping</t>
        </is>
      </c>
      <c r="D130" s="13" t="inlineStr">
        <is>
          <t>WB-DTL-02</t>
        </is>
      </c>
      <c r="E130" s="15" t="inlineStr">
        <is>
          <t>Depricarping</t>
        </is>
      </c>
      <c r="F130" s="14" t="inlineStr">
        <is>
          <t>Web — Data Stasiun (WB-)</t>
        </is>
      </c>
      <c r="G130" s="15" t="inlineStr">
        <is>
          <t>Verifikasi yang kosong ditampilkan sebagai tanda pisah</t>
        </is>
      </c>
      <c r="H130" s="14" t="inlineStr">
        <is>
          <t>SPV-A</t>
        </is>
      </c>
      <c r="I130" s="14" t="inlineStr">
        <is>
          <t>record yang belum diverifikasi siapa pun</t>
        </is>
      </c>
      <c r="J130" s="14" t="inlineStr">
        <is>
          <t>1. Siapkan satu record yang belum diverifikasi siapa pun.
2. Login di web, buka /data/depricarping (Depricarping), lalu klik salah satu baris tabel untuk record itu.
3. Baca baris Checked By dan Acknowledged By.</t>
        </is>
      </c>
      <c r="K130" s="14" t="inlineStr">
        <is>
          <t>- Keduanya tampil sebagai tanda pisah "—" atau keterangan "belum diverifikasi".
- BUKAN kosong tanpa label — kosong tanpa label tidak dapat dibedakan dari kolom yang gagal dimuat.
- BUKAN angka 0, BUKAN kata "null".</t>
        </is>
      </c>
      <c r="L130" s="11" t="inlineStr">
        <is>
          <t>Sedang</t>
        </is>
      </c>
      <c r="M130" s="14" t="inlineStr"/>
      <c r="N130" s="17" t="inlineStr">
        <is>
          <t>2026-10-12</t>
        </is>
      </c>
      <c r="O130" s="17" t="inlineStr">
        <is>
          <t>Pelaksana QA otomatis</t>
        </is>
      </c>
      <c r="P130" s="45" t="inlineStr">
        <is>
          <t>Lulus</t>
        </is>
      </c>
      <c r="Q130" s="17" t="n"/>
      <c r="R130" s="17" t="inlineStr">
        <is>
          <t>record belum diverifikasi siapa pun. Checked By tampil sebagai "-"; Acknowledged By tampil sebagai "-". Keduanya berupa tanda pisah atau keterangan "belum diverifikasi"=true; bukan kosong tanpa label, bukan 0, bukan "null"=true.</t>
        </is>
      </c>
    </row>
    <row r="131" ht="254.8" customHeight="1">
      <c r="A131" s="18" t="n">
        <v>127</v>
      </c>
      <c r="B131" s="19" t="n">
        <v>2</v>
      </c>
      <c r="C131" s="20" t="inlineStr">
        <is>
          <t>WB-DTL-03 / Weighbridge</t>
        </is>
      </c>
      <c r="D131" s="20" t="inlineStr">
        <is>
          <t>WB-DTL-03</t>
        </is>
      </c>
      <c r="E131" s="21" t="inlineStr">
        <is>
          <t>Weighbridge</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/data/weighbridge (Weighbridge),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1" s="17" t="inlineStr">
        <is>
          <t>2026-10-12</t>
        </is>
      </c>
      <c r="O131" s="17" t="inlineStr">
        <is>
          <t>Pelaksana QA otomatis</t>
        </is>
      </c>
      <c r="P131" s="8" t="inlineStr">
        <is>
          <t>Tidak diuji</t>
        </is>
      </c>
      <c r="Q131" s="17" t="n"/>
      <c r="R131" s="17" t="inlineStr">
        <is>
          <t>Tidak berlaku di Weighbridge: layar Detail stasiun ini tidak punya grid baris sama sekali — satu record adalah satu transaksi dan seluruh nilainya ada di kepala layar. Yang diuji kasus ini (grid menampilkan persis baris tersimpan) tidak ada di sini.</t>
        </is>
      </c>
    </row>
    <row r="132" ht="254.8" customHeight="1">
      <c r="A132" s="18" t="n">
        <v>128</v>
      </c>
      <c r="B132" s="19" t="n">
        <v>2</v>
      </c>
      <c r="C132" s="20" t="inlineStr">
        <is>
          <t>WB-DTL-03 / Grading</t>
        </is>
      </c>
      <c r="D132" s="20" t="inlineStr">
        <is>
          <t>WB-DTL-03</t>
        </is>
      </c>
      <c r="E132" s="21" t="inlineStr">
        <is>
          <t>Grading</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/data/grading (Grading),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2" s="17" t="inlineStr">
        <is>
          <t>2026-10-12</t>
        </is>
      </c>
      <c r="O132" s="17" t="inlineStr">
        <is>
          <t>Pelaksana QA otomatis</t>
        </is>
      </c>
      <c r="P132" s="45" t="inlineStr">
        <is>
          <t>Lulus</t>
        </is>
      </c>
      <c r="Q132" s="17" t="n"/>
      <c r="R132" s="17" t="inlineStr">
        <is>
          <t>kolom hitungan di Data Browser berbunyi "" (tersimpan tidak terbaca); Detail /data/grading/a2f5b62b-72b5-4bda-aefc-8d3e0aaf249c menggambar 3 baris (dihitung dari baris tabel di layar (tanpa tabel master target)) — sama dengan yang tersimpan=true; baris yang isinya kosong seluruhnya=0 (harus 0, tidak digambar baris kosong sebagai pengisi).</t>
        </is>
      </c>
    </row>
    <row r="133" ht="254.8" customHeight="1">
      <c r="A133" s="18" t="n">
        <v>129</v>
      </c>
      <c r="B133" s="19" t="n">
        <v>2</v>
      </c>
      <c r="C133" s="20" t="inlineStr">
        <is>
          <t>WB-DTL-03 / Cages Track</t>
        </is>
      </c>
      <c r="D133" s="20" t="inlineStr">
        <is>
          <t>WB-DTL-03</t>
        </is>
      </c>
      <c r="E133" s="21" t="inlineStr">
        <is>
          <t>Cages Track</t>
        </is>
      </c>
      <c r="F133" s="22" t="inlineStr">
        <is>
          <t>Web — Data Stasiun (WB-)</t>
        </is>
      </c>
      <c r="G133" s="21" t="inlineStr">
        <is>
          <t>Grid menampilkan persis baris tersimpan</t>
        </is>
      </c>
      <c r="H133" s="22" t="inlineStr">
        <is>
          <t>SPV-A</t>
        </is>
      </c>
      <c r="I133" s="22" t="inlineStr">
        <is>
          <t>record dengan 3 baris terisi</t>
        </is>
      </c>
      <c r="J133" s="22" t="inlineStr">
        <is>
          <t>1. Siapkan satu record dengan tepat 3 baris terisi.
2. Login di web, buka /data/cages-track (Cages Track), lalu klik salah satu baris tabel untuk record itu.
3. Hitung jumlah baris pada grid.
4. Cocokkan slot waktu dan nilai tiap baris dengan yang disimpan.</t>
        </is>
      </c>
      <c r="K133" s="22" t="inlineStr">
        <is>
          <t>- Grid menampilkan tepat 3 baris.
- Tidak digambar 24 baris dengan 21 di antaranya kosong.
- Slot waktu dan nilainya cocok.</t>
        </is>
      </c>
      <c r="L133" s="16" t="inlineStr">
        <is>
          <t>Tinggi</t>
        </is>
      </c>
      <c r="M133"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3" s="17" t="inlineStr">
        <is>
          <t>2026-10-12</t>
        </is>
      </c>
      <c r="O133" s="17" t="inlineStr">
        <is>
          <t>Pelaksana QA otomatis</t>
        </is>
      </c>
      <c r="P133" s="8" t="inlineStr">
        <is>
          <t>Tidak diuji</t>
        </is>
      </c>
      <c r="Q133" s="17" t="n"/>
      <c r="R133" s="17" t="inlineStr">
        <is>
          <t>Tidak berlaku di Cages Track: layar Detail stasiun ini tidak punya grid baris sama sekali — satu record adalah satu transaksi dan seluruh nilainya ada di kepala layar. Yang diuji kasus ini (grid menampilkan persis baris tersimpan) tidak ada di sini.</t>
        </is>
      </c>
    </row>
    <row r="134" ht="254.8" customHeight="1">
      <c r="A134" s="18" t="n">
        <v>130</v>
      </c>
      <c r="B134" s="19" t="n">
        <v>2</v>
      </c>
      <c r="C134" s="20" t="inlineStr">
        <is>
          <t>WB-DTL-03 / Sterilizer</t>
        </is>
      </c>
      <c r="D134" s="20" t="inlineStr">
        <is>
          <t>WB-DTL-03</t>
        </is>
      </c>
      <c r="E134" s="21" t="inlineStr">
        <is>
          <t>Sterilizer</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/data/sterilizer (Sterilizer),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4" s="17" t="inlineStr">
        <is>
          <t>2026-10-12</t>
        </is>
      </c>
      <c r="O134" s="17" t="inlineStr">
        <is>
          <t>Pelaksana QA otomatis</t>
        </is>
      </c>
      <c r="P134" s="45" t="inlineStr">
        <is>
          <t>Lulus</t>
        </is>
      </c>
      <c r="Q134" s="17" t="n"/>
      <c r="R134" s="17" t="inlineStr">
        <is>
          <t>kolom hitungan di Data Browser berbunyi "31" (tersimpan 31); Detail /data/sterilizer/a2f5b62d-0d2d-49ef-b5d6-0a2e026698cb menggambar 31 baris (dihitung dari baris tabel di layar (tanpa tabel master target)) — sama dengan yang tersimpan=true; baris yang isinya kosong seluruhnya=0 (harus 0, tidak digambar baris kosong sebagai pengisi).</t>
        </is>
      </c>
    </row>
    <row r="135" ht="254.8" customHeight="1">
      <c r="A135" s="18" t="n">
        <v>131</v>
      </c>
      <c r="B135" s="19" t="n">
        <v>2</v>
      </c>
      <c r="C135" s="20" t="inlineStr">
        <is>
          <t>WB-DTL-03 / Threshing</t>
        </is>
      </c>
      <c r="D135" s="20" t="inlineStr">
        <is>
          <t>WB-DTL-03</t>
        </is>
      </c>
      <c r="E135" s="21" t="inlineStr">
        <is>
          <t>Threshing</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/data/threshing (Threshing),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5" s="17" t="inlineStr">
        <is>
          <t>2026-10-12</t>
        </is>
      </c>
      <c r="O135" s="17" t="inlineStr">
        <is>
          <t>Pelaksana QA otomatis</t>
        </is>
      </c>
      <c r="P135" s="45" t="inlineStr">
        <is>
          <t>Lulus</t>
        </is>
      </c>
      <c r="Q135" s="17" t="n"/>
      <c r="R135" s="17" t="inlineStr">
        <is>
          <t>kolom hitungan di Data Browser berbunyi "3 / 24" (tersimpan 3); Detail /data/threshing/a2f5b64b-305f-4013-9e07-15d1ada6360c menggambar 3 baris (dihitung dari penanda baris grid) — sama dengan yang tersimpan=true; baris yang isinya kosong seluruhnya=0 (harus 0, tidak digambar baris kosong sebagai pengisi).</t>
        </is>
      </c>
    </row>
    <row r="136" ht="254.8" customHeight="1">
      <c r="A136" s="18" t="n">
        <v>132</v>
      </c>
      <c r="B136" s="19" t="n">
        <v>2</v>
      </c>
      <c r="C136" s="20" t="inlineStr">
        <is>
          <t>WB-DTL-03 / Pressing</t>
        </is>
      </c>
      <c r="D136" s="20" t="inlineStr">
        <is>
          <t>WB-DTL-03</t>
        </is>
      </c>
      <c r="E136" s="21" t="inlineStr">
        <is>
          <t>Pressing</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/data/pressing (Pressing),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6" s="17" t="inlineStr">
        <is>
          <t>2026-10-12</t>
        </is>
      </c>
      <c r="O136" s="17" t="inlineStr">
        <is>
          <t>Pelaksana QA otomatis</t>
        </is>
      </c>
      <c r="P136" s="45" t="inlineStr">
        <is>
          <t>Lulus</t>
        </is>
      </c>
      <c r="Q136" s="17" t="n"/>
      <c r="R136" s="17" t="inlineStr">
        <is>
          <t>kolom hitungan di Data Browser berbunyi "3 / 24" (tersimpan 3); Detail /data/pressing/a2f5b64b-1b5e-44ab-97de-7aa7b8e7a3f7 menggambar 3 baris (dihitung dari penanda baris grid) — sama dengan yang tersimpan=true; baris yang isinya kosong seluruhnya=0 (harus 0, tidak digambar baris kosong sebagai pengisi).</t>
        </is>
      </c>
    </row>
    <row r="137" ht="254.8" customHeight="1">
      <c r="A137" s="18" t="n">
        <v>133</v>
      </c>
      <c r="B137" s="19" t="n">
        <v>2</v>
      </c>
      <c r="C137" s="20" t="inlineStr">
        <is>
          <t>WB-DTL-03 / Clarification</t>
        </is>
      </c>
      <c r="D137" s="20" t="inlineStr">
        <is>
          <t>WB-DTL-03</t>
        </is>
      </c>
      <c r="E137" s="21" t="inlineStr">
        <is>
          <t>Clarification</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/data/clarification (Clarification),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7" s="17" t="inlineStr">
        <is>
          <t>2026-10-12</t>
        </is>
      </c>
      <c r="O137" s="17" t="inlineStr">
        <is>
          <t>Pelaksana QA otomatis</t>
        </is>
      </c>
      <c r="P137" s="45" t="inlineStr">
        <is>
          <t>Lulus</t>
        </is>
      </c>
      <c r="Q137" s="17" t="n"/>
      <c r="R137" s="17" t="inlineStr">
        <is>
          <t>kolom hitungan di Data Browser berbunyi "23 / 24" (tersimpan 23); Detail /data/clarification/a2f5b62d-10e5-448d-b8ff-006e2f08dd44 menggambar 23 baris (dihitung dari penanda baris grid) — sama dengan yang tersimpan=true; baris yang isinya kosong seluruhnya=0 (harus 0, tidak digambar baris kosong sebagai pengisi).</t>
        </is>
      </c>
    </row>
    <row r="138" ht="254.8" customHeight="1">
      <c r="A138" s="18" t="n">
        <v>134</v>
      </c>
      <c r="B138" s="19" t="n">
        <v>2</v>
      </c>
      <c r="C138" s="20" t="inlineStr">
        <is>
          <t>WB-DTL-03 / Kernel Plant</t>
        </is>
      </c>
      <c r="D138" s="20" t="inlineStr">
        <is>
          <t>WB-DTL-03</t>
        </is>
      </c>
      <c r="E138" s="21" t="inlineStr">
        <is>
          <t>Kernel Plant</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/data/kernel-plant (Kernel Plant),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8" s="17" t="inlineStr">
        <is>
          <t>2026-10-12</t>
        </is>
      </c>
      <c r="O138" s="17" t="inlineStr">
        <is>
          <t>Pelaksana QA otomatis</t>
        </is>
      </c>
      <c r="P138" s="45" t="inlineStr">
        <is>
          <t>Lulus</t>
        </is>
      </c>
      <c r="Q138" s="17" t="n"/>
      <c r="R138" s="17" t="inlineStr">
        <is>
          <t>kolom hitungan di Data Browser berbunyi "3 / 24" (tersimpan 3); Detail /data/kernel-plant/a2f5b64b-05e9-4682-aef6-895f87413096 menggambar 3 baris (dihitung dari penanda baris grid) — sama dengan yang tersimpan=true; baris yang isinya kosong seluruhnya=0 (harus 0, tidak digambar baris kosong sebagai pengisi).</t>
        </is>
      </c>
    </row>
    <row r="139" ht="254.8" customHeight="1">
      <c r="A139" s="18" t="n">
        <v>135</v>
      </c>
      <c r="B139" s="19" t="n">
        <v>2</v>
      </c>
      <c r="C139" s="20" t="inlineStr">
        <is>
          <t>WB-DTL-03 / Boiler Room</t>
        </is>
      </c>
      <c r="D139" s="20" t="inlineStr">
        <is>
          <t>WB-DTL-03</t>
        </is>
      </c>
      <c r="E139" s="21" t="inlineStr">
        <is>
          <t>Boiler Room</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/data/boiler-room (Boiler Room),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39" s="17" t="inlineStr">
        <is>
          <t>2026-10-12</t>
        </is>
      </c>
      <c r="O139" s="17" t="inlineStr">
        <is>
          <t>Pelaksana QA otomatis</t>
        </is>
      </c>
      <c r="P139" s="45" t="inlineStr">
        <is>
          <t>Lulus</t>
        </is>
      </c>
      <c r="Q139" s="17" t="n"/>
      <c r="R139" s="17" t="inlineStr">
        <is>
          <t>kolom hitungan di Data Browser berbunyi "24 / 24" (tersimpan 24); Detail /data/boiler-room/a2f5b62d-0f0e-4a17-8435-fbc0824c4c38 menggambar 24 baris (dihitung dari penanda baris grid) — sama dengan yang tersimpan=true; baris yang isinya kosong seluruhnya=0 (harus 0, tidak digambar baris kosong sebagai pengisi).</t>
        </is>
      </c>
    </row>
    <row r="140" ht="254.8" customHeight="1">
      <c r="A140" s="18" t="n">
        <v>136</v>
      </c>
      <c r="B140" s="19" t="n">
        <v>2</v>
      </c>
      <c r="C140" s="20" t="inlineStr">
        <is>
          <t>WB-DTL-03 / Effluent Plant</t>
        </is>
      </c>
      <c r="D140" s="20" t="inlineStr">
        <is>
          <t>WB-DTL-03</t>
        </is>
      </c>
      <c r="E140" s="21" t="inlineStr">
        <is>
          <t>Effluent Plant</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0" s="17" t="inlineStr">
        <is>
          <t>2026-10-12</t>
        </is>
      </c>
      <c r="O140" s="17" t="inlineStr">
        <is>
          <t>Pelaksana QA otomatis</t>
        </is>
      </c>
      <c r="P140" s="45" t="inlineStr">
        <is>
          <t>Lulus</t>
        </is>
      </c>
      <c r="Q140" s="17" t="n"/>
      <c r="R140" s="17" t="inlineStr">
        <is>
          <t>kolom hitungan di Data Browser berbunyi "3 / 24" (tersimpan 3); Detail /data/effluent-plant/a2f5b64b-9969-4bf0-86fc-ceeec5b337bb menggambar 3 baris (dihitung dari penanda baris grid) — sama dengan yang tersimpan=true; baris yang isinya kosong seluruhnya=0 (harus 0, tidak digambar baris kosong sebagai pengisi).</t>
        </is>
      </c>
    </row>
    <row r="141" ht="254.8" customHeight="1">
      <c r="A141" s="11" t="n">
        <v>137</v>
      </c>
      <c r="B141" s="12" t="n">
        <v>1</v>
      </c>
      <c r="C141" s="13" t="inlineStr">
        <is>
          <t>WB-DTL-03 / Depricarping</t>
        </is>
      </c>
      <c r="D141" s="13" t="inlineStr">
        <is>
          <t>WB-DTL-03</t>
        </is>
      </c>
      <c r="E141" s="15" t="inlineStr">
        <is>
          <t>Depricarping</t>
        </is>
      </c>
      <c r="F141" s="14" t="inlineStr">
        <is>
          <t>Web — Data Stasiun (WB-)</t>
        </is>
      </c>
      <c r="G141" s="15" t="inlineStr">
        <is>
          <t>Grid menampilkan persis baris tersimpan</t>
        </is>
      </c>
      <c r="H141" s="14" t="inlineStr">
        <is>
          <t>SPV-A</t>
        </is>
      </c>
      <c r="I141" s="14" t="inlineStr">
        <is>
          <t>record dengan 3 baris terisi</t>
        </is>
      </c>
      <c r="J141" s="14" t="inlineStr">
        <is>
          <t>1. Siapkan satu record dengan tepat 3 baris terisi.
2. Login di web, buka /data/depricarping (Depricarping), lalu klik salah satu baris tabel untuk record itu.
3. Hitung jumlah baris pada grid.
4. Cocokkan slot waktu dan nilai tiap baris dengan yang disimpan.</t>
        </is>
      </c>
      <c r="K141" s="14" t="inlineStr">
        <is>
          <t>- Grid menampilkan tepat 3 baris.
- Tidak digambar 24 baris dengan 21 di antaranya kosong.
- Slot waktu dan nilainya cocok.</t>
        </is>
      </c>
      <c r="L141" s="16" t="inlineStr">
        <is>
          <t>Tinggi</t>
        </is>
      </c>
      <c r="M141" s="14"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1" s="17" t="inlineStr">
        <is>
          <t>2026-10-12</t>
        </is>
      </c>
      <c r="O141" s="17" t="inlineStr">
        <is>
          <t>Pelaksana QA otomatis</t>
        </is>
      </c>
      <c r="P141" s="45" t="inlineStr">
        <is>
          <t>Lulus</t>
        </is>
      </c>
      <c r="Q141" s="17" t="n"/>
      <c r="R141" s="17" t="inlineStr">
        <is>
          <t>kolom hitungan di Data Browser berbunyi "3 / 24" (tersimpan 3); Detail /data/depricarping/a2f5b64a-f132-4b09-a310-c7c9dc16708a menggambar 3 baris (dihitung dari penanda baris grid) — sama dengan yang tersimpan=true; baris yang isinya kosong seluruhnya=0 (harus 0, tidak digambar baris kosong sebagai pengisi).</t>
        </is>
      </c>
    </row>
    <row r="142" ht="254.8" customHeight="1">
      <c r="A142" s="18" t="n">
        <v>138</v>
      </c>
      <c r="B142" s="19" t="n">
        <v>2</v>
      </c>
      <c r="C142" s="20" t="inlineStr">
        <is>
          <t>WB-DTL-03 / Engine Room</t>
        </is>
      </c>
      <c r="D142" s="20" t="inlineStr">
        <is>
          <t>WB-DTL-03</t>
        </is>
      </c>
      <c r="E142" s="21" t="inlineStr">
        <is>
          <t>Engine Room</t>
        </is>
      </c>
      <c r="F142" s="22" t="inlineStr">
        <is>
          <t>Web — Data Stasiun (WB-)</t>
        </is>
      </c>
      <c r="G142" s="21" t="inlineStr">
        <is>
          <t>Grid menampilkan persis baris tersimpan</t>
        </is>
      </c>
      <c r="H142" s="22" t="inlineStr">
        <is>
          <t>SPV-A</t>
        </is>
      </c>
      <c r="I142" s="22" t="inlineStr">
        <is>
          <t>record dengan 3 baris terisi</t>
        </is>
      </c>
      <c r="J142" s="22" t="inlineStr">
        <is>
          <t>1. Siapkan satu record dengan tepat 3 baris terisi.
2. Login di web, buka /data/engine-room (Engine Room), lalu klik salah satu baris tabel untuk record itu.
3. Hitung jumlah baris pada grid.
4. Cocokkan slot waktu dan nilai tiap baris dengan yang disimpan.</t>
        </is>
      </c>
      <c r="K142" s="22" t="inlineStr">
        <is>
          <t>- Grid menampilkan tepat 3 baris.
- Tidak digambar 24 baris dengan 21 di antaranya kosong.
- Slot waktu dan nilainya cocok.</t>
        </is>
      </c>
      <c r="L142" s="16" t="inlineStr">
        <is>
          <t>Tinggi</t>
        </is>
      </c>
      <c r="M142"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2" s="17" t="inlineStr">
        <is>
          <t>2026-10-12</t>
        </is>
      </c>
      <c r="O142" s="17" t="inlineStr">
        <is>
          <t>Pelaksana QA otomatis</t>
        </is>
      </c>
      <c r="P142" s="45" t="inlineStr">
        <is>
          <t>Lulus</t>
        </is>
      </c>
      <c r="Q142" s="17" t="n"/>
      <c r="R142" s="17" t="inlineStr">
        <is>
          <t>kolom hitungan di Data Browser berbunyi "3 / 24" (tersimpan 3); Detail /data/engine-room/a2f5b64b-457c-47dd-b8dc-39ecc91aeeb0 menggambar 3 baris (dihitung dari penanda baris grid) — sama dengan yang tersimpan=true; baris yang isinya kosong seluruhnya=0 (harus 0, tidak digambar baris kosong sebagai pengisi).</t>
        </is>
      </c>
    </row>
    <row r="143" ht="254.8" customHeight="1">
      <c r="A143" s="18" t="n">
        <v>139</v>
      </c>
      <c r="B143" s="19" t="n">
        <v>2</v>
      </c>
      <c r="C143" s="20" t="inlineStr">
        <is>
          <t>WB-DTL-03 / Process Water</t>
        </is>
      </c>
      <c r="D143" s="20" t="inlineStr">
        <is>
          <t>WB-DTL-03</t>
        </is>
      </c>
      <c r="E143" s="21" t="inlineStr">
        <is>
          <t>Process Water</t>
        </is>
      </c>
      <c r="F143" s="22" t="inlineStr">
        <is>
          <t>Web — Data Stasiun (WB-)</t>
        </is>
      </c>
      <c r="G143" s="21" t="inlineStr">
        <is>
          <t>Grid menampilkan persis baris tersimpan</t>
        </is>
      </c>
      <c r="H143" s="22" t="inlineStr">
        <is>
          <t>SPV-A</t>
        </is>
      </c>
      <c r="I143" s="22" t="inlineStr">
        <is>
          <t>record dengan 3 baris terisi</t>
        </is>
      </c>
      <c r="J143" s="22" t="inlineStr">
        <is>
          <t>1. Siapkan satu record dengan tepat 3 baris terisi.
2. Login di web, buka /data/process-water (Process Water), lalu klik salah satu baris tabel untuk record itu.
3. Hitung jumlah baris pada grid.
4. Cocokkan slot waktu dan nilai tiap baris dengan yang disimpan.</t>
        </is>
      </c>
      <c r="K143" s="22" t="inlineStr">
        <is>
          <t>- Grid menampilkan tepat 3 baris.
- Tidak digambar 24 baris dengan 21 di antaranya kosong.
- Slot waktu dan nilainya cocok.</t>
        </is>
      </c>
      <c r="L143" s="16" t="inlineStr">
        <is>
          <t>Tinggi</t>
        </is>
      </c>
      <c r="M143"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3" s="17" t="inlineStr">
        <is>
          <t>2026-10-12</t>
        </is>
      </c>
      <c r="O143" s="17" t="inlineStr">
        <is>
          <t>Pelaksana QA otomatis</t>
        </is>
      </c>
      <c r="P143" s="45" t="inlineStr">
        <is>
          <t>Lulus</t>
        </is>
      </c>
      <c r="Q143" s="17" t="n"/>
      <c r="R143" s="17" t="inlineStr">
        <is>
          <t>kolom hitungan di Data Browser berbunyi "3 / 24" (tersimpan 3); Detail /data/process-water/a2f5b64b-588e-487e-acae-ebcef805ae56 menggambar 3 baris (dihitung dari penanda baris grid) — sama dengan yang tersimpan=true; baris yang isinya kosong seluruhnya=0 (harus 0, tidak digambar baris kosong sebagai pengisi).</t>
        </is>
      </c>
    </row>
    <row r="144" ht="254.8" customHeight="1">
      <c r="A144" s="18" t="n">
        <v>140</v>
      </c>
      <c r="B144" s="19" t="n">
        <v>2</v>
      </c>
      <c r="C144" s="20" t="inlineStr">
        <is>
          <t>WB-DTL-03 / Storage Tank</t>
        </is>
      </c>
      <c r="D144" s="20" t="inlineStr">
        <is>
          <t>WB-DTL-03</t>
        </is>
      </c>
      <c r="E144" s="21" t="inlineStr">
        <is>
          <t>Storage Tank</t>
        </is>
      </c>
      <c r="F144" s="22" t="inlineStr">
        <is>
          <t>Web — Data Stasiun (WB-)</t>
        </is>
      </c>
      <c r="G144" s="21" t="inlineStr">
        <is>
          <t>Grid menampilkan persis baris tersimpan</t>
        </is>
      </c>
      <c r="H144" s="22" t="inlineStr">
        <is>
          <t>SPV-A</t>
        </is>
      </c>
      <c r="I144" s="22" t="inlineStr">
        <is>
          <t>record dengan 3 baris terisi</t>
        </is>
      </c>
      <c r="J144" s="22" t="inlineStr">
        <is>
          <t>1. Siapkan satu record dengan tepat 3 baris terisi.
2. Login di web, buka /data/storage-tank (Storage Tank), lalu klik salah satu baris tabel untuk record itu.
3. Hitung jumlah baris pada grid.
4. Cocokkan slot waktu dan nilai tiap baris dengan yang disimpan.</t>
        </is>
      </c>
      <c r="K144" s="22" t="inlineStr">
        <is>
          <t>- Grid menampilkan tepat 3 baris.
- Tidak digambar 24 baris dengan 21 di antaranya kosong.
- Slot waktu dan nilainya cocok.</t>
        </is>
      </c>
      <c r="L144" s="16" t="inlineStr">
        <is>
          <t>Tinggi</t>
        </is>
      </c>
      <c r="M144"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4" s="17" t="inlineStr">
        <is>
          <t>2026-10-12</t>
        </is>
      </c>
      <c r="O144" s="17" t="inlineStr">
        <is>
          <t>Pelaksana QA otomatis</t>
        </is>
      </c>
      <c r="P144" s="45" t="inlineStr">
        <is>
          <t>Lulus</t>
        </is>
      </c>
      <c r="Q144" s="17" t="n"/>
      <c r="R144" s="17" t="inlineStr">
        <is>
          <t>kolom hitungan di Data Browser berbunyi "23 / 24" (tersimpan 23); Detail /data/storage-tank/a2f5b62d-f59f-4ea5-96ac-e1c46f1b518f menggambar 23 baris (dihitung dari penanda baris grid) — sama dengan yang tersimpan=true; baris yang isinya kosong seluruhnya=0 (harus 0, tidak digambar baris kosong sebagai pengisi).</t>
        </is>
      </c>
    </row>
    <row r="145" ht="254.8" customHeight="1">
      <c r="A145" s="18" t="n">
        <v>141</v>
      </c>
      <c r="B145" s="19" t="n">
        <v>2</v>
      </c>
      <c r="C145" s="20" t="inlineStr">
        <is>
          <t>WB-DTL-03 / Solid Waste Disposal</t>
        </is>
      </c>
      <c r="D145" s="20" t="inlineStr">
        <is>
          <t>WB-DTL-03</t>
        </is>
      </c>
      <c r="E145" s="21" t="inlineStr">
        <is>
          <t>Solid Waste Disposal</t>
        </is>
      </c>
      <c r="F145" s="22" t="inlineStr">
        <is>
          <t>Web — Data Stasiun (WB-)</t>
        </is>
      </c>
      <c r="G145" s="21" t="inlineStr">
        <is>
          <t>Grid menampilkan persis baris tersimpan</t>
        </is>
      </c>
      <c r="H145" s="22" t="inlineStr">
        <is>
          <t>SPV-A</t>
        </is>
      </c>
      <c r="I145" s="22" t="inlineStr">
        <is>
          <t>record dengan 3 baris terisi</t>
        </is>
      </c>
      <c r="J145"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45" s="22" t="inlineStr">
        <is>
          <t>- Grid menampilkan tepat 3 baris.
- Tidak digambar 24 baris dengan 21 di antaranya kosong.
- Slot waktu dan nilainya cocok.</t>
        </is>
      </c>
      <c r="L145" s="16" t="inlineStr">
        <is>
          <t>Tinggi</t>
        </is>
      </c>
      <c r="M145"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5" s="17" t="inlineStr">
        <is>
          <t>2026-10-12</t>
        </is>
      </c>
      <c r="O145" s="17" t="inlineStr">
        <is>
          <t>Pelaksana QA otomatis</t>
        </is>
      </c>
      <c r="P145" s="45" t="inlineStr">
        <is>
          <t>Lulus</t>
        </is>
      </c>
      <c r="Q145" s="17" t="n"/>
      <c r="R145" s="17" t="inlineStr">
        <is>
          <t>kolom hitungan di Data Browser berbunyi "1" (tersimpan 1); Detail /data/solid-waste-disposal/a2f5b64b-7a75-402c-b0cc-e5724443411f menggambar 1 baris (dihitung dari baris tabel di layar (tanpa tabel master target)) — sama dengan yang tersimpan=true; baris yang isinya kosong seluruhnya=0 (harus 0, tidak digambar baris kosong sebagai pengisi).</t>
        </is>
      </c>
    </row>
    <row r="146" ht="254.8" customHeight="1">
      <c r="A146" s="18" t="n">
        <v>142</v>
      </c>
      <c r="B146" s="19" t="n">
        <v>2</v>
      </c>
      <c r="C146" s="20" t="inlineStr">
        <is>
          <t>WB-DTL-03 / Kernel Dispatch</t>
        </is>
      </c>
      <c r="D146" s="20" t="inlineStr">
        <is>
          <t>WB-DTL-03</t>
        </is>
      </c>
      <c r="E146" s="21" t="inlineStr">
        <is>
          <t>Kernel Dispatch</t>
        </is>
      </c>
      <c r="F146" s="22" t="inlineStr">
        <is>
          <t>Web — Data Stasiun (WB-)</t>
        </is>
      </c>
      <c r="G146" s="21" t="inlineStr">
        <is>
          <t>Grid menampilkan persis baris tersimpan</t>
        </is>
      </c>
      <c r="H146" s="22" t="inlineStr">
        <is>
          <t>SPV-A</t>
        </is>
      </c>
      <c r="I146" s="22" t="inlineStr">
        <is>
          <t>record dengan 3 baris terisi</t>
        </is>
      </c>
      <c r="J146"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46" s="22" t="inlineStr">
        <is>
          <t>- Grid menampilkan tepat 3 baris.
- Tidak digambar 24 baris dengan 21 di antaranya kosong.
- Slot waktu dan nilainya cocok.</t>
        </is>
      </c>
      <c r="L146" s="16" t="inlineStr">
        <is>
          <t>Tinggi</t>
        </is>
      </c>
      <c r="M146"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6" s="17" t="inlineStr">
        <is>
          <t>2026-10-12</t>
        </is>
      </c>
      <c r="O146" s="17" t="inlineStr">
        <is>
          <t>Pelaksana QA otomatis</t>
        </is>
      </c>
      <c r="P146" s="45" t="inlineStr">
        <is>
          <t>Lulus</t>
        </is>
      </c>
      <c r="Q146" s="17" t="n"/>
      <c r="R146" s="17" t="inlineStr">
        <is>
          <t>kolom hitungan di Data Browser berbunyi "1" (tersimpan 1); Detail /data/kernel-dispatch/a2f5b64b-a945-4f3d-bb64-2965c54b62b2 menggambar 1 baris (dihitung dari baris tabel di layar (tanpa tabel master target)) — sama dengan yang tersimpan=true; baris yang isinya kosong seluruhnya=0 (harus 0, tidak digambar baris kosong sebagai pengisi).</t>
        </is>
      </c>
    </row>
    <row r="147" ht="254.8" customHeight="1">
      <c r="A147" s="18" t="n">
        <v>143</v>
      </c>
      <c r="B147" s="19" t="n">
        <v>2</v>
      </c>
      <c r="C147" s="20" t="inlineStr">
        <is>
          <t>WB-DTL-03 / CPO Dispatch</t>
        </is>
      </c>
      <c r="D147" s="20" t="inlineStr">
        <is>
          <t>WB-DTL-03</t>
        </is>
      </c>
      <c r="E147" s="21" t="inlineStr">
        <is>
          <t>CPO Dispatch</t>
        </is>
      </c>
      <c r="F147" s="22" t="inlineStr">
        <is>
          <t>Web — Data Stasiun (WB-)</t>
        </is>
      </c>
      <c r="G147" s="21" t="inlineStr">
        <is>
          <t>Grid menampilkan persis baris tersimpan</t>
        </is>
      </c>
      <c r="H147" s="22" t="inlineStr">
        <is>
          <t>SPV-A</t>
        </is>
      </c>
      <c r="I147" s="22" t="inlineStr">
        <is>
          <t>record dengan 3 baris terisi</t>
        </is>
      </c>
      <c r="J147" s="22" t="inlineStr">
        <is>
          <t>1. Siapkan satu record dengan tepat 3 baris terisi.
2. Login di web, buka /data/cpo-dispatch (CPO Dispatch), lalu klik salah satu baris tabel untuk record itu.
3. Hitung jumlah baris pada grid.
4. Cocokkan slot waktu dan nilai tiap baris dengan yang disimpan.</t>
        </is>
      </c>
      <c r="K147" s="22" t="inlineStr">
        <is>
          <t>- Grid menampilkan tepat 3 baris.
- Tidak digambar 24 baris dengan 21 di antaranya kosong.
- Slot waktu dan nilainya cocok.</t>
        </is>
      </c>
      <c r="L147" s="16" t="inlineStr">
        <is>
          <t>Tinggi</t>
        </is>
      </c>
      <c r="M147"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7" s="17" t="inlineStr">
        <is>
          <t>2026-10-12</t>
        </is>
      </c>
      <c r="O147" s="17" t="inlineStr">
        <is>
          <t>Pelaksana QA otomatis</t>
        </is>
      </c>
      <c r="P147" s="45" t="inlineStr">
        <is>
          <t>Lulus</t>
        </is>
      </c>
      <c r="Q147" s="17" t="n"/>
      <c r="R147" s="17" t="inlineStr">
        <is>
          <t>kolom hitungan di Data Browser berbunyi "1" (tersimpan 1); Detail /data/cpo-dispatch/a2f5b64b-86ec-44fd-ae94-b786732754f1 menggambar 1 baris (dihitung dari baris tabel di layar (tanpa tabel master target)) — sama dengan yang tersimpan=true; baris yang isinya kosong seluruhnya=0 (harus 0, tidak digambar baris kosong sebagai pengisi).</t>
        </is>
      </c>
    </row>
    <row r="148" ht="254.8" customHeight="1">
      <c r="A148" s="18" t="n">
        <v>144</v>
      </c>
      <c r="B148" s="19" t="n">
        <v>2</v>
      </c>
      <c r="C148" s="20" t="inlineStr">
        <is>
          <t>WB-DTL-03 / Process Quality Control</t>
        </is>
      </c>
      <c r="D148" s="20" t="inlineStr">
        <is>
          <t>WB-DTL-03</t>
        </is>
      </c>
      <c r="E148" s="21" t="inlineStr">
        <is>
          <t>Process Quality Control</t>
        </is>
      </c>
      <c r="F148" s="22" t="inlineStr">
        <is>
          <t>Web — Data Stasiun (WB-)</t>
        </is>
      </c>
      <c r="G148" s="21" t="inlineStr">
        <is>
          <t>Grid menampilkan persis baris tersimpan</t>
        </is>
      </c>
      <c r="H148" s="22" t="inlineStr">
        <is>
          <t>SPV-A</t>
        </is>
      </c>
      <c r="I148" s="22" t="inlineStr">
        <is>
          <t>record dengan 3 baris terisi</t>
        </is>
      </c>
      <c r="J148"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8" s="22" t="inlineStr">
        <is>
          <t>- Grid menampilkan tepat 3 baris.
- Tidak digambar 24 baris dengan 21 di antaranya kosong.
- Slot waktu dan nilainya cocok.</t>
        </is>
      </c>
      <c r="L148" s="16" t="inlineStr">
        <is>
          <t>Tinggi</t>
        </is>
      </c>
      <c r="M148" s="22"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148" s="17" t="inlineStr">
        <is>
          <t>2026-10-12</t>
        </is>
      </c>
      <c r="O148" s="17" t="inlineStr">
        <is>
          <t>Pelaksana QA otomatis</t>
        </is>
      </c>
      <c r="P148" s="45" t="inlineStr">
        <is>
          <t>Lulus</t>
        </is>
      </c>
      <c r="Q148" s="17" t="n"/>
      <c r="R148" s="17" t="inlineStr">
        <is>
          <t>kolom hitungan di Data Browser berbunyi "3 / 24" (tersimpan 3); Detail /data/process-quality-control/a2f5b64b-6b2e-46fe-bd1e-2a3d6d382e2d menggambar 3 baris (dihitung dari penanda baris grid) — sama dengan yang tersimpan=true; baris yang isinya kosong seluruhnya=0 (harus 0, tidak digambar baris kosong sebagai pengisi).</t>
        </is>
      </c>
    </row>
    <row r="149" ht="109.6" customHeight="1">
      <c r="A149" s="11" t="n">
        <v>145</v>
      </c>
      <c r="B149" s="12" t="n">
        <v>1</v>
      </c>
      <c r="C149" s="13" t="inlineStr">
        <is>
          <t>WB-DTL-04 / Depricarping</t>
        </is>
      </c>
      <c r="D149" s="13" t="inlineStr">
        <is>
          <t>WB-DTL-04</t>
        </is>
      </c>
      <c r="E149" s="15" t="inlineStr">
        <is>
          <t>Depricarping</t>
        </is>
      </c>
      <c r="F149" s="14" t="inlineStr">
        <is>
          <t>Web — Data Stasiun (WB-)</t>
        </is>
      </c>
      <c r="G149" s="15" t="inlineStr">
        <is>
          <t>Edit membuka Form mode ubah dengan isi yang sama</t>
        </is>
      </c>
      <c r="H149" s="14" t="inlineStr">
        <is>
          <t>SPV-A</t>
        </is>
      </c>
      <c r="I149" s="14" t="inlineStr">
        <is>
          <t>—</t>
        </is>
      </c>
      <c r="J149"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9" s="14" t="inlineStr">
        <is>
          <t>- Terbuka Form mode ubah (/data/depricarping/&lt;id&gt;/edit).
- Seluruh nilai sama dengan Detail — tidak ada yang kosong atau tergeser.
- Production Line terkunci pada mode ubah (lihat WB-FRM-02).</t>
        </is>
      </c>
      <c r="L149" s="16" t="inlineStr">
        <is>
          <t>Tinggi</t>
        </is>
      </c>
      <c r="M149" s="14" t="inlineStr"/>
      <c r="N149" s="17" t="inlineStr">
        <is>
          <t>2026-10-12</t>
        </is>
      </c>
      <c r="O149" s="17" t="inlineStr">
        <is>
          <t>Pelaksana QA otomatis</t>
        </is>
      </c>
      <c r="P149" s="45" t="inlineStr">
        <is>
          <t>Lulus</t>
        </is>
      </c>
      <c r="Q149" s="17" t="n"/>
      <c r="R149" s="17" t="inlineStr">
        <is>
          <t>Detail /data/depricarping/a2f5b64a-f132-4b09-a310-c7c9dc16708a → Edit membuka /data/depricarping/a2f5b64a-f132-4b09-a310-c7c9dc16708a/edit; identitas di Detail="DP-5338" dan di Form="DP-5338" (sama=true); jumlah baris grid di Detail=3 dan di Form=3 (sama=true, tidak ada yang kosong atau tergeser); Production Line terkunci pada mode ubah=true; ada keterangan yang menyebutkan penguncian itu=false.</t>
        </is>
      </c>
    </row>
    <row r="150" ht="109.6" customHeight="1">
      <c r="A150" s="11" t="n">
        <v>146</v>
      </c>
      <c r="B150" s="12" t="n">
        <v>1</v>
      </c>
      <c r="C150" s="13" t="inlineStr">
        <is>
          <t>WB-DTL-05 / Depricarping</t>
        </is>
      </c>
      <c r="D150" s="13" t="inlineStr">
        <is>
          <t>WB-DTL-05</t>
        </is>
      </c>
      <c r="E150" s="15" t="inlineStr">
        <is>
          <t>Depricarping</t>
        </is>
      </c>
      <c r="F150" s="14" t="inlineStr">
        <is>
          <t>Web — Data Stasiun (WB-)</t>
        </is>
      </c>
      <c r="G150" s="15" t="inlineStr">
        <is>
          <t>Back kembali ke Data Browser dengan filter yang masih sama</t>
        </is>
      </c>
      <c r="H150" s="14" t="inlineStr">
        <is>
          <t>SPV-A</t>
        </is>
      </c>
      <c r="I150" s="14" t="inlineStr">
        <is>
          <t>—</t>
        </is>
      </c>
      <c r="J15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50" s="14" t="inlineStr">
        <is>
          <t>- Kembali ke Data Browser stasiun yang sama.
- Filternya masih sama — tidak tereset.
- Halaman yang sedang dibuka juga tetap, atau setidaknya filternya dipertahankan sehingga baris itu mudah ditemukan lagi.</t>
        </is>
      </c>
      <c r="L150" s="11" t="inlineStr">
        <is>
          <t>Sedang</t>
        </is>
      </c>
      <c r="M150" s="14" t="inlineStr"/>
      <c r="N150" s="17" t="inlineStr">
        <is>
          <t>2026-10-12</t>
        </is>
      </c>
      <c r="O150" s="17" t="inlineStr">
        <is>
          <t>Pelaksana QA otomatis</t>
        </is>
      </c>
      <c r="P150" s="45" t="inlineStr">
        <is>
          <t>Lulus</t>
        </is>
      </c>
      <c r="Q150" s="17" t="n"/>
      <c r="R150" s="17" t="inlineStr">
        <is>
          <t>filter "2026-09-01..2026-10-11" diterapkan dan halaman 2 dibuka; sesudah membuka Detail lalu menekan Back (tombol ada=true), mendarat di /data/weighbridge dan filternya terbaca "2026-09-01..2026-10-11" — masih sama=true.</t>
        </is>
      </c>
    </row>
    <row r="151" ht="149.2" customHeight="1">
      <c r="A151" s="18" t="n">
        <v>147</v>
      </c>
      <c r="B151" s="19" t="n">
        <v>2</v>
      </c>
      <c r="C151" s="20" t="inlineStr">
        <is>
          <t>WB-FRM-01 / Weighbridge</t>
        </is>
      </c>
      <c r="D151" s="20" t="inlineStr">
        <is>
          <t>WB-FRM-01</t>
        </is>
      </c>
      <c r="E151" s="21" t="inlineStr">
        <is>
          <t>Weighbridge</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inlineStr">
        <is>
          <t>2026-10-12</t>
        </is>
      </c>
      <c r="O151" s="17" t="inlineStr">
        <is>
          <t>Pelaksana QA otomatis</t>
        </is>
      </c>
      <c r="P151" s="45" t="inlineStr">
        <is>
          <t>Lulus</t>
        </is>
      </c>
      <c r="Q151" s="17" t="n"/>
      <c r="R151" s="17" t="inlineStr">
        <is>
          <t>Form baru diisi (Production Line "Line 1", 9 kolom, 0 baris grid) lalu disimpan: galat validasi yang muncul=0; layar berpindah dari form=true; pesan berhasil terbaca=true; status record di Data Browser="Tersimpan" (baris ke-1) (harus Tersimpan, bukan Draft)=true.</t>
        </is>
      </c>
    </row>
    <row r="152" ht="149.2" customHeight="1">
      <c r="A152" s="18" t="n">
        <v>148</v>
      </c>
      <c r="B152" s="19" t="n">
        <v>2</v>
      </c>
      <c r="C152" s="20" t="inlineStr">
        <is>
          <t>WB-FRM-01 / Grading</t>
        </is>
      </c>
      <c r="D152" s="20" t="inlineStr">
        <is>
          <t>WB-FRM-01</t>
        </is>
      </c>
      <c r="E152" s="21" t="inlineStr">
        <is>
          <t>Grading</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inlineStr">
        <is>
          <t>2026-10-12</t>
        </is>
      </c>
      <c r="O152" s="17" t="inlineStr">
        <is>
          <t>Pelaksana QA otomatis</t>
        </is>
      </c>
      <c r="P152" s="45" t="inlineStr">
        <is>
          <t>Lulus</t>
        </is>
      </c>
      <c r="Q152" s="17" t="n"/>
      <c r="R152" s="17" t="inlineStr">
        <is>
          <t>Form baru diisi (Production Line "Line 1", 6 kolom, 1 baris grid) lalu disimpan: galat validasi yang muncul=0; layar berpindah dari form=true; pesan berhasil terbaca=true; status record di Data Browser="Tersimpan" (baris ke-1) (harus Tersimpan, bukan Draft)=true.</t>
        </is>
      </c>
    </row>
    <row r="153" ht="149.2" customHeight="1">
      <c r="A153" s="18" t="n">
        <v>149</v>
      </c>
      <c r="B153" s="19" t="n">
        <v>2</v>
      </c>
      <c r="C153" s="20" t="inlineStr">
        <is>
          <t>WB-FRM-01 / Cages Track</t>
        </is>
      </c>
      <c r="D153" s="20" t="inlineStr">
        <is>
          <t>WB-FRM-01</t>
        </is>
      </c>
      <c r="E153" s="21" t="inlineStr">
        <is>
          <t>Cages Track</t>
        </is>
      </c>
      <c r="F153" s="22" t="inlineStr">
        <is>
          <t>Web — Data Stasiun (WB-)</t>
        </is>
      </c>
      <c r="G153" s="21" t="inlineStr">
        <is>
          <t>Simpan berhasil, status langsung Tersimpan</t>
        </is>
      </c>
      <c r="H153" s="22" t="inlineStr">
        <is>
          <t>SPV-A</t>
        </is>
      </c>
      <c r="I153" s="22" t="inlineStr">
        <is>
          <t>periode Terbuka</t>
        </is>
      </c>
      <c r="J153"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53" s="22" t="inlineStr">
        <is>
          <t>- Simpan berhasil, dengan pesan konfirmasi.
- Status record langsung Tersimpan — bukan Draft, karena input web tidak punya alur draft.
- Record muncul di Data Browser tanpa perlu muat ulang manual.</t>
        </is>
      </c>
      <c r="L153" s="16" t="inlineStr">
        <is>
          <t>Tinggi</t>
        </is>
      </c>
      <c r="M153" s="22" t="inlineStr"/>
      <c r="N153" s="17" t="inlineStr">
        <is>
          <t>2026-10-12</t>
        </is>
      </c>
      <c r="O153" s="17" t="inlineStr">
        <is>
          <t>Pelaksana QA otomatis</t>
        </is>
      </c>
      <c r="P153" s="45" t="inlineStr">
        <is>
          <t>Lulus</t>
        </is>
      </c>
      <c r="Q153" s="17" t="n"/>
      <c r="R153" s="17" t="inlineStr">
        <is>
          <t>Form baru diisi (Production Line "Line 1", 4 kolom, 1 baris grid) lalu disimpan: galat validasi yang muncul=0; layar berpindah dari form=true; pesan berhasil terbaca=true; status record di Data Browser="Tersimpan" (baris ke-1) (harus Tersimpan, bukan Draft)=true.</t>
        </is>
      </c>
    </row>
    <row r="154" ht="149.2" customHeight="1">
      <c r="A154" s="18" t="n">
        <v>150</v>
      </c>
      <c r="B154" s="19" t="n">
        <v>2</v>
      </c>
      <c r="C154" s="20" t="inlineStr">
        <is>
          <t>WB-FRM-01 / Sterilizer</t>
        </is>
      </c>
      <c r="D154" s="20" t="inlineStr">
        <is>
          <t>WB-FRM-01</t>
        </is>
      </c>
      <c r="E154" s="21" t="inlineStr">
        <is>
          <t>Sterilizer</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inlineStr">
        <is>
          <t>2026-10-12</t>
        </is>
      </c>
      <c r="O154" s="17" t="inlineStr">
        <is>
          <t>Pelaksana QA otomatis</t>
        </is>
      </c>
      <c r="P154" s="45" t="inlineStr">
        <is>
          <t>Lulus</t>
        </is>
      </c>
      <c r="Q154" s="17" t="n"/>
      <c r="R154" s="17" t="inlineStr">
        <is>
          <t>Form baru diisi (Production Line "Line 1", 5 kolom, 1 baris grid) lalu disimpan: galat validasi yang muncul=0; layar berpindah dari form=true; pesan berhasil terbaca=true; status record di Data Browser="Tersimpan" (baris ke-1) (harus Tersimpan, bukan Draft)=true.</t>
        </is>
      </c>
    </row>
    <row r="155" ht="149.2" customHeight="1">
      <c r="A155" s="18" t="n">
        <v>151</v>
      </c>
      <c r="B155" s="19" t="n">
        <v>2</v>
      </c>
      <c r="C155" s="20" t="inlineStr">
        <is>
          <t>WB-FRM-01 / Threshing</t>
        </is>
      </c>
      <c r="D155" s="20" t="inlineStr">
        <is>
          <t>WB-FRM-01</t>
        </is>
      </c>
      <c r="E155" s="21" t="inlineStr">
        <is>
          <t>Threshing</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inlineStr">
        <is>
          <t>2026-10-12</t>
        </is>
      </c>
      <c r="O155" s="17" t="inlineStr">
        <is>
          <t>Pelaksana QA otomatis</t>
        </is>
      </c>
      <c r="P155" s="45" t="inlineStr">
        <is>
          <t>Lulus</t>
        </is>
      </c>
      <c r="Q155" s="17" t="n"/>
      <c r="R155" s="17" t="inlineStr">
        <is>
          <t>Form baru diisi (Production Line "Line 1", 8 kolom, 1 baris grid) lalu disimpan: galat validasi yang muncul=0; layar berpindah dari form=true; pesan berhasil terbaca=true; status record di Data Browser="Tersimpan" (baris ke-1) (harus Tersimpan, bukan Draft)=true.</t>
        </is>
      </c>
    </row>
    <row r="156" ht="149.2" customHeight="1">
      <c r="A156" s="18" t="n">
        <v>152</v>
      </c>
      <c r="B156" s="19" t="n">
        <v>2</v>
      </c>
      <c r="C156" s="20" t="inlineStr">
        <is>
          <t>WB-FRM-01 / Pressing</t>
        </is>
      </c>
      <c r="D156" s="20" t="inlineStr">
        <is>
          <t>WB-FRM-01</t>
        </is>
      </c>
      <c r="E156" s="21" t="inlineStr">
        <is>
          <t>Pressing</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inlineStr">
        <is>
          <t>2026-10-12</t>
        </is>
      </c>
      <c r="O156" s="17" t="inlineStr">
        <is>
          <t>Pelaksana QA otomatis</t>
        </is>
      </c>
      <c r="P156" s="45" t="inlineStr">
        <is>
          <t>Lulus</t>
        </is>
      </c>
      <c r="Q156" s="17" t="n"/>
      <c r="R156" s="17" t="inlineStr">
        <is>
          <t>Form baru diisi (Production Line "Line 1", 8 kolom, 1 baris grid) lalu disimpan: galat validasi yang muncul=0; layar berpindah dari form=true; pesan berhasil terbaca=true; status record di Data Browser="Tersimpan" (baris ke-1) (harus Tersimpan, bukan Draft)=true.</t>
        </is>
      </c>
    </row>
    <row r="157" ht="149.2" customHeight="1">
      <c r="A157" s="18" t="n">
        <v>153</v>
      </c>
      <c r="B157" s="19" t="n">
        <v>2</v>
      </c>
      <c r="C157" s="20" t="inlineStr">
        <is>
          <t>WB-FRM-01 / Clarification</t>
        </is>
      </c>
      <c r="D157" s="20" t="inlineStr">
        <is>
          <t>WB-FRM-01</t>
        </is>
      </c>
      <c r="E157" s="21" t="inlineStr">
        <is>
          <t>Clarification</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inlineStr">
        <is>
          <t>2026-10-12</t>
        </is>
      </c>
      <c r="O157" s="17" t="inlineStr">
        <is>
          <t>Pelaksana QA otomatis</t>
        </is>
      </c>
      <c r="P157" s="45" t="inlineStr">
        <is>
          <t>Lulus</t>
        </is>
      </c>
      <c r="Q157" s="17" t="n"/>
      <c r="R157" s="17" t="inlineStr">
        <is>
          <t>Form baru diisi (Production Line "Line 1", 9 kolom, 1 baris grid) lalu disimpan: galat validasi yang muncul=0; layar berpindah dari form=true; pesan berhasil terbaca=true; status record di Data Browser="Tersimpan" (baris ke-1) (harus Tersimpan, bukan Draft)=true.</t>
        </is>
      </c>
    </row>
    <row r="158" ht="149.2" customHeight="1">
      <c r="A158" s="18" t="n">
        <v>154</v>
      </c>
      <c r="B158" s="19" t="n">
        <v>2</v>
      </c>
      <c r="C158" s="20" t="inlineStr">
        <is>
          <t>WB-FRM-01 / Kernel Plant</t>
        </is>
      </c>
      <c r="D158" s="20" t="inlineStr">
        <is>
          <t>WB-FRM-01</t>
        </is>
      </c>
      <c r="E158" s="21" t="inlineStr">
        <is>
          <t>Kernel Plant</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inlineStr">
        <is>
          <t>2026-10-12</t>
        </is>
      </c>
      <c r="O158" s="17" t="inlineStr">
        <is>
          <t>Pelaksana QA otomatis</t>
        </is>
      </c>
      <c r="P158" s="45" t="inlineStr">
        <is>
          <t>Lulus</t>
        </is>
      </c>
      <c r="Q158" s="17" t="n"/>
      <c r="R158" s="17" t="inlineStr">
        <is>
          <t>Form baru diisi (Production Line "Line 1", 11 kolom, 1 baris grid) lalu disimpan: galat validasi yang muncul=0; layar berpindah dari form=true; pesan berhasil terbaca=true; status record di Data Browser="Tersimpan" (baris ke-1) (harus Tersimpan, bukan Draft)=true.</t>
        </is>
      </c>
    </row>
    <row r="159" ht="149.2" customHeight="1">
      <c r="A159" s="18" t="n">
        <v>155</v>
      </c>
      <c r="B159" s="19" t="n">
        <v>2</v>
      </c>
      <c r="C159" s="20" t="inlineStr">
        <is>
          <t>WB-FRM-01 / Boiler Room</t>
        </is>
      </c>
      <c r="D159" s="20" t="inlineStr">
        <is>
          <t>WB-FRM-01</t>
        </is>
      </c>
      <c r="E159" s="21" t="inlineStr">
        <is>
          <t>Boiler Room</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inlineStr">
        <is>
          <t>2026-10-12</t>
        </is>
      </c>
      <c r="O159" s="17" t="inlineStr">
        <is>
          <t>Pelaksana QA otomatis</t>
        </is>
      </c>
      <c r="P159" s="45" t="inlineStr">
        <is>
          <t>Lulus</t>
        </is>
      </c>
      <c r="Q159" s="17" t="n"/>
      <c r="R159" s="17" t="inlineStr">
        <is>
          <t>Form baru diisi (Production Line "Line 1", 15 kolom, 1 baris grid) lalu disimpan: galat validasi yang muncul=0; layar berpindah dari form=true; pesan berhasil terbaca=true; status record di Data Browser="Tersimpan" (baris ke-1) (harus Tersimpan, bukan Draft)=true.</t>
        </is>
      </c>
    </row>
    <row r="160" ht="149.2" customHeight="1">
      <c r="A160" s="18" t="n">
        <v>156</v>
      </c>
      <c r="B160" s="19" t="n">
        <v>2</v>
      </c>
      <c r="C160" s="20" t="inlineStr">
        <is>
          <t>WB-FRM-01 / Effluent Plant</t>
        </is>
      </c>
      <c r="D160" s="20" t="inlineStr">
        <is>
          <t>WB-FRM-01</t>
        </is>
      </c>
      <c r="E160" s="21" t="inlineStr">
        <is>
          <t>Effluent Plant</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inlineStr">
        <is>
          <t>2026-10-12</t>
        </is>
      </c>
      <c r="O160" s="17" t="inlineStr">
        <is>
          <t>Pelaksana QA otomatis</t>
        </is>
      </c>
      <c r="P160" s="45" t="inlineStr">
        <is>
          <t>Lulus</t>
        </is>
      </c>
      <c r="Q160" s="17" t="n"/>
      <c r="R160" s="17" t="inlineStr">
        <is>
          <t>Form baru diisi (Production Line "Line 1", 18 kolom, 1 baris grid) lalu disimpan: galat validasi yang muncul=0; layar berpindah dari form=true; pesan berhasil terbaca=true; status record di Data Browser="Tersimpan" (baris ke-1) (harus Tersimpan, bukan Draft)=true.</t>
        </is>
      </c>
    </row>
    <row r="161" ht="149.2" customHeight="1">
      <c r="A161" s="11" t="n">
        <v>157</v>
      </c>
      <c r="B161" s="12" t="n">
        <v>1</v>
      </c>
      <c r="C161" s="13" t="inlineStr">
        <is>
          <t>WB-FRM-01 / Depricarping</t>
        </is>
      </c>
      <c r="D161" s="13" t="inlineStr">
        <is>
          <t>WB-FRM-01</t>
        </is>
      </c>
      <c r="E161" s="15" t="inlineStr">
        <is>
          <t>Depricarping</t>
        </is>
      </c>
      <c r="F161" s="14" t="inlineStr">
        <is>
          <t>Web — Data Stasiun (WB-)</t>
        </is>
      </c>
      <c r="G161" s="15" t="inlineStr">
        <is>
          <t>Simpan berhasil, status langsung Tersimpan</t>
        </is>
      </c>
      <c r="H161" s="14" t="inlineStr">
        <is>
          <t>SPV-A</t>
        </is>
      </c>
      <c r="I161" s="14" t="inlineStr">
        <is>
          <t>periode Terbuka</t>
        </is>
      </c>
      <c r="J16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61" s="14" t="inlineStr">
        <is>
          <t>- Simpan berhasil, dengan pesan konfirmasi.
- Status record langsung Tersimpan — bukan Draft, karena input web tidak punya alur draft.
- Record muncul di Data Browser tanpa perlu muat ulang manual.</t>
        </is>
      </c>
      <c r="L161" s="16" t="inlineStr">
        <is>
          <t>Tinggi</t>
        </is>
      </c>
      <c r="M161" s="14" t="inlineStr"/>
      <c r="N161" s="17" t="inlineStr">
        <is>
          <t>2026-10-12</t>
        </is>
      </c>
      <c r="O161" s="17" t="inlineStr">
        <is>
          <t>Pelaksana QA otomatis</t>
        </is>
      </c>
      <c r="P161" s="45" t="inlineStr">
        <is>
          <t>Lulus</t>
        </is>
      </c>
      <c r="Q161" s="17" t="n"/>
      <c r="R161" s="17" t="inlineStr">
        <is>
          <t>Form baru diisi (Production Line "Line 1", 11 kolom, 1 baris grid) lalu disimpan: galat validasi yang muncul=0; layar berpindah dari form=true; pesan berhasil terbaca=true; status record di Data Browser="Tersimpan" (baris ke-1) (harus Tersimpan, bukan Draft)=true.</t>
        </is>
      </c>
    </row>
    <row r="162" ht="149.2" customHeight="1">
      <c r="A162" s="18" t="n">
        <v>158</v>
      </c>
      <c r="B162" s="19" t="n">
        <v>2</v>
      </c>
      <c r="C162" s="20" t="inlineStr">
        <is>
          <t>WB-FRM-01 / Engine Room</t>
        </is>
      </c>
      <c r="D162" s="20" t="inlineStr">
        <is>
          <t>WB-FRM-01</t>
        </is>
      </c>
      <c r="E162" s="21" t="inlineStr">
        <is>
          <t>Engine Room</t>
        </is>
      </c>
      <c r="F162" s="22" t="inlineStr">
        <is>
          <t>Web — Data Stasiun (WB-)</t>
        </is>
      </c>
      <c r="G162" s="21" t="inlineStr">
        <is>
          <t>Simpan berhasil, status langsung Tersimpan</t>
        </is>
      </c>
      <c r="H162" s="22" t="inlineStr">
        <is>
          <t>SPV-A</t>
        </is>
      </c>
      <c r="I162" s="22" t="inlineStr">
        <is>
          <t>periode Terbuka</t>
        </is>
      </c>
      <c r="J162"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62" s="22" t="inlineStr">
        <is>
          <t>- Simpan berhasil, dengan pesan konfirmasi.
- Status record langsung Tersimpan — bukan Draft, karena input web tidak punya alur draft.
- Record muncul di Data Browser tanpa perlu muat ulang manual.</t>
        </is>
      </c>
      <c r="L162" s="16" t="inlineStr">
        <is>
          <t>Tinggi</t>
        </is>
      </c>
      <c r="M162" s="22" t="inlineStr"/>
      <c r="N162" s="17" t="inlineStr">
        <is>
          <t>2026-10-12</t>
        </is>
      </c>
      <c r="O162" s="17" t="inlineStr">
        <is>
          <t>Pelaksana QA otomatis</t>
        </is>
      </c>
      <c r="P162" s="45" t="inlineStr">
        <is>
          <t>Lulus</t>
        </is>
      </c>
      <c r="Q162" s="17" t="n"/>
      <c r="R162" s="17" t="inlineStr">
        <is>
          <t>Form baru diisi (Production Line "Line 1", 27 kolom, 1 baris grid) lalu disimpan: galat validasi yang muncul=0; layar berpindah dari form=true; pesan berhasil terbaca=true; status record di Data Browser="Tersimpan" (baris ke-1) (harus Tersimpan, bukan Draft)=true.</t>
        </is>
      </c>
    </row>
    <row r="163" ht="149.2" customHeight="1">
      <c r="A163" s="18" t="n">
        <v>159</v>
      </c>
      <c r="B163" s="19" t="n">
        <v>2</v>
      </c>
      <c r="C163" s="20" t="inlineStr">
        <is>
          <t>WB-FRM-01 / Process Water</t>
        </is>
      </c>
      <c r="D163" s="20" t="inlineStr">
        <is>
          <t>WB-FRM-01</t>
        </is>
      </c>
      <c r="E163" s="21" t="inlineStr">
        <is>
          <t>Process Water</t>
        </is>
      </c>
      <c r="F163" s="22" t="inlineStr">
        <is>
          <t>Web — Data Stasiun (WB-)</t>
        </is>
      </c>
      <c r="G163" s="21" t="inlineStr">
        <is>
          <t>Simpan berhasil, status langsung Tersimpan</t>
        </is>
      </c>
      <c r="H163" s="22" t="inlineStr">
        <is>
          <t>SPV-A</t>
        </is>
      </c>
      <c r="I163" s="22" t="inlineStr">
        <is>
          <t>periode Terbuka</t>
        </is>
      </c>
      <c r="J163"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63" s="22" t="inlineStr">
        <is>
          <t>- Simpan berhasil, dengan pesan konfirmasi.
- Status record langsung Tersimpan — bukan Draft, karena input web tidak punya alur draft.
- Record muncul di Data Browser tanpa perlu muat ulang manual.</t>
        </is>
      </c>
      <c r="L163" s="16" t="inlineStr">
        <is>
          <t>Tinggi</t>
        </is>
      </c>
      <c r="M163" s="22" t="inlineStr"/>
      <c r="N163" s="17" t="inlineStr">
        <is>
          <t>2026-10-12</t>
        </is>
      </c>
      <c r="O163" s="17" t="inlineStr">
        <is>
          <t>Pelaksana QA otomatis</t>
        </is>
      </c>
      <c r="P163" s="45" t="inlineStr">
        <is>
          <t>Lulus</t>
        </is>
      </c>
      <c r="Q163" s="17" t="n"/>
      <c r="R163" s="17" t="inlineStr">
        <is>
          <t>Form baru diisi (Production Line "Line 1", 15 kolom, 1 baris grid) lalu disimpan: galat validasi yang muncul=0; layar berpindah dari form=true; pesan berhasil terbaca=true; status record di Data Browser="Tersimpan" (baris ke-1) (harus Tersimpan, bukan Draft)=true.</t>
        </is>
      </c>
    </row>
    <row r="164" ht="149.2" customHeight="1">
      <c r="A164" s="18" t="n">
        <v>160</v>
      </c>
      <c r="B164" s="19" t="n">
        <v>2</v>
      </c>
      <c r="C164" s="20" t="inlineStr">
        <is>
          <t>WB-FRM-01 / Storage Tank</t>
        </is>
      </c>
      <c r="D164" s="20" t="inlineStr">
        <is>
          <t>WB-FRM-01</t>
        </is>
      </c>
      <c r="E164" s="21" t="inlineStr">
        <is>
          <t>Storage Tank</t>
        </is>
      </c>
      <c r="F164" s="22" t="inlineStr">
        <is>
          <t>Web — Data Stasiun (WB-)</t>
        </is>
      </c>
      <c r="G164" s="21" t="inlineStr">
        <is>
          <t>Simpan berhasil, status langsung Tersimpan</t>
        </is>
      </c>
      <c r="H164" s="22" t="inlineStr">
        <is>
          <t>SPV-A</t>
        </is>
      </c>
      <c r="I164" s="22" t="inlineStr">
        <is>
          <t>periode Terbuka</t>
        </is>
      </c>
      <c r="J164"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64" s="22" t="inlineStr">
        <is>
          <t>- Simpan berhasil, dengan pesan konfirmasi.
- Status record langsung Tersimpan — bukan Draft, karena input web tidak punya alur draft.
- Record muncul di Data Browser tanpa perlu muat ulang manual.</t>
        </is>
      </c>
      <c r="L164" s="16" t="inlineStr">
        <is>
          <t>Tinggi</t>
        </is>
      </c>
      <c r="M164" s="22" t="inlineStr"/>
      <c r="N164" s="17" t="inlineStr">
        <is>
          <t>2026-10-12</t>
        </is>
      </c>
      <c r="O164" s="17" t="inlineStr">
        <is>
          <t>Pelaksana QA otomatis</t>
        </is>
      </c>
      <c r="P164" s="45" t="inlineStr">
        <is>
          <t>Lulus</t>
        </is>
      </c>
      <c r="Q164" s="17" t="n"/>
      <c r="R164" s="17" t="inlineStr">
        <is>
          <t>Form baru diisi (Production Line "Line 1", 18 kolom, 1 baris grid) lalu disimpan: galat validasi yang muncul=0; layar berpindah dari form=true; pesan berhasil terbaca=true; status record di Data Browser="Tersimpan" (baris ke-1) (harus Tersimpan, bukan Draft)=true.</t>
        </is>
      </c>
    </row>
    <row r="165" ht="162.4" customHeight="1">
      <c r="A165" s="18" t="n">
        <v>161</v>
      </c>
      <c r="B165" s="19" t="n">
        <v>2</v>
      </c>
      <c r="C165" s="20" t="inlineStr">
        <is>
          <t>WB-FRM-01 / Solid Waste Disposal</t>
        </is>
      </c>
      <c r="D165" s="20" t="inlineStr">
        <is>
          <t>WB-FRM-01</t>
        </is>
      </c>
      <c r="E165" s="21" t="inlineStr">
        <is>
          <t>Solid Waste Disposal</t>
        </is>
      </c>
      <c r="F165" s="22" t="inlineStr">
        <is>
          <t>Web — Data Stasiun (WB-)</t>
        </is>
      </c>
      <c r="G165" s="21" t="inlineStr">
        <is>
          <t>Simpan berhasil, status langsung Tersimpan</t>
        </is>
      </c>
      <c r="H165" s="22" t="inlineStr">
        <is>
          <t>SPV-A</t>
        </is>
      </c>
      <c r="I165" s="22" t="inlineStr">
        <is>
          <t>periode Terbuka</t>
        </is>
      </c>
      <c r="J165"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65" s="22" t="inlineStr">
        <is>
          <t>- Simpan berhasil, dengan pesan konfirmasi.
- Status record langsung Tersimpan — bukan Draft, karena input web tidak punya alur draft.
- Record muncul di Data Browser tanpa perlu muat ulang manual.</t>
        </is>
      </c>
      <c r="L165" s="16" t="inlineStr">
        <is>
          <t>Tinggi</t>
        </is>
      </c>
      <c r="M165" s="22" t="inlineStr"/>
      <c r="N165" s="17" t="inlineStr">
        <is>
          <t>2026-10-12</t>
        </is>
      </c>
      <c r="O165" s="17" t="inlineStr">
        <is>
          <t>Pelaksana QA otomatis</t>
        </is>
      </c>
      <c r="P165" s="45" t="inlineStr">
        <is>
          <t>Lulus</t>
        </is>
      </c>
      <c r="Q165" s="17" t="n"/>
      <c r="R165" s="17" t="inlineStr">
        <is>
          <t>Form baru diisi (Production Line "Line 1", 6 kolom, 1 baris grid) lalu disimpan: galat validasi yang muncul=0; layar berpindah dari form=true; pesan berhasil terbaca=true; status record di Data Browser="Tersimpan" (baris ke-1) (harus Tersimpan, bukan Draft)=true.</t>
        </is>
      </c>
    </row>
    <row r="166" ht="149.2" customHeight="1">
      <c r="A166" s="18" t="n">
        <v>162</v>
      </c>
      <c r="B166" s="19" t="n">
        <v>2</v>
      </c>
      <c r="C166" s="20" t="inlineStr">
        <is>
          <t>WB-FRM-01 / Kernel Dispatch</t>
        </is>
      </c>
      <c r="D166" s="20" t="inlineStr">
        <is>
          <t>WB-FRM-01</t>
        </is>
      </c>
      <c r="E166" s="21" t="inlineStr">
        <is>
          <t>Kernel Dispatch</t>
        </is>
      </c>
      <c r="F166" s="22" t="inlineStr">
        <is>
          <t>Web — Data Stasiun (WB-)</t>
        </is>
      </c>
      <c r="G166" s="21" t="inlineStr">
        <is>
          <t>Simpan berhasil, status langsung Tersimpan</t>
        </is>
      </c>
      <c r="H166" s="22" t="inlineStr">
        <is>
          <t>SPV-A</t>
        </is>
      </c>
      <c r="I166" s="22" t="inlineStr">
        <is>
          <t>periode Terbuka</t>
        </is>
      </c>
      <c r="J166"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66" s="22" t="inlineStr">
        <is>
          <t>- Simpan berhasil, dengan pesan konfirmasi.
- Status record langsung Tersimpan — bukan Draft, karena input web tidak punya alur draft.
- Record muncul di Data Browser tanpa perlu muat ulang manual.</t>
        </is>
      </c>
      <c r="L166" s="16" t="inlineStr">
        <is>
          <t>Tinggi</t>
        </is>
      </c>
      <c r="M166" s="22" t="inlineStr"/>
      <c r="N166" s="17" t="inlineStr">
        <is>
          <t>2026-10-12</t>
        </is>
      </c>
      <c r="O166" s="17" t="inlineStr">
        <is>
          <t>Pelaksana QA otomatis</t>
        </is>
      </c>
      <c r="P166" s="45" t="inlineStr">
        <is>
          <t>Lulus</t>
        </is>
      </c>
      <c r="Q166" s="17" t="n"/>
      <c r="R166" s="17" t="inlineStr">
        <is>
          <t>Form baru diisi (Production Line "Line 1", 6 kolom, 1 baris grid) lalu disimpan: galat validasi yang muncul=0; layar berpindah dari form=true; pesan berhasil terbaca=true; status record di Data Browser="Tersimpan" (baris ke-1) (harus Tersimpan, bukan Draft)=true.</t>
        </is>
      </c>
    </row>
    <row r="167" ht="149.2" customHeight="1">
      <c r="A167" s="18" t="n">
        <v>163</v>
      </c>
      <c r="B167" s="19" t="n">
        <v>2</v>
      </c>
      <c r="C167" s="20" t="inlineStr">
        <is>
          <t>WB-FRM-01 / CPO Dispatch</t>
        </is>
      </c>
      <c r="D167" s="20" t="inlineStr">
        <is>
          <t>WB-FRM-01</t>
        </is>
      </c>
      <c r="E167" s="21" t="inlineStr">
        <is>
          <t>CPO Dispatch</t>
        </is>
      </c>
      <c r="F167" s="22" t="inlineStr">
        <is>
          <t>Web — Data Stasiun (WB-)</t>
        </is>
      </c>
      <c r="G167" s="21" t="inlineStr">
        <is>
          <t>Simpan berhasil, status langsung Tersimpan</t>
        </is>
      </c>
      <c r="H167" s="22" t="inlineStr">
        <is>
          <t>SPV-A</t>
        </is>
      </c>
      <c r="I167" s="22" t="inlineStr">
        <is>
          <t>periode Terbuka</t>
        </is>
      </c>
      <c r="J167"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67" s="22" t="inlineStr">
        <is>
          <t>- Simpan berhasil, dengan pesan konfirmasi.
- Status record langsung Tersimpan — bukan Draft, karena input web tidak punya alur draft.
- Record muncul di Data Browser tanpa perlu muat ulang manual.</t>
        </is>
      </c>
      <c r="L167" s="16" t="inlineStr">
        <is>
          <t>Tinggi</t>
        </is>
      </c>
      <c r="M167" s="22" t="inlineStr"/>
      <c r="N167" s="17" t="inlineStr">
        <is>
          <t>2026-10-12</t>
        </is>
      </c>
      <c r="O167" s="17" t="inlineStr">
        <is>
          <t>Pelaksana QA otomatis</t>
        </is>
      </c>
      <c r="P167" s="45" t="inlineStr">
        <is>
          <t>Lulus</t>
        </is>
      </c>
      <c r="Q167" s="17" t="n"/>
      <c r="R167" s="17" t="inlineStr">
        <is>
          <t>Form baru diisi (Production Line "Line 1", 8 kolom, 1 baris grid) lalu disimpan: galat validasi yang muncul=0; layar berpindah dari form=true; pesan berhasil terbaca=true; status record di Data Browser="Tersimpan" (baris ke-1) (harus Tersimpan, bukan Draft)=true.</t>
        </is>
      </c>
    </row>
    <row r="168" ht="162.4" customHeight="1">
      <c r="A168" s="18" t="n">
        <v>164</v>
      </c>
      <c r="B168" s="19" t="n">
        <v>2</v>
      </c>
      <c r="C168" s="20" t="inlineStr">
        <is>
          <t>WB-FRM-01 / Process Quality Control</t>
        </is>
      </c>
      <c r="D168" s="20" t="inlineStr">
        <is>
          <t>WB-FRM-01</t>
        </is>
      </c>
      <c r="E168" s="21" t="inlineStr">
        <is>
          <t>Process Quality Control</t>
        </is>
      </c>
      <c r="F168" s="22" t="inlineStr">
        <is>
          <t>Web — Data Stasiun (WB-)</t>
        </is>
      </c>
      <c r="G168" s="21" t="inlineStr">
        <is>
          <t>Simpan berhasil, status langsung Tersimpan</t>
        </is>
      </c>
      <c r="H168" s="22" t="inlineStr">
        <is>
          <t>SPV-A</t>
        </is>
      </c>
      <c r="I168" s="22" t="inlineStr">
        <is>
          <t>periode Terbuka</t>
        </is>
      </c>
      <c r="J168"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8" s="22" t="inlineStr">
        <is>
          <t>- Simpan berhasil, dengan pesan konfirmasi.
- Status record langsung Tersimpan — bukan Draft, karena input web tidak punya alur draft.
- Record muncul di Data Browser tanpa perlu muat ulang manual.</t>
        </is>
      </c>
      <c r="L168" s="16" t="inlineStr">
        <is>
          <t>Tinggi</t>
        </is>
      </c>
      <c r="M168" s="22" t="inlineStr"/>
      <c r="N168" s="17" t="inlineStr">
        <is>
          <t>2026-10-12</t>
        </is>
      </c>
      <c r="O168" s="17" t="inlineStr">
        <is>
          <t>Pelaksana QA otomatis</t>
        </is>
      </c>
      <c r="P168" s="45" t="inlineStr">
        <is>
          <t>Lulus</t>
        </is>
      </c>
      <c r="Q168" s="17" t="n"/>
      <c r="R168" s="17" t="inlineStr">
        <is>
          <t>Form baru diisi (Production Line "Line 1", 18 kolom, 1 baris grid) lalu disimpan: galat validasi yang muncul=0; layar berpindah dari form=true; pesan berhasil terbaca=true; status record di Data Browser="Tersimpan" (baris ke-1) (harus Tersimpan, bukan Draft)=true.</t>
        </is>
      </c>
    </row>
    <row r="169" ht="122.8" customHeight="1">
      <c r="A169" s="11" t="n">
        <v>165</v>
      </c>
      <c r="B169" s="12" t="n">
        <v>1</v>
      </c>
      <c r="C169" s="13" t="inlineStr">
        <is>
          <t>WB-FRM-02 / Depricarping</t>
        </is>
      </c>
      <c r="D169" s="13" t="inlineStr">
        <is>
          <t>WB-FRM-02</t>
        </is>
      </c>
      <c r="E169" s="15" t="inlineStr">
        <is>
          <t>Depricarping</t>
        </is>
      </c>
      <c r="F169" s="14" t="inlineStr">
        <is>
          <t>Web — Data Stasiun (WB-)</t>
        </is>
      </c>
      <c r="G169" s="15" t="inlineStr">
        <is>
          <t>Production Line wajib pada mode tambah, terkunci pada mode ubah</t>
        </is>
      </c>
      <c r="H169" s="14" t="inlineStr">
        <is>
          <t>SPV-A</t>
        </is>
      </c>
      <c r="I169" s="14" t="inlineStr">
        <is>
          <t>—</t>
        </is>
      </c>
      <c r="J16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9" s="14" t="inlineStr">
        <is>
          <t>- Langkah 2: ditolak, dengan pesan yang menunjuk kolom Production Line.
- Langkah 3: berhasil.
- Langkah 5: Production Line tidak dapat diubah — ia dipaku saat record dibuat, dan ada keterangan yang menyebutkannya.</t>
        </is>
      </c>
      <c r="L169" s="16" t="inlineStr">
        <is>
          <t>Tinggi</t>
        </is>
      </c>
      <c r="M169" s="14" t="inlineStr"/>
      <c r="N169" s="17" t="inlineStr">
        <is>
          <t>2026-10-12</t>
        </is>
      </c>
      <c r="O169" s="17" t="inlineStr">
        <is>
          <t>Pelaksana QA otomatis</t>
        </is>
      </c>
      <c r="P169" s="45" t="inlineStr">
        <is>
          <t>Lulus</t>
        </is>
      </c>
      <c r="Q169" s="17" t="n"/>
      <c r="R169" s="17" t="inlineStr">
        <is>
          <t>tanpa Production Line, simpan ditolak dengan pesan yang menunjuk kolom itu=true ("Production Line yang dipilih belum memiliki station Depricarping yang aktif."); sesudah Production Line "Line 1" dipilih, simpan berhasil=true; pada mode ubah Production Line tidak dapat diubah=true; ada keterangan yang menyebutkan penguncian itu=false.</t>
        </is>
      </c>
    </row>
    <row r="170" ht="215.2" customHeight="1">
      <c r="A170" s="11" t="n">
        <v>166</v>
      </c>
      <c r="B170" s="12" t="n">
        <v>1</v>
      </c>
      <c r="C170" s="13" t="inlineStr">
        <is>
          <t>WB-FRM-03 / Depricarping</t>
        </is>
      </c>
      <c r="D170" s="13" t="inlineStr">
        <is>
          <t>WB-FRM-03</t>
        </is>
      </c>
      <c r="E170" s="15" t="inlineStr">
        <is>
          <t>Depricarping</t>
        </is>
      </c>
      <c r="F170" s="14" t="inlineStr">
        <is>
          <t>Web — Data Stasiun (WB-)</t>
        </is>
      </c>
      <c r="G170" s="15" t="inlineStr">
        <is>
          <t>Kolom wajib dan tanggal divalidasi</t>
        </is>
      </c>
      <c r="H170" s="14" t="inlineStr">
        <is>
          <t>SPV-A</t>
        </is>
      </c>
      <c r="I170" s="14" t="inlineStr">
        <is>
          <t>—</t>
        </is>
      </c>
      <c r="J170"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170"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170" s="16" t="inlineStr">
        <is>
          <t>Tinggi</t>
        </is>
      </c>
      <c r="M170" s="14" t="inlineStr"/>
      <c r="N170" s="17" t="inlineStr">
        <is>
          <t>2026-10-12</t>
        </is>
      </c>
      <c r="O170" s="17" t="inlineStr">
        <is>
          <t>Pelaksana QA otomatis</t>
        </is>
      </c>
      <c r="P170" s="45" t="inlineStr">
        <is>
          <t>Lulus</t>
        </is>
      </c>
      <c r="Q170" s="17" t="n"/>
      <c r="R170" s="17" t="inlineStr">
        <is>
          <t>identitas dikosongkan → galat di sebelah kolomnya="Depricarping ID wajib diisi."; isi kolom Tanggal tidak hilang=true | Tanggal dikosongkan → galat di sebelah kolomnya="Tanggal wajib diisi." | Tanggal di luar periode terbuka (15/07/2026, di masa lalu) → ditolak dengan pesan yang menyebut periode=true ("Tanggal 15/07/2026 berada di luar periode yang terbuka untuk stasiun ini. Periode yang menerima data saat ini: "QA Tanpa Downtime"") | Langkah "isi Tanggal dengan teks bukan tanggal" tidak dapat dijalankan: kolomnya bertipe date, sehingga browser sendiri menolak karakter yang bukan tanggal sebelum form dikirim.</t>
        </is>
      </c>
    </row>
    <row r="171" ht="334" customHeight="1">
      <c r="A171" s="11" t="n">
        <v>167</v>
      </c>
      <c r="B171" s="12" t="n">
        <v>1</v>
      </c>
      <c r="C171" s="13" t="inlineStr">
        <is>
          <t>WB-FRM-04 / Depricarping</t>
        </is>
      </c>
      <c r="D171" s="13" t="inlineStr">
        <is>
          <t>WB-FRM-04</t>
        </is>
      </c>
      <c r="E171" s="15" t="inlineStr">
        <is>
          <t>Depricarping</t>
        </is>
      </c>
      <c r="F171" s="14" t="inlineStr">
        <is>
          <t>Web — Data Stasiun (WB-)</t>
        </is>
      </c>
      <c r="G171" s="15" t="inlineStr">
        <is>
          <t>Aturan slot waktu sama seperti mobile</t>
        </is>
      </c>
      <c r="H171" s="14" t="inlineStr">
        <is>
          <t>SPV-A</t>
        </is>
      </c>
      <c r="I171" s="14" t="inlineStr">
        <is>
          <t>—</t>
        </is>
      </c>
      <c r="J171"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171"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171" s="16" t="inlineStr">
        <is>
          <t>Tinggi</t>
        </is>
      </c>
      <c r="M171"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71" s="17" t="inlineStr">
        <is>
          <t>2026-10-12</t>
        </is>
      </c>
      <c r="O171" s="17" t="inlineStr">
        <is>
          <t>Pelaksana QA otomatis</t>
        </is>
      </c>
      <c r="P171" s="45" t="inlineStr">
        <is>
          <t>Lulus</t>
        </is>
      </c>
      <c r="Q171" s="17" t="n"/>
      <c r="R171" s="17" t="inlineStr">
        <is>
          <t>baris pertama menawarkan 24 pilihan slot (harus 24), mulai "07:00" dan berakhir "06:00" — urutan 07:00 → 06:00 benar=true. Baris pertama memakai "07:00"; baris kedua menawarkan 23 pilihan: slot yang sudah dipakai sudah hilang dari daftar=true; seluruh slot yang lebih awal juga hilang=true; setiap pilihan yang tersisa lebih besar dari slot baris sebelumnya=true. Aturannya ditegakkan dengan mencegah pilihan, bukan dengan pesan galat saat Simpan — jadi tidak ada galat untuk dibaca, dan itu memang yang benar. Dibandingkan dengan mobile pada MB-FORM-03 dan MB-FORM-04.</t>
        </is>
      </c>
    </row>
    <row r="172" ht="334" customHeight="1">
      <c r="A172" s="11" t="n">
        <v>168</v>
      </c>
      <c r="B172" s="12" t="n">
        <v>1</v>
      </c>
      <c r="C172" s="13" t="inlineStr">
        <is>
          <t>WB-FRM-05 / Depricarping</t>
        </is>
      </c>
      <c r="D172" s="13" t="inlineStr">
        <is>
          <t>WB-FRM-05</t>
        </is>
      </c>
      <c r="E172" s="15" t="inlineStr">
        <is>
          <t>Depricarping</t>
        </is>
      </c>
      <c r="F172" s="14" t="inlineStr">
        <is>
          <t>Web — Data Stasiun (WB-)</t>
        </is>
      </c>
      <c r="G172" s="15" t="inlineStr">
        <is>
          <t>Melebihi 24 baris ditolak</t>
        </is>
      </c>
      <c r="H172" s="14" t="inlineStr">
        <is>
          <t>SPV-A</t>
        </is>
      </c>
      <c r="I172" s="14" t="inlineStr">
        <is>
          <t>—</t>
        </is>
      </c>
      <c r="J172" s="14" t="inlineStr">
        <is>
          <t>1. Login di web, buka /data/depricarping (Depricarping), lalu tekan Tambah (/data/depricarping/create) (lewati ketujuh stasiun di luar daftar itu).
2. Isi header dengan benar.
3. Tambah baris terus-menerus sampai mencapai 24 baris.
4. Coba tambah baris ke-25.</t>
        </is>
      </c>
      <c r="K172" s="14" t="inlineStr">
        <is>
          <t>- Pada 24 baris, tombol tambah baris tidak lagi bisa dipakai, atau penambahan ditolak dengan pesan.
- Pesannya menyebut batas 24 slot.
- Simpan pada 24 baris tetap berhasil.</t>
        </is>
      </c>
      <c r="L172" s="11" t="inlineStr">
        <is>
          <t>Sedang</t>
        </is>
      </c>
      <c r="M172"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172" s="17" t="inlineStr">
        <is>
          <t>2026-10-12</t>
        </is>
      </c>
      <c r="O172" s="17" t="inlineStr">
        <is>
          <t>Pelaksana QA otomatis</t>
        </is>
      </c>
      <c r="P172" s="45" t="inlineStr">
        <is>
          <t>Lulus</t>
        </is>
      </c>
      <c r="Q172" s="17" t="n"/>
      <c r="R172" s="17" t="inlineStr">
        <is>
          <t>baris ditambah sampai 24 (batasnya 24); pada 24 baris tombol tambah baris masih dapat dipakai=false; jumlah baris akhir=24 (tidak melewati 24=true).</t>
        </is>
      </c>
    </row>
    <row r="173" ht="96.39999999999999" customHeight="1">
      <c r="A173" s="11" t="n">
        <v>169</v>
      </c>
      <c r="B173" s="12" t="n">
        <v>1</v>
      </c>
      <c r="C173" s="13" t="inlineStr">
        <is>
          <t>WB-FRM-06 / Depricarping</t>
        </is>
      </c>
      <c r="D173" s="13" t="inlineStr">
        <is>
          <t>WB-FRM-06</t>
        </is>
      </c>
      <c r="E173" s="15" t="inlineStr">
        <is>
          <t>Depricarping</t>
        </is>
      </c>
      <c r="F173" s="14" t="inlineStr">
        <is>
          <t>Web — Data Stasiun (WB-)</t>
        </is>
      </c>
      <c r="G173" s="15" t="inlineStr">
        <is>
          <t>Minimal satu baris terisi</t>
        </is>
      </c>
      <c r="H173" s="14" t="inlineStr">
        <is>
          <t>SPV-A</t>
        </is>
      </c>
      <c r="I173" s="14" t="inlineStr">
        <is>
          <t>—</t>
        </is>
      </c>
      <c r="J173" s="14" t="inlineStr">
        <is>
          <t>1. Login di web, buka /data/depricarping (Depricarping), lalu tekan Tambah (/data/depricarping/create).
2. Isi header dengan benar.
3. Tambah satu baris, pilih slot waktu, tapi jangan isi satu pun kolom bacaan.
4. Tekan Simpan.</t>
        </is>
      </c>
      <c r="K173" s="14" t="inlineStr">
        <is>
          <t>- Ditolak — record tidak tersimpan.
- Pesannya menyebut bahwa minimal satu baris harus punya slot waktu dan minimal satu kolom bacaan terisi.
- Perilakunya sama dengan MB-FORM-05 di mobile.</t>
        </is>
      </c>
      <c r="L173" s="16" t="inlineStr">
        <is>
          <t>Tinggi</t>
        </is>
      </c>
      <c r="M173" s="14" t="inlineStr"/>
      <c r="N173" s="17" t="inlineStr">
        <is>
          <t>2026-10-12</t>
        </is>
      </c>
      <c r="O173" s="17" t="inlineStr">
        <is>
          <t>Pelaksana QA otomatis</t>
        </is>
      </c>
      <c r="P173" s="45" t="inlineStr">
        <is>
          <t>Lulus</t>
        </is>
      </c>
      <c r="Q173" s="17" t="n"/>
      <c r="R173" s="17" t="inlineStr">
        <is>
          <t>satu baris dengan slot waktu tetapi seluruh 9 kolom bacaannya dikosongkan: ditolak=true; pesannya menyebut syarat slot DAN minimal satu kolom bacaan=true ("Minimal satu baris Depricarping Detail (Time-Slot terpilih + minimal 1 kolom bacaan terisi) harus diisi."); record tidak tersimpan — layar masih di form=true. Perilakunya dibandingkan dengan MB-FORM-05 di mobile.</t>
        </is>
      </c>
    </row>
    <row r="174" ht="109.6" customHeight="1">
      <c r="A174" s="11" t="n">
        <v>170</v>
      </c>
      <c r="B174" s="12" t="n">
        <v>1</v>
      </c>
      <c r="C174" s="13" t="inlineStr">
        <is>
          <t>WB-FRM-07 / Depricarping</t>
        </is>
      </c>
      <c r="D174" s="13" t="inlineStr">
        <is>
          <t>WB-FRM-07</t>
        </is>
      </c>
      <c r="E174" s="15" t="inlineStr">
        <is>
          <t>Depricarping</t>
        </is>
      </c>
      <c r="F174" s="14" t="inlineStr">
        <is>
          <t>Web — Data Stasiun (WB-)</t>
        </is>
      </c>
      <c r="G174" s="15" t="inlineStr">
        <is>
          <t>Line tanpa stasiun aktif ditolak</t>
        </is>
      </c>
      <c r="H174" s="14" t="inlineStr">
        <is>
          <t>SPV-A</t>
        </is>
      </c>
      <c r="I174" s="14" t="inlineStr">
        <is>
          <t>—</t>
        </is>
      </c>
      <c r="J174"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74" s="14" t="inlineStr">
        <is>
          <t>- Ditolak dengan pesan yang menyebut bahwa Production Line itu tidak punya stasiun jenis ini yang aktif.
- BUKAN pesan galat teknis.
- Isi form tidak hilang.</t>
        </is>
      </c>
      <c r="L174" s="16" t="inlineStr">
        <is>
          <t>Tinggi</t>
        </is>
      </c>
      <c r="M174" s="14" t="inlineStr"/>
      <c r="N174" s="17" t="inlineStr">
        <is>
          <t>2026-10-12</t>
        </is>
      </c>
      <c r="O174" s="17" t="inlineStr">
        <is>
          <t>Pelaksana QA otomatis</t>
        </is>
      </c>
      <c r="P174" s="45" t="inlineStr">
        <is>
          <t>Lulus</t>
        </is>
      </c>
      <c r="Q174" s="17" t="n"/>
      <c r="R174" s="17" t="inlineStr">
        <is>
          <t>Production Line "QA Line Tanpa Stasiun" (tanpa stasiun Depricarping aktif) dipilih: ditolak dengan pesan yang menyebut hal itu=true ("Production Line yang dipilih belum memiliki station Depricarping yang aktif."); galat teknis=false (harus false); isi form tidak hilang=true.</t>
        </is>
      </c>
    </row>
    <row r="175" ht="188.8" customHeight="1">
      <c r="A175" s="11" t="n">
        <v>171</v>
      </c>
      <c r="B175" s="12" t="n">
        <v>1</v>
      </c>
      <c r="C175" s="13" t="inlineStr">
        <is>
          <t>WB-FRM-08 / Depricarping</t>
        </is>
      </c>
      <c r="D175" s="13" t="inlineStr">
        <is>
          <t>WB-FRM-08</t>
        </is>
      </c>
      <c r="E175" s="15" t="inlineStr">
        <is>
          <t>Depricarping</t>
        </is>
      </c>
      <c r="F175" s="14" t="inlineStr">
        <is>
          <t>Web — Data Stasiun (WB-)</t>
        </is>
      </c>
      <c r="G175" s="15" t="inlineStr">
        <is>
          <t>Pembatasan peran pada verifikasi</t>
        </is>
      </c>
      <c r="H175" s="14" t="inlineStr">
        <is>
          <t>SPV-A, MGR-A, ADM</t>
        </is>
      </c>
      <c r="I175" s="14" t="inlineStr">
        <is>
          <t>—</t>
        </is>
      </c>
      <c r="J175"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75"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175" s="16" t="inlineStr">
        <is>
          <t>Tinggi</t>
        </is>
      </c>
      <c r="M175" s="14" t="inlineStr"/>
      <c r="N175" s="17" t="inlineStr">
        <is>
          <t>2026-10-12</t>
        </is>
      </c>
      <c r="O175" s="17" t="inlineStr">
        <is>
          <t>Pelaksana QA otomatis</t>
        </is>
      </c>
      <c r="P175" s="45" t="inlineStr">
        <is>
          <t>Lulus</t>
        </is>
      </c>
      <c r="Q175" s="17" t="n"/>
      <c r="R175" s="17" t="inlineStr">
        <is>
          <t>supervisor01: Checked dapat diisi=true (harus bisa), Acknowledged tidak dirender (harus tidak) | millmanagement-a: Checked tidak dirender (harus tidak), Acknowledged dapat diisi=true (harus bisa) | admin: Checked tidak dirender (harus tidak), Acknowledged tidak dirender (harus tidak). Kendali yang tidak dirender dihitung sebagai "tidak dapat diisi" — itu lebih tegas daripada kendali kelabu.</t>
        </is>
      </c>
    </row>
    <row r="176" ht="122.8" customHeight="1">
      <c r="A176" s="11" t="n">
        <v>172</v>
      </c>
      <c r="B176" s="12" t="n">
        <v>1</v>
      </c>
      <c r="C176" s="13" t="inlineStr">
        <is>
          <t>WB-FRM-09 / Depricarping</t>
        </is>
      </c>
      <c r="D176" s="13" t="inlineStr">
        <is>
          <t>WB-FRM-09</t>
        </is>
      </c>
      <c r="E176" s="15" t="inlineStr">
        <is>
          <t>Depricarping</t>
        </is>
      </c>
      <c r="F176" s="14" t="inlineStr">
        <is>
          <t>Web — Data Stasiun (WB-)</t>
        </is>
      </c>
      <c r="G176" s="15" t="inlineStr">
        <is>
          <t>Batal tidak menyimpan apa pun</t>
        </is>
      </c>
      <c r="H176" s="14" t="inlineStr">
        <is>
          <t>SPV-A</t>
        </is>
      </c>
      <c r="I176" s="14" t="inlineStr">
        <is>
          <t>—</t>
        </is>
      </c>
      <c r="J176"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76" s="14" t="inlineStr">
        <is>
          <t>- Kembali ke layar sebelumnya.
- Seluruh nilai record tidak berubah — tidak satu pun suntingan tersimpan.
- Bila ada dialog konfirmasi saat Batal, isinya menyebut bahwa perubahan akan dibuang.</t>
        </is>
      </c>
      <c r="L176" s="11" t="inlineStr">
        <is>
          <t>Sedang</t>
        </is>
      </c>
      <c r="M176" s="14" t="inlineStr"/>
      <c r="N176" s="17" t="inlineStr">
        <is>
          <t>2026-10-12</t>
        </is>
      </c>
      <c r="O176" s="17" t="inlineStr">
        <is>
          <t>Pelaksana QA otomatis</t>
        </is>
      </c>
      <c r="P176" s="45" t="inlineStr">
        <is>
          <t>Lulus</t>
        </is>
      </c>
      <c r="Q176" s="17" t="n"/>
      <c r="R176" s="17" t="inlineStr">
        <is>
          <t>identitas diubah menjadi "QA-BATAL-744100" dan catatan diisi, lalu Batal ditekan: layar kembali ke /data/depricarping/a2f5bbd2-b869-496f-b713-7afbf5187e2e; identitas di Detail sebelum="QA0176500" dan sesudah="QA0176500" (tidak berubah=true); catatan uji tidak tersimpan=true.</t>
        </is>
      </c>
    </row>
    <row r="177" ht="136" customHeight="1">
      <c r="A177" s="11" t="n">
        <v>173</v>
      </c>
      <c r="B177" s="12" t="n">
        <v>1</v>
      </c>
      <c r="C177" s="13" t="inlineStr">
        <is>
          <t>WB-FRM-10 / Depricarping</t>
        </is>
      </c>
      <c r="D177" s="13" t="inlineStr">
        <is>
          <t>WB-FRM-10</t>
        </is>
      </c>
      <c r="E177" s="15" t="inlineStr">
        <is>
          <t>Depricarping</t>
        </is>
      </c>
      <c r="F177" s="14" t="inlineStr">
        <is>
          <t>Web — Data Stasiun (WB-)</t>
        </is>
      </c>
      <c r="G177" s="15" t="inlineStr">
        <is>
          <t>Ubah record berhasil dan terlihat di Detail</t>
        </is>
      </c>
      <c r="H177" s="14" t="inlineStr">
        <is>
          <t>SPV-A</t>
        </is>
      </c>
      <c r="I177" s="14" t="inlineStr">
        <is>
          <t>—</t>
        </is>
      </c>
      <c r="J177"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77" s="14" t="inlineStr">
        <is>
          <t>- Simpan berhasil.
- Ketiga perubahan terlihat di Detail.
- Baris di Data Browser juga menunjukkan identitas yang baru.</t>
        </is>
      </c>
      <c r="L177" s="16" t="inlineStr">
        <is>
          <t>Tinggi</t>
        </is>
      </c>
      <c r="M177" s="14" t="inlineStr"/>
      <c r="N177" s="17" t="inlineStr">
        <is>
          <t>2026-10-12</t>
        </is>
      </c>
      <c r="O177" s="17" t="inlineStr">
        <is>
          <t>Pelaksana QA otomatis</t>
        </is>
      </c>
      <c r="P177" s="45" t="inlineStr">
        <is>
          <t>Lulus</t>
        </is>
      </c>
      <c r="Q177" s="17" t="n"/>
      <c r="R177" s="17" t="inlineStr">
        <is>
          <t>identitas → "QA-UBAH-744100", catatan → "Catatan uji QA 744100", satu nilai grid → "77": simpan tanpa galat=true; di Detail terlihat identitas=true, catatan=true, nilai grid=true; baris di Data Browser menunjukkan identitas baru=true.</t>
        </is>
      </c>
    </row>
    <row r="178" ht="136" customHeight="1">
      <c r="A178" s="11" t="n">
        <v>174</v>
      </c>
      <c r="B178" s="12" t="n">
        <v>1</v>
      </c>
      <c r="C178" s="13" t="inlineStr">
        <is>
          <t>WB-FRM-11 / Depricarping</t>
        </is>
      </c>
      <c r="D178" s="13" t="inlineStr">
        <is>
          <t>WB-FRM-11</t>
        </is>
      </c>
      <c r="E178" s="15" t="inlineStr">
        <is>
          <t>Depricarping</t>
        </is>
      </c>
      <c r="F178" s="14" t="inlineStr">
        <is>
          <t>Web — Data Stasiun (WB-)</t>
        </is>
      </c>
      <c r="G178" s="15" t="inlineStr">
        <is>
          <t>Hapus baris mengurangi "Jumlah Baris Terisi"</t>
        </is>
      </c>
      <c r="H178" s="14" t="inlineStr">
        <is>
          <t>SPV-A</t>
        </is>
      </c>
      <c r="I178" s="14" t="inlineStr">
        <is>
          <t>record dengan 3 baris terisi</t>
        </is>
      </c>
      <c r="J178"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8" s="14" t="inlineStr">
        <is>
          <t>- Angkanya turun dari 3 menjadi 2 — penyebutnya tetap 24.
- Detail record juga hanya menampilkan 2 baris.
- Baris yang dihapus tidak kembali setelah muat ulang.</t>
        </is>
      </c>
      <c r="L178" s="11" t="inlineStr">
        <is>
          <t>Sedang</t>
        </is>
      </c>
      <c r="M178" s="14" t="inlineStr"/>
      <c r="N178" s="17" t="inlineStr">
        <is>
          <t>2026-10-12</t>
        </is>
      </c>
      <c r="O178" s="17" t="inlineStr">
        <is>
          <t>Pelaksana QA otomatis</t>
        </is>
      </c>
      <c r="P178" s="45" t="inlineStr">
        <is>
          <t>Lulus</t>
        </is>
      </c>
      <c r="Q178" s="17" t="n"/>
      <c r="R178" s="17" t="inlineStr">
        <is>
          <t>record "QA-FRM02-744100" (1 baris ditambahkan lebih dulu agar prasyaratnya terbentuk): kolom Jumlah Baris Terisi sebelum="2 / 24", sesudah satu baris dihapus="1 / 24" — turun tepat satu=true, penyebutnya tetap 24=true; Detail record kini menampilkan 1 baris, cocok dengan angka barunya=true; baris yang dihapus tidak kembali sesudah layar dibuka ulang.</t>
        </is>
      </c>
    </row>
    <row r="179" ht="162.4" customHeight="1">
      <c r="A179" s="18" t="n">
        <v>175</v>
      </c>
      <c r="B179" s="19" t="n">
        <v>2</v>
      </c>
      <c r="C179" s="20" t="inlineStr">
        <is>
          <t>LP-W-01 / Weighbridge</t>
        </is>
      </c>
      <c r="D179" s="20" t="inlineStr">
        <is>
          <t>LP-W-01</t>
        </is>
      </c>
      <c r="E179" s="21" t="inlineStr">
        <is>
          <t>Weighbridge</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inlineStr">
        <is>
          <t>2026-10-12</t>
        </is>
      </c>
      <c r="O179" s="17" t="inlineStr">
        <is>
          <t>Pelaksana QA otomatis</t>
        </is>
      </c>
      <c r="P179" s="45" t="inlineStr">
        <is>
          <t>Lulus</t>
        </is>
      </c>
      <c r="Q179" s="17" t="n"/>
      <c r="R179"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0" ht="162.4" customHeight="1">
      <c r="A180" s="18" t="n">
        <v>176</v>
      </c>
      <c r="B180" s="19" t="n">
        <v>2</v>
      </c>
      <c r="C180" s="20" t="inlineStr">
        <is>
          <t>LP-W-01 / Grading</t>
        </is>
      </c>
      <c r="D180" s="20" t="inlineStr">
        <is>
          <t>LP-W-01</t>
        </is>
      </c>
      <c r="E180" s="21" t="inlineStr">
        <is>
          <t>Grading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inlineStr">
        <is>
          <t>2026-10-12</t>
        </is>
      </c>
      <c r="O180" s="17" t="inlineStr">
        <is>
          <t>Pelaksana QA otomatis</t>
        </is>
      </c>
      <c r="P180" s="45" t="inlineStr">
        <is>
          <t>Lulus</t>
        </is>
      </c>
      <c r="Q180" s="17" t="n"/>
      <c r="R180"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1" ht="162.4" customHeight="1">
      <c r="A181" s="18" t="n">
        <v>177</v>
      </c>
      <c r="B181" s="19" t="n">
        <v>2</v>
      </c>
      <c r="C181" s="20" t="inlineStr">
        <is>
          <t>LP-W-01 / Cages Track</t>
        </is>
      </c>
      <c r="D181" s="20" t="inlineStr">
        <is>
          <t>LP-W-01</t>
        </is>
      </c>
      <c r="E181" s="21" t="inlineStr">
        <is>
          <t>Cages Track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inlineStr">
        <is>
          <t>2026-10-12</t>
        </is>
      </c>
      <c r="O181" s="17" t="inlineStr">
        <is>
          <t>Pelaksana QA otomatis</t>
        </is>
      </c>
      <c r="P181" s="45" t="inlineStr">
        <is>
          <t>Lulus</t>
        </is>
      </c>
      <c r="Q181" s="17" t="n"/>
      <c r="R181"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82" ht="162.4" customHeight="1">
      <c r="A182" s="18" t="n">
        <v>178</v>
      </c>
      <c r="B182" s="19" t="n">
        <v>2</v>
      </c>
      <c r="C182" s="20" t="inlineStr">
        <is>
          <t>LP-W-01 / Sterilizer</t>
        </is>
      </c>
      <c r="D182" s="20" t="inlineStr">
        <is>
          <t>LP-W-01</t>
        </is>
      </c>
      <c r="E182" s="21" t="inlineStr">
        <is>
          <t>Sterilizer</t>
        </is>
      </c>
      <c r="F182" s="22" t="inlineStr">
        <is>
          <t>Laporan Periode Stasiun (LP-)</t>
        </is>
      </c>
      <c r="G182" s="21" t="inlineStr">
        <is>
          <t>Laporan tampil lengkap setelah periode dan line dipilih</t>
        </is>
      </c>
      <c r="H182" s="22" t="inlineStr">
        <is>
          <t>SPV-A</t>
        </is>
      </c>
      <c r="I182" s="22" t="inlineStr">
        <is>
          <t>periode dengan data terisi pada satu line</t>
        </is>
      </c>
      <c r="J182"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8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2" s="16" t="inlineStr">
        <is>
          <t>Tinggi</t>
        </is>
      </c>
      <c r="M182" s="22" t="inlineStr"/>
      <c r="N182" s="17" t="inlineStr">
        <is>
          <t>2026-10-12</t>
        </is>
      </c>
      <c r="O182" s="17" t="inlineStr">
        <is>
          <t>Pelaksana QA otomatis</t>
        </is>
      </c>
      <c r="P182" s="45" t="inlineStr">
        <is>
          <t>Lulus</t>
        </is>
      </c>
      <c r="Q182" s="17" t="n"/>
      <c r="R182" s="17" t="inlineStr">
        <is>
          <t>sebelum memilih apa pun: 0 angka di layar (harus 0); sesudah periode "Oktober 2026 · 01–31 Okt 2026 · Terbuka" dipilih saja: 0 angka; sesudah Production Line "Line 1" dipilih juga: bagian Cakupan/Kelengkapan ada=false (tidak setiap keluarga laporan punya bagian ini), kartu parameter ada=true, rekap harian ada=true, tombol ekspor ada=true; nama periode tercetak di layar=true; nama Production Line tercetak=true; galat teknis=false.</t>
        </is>
      </c>
    </row>
    <row r="183" ht="162.4" customHeight="1">
      <c r="A183" s="18" t="n">
        <v>179</v>
      </c>
      <c r="B183" s="19" t="n">
        <v>2</v>
      </c>
      <c r="C183" s="20" t="inlineStr">
        <is>
          <t>LP-W-01 / Threshing</t>
        </is>
      </c>
      <c r="D183" s="20" t="inlineStr">
        <is>
          <t>LP-W-01</t>
        </is>
      </c>
      <c r="E183" s="21" t="inlineStr">
        <is>
          <t>Threshing</t>
        </is>
      </c>
      <c r="F183" s="22" t="inlineStr">
        <is>
          <t>Laporan Periode Stasiun (LP-)</t>
        </is>
      </c>
      <c r="G183" s="21" t="inlineStr">
        <is>
          <t>Laporan tampil lengkap setelah periode dan line dipilih</t>
        </is>
      </c>
      <c r="H183" s="22" t="inlineStr">
        <is>
          <t>SPV-A</t>
        </is>
      </c>
      <c r="I183" s="22" t="inlineStr">
        <is>
          <t>periode dengan data terisi pada satu line</t>
        </is>
      </c>
      <c r="J183"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8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3" s="16" t="inlineStr">
        <is>
          <t>Tinggi</t>
        </is>
      </c>
      <c r="M183" s="22" t="inlineStr"/>
      <c r="N183" s="17" t="inlineStr">
        <is>
          <t>2026-10-12</t>
        </is>
      </c>
      <c r="O183" s="17" t="inlineStr">
        <is>
          <t>Pelaksana QA otomatis</t>
        </is>
      </c>
      <c r="P183" s="45" t="inlineStr">
        <is>
          <t>Lulus</t>
        </is>
      </c>
      <c r="Q183" s="17" t="n"/>
      <c r="R183"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4" ht="162.4" customHeight="1">
      <c r="A184" s="18" t="n">
        <v>180</v>
      </c>
      <c r="B184" s="19" t="n">
        <v>2</v>
      </c>
      <c r="C184" s="20" t="inlineStr">
        <is>
          <t>LP-W-01 / Pressing</t>
        </is>
      </c>
      <c r="D184" s="20" t="inlineStr">
        <is>
          <t>LP-W-01</t>
        </is>
      </c>
      <c r="E184" s="21" t="inlineStr">
        <is>
          <t>Pressing</t>
        </is>
      </c>
      <c r="F184" s="22" t="inlineStr">
        <is>
          <t>Laporan Periode Stasiun (LP-)</t>
        </is>
      </c>
      <c r="G184" s="21" t="inlineStr">
        <is>
          <t>Laporan tampil lengkap setelah periode dan line dipilih</t>
        </is>
      </c>
      <c r="H184" s="22" t="inlineStr">
        <is>
          <t>SPV-A</t>
        </is>
      </c>
      <c r="I184" s="22" t="inlineStr">
        <is>
          <t>periode dengan data terisi pada satu line</t>
        </is>
      </c>
      <c r="J184"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8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4" s="16" t="inlineStr">
        <is>
          <t>Tinggi</t>
        </is>
      </c>
      <c r="M184" s="22" t="inlineStr"/>
      <c r="N184" s="17" t="inlineStr">
        <is>
          <t>2026-10-12</t>
        </is>
      </c>
      <c r="O184" s="17" t="inlineStr">
        <is>
          <t>Pelaksana QA otomatis</t>
        </is>
      </c>
      <c r="P184" s="45" t="inlineStr">
        <is>
          <t>Lulus</t>
        </is>
      </c>
      <c r="Q184" s="17" t="n"/>
      <c r="R184"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5" ht="162.4" customHeight="1">
      <c r="A185" s="18" t="n">
        <v>181</v>
      </c>
      <c r="B185" s="19" t="n">
        <v>2</v>
      </c>
      <c r="C185" s="20" t="inlineStr">
        <is>
          <t>LP-W-01 / Clarification</t>
        </is>
      </c>
      <c r="D185" s="20" t="inlineStr">
        <is>
          <t>LP-W-01</t>
        </is>
      </c>
      <c r="E185" s="21" t="inlineStr">
        <is>
          <t>Clarification</t>
        </is>
      </c>
      <c r="F185" s="22" t="inlineStr">
        <is>
          <t>Laporan Periode Stasiun (LP-)</t>
        </is>
      </c>
      <c r="G185" s="21" t="inlineStr">
        <is>
          <t>Laporan tampil lengkap setelah periode dan line dipilih</t>
        </is>
      </c>
      <c r="H185" s="22" t="inlineStr">
        <is>
          <t>SPV-A</t>
        </is>
      </c>
      <c r="I185" s="22" t="inlineStr">
        <is>
          <t>periode dengan data terisi pada satu line</t>
        </is>
      </c>
      <c r="J185"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8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5" s="16" t="inlineStr">
        <is>
          <t>Tinggi</t>
        </is>
      </c>
      <c r="M185" s="22" t="inlineStr"/>
      <c r="N185" s="17" t="inlineStr">
        <is>
          <t>2026-10-12</t>
        </is>
      </c>
      <c r="O185" s="17" t="inlineStr">
        <is>
          <t>Pelaksana QA otomatis</t>
        </is>
      </c>
      <c r="P185" s="45" t="inlineStr">
        <is>
          <t>Lulus</t>
        </is>
      </c>
      <c r="Q185" s="17" t="n"/>
      <c r="R185"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6" ht="162.4" customHeight="1">
      <c r="A186" s="11" t="n">
        <v>182</v>
      </c>
      <c r="B186" s="12" t="n">
        <v>1</v>
      </c>
      <c r="C186" s="13" t="inlineStr">
        <is>
          <t>LP-W-01 / Kernel Plant</t>
        </is>
      </c>
      <c r="D186" s="13" t="inlineStr">
        <is>
          <t>LP-W-01</t>
        </is>
      </c>
      <c r="E186" s="15" t="inlineStr">
        <is>
          <t>Kernel Plant</t>
        </is>
      </c>
      <c r="F186" s="14" t="inlineStr">
        <is>
          <t>Laporan Periode Stasiun (LP-)</t>
        </is>
      </c>
      <c r="G186" s="15" t="inlineStr">
        <is>
          <t>Laporan tampil lengkap setelah periode dan line dipilih</t>
        </is>
      </c>
      <c r="H186" s="14" t="inlineStr">
        <is>
          <t>SPV-A</t>
        </is>
      </c>
      <c r="I186" s="14" t="inlineStr">
        <is>
          <t>periode dengan data terisi pada satu line</t>
        </is>
      </c>
      <c r="J1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6" s="16" t="inlineStr">
        <is>
          <t>Tinggi</t>
        </is>
      </c>
      <c r="M186" s="14" t="inlineStr"/>
      <c r="N186" s="17" t="inlineStr">
        <is>
          <t>2026-10-12</t>
        </is>
      </c>
      <c r="O186" s="17" t="inlineStr">
        <is>
          <t>Pelaksana QA otomatis</t>
        </is>
      </c>
      <c r="P186" s="45" t="inlineStr">
        <is>
          <t>Lulus</t>
        </is>
      </c>
      <c r="Q186" s="17" t="n"/>
      <c r="R186"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7" ht="162.4" customHeight="1">
      <c r="A187" s="18" t="n">
        <v>183</v>
      </c>
      <c r="B187" s="19" t="n">
        <v>2</v>
      </c>
      <c r="C187" s="20" t="inlineStr">
        <is>
          <t>LP-W-01 / Boiler Room</t>
        </is>
      </c>
      <c r="D187" s="20" t="inlineStr">
        <is>
          <t>LP-W-01</t>
        </is>
      </c>
      <c r="E187" s="21" t="inlineStr">
        <is>
          <t>Boiler Room</t>
        </is>
      </c>
      <c r="F187" s="22" t="inlineStr">
        <is>
          <t>Laporan Periode Stasiun (LP-)</t>
        </is>
      </c>
      <c r="G187" s="21" t="inlineStr">
        <is>
          <t>Laporan tampil lengkap setelah periode dan line dipilih</t>
        </is>
      </c>
      <c r="H187" s="22" t="inlineStr">
        <is>
          <t>SPV-A</t>
        </is>
      </c>
      <c r="I187" s="22" t="inlineStr">
        <is>
          <t>periode dengan data terisi pada satu line</t>
        </is>
      </c>
      <c r="J187"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8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7" s="16" t="inlineStr">
        <is>
          <t>Tinggi</t>
        </is>
      </c>
      <c r="M187" s="22" t="inlineStr"/>
      <c r="N187" s="17" t="inlineStr">
        <is>
          <t>2026-10-12</t>
        </is>
      </c>
      <c r="O187" s="17" t="inlineStr">
        <is>
          <t>Pelaksana QA otomatis</t>
        </is>
      </c>
      <c r="P187" s="45" t="inlineStr">
        <is>
          <t>Lulus</t>
        </is>
      </c>
      <c r="Q187" s="17" t="n"/>
      <c r="R187"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8" ht="162.4" customHeight="1">
      <c r="A188" s="18" t="n">
        <v>184</v>
      </c>
      <c r="B188" s="19" t="n">
        <v>2</v>
      </c>
      <c r="C188" s="20" t="inlineStr">
        <is>
          <t>LP-W-01 / Depricarping</t>
        </is>
      </c>
      <c r="D188" s="20" t="inlineStr">
        <is>
          <t>LP-W-01</t>
        </is>
      </c>
      <c r="E188" s="21" t="inlineStr">
        <is>
          <t>Depricarping</t>
        </is>
      </c>
      <c r="F188" s="22" t="inlineStr">
        <is>
          <t>Laporan Periode Stasiun (LP-)</t>
        </is>
      </c>
      <c r="G188" s="21" t="inlineStr">
        <is>
          <t>Laporan tampil lengkap setelah periode dan line dipilih</t>
        </is>
      </c>
      <c r="H188" s="22" t="inlineStr">
        <is>
          <t>SPV-A</t>
        </is>
      </c>
      <c r="I188" s="22" t="inlineStr">
        <is>
          <t>periode dengan data terisi pada satu line</t>
        </is>
      </c>
      <c r="J188"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8"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8" s="16" t="inlineStr">
        <is>
          <t>Tinggi</t>
        </is>
      </c>
      <c r="M188" s="22" t="inlineStr"/>
      <c r="N188" s="17" t="inlineStr">
        <is>
          <t>2026-10-12</t>
        </is>
      </c>
      <c r="O188" s="17" t="inlineStr">
        <is>
          <t>Pelaksana QA otomatis</t>
        </is>
      </c>
      <c r="P188" s="45" t="inlineStr">
        <is>
          <t>Lulus</t>
        </is>
      </c>
      <c r="Q188" s="17" t="n"/>
      <c r="R188"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89" ht="162.4" customHeight="1">
      <c r="A189" s="18" t="n">
        <v>185</v>
      </c>
      <c r="B189" s="19" t="n">
        <v>2</v>
      </c>
      <c r="C189" s="20" t="inlineStr">
        <is>
          <t>LP-W-01 / Storage Tank</t>
        </is>
      </c>
      <c r="D189" s="20" t="inlineStr">
        <is>
          <t>LP-W-01</t>
        </is>
      </c>
      <c r="E189" s="21" t="inlineStr">
        <is>
          <t>Storage Tank</t>
        </is>
      </c>
      <c r="F189" s="22" t="inlineStr">
        <is>
          <t>Laporan Periode Stasiun (LP-)</t>
        </is>
      </c>
      <c r="G189" s="21" t="inlineStr">
        <is>
          <t>Laporan tampil lengkap setelah periode dan line dipilih</t>
        </is>
      </c>
      <c r="H189" s="22" t="inlineStr">
        <is>
          <t>SPV-A</t>
        </is>
      </c>
      <c r="I189" s="22" t="inlineStr">
        <is>
          <t>periode dengan data terisi pada satu line</t>
        </is>
      </c>
      <c r="J189"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9" s="16" t="inlineStr">
        <is>
          <t>Tinggi</t>
        </is>
      </c>
      <c r="M189" s="22" t="inlineStr"/>
      <c r="N189" s="17" t="inlineStr">
        <is>
          <t>2026-10-12</t>
        </is>
      </c>
      <c r="O189" s="17" t="inlineStr">
        <is>
          <t>Pelaksana QA otomatis</t>
        </is>
      </c>
      <c r="P189" s="45" t="inlineStr">
        <is>
          <t>Lulus</t>
        </is>
      </c>
      <c r="Q189" s="17" t="n"/>
      <c r="R189" s="17" t="inlineStr">
        <is>
          <t>sebelum memilih apa pun: 0 angka di layar (harus 0); sesudah periode "Oktober 2026 · 01–31 Okt 2026 · Terbuka" dipilih saja: 0 angka; sesudah Production Line "Line 1" dipilih juga: bagian Cakupan/Kelengkapan ada=true (tidak setiap keluarga laporan punya bagian ini), kartu parameter ada=true, rekap harian ada=true, tombol ekspor ada=true; nama periode tercetak di layar=true; nama Production Line tercetak=true; galat teknis=false.</t>
        </is>
      </c>
    </row>
    <row r="190" ht="122.8" customHeight="1">
      <c r="A190" s="11" t="n">
        <v>186</v>
      </c>
      <c r="B190" s="12" t="n">
        <v>1</v>
      </c>
      <c r="C190" s="13" t="inlineStr">
        <is>
          <t>LP-W-02 / Kernel Plant</t>
        </is>
      </c>
      <c r="D190" s="13" t="inlineStr">
        <is>
          <t>LP-W-02</t>
        </is>
      </c>
      <c r="E190" s="15" t="inlineStr">
        <is>
          <t>Kernel Plant</t>
        </is>
      </c>
      <c r="F190" s="14" t="inlineStr">
        <is>
          <t>Laporan Periode Stasiun (LP-)</t>
        </is>
      </c>
      <c r="G190" s="15" t="inlineStr">
        <is>
          <t>Cakupan pencatatan berada DI ATAS semua angka lain</t>
        </is>
      </c>
      <c r="H190" s="14" t="inlineStr">
        <is>
          <t>SPV-A</t>
        </is>
      </c>
      <c r="I190" s="14" t="inlineStr">
        <is>
          <t>—</t>
        </is>
      </c>
      <c r="J19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9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90" s="16" t="inlineStr">
        <is>
          <t>Tinggi</t>
        </is>
      </c>
      <c r="M190" s="14" t="inlineStr">
        <is>
          <t>periode yang baru terisi seperlima pun menghasilkan rata-rata yang terlihat rapi. Pembaca harus melihat seberapa lengkap datanya sebelum mempercayai angkanya — itu sebabnya urutan ini diuji.</t>
        </is>
      </c>
      <c r="N190" s="17" t="inlineStr">
        <is>
          <t>2026-10-12</t>
        </is>
      </c>
      <c r="O190" s="17" t="inlineStr">
        <is>
          <t>Pelaksana QA otomatis</t>
        </is>
      </c>
      <c r="P190" s="45" t="inlineStr">
        <is>
          <t>Lulus</t>
        </is>
      </c>
      <c r="Q190" s="17" t="n"/>
      <c r="R190" s="17" t="inlineStr">
        <is>
          <t>periode "QA Racikan · 01–30 Apr 2026 · Terbuka", line "Line 1". Posisi tegak bagian Cakupan Pencatatan=436px dan kartu parameter=757.5px — Cakupan berada di ATAS kartu parameter=true. Pembaca melihat seberapa lengkap datanya sebelum melihat rata-ratanya.</t>
        </is>
      </c>
    </row>
    <row r="191" ht="162.4" customHeight="1">
      <c r="A191" s="11" t="n">
        <v>187</v>
      </c>
      <c r="B191" s="12" t="n">
        <v>1</v>
      </c>
      <c r="C191" s="13" t="inlineStr">
        <is>
          <t>LP-W-03 / Kernel Plant</t>
        </is>
      </c>
      <c r="D191" s="13" t="inlineStr">
        <is>
          <t>LP-W-03</t>
        </is>
      </c>
      <c r="E191" s="15" t="inlineStr">
        <is>
          <t>Kernel Plant</t>
        </is>
      </c>
      <c r="F191" s="14" t="inlineStr">
        <is>
          <t>Laporan Periode Stasiun (LP-)</t>
        </is>
      </c>
      <c r="G191" s="15" t="inlineStr">
        <is>
          <t>Setiap parameter mencetak penyebutnya sendiri</t>
        </is>
      </c>
      <c r="H191" s="14" t="inlineStr">
        <is>
          <t>SPV-A</t>
        </is>
      </c>
      <c r="I191" s="14" t="inlineStr">
        <is>
          <t>periode yang kolom-kolomnya terisi tidak sama banyak (mis. satu kolom 6 slot, kolom lain 2 slot)</t>
        </is>
      </c>
      <c r="J19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9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91" s="16" t="inlineStr">
        <is>
          <t>Tinggi</t>
        </is>
      </c>
      <c r="M191" s="14" t="inlineStr"/>
      <c r="N191" s="17" t="inlineStr">
        <is>
          <t>2026-10-12</t>
        </is>
      </c>
      <c r="O191" s="17" t="inlineStr">
        <is>
          <t>Pelaksana QA otomatis</t>
        </is>
      </c>
      <c r="P191" s="45" t="inlineStr">
        <is>
          <t>Lulus</t>
        </is>
      </c>
      <c r="Q191" s="17" t="n"/>
      <c r="R191" s="17" t="inlineStr">
        <is>
          <t>periode "QA Racikan · 01–30 Apr 2026 · Terbuka" (kolom-kolomnya sengaja terisi tidak sama banyak), line "Line 1". 7 kartu parameter, masing-masing mencetak penyebutnya sendiri=true; nilai penyebut yang berbeda-beda=3 (22 dari 22 slot | 0 dari 22 slot | 5 dari 22 slot) — jadi tidak ada satu penyebut bersama yang dipakai semua kartu=true; slot terisi pada Cakupan="Slot Terisi 22 dari 1.440 slot 1,5% slot dihitung terisi bila minimal satu dari sembilan kolom bacaan diisi — ketujuh kolom ukur, menit downtime, atau temuan; definisinya dipinjam dari layar input itu sendiri, bukan diturunkan ulang di sini" (boleh lebih besar daripada penyebut kartu mana pun).</t>
        </is>
      </c>
    </row>
    <row r="192" ht="149.2" customHeight="1">
      <c r="A192" s="11" t="n">
        <v>188</v>
      </c>
      <c r="B192" s="12" t="n">
        <v>1</v>
      </c>
      <c r="C192" s="13" t="inlineStr">
        <is>
          <t>LP-W-04 / Kernel Plant</t>
        </is>
      </c>
      <c r="D192" s="13" t="inlineStr">
        <is>
          <t>LP-W-04</t>
        </is>
      </c>
      <c r="E192" s="15" t="inlineStr">
        <is>
          <t>Kernel Plant</t>
        </is>
      </c>
      <c r="F192" s="14" t="inlineStr">
        <is>
          <t>Laporan Periode Stasiun (LP-)</t>
        </is>
      </c>
      <c r="G192" s="15" t="inlineStr">
        <is>
          <t>Semua baris parameter tetap tampil, termasuk yang tak pernah diukur</t>
        </is>
      </c>
      <c r="H192" s="14" t="inlineStr">
        <is>
          <t>SPV-A</t>
        </is>
      </c>
      <c r="I192" s="14" t="inlineStr">
        <is>
          <t>satu kolom yang tidak pernah diisi sepanjang periode</t>
        </is>
      </c>
      <c r="J19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9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92" s="16" t="inlineStr">
        <is>
          <t>Tinggi</t>
        </is>
      </c>
      <c r="M192" s="14" t="inlineStr">
        <is>
          <t>baris yang hilang terbaca "parameter ini tidak ada", padahal yang benar "tidak ada yang mengukurnya".</t>
        </is>
      </c>
      <c r="N192" s="17" t="inlineStr">
        <is>
          <t>2026-10-12</t>
        </is>
      </c>
      <c r="O192" s="17" t="inlineStr">
        <is>
          <t>Pelaksana QA otomatis</t>
        </is>
      </c>
      <c r="P192" s="45" t="inlineStr">
        <is>
          <t>Lulus</t>
        </is>
      </c>
      <c r="Q192" s="17" t="n"/>
      <c r="R192" s="17" t="inlineStr">
        <is>
          <t>periode "QA Racikan · 01–30 Apr 2026 · Terbuka", line "Line 1": 7 kartu parameter tampil. Kernel Plant punya 9 kolom bacaan, dan dua di antaranya — downtime dan temuan — punya bloknya sendiri (blok downtime ada=true, blok temuan ada=true), jadi 7 kartu + 2 blok = 9 kolom, tidak ada yang disembunyikan. Baris untuk kolom yang sengaja tidak pernah diisi sepanjang periode berbunyi "Claybath / Hydrocyclone (SG) standar master: Claybath / Hydrocyclone tidak tersedia tidak tersedia tidak tersedia 0 dari" — menyatakan ketiadaan pengukuran, bukan angka 0=true. Jumlah baris yang menyatakan belum ada pengukuran=4.</t>
        </is>
      </c>
    </row>
    <row r="193" ht="149.2" customHeight="1">
      <c r="A193" s="11" t="n">
        <v>189</v>
      </c>
      <c r="B193" s="12" t="n">
        <v>1</v>
      </c>
      <c r="C193" s="13" t="inlineStr">
        <is>
          <t>LP-W-05 / Kernel Plant</t>
        </is>
      </c>
      <c r="D193" s="13" t="inlineStr">
        <is>
          <t>LP-W-05</t>
        </is>
      </c>
      <c r="E193" s="15" t="inlineStr">
        <is>
          <t>Kernel Plant</t>
        </is>
      </c>
      <c r="F193" s="14" t="inlineStr">
        <is>
          <t>Laporan Periode Stasiun (LP-)</t>
        </is>
      </c>
      <c r="G193" s="15" t="inlineStr">
        <is>
          <t>Persen cakupan: tanda pisah vs 0,0%</t>
        </is>
      </c>
      <c r="H193" s="14" t="inlineStr">
        <is>
          <t>SPV-A</t>
        </is>
      </c>
      <c r="I193" s="14" t="inlineStr">
        <is>
          <t>dua keadaan — (a) periode tanpa satu record pun, (b) periode yang punya record tapi seluruh kolomnya kosong</t>
        </is>
      </c>
      <c r="J19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9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93" s="16" t="inlineStr">
        <is>
          <t>Tinggi</t>
        </is>
      </c>
      <c r="M193" s="14" t="inlineStr">
        <is>
          <t>keduanya benar dan berbeda. (a) penyebutnya tak terbentuk — tak ada unit untuk dihitung. (b) penyebutnya ada, dan nol dari sekian slot memang terisi. Kalau keduanya terlihat sama, itu bug.</t>
        </is>
      </c>
      <c r="N193" s="17" t="inlineStr">
        <is>
          <t>2026-10-12</t>
        </is>
      </c>
      <c r="O193" s="17" t="inlineStr">
        <is>
          <t>Pelaksana QA otomatis</t>
        </is>
      </c>
      <c r="P193" s="45" t="inlineStr">
        <is>
          <t>Lulus</t>
        </is>
      </c>
      <c r="Q193" s="17" t="n"/>
      <c r="R193" s="17" t="inlineStr">
        <is>
          <t>(a) periode "QA Tanpa Record · 01–30 Jun 2026 · Terbuka" tanpa satu record pun → persen cakupan tercetak "—" (tanda pisah, karena penyebutnya tidak terbentuk)=true; (b) periode "QA Kolom Kosong · 01–31 Mei 2026 · Terbuka" berisi record tetapi seluruh kolom ukurnya kosong → persen cakupan tercetak "0,0%" (0,0%, karena penyebutnya ada dan yang terisi nol)=true; keduanya berbeda=true. Keduanya benar dan memang harus berbeda.</t>
        </is>
      </c>
    </row>
    <row r="194" ht="122.8" customHeight="1">
      <c r="A194" s="11" t="n">
        <v>190</v>
      </c>
      <c r="B194" s="12" t="n">
        <v>1</v>
      </c>
      <c r="C194" s="13" t="inlineStr">
        <is>
          <t>LP-W-06 / Kernel Plant</t>
        </is>
      </c>
      <c r="D194" s="13" t="inlineStr">
        <is>
          <t>LP-W-06</t>
        </is>
      </c>
      <c r="E194" s="15" t="inlineStr">
        <is>
          <t>Kernel Plant</t>
        </is>
      </c>
      <c r="F194" s="14" t="inlineStr">
        <is>
          <t>Laporan Periode Stasiun (LP-)</t>
        </is>
      </c>
      <c r="G194" s="15" t="inlineStr">
        <is>
          <t>Periode belum mulai dijelaskan sebagai BELUM MULAI</t>
        </is>
      </c>
      <c r="H194" s="14" t="inlineStr">
        <is>
          <t>SPV-A</t>
        </is>
      </c>
      <c r="I194" s="14" t="inlineStr">
        <is>
          <t>periode yang tanggal mulainya di masa depan</t>
        </is>
      </c>
      <c r="J1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94" s="16" t="inlineStr">
        <is>
          <t>Tinggi</t>
        </is>
      </c>
      <c r="M194" s="14" t="inlineStr">
        <is>
          <t>kedua keterangan ini mudah tertukar di sistem. Kalau periode masa depan dijelaskan "sedang berjalan", itu bug.</t>
        </is>
      </c>
      <c r="N194" s="17" t="inlineStr">
        <is>
          <t>2026-10-12</t>
        </is>
      </c>
      <c r="O194" s="17" t="inlineStr">
        <is>
          <t>Pelaksana QA otomatis</t>
        </is>
      </c>
      <c r="P194" s="45" t="inlineStr">
        <is>
          <t>Lulus</t>
        </is>
      </c>
      <c r="Q194" s="17" t="n"/>
      <c r="R194" s="17" t="inlineStr">
        <is>
          <t>periode "QA Masa Depan · 01–28 Feb 2027 · Terbuka" (tanggal mulainya di masa depan), line "Line 1": keterangan menyebut periode belum mulai=true ("periode BELUM MULAI, sehingga belum ada hari yang dapat dijadikan pembagi — persennya dirender sebagai “—”, bu"); TIDAK menyebut "sedang berjalan"=true (""); jumlah hari yang dihitung="Hari Dihitung 0 dari 28 hari periode record berstatus draft IKUT terhitung pada seluruh angka laporan ini" (nol dan dinyatakan=true); persen cakupan="—" (tanda pisah, bukan 0,0%=true).</t>
        </is>
      </c>
    </row>
    <row r="195" ht="175.6" customHeight="1">
      <c r="A195" s="11" t="n">
        <v>191</v>
      </c>
      <c r="B195" s="12" t="n">
        <v>1</v>
      </c>
      <c r="C195" s="13" t="inlineStr">
        <is>
          <t>LP-W-07 / Kernel Plant</t>
        </is>
      </c>
      <c r="D195" s="13" t="inlineStr">
        <is>
          <t>LP-W-07</t>
        </is>
      </c>
      <c r="E195" s="15" t="inlineStr">
        <is>
          <t>Kernel Plant</t>
        </is>
      </c>
      <c r="F195" s="14" t="inlineStr">
        <is>
          <t>Laporan Periode Stasiun (LP-)</t>
        </is>
      </c>
      <c r="G195" s="15" t="inlineStr">
        <is>
          <t>Periode sedang berjalan: penyebut berhenti di hari ini</t>
        </is>
      </c>
      <c r="H195" s="14" t="inlineStr">
        <is>
          <t>SPV-A</t>
        </is>
      </c>
      <c r="I195" s="14" t="inlineStr">
        <is>
          <t>periode yang sudah mulai dan belum berakhir</t>
        </is>
      </c>
      <c r="J19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9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95" s="16" t="inlineStr">
        <is>
          <t>Tinggi</t>
        </is>
      </c>
      <c r="M195" s="14" t="inlineStr"/>
      <c r="N195" s="17" t="inlineStr">
        <is>
          <t>2026-10-12</t>
        </is>
      </c>
      <c r="O195" s="17" t="inlineStr">
        <is>
          <t>Pelaksana QA otomatis</t>
        </is>
      </c>
      <c r="P195" s="45" t="inlineStr">
        <is>
          <t>Lulus</t>
        </is>
      </c>
      <c r="Q195" s="17" t="n"/>
      <c r="R195" s="17" t="inlineStr">
        <is>
          <t>periode "Oktober 2026 · 01–31 Okt 2026 · Terbuka" (01–31 Oktober 2026), line "Line 1": keterangan menyebut periode sedang berjalan=true ("dihitung sampai 12 Okt 2026 — periode masih berjalan, dan hari yang belum terjadi tidak mungkin tercatat"); jumlah hari yang dihitung="Hari Dihitung 12 dari 31 hari periode record berstatus draft IKUT terhitung pada seluruh angka laporan ini" → 12 hari. Dihitung sendiri dari tanggal mulai sampai hari ini = 12 hari (cocok=true); bukan seluruh panjang periode yang 31 hari (=true).</t>
        </is>
      </c>
    </row>
    <row r="196" ht="96.39999999999999" customHeight="1">
      <c r="A196" s="11" t="n">
        <v>192</v>
      </c>
      <c r="B196" s="12" t="n">
        <v>1</v>
      </c>
      <c r="C196" s="13" t="inlineStr">
        <is>
          <t>LP-W-08 / Kernel Plant</t>
        </is>
      </c>
      <c r="D196" s="13" t="inlineStr">
        <is>
          <t>LP-W-08</t>
        </is>
      </c>
      <c r="E196" s="15" t="inlineStr">
        <is>
          <t>Kernel Plant</t>
        </is>
      </c>
      <c r="F196" s="14" t="inlineStr">
        <is>
          <t>Laporan Periode Stasiun (LP-)</t>
        </is>
      </c>
      <c r="G196" s="15" t="inlineStr">
        <is>
          <t>Mill tanpa periode stasiun itu memberi arahan</t>
        </is>
      </c>
      <c r="H196" s="14" t="inlineStr">
        <is>
          <t>SPV-A</t>
        </is>
      </c>
      <c r="I196" s="14" t="inlineStr">
        <is>
          <t>mill yang belum punya periode mencakup stasiun itu</t>
        </is>
      </c>
      <c r="J19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96" s="14" t="inlineStr">
        <is>
          <t>- Muncul arahan yang menyebut periode — mis. agar Admin membuat periode lebih dulu.
- Pemilih periode tetap ada, dalam keadaan kosong.
- BUKAN layar kosong, BUKAN tabel nol baris, BUKAN angka 0.</t>
        </is>
      </c>
      <c r="L196" s="11" t="inlineStr">
        <is>
          <t>Sedang</t>
        </is>
      </c>
      <c r="M196" s="14" t="inlineStr"/>
      <c r="N196" s="17" t="inlineStr">
        <is>
          <t>2026-10-12</t>
        </is>
      </c>
      <c r="O196" s="17" t="inlineStr">
        <is>
          <t>Pelaksana QA otomatis</t>
        </is>
      </c>
      <c r="P196" s="45" t="inlineStr">
        <is>
          <t>Lulus</t>
        </is>
      </c>
      <c r="Q196" s="17" t="n"/>
      <c r="R196" s="17" t="inlineStr">
        <is>
          <t>mill "BU Browser Test" (belum punya periode sama sekali) dipilih: arahan yang menyebut periode muncul=true ("Mills Smart Log Dashboard Production Process Activity Laporan Stasiun Struktur Mills Struktur Organisasi Kelola Station Kelola Mesin Kelola Periode Pelaporan Mi"); kartu parameter yang tergambar=false (harus false); pemilih periode tetap ada=true dalam keadaan kosong (0 pilihan); bukan layar kosong dan bukan angka 0=true.</t>
        </is>
      </c>
    </row>
    <row r="197" ht="281.2" customHeight="1">
      <c r="A197" s="11" t="n">
        <v>193</v>
      </c>
      <c r="B197" s="12" t="n">
        <v>1</v>
      </c>
      <c r="C197" s="13" t="inlineStr">
        <is>
          <t>LP-W-09 / Kernel Plant</t>
        </is>
      </c>
      <c r="D197" s="13" t="inlineStr">
        <is>
          <t>LP-W-09</t>
        </is>
      </c>
      <c r="E197" s="15" t="inlineStr">
        <is>
          <t>Kernel Plant</t>
        </is>
      </c>
      <c r="F197" s="14" t="inlineStr">
        <is>
          <t>Laporan Periode Stasiun (LP-)</t>
        </is>
      </c>
      <c r="G197" s="15" t="inlineStr">
        <is>
          <t>Admin berganti mill mereset pilihan periode dan line</t>
        </is>
      </c>
      <c r="H197" s="14" t="inlineStr">
        <is>
          <t>ADM</t>
        </is>
      </c>
      <c r="I197" s="14" t="inlineStr">
        <is>
          <t>2 mill, keduanya punya data</t>
        </is>
      </c>
      <c r="J19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9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97" s="16" t="inlineStr">
        <is>
          <t>Tinggi</t>
        </is>
      </c>
      <c r="M197"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97" s="17" t="inlineStr">
        <is>
          <t>2026-10-12</t>
        </is>
      </c>
      <c r="O197" s="17" t="inlineStr">
        <is>
          <t>Pelaksana QA otomatis</t>
        </is>
      </c>
      <c r="P197" s="45" t="inlineStr">
        <is>
          <t>Lulus</t>
        </is>
      </c>
      <c r="Q197" s="17" t="n"/>
      <c r="R197" s="17" t="inlineStr">
        <is>
          <t>Mill "Business Unit A" dengan line "Line 1" dan periode "Oktober 2026 · 01–31 Okt 2026 · Terbuka" menampilkan 7 baris parameter. Sesudah pemilih Mill diganti ke "Business Unit B": pilihan periode dan line direset ke kosong=true (periode terpilih="Pilih Periode" nilai="", line terpilih="Pilih Line" nilai=""); angka mill sebelumnya hilang dari layar=true (0 baris); daftar periode ikut berganti mengikuti mill baru=true (7 → 1 pilihan). Keadaan laporan sesudahnya: petunjuk di layar="Pilih production line terlebih dahulu Laporan Kernel Plant menghasilkan angka gabungan per", rentang pada kepala laporan="". Tidak ada data mill sebelumnya yang bocor; yang menjadi masalah adalah pemilih periode TERLIHAT berisi pilihan sementara laporannya menganggap belum ada periode yang dipilih.</t>
        </is>
      </c>
    </row>
    <row r="198" ht="162.4" customHeight="1">
      <c r="A198" s="11" t="n">
        <v>194</v>
      </c>
      <c r="B198" s="12" t="n">
        <v>1</v>
      </c>
      <c r="C198" s="13" t="inlineStr">
        <is>
          <t>LP-W-10 / Kernel Plant</t>
        </is>
      </c>
      <c r="D198" s="13" t="inlineStr">
        <is>
          <t>LP-W-10</t>
        </is>
      </c>
      <c r="E198" s="15" t="inlineStr">
        <is>
          <t>Kernel Plant</t>
        </is>
      </c>
      <c r="F198" s="14" t="inlineStr">
        <is>
          <t>Laporan Periode Stasiun (LP-)</t>
        </is>
      </c>
      <c r="G198" s="15" t="inlineStr">
        <is>
          <t>Rekap harian dapat ditutup tanpa mengubah angka</t>
        </is>
      </c>
      <c r="H198" s="14" t="inlineStr">
        <is>
          <t>SPV-A</t>
        </is>
      </c>
      <c r="I198" s="14" t="inlineStr">
        <is>
          <t>—</t>
        </is>
      </c>
      <c r="J19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8" s="14" t="inlineStr">
        <is>
          <t>- Rekap Harian terbuka secara bawaan.
- Menutupnya tidak mengubah satu angka pun di bagian lain.
- Membukanya kembali menampilkan isi yang sama.</t>
        </is>
      </c>
      <c r="L198" s="11" t="inlineStr">
        <is>
          <t>Rendah</t>
        </is>
      </c>
      <c r="M198" s="14" t="inlineStr"/>
      <c r="N198" s="17" t="inlineStr">
        <is>
          <t>2026-10-12</t>
        </is>
      </c>
      <c r="O198" s="17" t="inlineStr">
        <is>
          <t>Pelaksana QA otomatis</t>
        </is>
      </c>
      <c r="P198" s="45" t="inlineStr">
        <is>
          <t>Lulus</t>
        </is>
      </c>
      <c r="Q198" s="17" t="n"/>
      <c r="R198" s="17" t="inlineStr">
        <is>
          <t>periode "QA Racikan · 01–30 Apr 2026 · Terbuka", line "Line 1": Rekap Harian terbuka secara bawaan=true; dapat ditutup=true; angka kartu parameter dan Cakupan tidak berubah sedikit pun saat ditutup=true; dibuka kembali menampilkan isi yang sama=true (3 baris harian).</t>
        </is>
      </c>
    </row>
    <row r="199" ht="188.8" customHeight="1">
      <c r="A199" s="11" t="n">
        <v>195</v>
      </c>
      <c r="B199" s="12" t="n">
        <v>1</v>
      </c>
      <c r="C199" s="13" t="inlineStr">
        <is>
          <t>LP-W-11 / Kernel Plant</t>
        </is>
      </c>
      <c r="D199" s="13" t="inlineStr">
        <is>
          <t>LP-W-11</t>
        </is>
      </c>
      <c r="E199" s="15" t="inlineStr">
        <is>
          <t>Kernel Plant</t>
        </is>
      </c>
      <c r="F199" s="14" t="inlineStr">
        <is>
          <t>Laporan Periode Stasiun (LP-)</t>
        </is>
      </c>
      <c r="G199" s="15" t="inlineStr">
        <is>
          <t>Baris total periode bukan rata-rata dari rata-rata harian</t>
        </is>
      </c>
      <c r="H199" s="14" t="inlineStr">
        <is>
          <t>SPV-A</t>
        </is>
      </c>
      <c r="I199" s="14" t="inlineStr">
        <is>
          <t>periode yang jumlah slot per harinya tidak sama (mis. hari-1 isi 2 slot, hari-2 isi 20 slot) dengan nilai yang berbeda jauh</t>
        </is>
      </c>
      <c r="J19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9" s="14" t="inlineStr">
        <is>
          <t>- Angka total periode berbeda dari hasil hitungan langkah 4.
- Total periode dihitung ulang dari seluruh slot, bukan dirata-ratakan dari rata-rata harian.
- Kalau keduanya sama, itu temuan: hari dengan 2 slot akan berbobot sama dengan hari 20 slot.</t>
        </is>
      </c>
      <c r="L199" s="11" t="inlineStr">
        <is>
          <t>Sedang</t>
        </is>
      </c>
      <c r="M199" s="14" t="inlineStr"/>
      <c r="N199" s="17" t="inlineStr">
        <is>
          <t>2026-10-12</t>
        </is>
      </c>
      <c r="O199" s="17" t="inlineStr">
        <is>
          <t>Pelaksana QA otomatis</t>
        </is>
      </c>
      <c r="P199" s="45" t="inlineStr">
        <is>
          <t>Lulus</t>
        </is>
      </c>
      <c r="Q199" s="17" t="n"/>
      <c r="R199" s="17" t="inlineStr">
        <is>
          <t>periode "QA Racikan · 01–30 Apr 2026 · Terbuka" (hari-1 hanya 2 slot bernilai tinggi, hari-2 20 slot bernilai rendah), line "Line 1". Rata-rata hari-1=2, hari-2=20; rata-rata dari kedua angka itu=11.00; angka pada baris total periode=22. Keduanya berbeda=true — total periode dihitung ulang dari SELURUH slot, bukan dirata-ratakan dari rata-rata harian (kalau sama, hari 2 slot akan berbobot sama dengan hari 20 slot).</t>
        </is>
      </c>
    </row>
    <row r="200" ht="175.6" customHeight="1">
      <c r="A200" s="11" t="n">
        <v>196</v>
      </c>
      <c r="B200" s="12" t="n">
        <v>1</v>
      </c>
      <c r="C200" s="13" t="inlineStr">
        <is>
          <t>LP-W-12 / Kernel Plant</t>
        </is>
      </c>
      <c r="D200" s="13" t="inlineStr">
        <is>
          <t>LP-W-12</t>
        </is>
      </c>
      <c r="E200" s="15" t="inlineStr">
        <is>
          <t>Kernel Plant</t>
        </is>
      </c>
      <c r="F200" s="14" t="inlineStr">
        <is>
          <t>Laporan Periode Stasiun (LP-)</t>
        </is>
      </c>
      <c r="G200" s="15" t="inlineStr">
        <is>
          <t>Downtime: tanda pisah vs nol yang tercatat</t>
        </is>
      </c>
      <c r="H200" s="14" t="inlineStr">
        <is>
          <t>SPV-A</t>
        </is>
      </c>
      <c r="I200" s="14" t="inlineStr">
        <is>
          <t>stasiun yang punya kolom downtime angka (Depricarping, Kernel Plant). Dua keadaan: (a) tak satu slot pun mengisi downtime, (b) beberapa slot mengisi 0 menit</t>
        </is>
      </c>
      <c r="J20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200" s="14" t="inlineStr">
        <is>
          <t>- Periode (a): downtime tampil sebagai tanda pisah "—" atau keterangan ketiadaan, bukan 0 menit.
- Periode (b): downtime tampil sebagai 0 menit — nol yang benar-benar terukur.
- Keduanya berbeda: tidak pernah dicatat bukan hal yang sama dengan dicatat nol.</t>
        </is>
      </c>
      <c r="L200" s="16" t="inlineStr">
        <is>
          <t>Tinggi</t>
        </is>
      </c>
      <c r="M200" s="14" t="inlineStr">
        <is>
          <t>"tercatat 0 menit" berarti seseorang menyatakan stasiun tidak berhenti. "Tidak dicatat" berarti tidak ada yang mengisinya. Keduanya tidak boleh terlihat sama.</t>
        </is>
      </c>
      <c r="N200" s="17" t="inlineStr">
        <is>
          <t>2026-10-12</t>
        </is>
      </c>
      <c r="O200" s="17" t="inlineStr">
        <is>
          <t>Pelaksana QA otomatis</t>
        </is>
      </c>
      <c r="P200" s="45" t="inlineStr">
        <is>
          <t>Lulus</t>
        </is>
      </c>
      <c r="Q200" s="17" t="n"/>
      <c r="R200" s="17" t="inlineStr">
        <is>
          <t>(a) periode "QA Tanpa Downtime · 01–31 Mar 2026 · Terbuka" tanpa satu slot pun mengisi downtime → blok downtime berbunyi "Belum ada satu slot pun yang mencatat menit downtime pada periode dan line ini. Totalnya karena itu dirender sebagai tanda pisah, " (menuliskan "0 menit"=false, harus false) (keterangan ketiadaan atau tanda pisah, bukan 0 menit)=true; (b) periode "QA Racikan · 01–30 Apr 2026 · Terbuka" dengan slot yang mengisi 0 menit dan satu slot 45 menit → total="Total Berhenti 45 menit dijumlahkan hanya atas slot yang mencatat menit downtime", slot tercatat="Slot yang Mencatat 5 slot menghitung juga slot yang mencatat nol menit — “tercatat nol” dan “tidak dicatat” dua kenyataan yang berbeda; inilah penyebut rata-rata di sebelah", rata-rata="Rata-rata per Slot Pencatat 9,0 menit penyebutnya slot yang mencatat, bukan seluruh slot terisi" (nol yang benar-benar terukur ikut dihitung)=true; keduanya berbeda=true. "Tercatat 0 menit" dan "tidak dicatat" tidak terlihat sama.</t>
        </is>
      </c>
    </row>
    <row r="201" ht="136" customHeight="1">
      <c r="A201" s="11" t="n">
        <v>197</v>
      </c>
      <c r="B201" s="12" t="n">
        <v>1</v>
      </c>
      <c r="C201" s="13" t="inlineStr">
        <is>
          <t>LP-W-13 / Kernel Plant</t>
        </is>
      </c>
      <c r="D201" s="13" t="inlineStr">
        <is>
          <t>LP-W-13</t>
        </is>
      </c>
      <c r="E201" s="15" t="inlineStr">
        <is>
          <t>Kernel Plant</t>
        </is>
      </c>
      <c r="F201" s="14" t="inlineStr">
        <is>
          <t>Laporan Periode Stasiun (LP-)</t>
        </is>
      </c>
      <c r="G201" s="15" t="inlineStr">
        <is>
          <t>Temuan dikelompokkan harfiah, dua ejaan jadi dua baris</t>
        </is>
      </c>
      <c r="H201" s="14" t="inlineStr">
        <is>
          <t>SPV-A</t>
        </is>
      </c>
      <c r="I201" s="14" t="inlineStr">
        <is>
          <t>dua record dengan temuan yang hanya beda huruf besar-kecil atau spasi (mis. Bearing panas dan bearing panas)</t>
        </is>
      </c>
      <c r="J20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201" s="14" t="inlineStr">
        <is>
          <t>- Muncul dua baris terpisah — pengelompokannya harfiah, apa adanya.
- Sistem tidak menyatukan ejaan yang berbeda; menyatukannya berarti menebak maksud operator.
- Masing-masing membawa jumlah kemunculannya sendiri.</t>
        </is>
      </c>
      <c r="L201" s="11" t="inlineStr">
        <is>
          <t>Sedang</t>
        </is>
      </c>
      <c r="M201" s="14" t="inlineStr">
        <is>
          <t>menggabungkan keduanya akan menyatukan hal yang mungkin bukan satu hal. Yang dilaporkan sebagai bug adalah kalau keduanya digabung, atau kalau keterangannya hilang.</t>
        </is>
      </c>
      <c r="N201" s="17" t="inlineStr">
        <is>
          <t>2026-10-12</t>
        </is>
      </c>
      <c r="O201" s="17" t="inlineStr">
        <is>
          <t>Pelaksana QA otomatis</t>
        </is>
      </c>
      <c r="P201" s="45" t="inlineStr">
        <is>
          <t>Lulus</t>
        </is>
      </c>
      <c r="Q201" s="17" t="n"/>
      <c r="R201" s="17" t="inlineStr">
        <is>
          <t>periode "QA Racikan · 01–30 Apr 2026 · Terbuka", line "Line 1": daftar Temuan memuat 3 baris. Temuan "Bearing panas" (huruf besar) muncul sebagai baris sendiri=true; "bearing panas" (huruf kecil) juga sebagai baris sendiri=true — pengelompokannya harfiah, sistem tidak menyatukan ejaan yang berbeda. Setiap baris membawa jumlah kemunculannya sendiri=true. Isi barisnya: Bearing panas 1 | Ripple mill berhenti 1 | bearing panas 1</t>
        </is>
      </c>
    </row>
    <row r="202" ht="136" customHeight="1">
      <c r="A202" s="11" t="n">
        <v>198</v>
      </c>
      <c r="B202" s="12" t="n">
        <v>1</v>
      </c>
      <c r="C202" s="13" t="inlineStr">
        <is>
          <t>LP-W-14 / Kernel Plant</t>
        </is>
      </c>
      <c r="D202" s="13" t="inlineStr">
        <is>
          <t>LP-W-14</t>
        </is>
      </c>
      <c r="E202" s="15" t="inlineStr">
        <is>
          <t>Kernel Plant</t>
        </is>
      </c>
      <c r="F202" s="14" t="inlineStr">
        <is>
          <t>Laporan Periode Stasiun (LP-)</t>
        </is>
      </c>
      <c r="G202" s="15" t="inlineStr">
        <is>
          <t>Temuan terpisah dari downtime</t>
        </is>
      </c>
      <c r="H202" s="14" t="inlineStr">
        <is>
          <t>SPV-A</t>
        </is>
      </c>
      <c r="I202" s="14" t="inlineStr">
        <is>
          <t>satu slot yang mengisi downtime dan temuan sekaligus</t>
        </is>
      </c>
      <c r="J20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202" s="14" t="inlineStr">
        <is>
          <t>- Keduanya dihitung terpisah: slot yang hanya mengisi temuan tidak menambah menit downtime.
- Slot yang mengisi keduanya muncul di kedua tempat.
- Daftar temuan tidak hanya memuat temuan yang punya downtime.</t>
        </is>
      </c>
      <c r="L202" s="11" t="inlineStr">
        <is>
          <t>Sedang</t>
        </is>
      </c>
      <c r="M202" s="14" t="inlineStr"/>
      <c r="N202" s="17" t="inlineStr">
        <is>
          <t>2026-10-12</t>
        </is>
      </c>
      <c r="O202" s="17" t="inlineStr">
        <is>
          <t>Pelaksana QA otomatis</t>
        </is>
      </c>
      <c r="P202" s="45" t="inlineStr">
        <is>
          <t>Lulus</t>
        </is>
      </c>
      <c r="Q202" s="17" t="n"/>
      <c r="R202" s="17" t="inlineStr">
        <is>
          <t>periode "QA Racikan · 01–30 Apr 2026 · Terbuka", line "Line 1". Data ujinya: satu slot mengisi downtime 45 menit DAN temuan "Ripple mill berhenti", satu slot lain mengisi temuan "bearing panas" SAJA tanpa downtime, dan empat slot mengisi downtime 0. Di layar: slot downtime tercatat="Slot yang Mencatat 5 slot menghitung juga slot yang mencatat nol menit — “tercatat nol” dan “tidak dicatat” dua kenyataan yang berbeda; inilah penyebut rata-rata di sebelah", total downtime="Total Berhenti 45 menit dijumlahkan hanya atas slot yang mencatat menit downtime" → 45 menit, tetap 45 sehingga slot "temuan saja" tidak ikut menambah menit=true; daftar temuan memuat temuan yang punya downtime=true DAN temuan yang tidak punya downtime=true.</t>
        </is>
      </c>
    </row>
    <row r="203" ht="136" customHeight="1">
      <c r="A203" s="11" t="n">
        <v>199</v>
      </c>
      <c r="B203" s="12" t="n">
        <v>1</v>
      </c>
      <c r="C203" s="13" t="inlineStr">
        <is>
          <t>LP-W-15 / Kernel Plant</t>
        </is>
      </c>
      <c r="D203" s="13" t="inlineStr">
        <is>
          <t>LP-W-15</t>
        </is>
      </c>
      <c r="E203" s="15" t="inlineStr">
        <is>
          <t>Kernel Plant</t>
        </is>
      </c>
      <c r="F203" s="14" t="inlineStr">
        <is>
          <t>Laporan Periode Stasiun (LP-)</t>
        </is>
      </c>
      <c r="G203" s="15" t="inlineStr">
        <is>
          <t>Bagian "standar tanpa pengukuran" tetap digambar walau kosong</t>
        </is>
      </c>
      <c r="H203" s="14" t="inlineStr">
        <is>
          <t>SPV-A</t>
        </is>
      </c>
      <c r="I203" s="14" t="inlineStr">
        <is>
          <t>stasiun yang punya master target (Threshing, Pressing, Depricarping, Kernel Plant)</t>
        </is>
      </c>
      <c r="J20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20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203" s="11" t="inlineStr">
        <is>
          <t>Sedang</t>
        </is>
      </c>
      <c r="M203" s="14" t="inlineStr">
        <is>
          <t>bagian yang menghilang saat kosong tak dapat dibedakan dari bagian yang belum pernah dibuat.</t>
        </is>
      </c>
      <c r="N203" s="17" t="inlineStr">
        <is>
          <t>2026-10-12</t>
        </is>
      </c>
      <c r="O203" s="17" t="inlineStr">
        <is>
          <t>Pelaksana QA otomatis</t>
        </is>
      </c>
      <c r="P203" s="45" t="inlineStr">
        <is>
          <t>Lulus</t>
        </is>
      </c>
      <c r="Q203" s="17" t="n"/>
      <c r="R203" s="17" t="inlineStr">
        <is>
          <t>periode "QA Racikan · 01–30 Apr 2026 · Terbuka", line "Line 1": bagian "standar tanpa pengukuran" tetap digambar=true (tabelnya ada=true, 1 baris, penanda "semua terukur"=false); ada keterangan yang menjelaskan arti bagian itu dan mengapa ia boleh kosong=true ("Parameter di atas punya standar pada master tetapi tidak punya kolom pengukuran pada formulir Kernel Plant. Ditampilkan justru karena itu: s"); memuat Final Kernel Dirt=true (isi barisnya: Final Kernel Dirt ≤ 6.0% (Standard quality premium) Clean winnowing ducts or re-calibrate hydrocyclone settings. Tidak ada kolom pengukurannya di skema ini).</t>
        </is>
      </c>
    </row>
    <row r="204" ht="122.8" customHeight="1">
      <c r="A204" s="11" t="n">
        <v>200</v>
      </c>
      <c r="B204" s="12" t="n">
        <v>1</v>
      </c>
      <c r="C204" s="13" t="inlineStr">
        <is>
          <t>LP-W-16 / Kernel Plant</t>
        </is>
      </c>
      <c r="D204" s="13" t="inlineStr">
        <is>
          <t>LP-W-16</t>
        </is>
      </c>
      <c r="E204" s="15" t="inlineStr">
        <is>
          <t>Kernel Plant</t>
        </is>
      </c>
      <c r="F204" s="14" t="inlineStr">
        <is>
          <t>Laporan Periode Stasiun (LP-)</t>
        </is>
      </c>
      <c r="G204" s="15" t="inlineStr">
        <is>
          <t>Kolom target dirender utuh, termasuk keterangan dalam tanda kurung</t>
        </is>
      </c>
      <c r="H204" s="14" t="inlineStr">
        <is>
          <t>SPV-A</t>
        </is>
      </c>
      <c r="I204" s="14" t="inlineStr">
        <is>
          <t>stasiun bermaster target</t>
        </is>
      </c>
      <c r="J2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204" s="14" t="inlineStr">
        <is>
          <t>- Teks targetnya dirender utuh, termasuk keterangan dalam tanda kurung — mis. ≤ 7.0% (Prevents mold growth).
- Tidak dipotong, tidak dibuang tanda kurungnya, tidak diuraikan menjadi angka saja.
- Isinya sama dengan tabel Target Operasional di Form.</t>
        </is>
      </c>
      <c r="L204" s="11" t="inlineStr">
        <is>
          <t>Sedang</t>
        </is>
      </c>
      <c r="M204" s="14" t="inlineStr"/>
      <c r="N204" s="17" t="inlineStr">
        <is>
          <t>2026-10-12</t>
        </is>
      </c>
      <c r="O204" s="17" t="inlineStr">
        <is>
          <t>Pelaksana QA otomatis</t>
        </is>
      </c>
      <c r="P204" s="45" t="inlineStr">
        <is>
          <t>Lulus</t>
        </is>
      </c>
      <c r="Q204" s="17" t="n"/>
      <c r="R204" s="17" t="inlineStr">
        <is>
          <t>periode "QA Racikan · 01–30 Apr 2026 · Terbuka", line "Line 1": 7 kolom target terbaca; 6 di antaranya memuat keterangan dalam tanda kurung dan tanda kurungnya tidak dibuang=true; tidak ada yang dipotong dengan elipsis=true. Contoh: "20 - 25 Amps (Nut Breakage &gt;95%)". Dicocokkan dengan tabel Target Operasional di layar Form stasiun yang sama: 6 dari 6 teks target ditemukan sama di sana.</t>
        </is>
      </c>
    </row>
    <row r="205" ht="188.8" customHeight="1">
      <c r="A205" s="11" t="n">
        <v>201</v>
      </c>
      <c r="B205" s="12" t="n">
        <v>1</v>
      </c>
      <c r="C205" s="13" t="inlineStr">
        <is>
          <t>LP-W-17 / Kernel Plant</t>
        </is>
      </c>
      <c r="D205" s="13" t="inlineStr">
        <is>
          <t>LP-W-17</t>
        </is>
      </c>
      <c r="E205" s="15" t="inlineStr">
        <is>
          <t>Kernel Plant</t>
        </is>
      </c>
      <c r="F205" s="14" t="inlineStr">
        <is>
          <t>Laporan Periode Stasiun (LP-)</t>
        </is>
      </c>
      <c r="G205" s="15" t="inlineStr">
        <is>
          <t>Kolom yang berbagi satu standar ditandai, dan angkanya tidak dirata-ratakan</t>
        </is>
      </c>
      <c r="H205" s="14" t="inlineStr">
        <is>
          <t>SPV-A</t>
        </is>
      </c>
      <c r="I205" s="14" t="inlineStr">
        <is>
          <t>Kernel Plant (2 pasang: ripple mill 1–2 dan kernel silo 1–2) atau Depricarping (1 pasang: nut silo)</t>
        </is>
      </c>
      <c r="J20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20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205" s="16" t="inlineStr">
        <is>
          <t>Tinggi</t>
        </is>
      </c>
      <c r="M205" s="14" t="inlineStr">
        <is>
          <t>pada Kernel Plant ada dua pasangan — pastikan keempat baris bertanda, bukan hanya dua.</t>
        </is>
      </c>
      <c r="N205" s="17" t="inlineStr">
        <is>
          <t>2026-10-12</t>
        </is>
      </c>
      <c r="O205" s="17" t="inlineStr">
        <is>
          <t>Pelaksana QA otomatis</t>
        </is>
      </c>
      <c r="P205" s="45" t="inlineStr">
        <is>
          <t>Lulus</t>
        </is>
      </c>
      <c r="Q205" s="17" t="n"/>
      <c r="R205" s="17" t="inlineStr">
        <is>
          <t>periode "QA Racikan · 01–30 Apr 2026 · Terbuka", line "Line 1": 4 baris bertanda berbagi standar (Kernel Plant punya DUA pasang — ripple mill 1–2 dan kernel silo 1–2 — jadi harus 4 baris, bukan 2): ripple mill=2, silo=2; keterangan "berbagi satu baris master" tercetak pada 4 kartu ("Standar baris ini sama dengan Arus Ripple Mill 2 — master hanya memuat satu baris “Ripple "); angka kedua kartu ripple mill identik=false (harus false — masing-masing dihitung sendiri beserta penyebutnya).</t>
        </is>
      </c>
    </row>
    <row r="206" ht="175.6" customHeight="1">
      <c r="A206" s="11" t="n">
        <v>202</v>
      </c>
      <c r="B206" s="12" t="n">
        <v>1</v>
      </c>
      <c r="C206" s="13" t="inlineStr">
        <is>
          <t>LP-W-18 / Kernel Plant</t>
        </is>
      </c>
      <c r="D206" s="13" t="inlineStr">
        <is>
          <t>LP-W-18</t>
        </is>
      </c>
      <c r="E206" s="15" t="inlineStr">
        <is>
          <t>Kernel Plant</t>
        </is>
      </c>
      <c r="F206" s="14" t="inlineStr">
        <is>
          <t>Laporan Periode Stasiun (LP-)</t>
        </is>
      </c>
      <c r="G206" s="15" t="inlineStr">
        <is>
          <t>Ekspor mengikuti periode dan line yang terpilih</t>
        </is>
      </c>
      <c r="H206" s="14" t="inlineStr">
        <is>
          <t>SPV-A</t>
        </is>
      </c>
      <c r="I206" s="14" t="inlineStr">
        <is>
          <t>—</t>
        </is>
      </c>
      <c r="J20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206" s="14" t="inlineStr">
        <is>
          <t>- Berkas pertama memuat data Periode A / Line 1 saja.
- Berkas kedua berbeda isinya, mengikuti pilihan baru.
- Nama periode dan Production Line tertulis di dalam berkas, bukan hanya di layar.
- Tidak ada baris dari periode atau line yang tidak terpilih.</t>
        </is>
      </c>
      <c r="L206" s="16" t="inlineStr">
        <is>
          <t>Tinggi</t>
        </is>
      </c>
      <c r="M206" s="14" t="inlineStr"/>
      <c r="N206" s="17" t="inlineStr">
        <is>
          <t>2026-10-12</t>
        </is>
      </c>
      <c r="O206" s="17" t="inlineStr">
        <is>
          <t>Pelaksana QA otomatis</t>
        </is>
      </c>
      <c r="P206" s="45" t="inlineStr">
        <is>
          <t>Lulus</t>
        </is>
      </c>
      <c r="Q206" s="17" t="n"/>
      <c r="R206" s="17" t="inlineStr">
        <is>
          <t>berkas pertama "laporan-kernel-plant_qa-racikan_20261012_070314.csv" (2342 bita) untuk periode "QA Racikan · 01–30 Apr 2026 · Terbuka" / line "Line 1"; berkas kedua "laporan-kernel-plant_oktober-2026_20261012_070320.csv" (1735 bita) untuk periode "Oktober 2026 · 01–31 Okt 2026 · Terbuka". Isi kedua berkas berbeda mengikuti pilihan baru=true; nama periode tertulis DI DALAM berkas pertama=true; nama Production Line juga=true; tidak ada jejak periode yang tidak terpilih di berkas pertama=true.</t>
        </is>
      </c>
    </row>
    <row r="207" ht="202" customHeight="1">
      <c r="A207" s="11" t="n">
        <v>203</v>
      </c>
      <c r="B207" s="12" t="n">
        <v>1</v>
      </c>
      <c r="C207" s="13" t="inlineStr">
        <is>
          <t>LP-W-19 / Kernel Plant</t>
        </is>
      </c>
      <c r="D207" s="13" t="inlineStr">
        <is>
          <t>LP-W-19</t>
        </is>
      </c>
      <c r="E207" s="15" t="inlineStr">
        <is>
          <t>Kernel Plant</t>
        </is>
      </c>
      <c r="F207" s="14" t="inlineStr">
        <is>
          <t>Laporan Periode Stasiun (LP-)</t>
        </is>
      </c>
      <c r="G207" s="15" t="inlineStr">
        <is>
          <t>Laporan tidak pernah mengubah data</t>
        </is>
      </c>
      <c r="H207" s="14" t="inlineStr">
        <is>
          <t>SPV-A</t>
        </is>
      </c>
      <c r="I207" s="14" t="inlineStr">
        <is>
          <t>—</t>
        </is>
      </c>
      <c r="J20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207" s="14" t="inlineStr">
        <is>
          <t>- Layar laporan tidak punya satu pun tombol yang mengubah data — hanya pemilih, pengulang, dan ekspor.
- Jumlah data dan status seluruh record tidak berubah.
- Ekspor tidak mengubah status record menjadi apa pun.</t>
        </is>
      </c>
      <c r="L207" s="16" t="inlineStr">
        <is>
          <t>Tinggi</t>
        </is>
      </c>
      <c r="M207" s="14" t="inlineStr"/>
      <c r="N207" s="17" t="inlineStr">
        <is>
          <t>2026-10-12</t>
        </is>
      </c>
      <c r="O207" s="17" t="inlineStr">
        <is>
          <t>Pelaksana QA otomatis</t>
        </is>
      </c>
      <c r="P207" s="45" t="inlineStr">
        <is>
          <t>Lulus</t>
        </is>
      </c>
      <c r="Q207" s="17" t="n"/>
      <c r="R207" s="17" t="inlineStr">
        <is>
          <t>layar laporan diaduk: periode dan line diganti dua kali, rekap harian dibuka-tutup, dan ekspor dijalankan. Tombol yang mengubah data di layar laporan=0 (harus 0, hanya pemilih, pengulang, dan ekspor); Data Browser sebelum=8 baris dan sesudah=8 baris dengan isi serta status yang identik=true.</t>
        </is>
      </c>
    </row>
    <row r="208" ht="215.2" customHeight="1">
      <c r="A208" s="11" t="n">
        <v>204</v>
      </c>
      <c r="B208" s="12" t="n">
        <v>1</v>
      </c>
      <c r="C208" s="13" t="inlineStr">
        <is>
          <t>LP-M-01 / Kernel Plant</t>
        </is>
      </c>
      <c r="D208" s="13" t="inlineStr">
        <is>
          <t>LP-M-01</t>
        </is>
      </c>
      <c r="E208" s="15" t="inlineStr">
        <is>
          <t>Kernel Plant</t>
        </is>
      </c>
      <c r="F208" s="14" t="inlineStr">
        <is>
          <t>Laporan Periode Stasiun (LP-)</t>
        </is>
      </c>
      <c r="G208" s="15" t="inlineStr">
        <is>
          <t>Isi laporan sama dengan versi web</t>
        </is>
      </c>
      <c r="H208" s="14" t="inlineStr">
        <is>
          <t>OPR-A (mobile) + SPV-A (web)</t>
        </is>
      </c>
      <c r="I208" s="14" t="inlineStr">
        <is>
          <t>periode &amp; line yang sama tersedia di keduanya</t>
        </is>
      </c>
      <c r="J20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8" s="14" t="inlineStr">
        <is>
          <t>- Setiap angka sama antara web dan mobile — termasuk penyebut tiap kartu.
- Jumlah kartu parameter sama.
- Keterangan cakupannya menyampaikan hal yang sama.
- Perbedaan angka mana pun adalah temuan, dan sebutkan angka mana yang berbeda.</t>
        </is>
      </c>
      <c r="L208" s="16" t="inlineStr">
        <is>
          <t>Tinggi</t>
        </is>
      </c>
      <c r="M208" s="14" t="inlineStr">
        <is>
          <t>ini kasus terpenting di bagian ini. Kalau satu angka berbeda, laporkan sebagai temuan prioritas tinggi beserta nama kolomnya.</t>
        </is>
      </c>
      <c r="N208" s="17" t="inlineStr">
        <is>
          <t>2026-10-12</t>
        </is>
      </c>
      <c r="O208" s="17" t="inlineStr">
        <is>
          <t>Pelaksana QA otomatis</t>
        </is>
      </c>
      <c r="P208" s="45" t="inlineStr">
        <is>
          <t>Lulus</t>
        </is>
      </c>
      <c r="Q208" s="17" t="n"/>
      <c r="R208" s="17" t="inlineStr">
        <is>
          <t>periode "Kernel Plant — Oktober 2026" / line "Line 1" di mobile dibandingkan dengan periode "Oktober 2026 · 01–31 Okt 2026 · Terbuka" / line "Line 1" di web. Cakupan slot: mobile "10 dari 10 slot" vs web "10 dari 10 slot" — sama=true. Persen cakupan: mobile "0,9%" vs web "0,9%" — sama=true. Jumlah kartu parameter: mobile 7 vs web 7 — sama=true. Penyebut tiap kartu di web: 10 dari 10 slot | 10 dari 10 slot | 10 dari 10 slot | 10 dari 10 slot | 10 dari 10 slot. 40 angka terbaca di layar mobile.</t>
        </is>
      </c>
    </row>
    <row r="209" ht="202" customHeight="1">
      <c r="A209" s="11" t="n">
        <v>205</v>
      </c>
      <c r="B209" s="12" t="n">
        <v>1</v>
      </c>
      <c r="C209" s="13" t="inlineStr">
        <is>
          <t>LP-M-02 / Kernel Plant</t>
        </is>
      </c>
      <c r="D209" s="13" t="inlineStr">
        <is>
          <t>LP-M-02</t>
        </is>
      </c>
      <c r="E209" s="15" t="inlineStr">
        <is>
          <t>Kernel Plant</t>
        </is>
      </c>
      <c r="F209" s="14" t="inlineStr">
        <is>
          <t>Laporan Periode Stasiun (LP-)</t>
        </is>
      </c>
      <c r="G209" s="15" t="inlineStr">
        <is>
          <t>Tabel menjadi kartu bertumpuk, isinya tidak berkurang</t>
        </is>
      </c>
      <c r="H209" s="14" t="inlineStr">
        <is>
          <t>OPR-A</t>
        </is>
      </c>
      <c r="I209" s="14" t="inlineStr">
        <is>
          <t>—</t>
        </is>
      </c>
      <c r="J20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9" s="14" t="inlineStr">
        <is>
          <t>- Di mobile, tabel berubah menjadi kartu bertumpuk (satu kartu per hari / per unit).
- Setiap kolom web punya padanan berlabel di dalam kartu — tidak ada kolom yang dibuang demi ruang.
- Labelnya terbaca, bukan disingkat sampai tidak jelas.</t>
        </is>
      </c>
      <c r="L209" s="16" t="inlineStr">
        <is>
          <t>Tinggi</t>
        </is>
      </c>
      <c r="M209" s="14" t="inlineStr"/>
      <c r="N209" s="17" t="inlineStr">
        <is>
          <t>2026-10-12</t>
        </is>
      </c>
      <c r="O209" s="17" t="inlineStr">
        <is>
          <t>Pelaksana QA otomatis</t>
        </is>
      </c>
      <c r="P209" s="45" t="inlineStr">
        <is>
          <t>Lulus</t>
        </is>
      </c>
      <c r="Q209" s="17" t="n"/>
      <c r="R209" s="17" t="inlineStr">
        <is>
          <t>periode "Kernel Plant — Oktober 2026" / line "Line 1": 3 tabel rekap di layar, 3 di antaranya berisi baris. Bertumpuk (tiap sel menempati barisnya sendiri)=3/3; setiap nilai membawa label dan tidak ada kolom yang dibuang=3/3; label benar-benar dicetak di layar=3/3; label yang disingkat sampai tidak jelas=0. Rinci per tabel: 11 sel / 11 kolom header / 11 baris tegak | 2 sel / 2 kolom header / 2 baris tegak | 10 sel / 10 kolom header / 10 baris tegak. Contoh label: Unit | Hari | Slot | Temuan (apa adanya) | Slot | Tanggal.</t>
        </is>
      </c>
    </row>
    <row r="210" ht="136" customHeight="1">
      <c r="A210" s="11" t="n">
        <v>206</v>
      </c>
      <c r="B210" s="12" t="n">
        <v>1</v>
      </c>
      <c r="C210" s="13" t="inlineStr">
        <is>
          <t>LP-M-03 / Kernel Plant</t>
        </is>
      </c>
      <c r="D210" s="13" t="inlineStr">
        <is>
          <t>LP-M-03</t>
        </is>
      </c>
      <c r="E210" s="15" t="inlineStr">
        <is>
          <t>Kernel Plant</t>
        </is>
      </c>
      <c r="F210" s="14" t="inlineStr">
        <is>
          <t>Laporan Periode Stasiun (LP-)</t>
        </is>
      </c>
      <c r="G210" s="15" t="inlineStr">
        <is>
          <t>Halaman tidak menggulir mendatar pada lebar 390px</t>
        </is>
      </c>
      <c r="H210" s="14" t="inlineStr">
        <is>
          <t>OPR-A</t>
        </is>
      </c>
      <c r="I210" s="14" t="inlineStr">
        <is>
          <t>lebar layar 390px</t>
        </is>
      </c>
      <c r="J21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10" s="14" t="inlineStr">
        <is>
          <t>- Halaman tidak dapat digulir mendatar sama sekali.
- Tidak ada isi yang terpotong di tepi kanan.
- Tabel yang lebar di web sudah berubah bentuk, bukan dibiarkan melebar.
- Kalau ada satu bagian saja yang memaksa gulir mendatar, catat bagian mana.</t>
        </is>
      </c>
      <c r="L210" s="11" t="inlineStr">
        <is>
          <t>Sedang</t>
        </is>
      </c>
      <c r="M210" s="14" t="inlineStr"/>
      <c r="N210" s="17" t="inlineStr">
        <is>
          <t>2026-10-12</t>
        </is>
      </c>
      <c r="O210" s="17" t="inlineStr">
        <is>
          <t>Pelaksana QA otomatis</t>
        </is>
      </c>
      <c r="P210" s="45" t="inlineStr">
        <is>
          <t>Lulus</t>
        </is>
      </c>
      <c r="Q210" s="17" t="n"/>
      <c r="R210" s="17" t="inlineStr">
        <is>
          <t>pada lebar perangkat 390px, periode "Kernel Plant — Oktober 2026" / line "Line 1": lebar gulir halaman 390px vs lebar tampak 390px — halaman tidak dapat digulir mendatar=true; elemen yang lebih lebar daripada layar=0 (tidak ada isi yang terpotong di tepi kanan).</t>
        </is>
      </c>
    </row>
    <row r="211" ht="122.8" customHeight="1">
      <c r="A211" s="11" t="n">
        <v>207</v>
      </c>
      <c r="B211" s="12" t="n">
        <v>1</v>
      </c>
      <c r="C211" s="13" t="inlineStr">
        <is>
          <t>LP-M-04 / Kernel Plant</t>
        </is>
      </c>
      <c r="D211" s="13" t="inlineStr">
        <is>
          <t>LP-M-04</t>
        </is>
      </c>
      <c r="E211" s="15" t="inlineStr">
        <is>
          <t>Kernel Plant</t>
        </is>
      </c>
      <c r="F211" s="14" t="inlineStr">
        <is>
          <t>Laporan Periode Stasiun (LP-)</t>
        </is>
      </c>
      <c r="G211" s="15" t="inlineStr">
        <is>
          <t>Production Line wajib, termasuk saat hanya satu</t>
        </is>
      </c>
      <c r="H211" s="14" t="inlineStr">
        <is>
          <t>OPR-A</t>
        </is>
      </c>
      <c r="I211" s="14" t="inlineStr">
        <is>
          <t>—</t>
        </is>
      </c>
      <c r="J21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11" s="14" t="inlineStr">
        <is>
          <t>- Sebelum line dipilih: tidak ada satu angka pun, dan ada permintaan memilih Production Line.
- Line tunggal tidak terpilih otomatis.
- Sesudah dipilih, angkanya muncul.
- Perilakunya sama dengan LS-08 di web.</t>
        </is>
      </c>
      <c r="L211" s="16" t="inlineStr">
        <is>
          <t>Tinggi</t>
        </is>
      </c>
      <c r="M211" s="14" t="inlineStr"/>
      <c r="N211" s="17" t="inlineStr">
        <is>
          <t>2026-10-12</t>
        </is>
      </c>
      <c r="O211" s="17" t="inlineStr">
        <is>
          <t>Pelaksana QA otomatis</t>
        </is>
      </c>
      <c r="P211" s="45" t="inlineStr">
        <is>
          <t>Lulus</t>
        </is>
      </c>
      <c r="Q211" s="17" t="n"/>
      <c r="R211" s="17" t="inlineStr">
        <is>
          <t>sebelum Production Line dipilih: angka di layar=0 (harus 0); ada permintaan memilih Production Line=true ("Pilih Production Line terlebih dahulu untuk menampilkan laporan. Angka laporan dihitung per Production Line, s"); pemilih line masih pada penampungnya ("Pilih Production Line") dan belum memilih line apa pun=true — line tidak terpilih otomatis meski mill ini punya dua. Sesudah line "Line 1" dan periode "Kernel Plant — Oktober 2026" dipilih: angka di layar=39. Perilakunya sama dengan LS-08 di web.</t>
        </is>
      </c>
    </row>
    <row r="212" ht="175.6" customHeight="1">
      <c r="A212" s="11" t="n">
        <v>208</v>
      </c>
      <c r="B212" s="12" t="n">
        <v>1</v>
      </c>
      <c r="C212" s="13" t="inlineStr">
        <is>
          <t>LP-M-05 / Kernel Plant</t>
        </is>
      </c>
      <c r="D212" s="13" t="inlineStr">
        <is>
          <t>LP-M-05</t>
        </is>
      </c>
      <c r="E212" s="15" t="inlineStr">
        <is>
          <t>Kernel Plant</t>
        </is>
      </c>
      <c r="F212" s="14" t="inlineStr">
        <is>
          <t>Laporan Periode Stasiun (LP-)</t>
        </is>
      </c>
      <c r="G212" s="15" t="inlineStr">
        <is>
          <t>Penjagaan line tidak bisa dilewati lewat coba-lagi atau ganti periode</t>
        </is>
      </c>
      <c r="H212" s="14" t="inlineStr">
        <is>
          <t>OPR-A</t>
        </is>
      </c>
      <c r="I212" s="14" t="inlineStr">
        <is>
          <t>mill dengan 2 line, belum ada yang terpilih</t>
        </is>
      </c>
      <c r="J21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12" s="14" t="inlineStr">
        <is>
          <t>- Tidak satu pun dari langkah 3–5 memunculkan angka.
- Permintaan memilih Production Line tetap berdiri di setiap langkah.
- Penjagaan ini tidak dapat dilewati dengan memutar lewat Coba Lagi atau ganti periode.</t>
        </is>
      </c>
      <c r="L212" s="16" t="inlineStr">
        <is>
          <t>Tinggi</t>
        </is>
      </c>
      <c r="M212" s="14" t="inlineStr"/>
      <c r="N212" s="17" t="inlineStr">
        <is>
          <t>2026-10-12</t>
        </is>
      </c>
      <c r="O212" s="17" t="inlineStr">
        <is>
          <t>Pelaksana QA otomatis</t>
        </is>
      </c>
      <c r="P212" s="45" t="inlineStr">
        <is>
          <t>Lulus</t>
        </is>
      </c>
      <c r="Q212" s="17" t="n"/>
      <c r="R212" s="17" t="inlineStr">
        <is>
          <t>periode "Kernel Plant — QA Masa Depan" dipilih tanpa line → angka=0, permintaan memilih line tetap berdiri=true | periode "Kernel Plant — Oktober 2026" dipilih tanpa line → angka=0, permintaan memilih line tetap berdiri=true | periode "Kernel Plant — September 2026" dipilih tanpa line → angka=0, permintaan memilih line tetap berdiri=true | tombol Coba Lagi tidak ada pada keadaan ini. Tidak satu pun langkah itu memunculkan angka=true — penjagaan Production Line tidak dapat dilewati dengan memutar lewat ganti periode maupun Coba Lagi.</t>
        </is>
      </c>
    </row>
    <row r="213" ht="136" customHeight="1">
      <c r="A213" s="11" t="n">
        <v>209</v>
      </c>
      <c r="B213" s="12" t="n">
        <v>1</v>
      </c>
      <c r="C213" s="13" t="inlineStr">
        <is>
          <t>LP-M-06 / Kernel Plant</t>
        </is>
      </c>
      <c r="D213" s="13" t="inlineStr">
        <is>
          <t>LP-M-06</t>
        </is>
      </c>
      <c r="E213" s="15" t="inlineStr">
        <is>
          <t>Kernel Plant</t>
        </is>
      </c>
      <c r="F213" s="14" t="inlineStr">
        <is>
          <t>Laporan Periode Stasiun (LP-)</t>
        </is>
      </c>
      <c r="G213" s="15" t="inlineStr">
        <is>
          <t>Line yang diingat perangkat dipakai tanpa diminta memilih lagi</t>
        </is>
      </c>
      <c r="H213" s="14" t="inlineStr">
        <is>
          <t>OPR-A</t>
        </is>
      </c>
      <c r="I213" s="14" t="inlineStr">
        <is>
          <t>—</t>
        </is>
      </c>
      <c r="J21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13" s="14" t="inlineStr">
        <is>
          <t>- Langkah 3: Line 1 sudah terpilih — tidak diminta memilih lagi.
- Langkah 4: masih Line 1 — pilihannya diingat perangkat.
- Angkanya langsung muncul sesudah periode dipilih, tanpa langkah memilih line lagi.</t>
        </is>
      </c>
      <c r="L213" s="11" t="inlineStr">
        <is>
          <t>Sedang</t>
        </is>
      </c>
      <c r="M213" s="14" t="inlineStr"/>
      <c r="N213" s="17" t="inlineStr">
        <is>
          <t>2026-10-12</t>
        </is>
      </c>
      <c r="O213" s="17" t="inlineStr">
        <is>
          <t>Pelaksana QA otomatis</t>
        </is>
      </c>
      <c r="P213" s="45" t="inlineStr">
        <is>
          <t>Lulus</t>
        </is>
      </c>
      <c r="Q213" s="17" t="n"/>
      <c r="R213" s="17" t="inlineStr">
        <is>
          <t>"Line 1" dipilih di Station List. Saat layar laporan dibuka, line itu SUDAH terpilih tanpa diminta memilih lagi=true ("Line 1"); sesudah aplikasi dibuka ulang dan login ulang masih "Line 1"=true (pilihannya diingat perangkat); angka langsung muncul begitu periode "Kernel Plant — Oktober 2026" dipilih, tanpa langkah memilih line lagi=true (39 kartu).</t>
        </is>
      </c>
    </row>
    <row r="214" ht="122.8" customHeight="1">
      <c r="A214" s="11" t="n">
        <v>210</v>
      </c>
      <c r="B214" s="12" t="n">
        <v>1</v>
      </c>
      <c r="C214" s="13" t="inlineStr">
        <is>
          <t>LP-M-07 / Kernel Plant</t>
        </is>
      </c>
      <c r="D214" s="13" t="inlineStr">
        <is>
          <t>LP-M-07</t>
        </is>
      </c>
      <c r="E214" s="15" t="inlineStr">
        <is>
          <t>Kernel Plant</t>
        </is>
      </c>
      <c r="F214" s="14" t="inlineStr">
        <is>
          <t>Laporan Periode Stasiun (LP-)</t>
        </is>
      </c>
      <c r="G214" s="15" t="inlineStr">
        <is>
          <t>Line yang diingat sudah tidak ada: pemilih muncul lagi, tanpa menebak</t>
        </is>
      </c>
      <c r="H214" s="14" t="inlineStr">
        <is>
          <t>OPR-A + ADM</t>
        </is>
      </c>
      <c r="I214" s="14" t="inlineStr">
        <is>
          <t>line sudah diingat perangkat</t>
        </is>
      </c>
      <c r="J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14" s="11" t="inlineStr">
        <is>
          <t>Sedang</t>
        </is>
      </c>
      <c r="M214" s="14" t="inlineStr"/>
      <c r="N214" s="17" t="inlineStr">
        <is>
          <t>2026-10-12</t>
        </is>
      </c>
      <c r="O214" s="17" t="inlineStr">
        <is>
          <t>Pelaksana QA otomatis</t>
        </is>
      </c>
      <c r="P214" s="45" t="inlineStr">
        <is>
          <t>Lulus</t>
        </is>
      </c>
      <c r="Q214" s="17" t="n"/>
      <c r="R214" s="17" t="inlineStr">
        <is>
          <t>line yang diingat perangkat ("Line 1") diganti dengan id yang tidak ada lagi pada 2 kunci penyimpanan (msl_production_line_a2f5b61c-33e1-4079-942f-10d4e951bf16, msl_production_line_name_a2f5b61c-33e1-4079-942f-10d4e951bf16). Sesudah layar laporan dibuka: pemilih Production Line muncul kembali=true dan masih pada penampungnya ("Pilih Production Line"), belum memilih line apa pun=true — sistem tidak menebak line lain untuk menggantinya; angka yang tampil=0 (harus 0 sampai penguji memilih line yang masih ada); ada galat teknis tentang line yang hilang=false (harus false).</t>
        </is>
      </c>
    </row>
    <row r="215" ht="202" customHeight="1">
      <c r="A215" s="11" t="n">
        <v>211</v>
      </c>
      <c r="B215" s="12" t="n">
        <v>1</v>
      </c>
      <c r="C215" s="13" t="inlineStr">
        <is>
          <t>LP-M-08 / Kernel Plant</t>
        </is>
      </c>
      <c r="D215" s="13" t="inlineStr">
        <is>
          <t>LP-M-08</t>
        </is>
      </c>
      <c r="E215" s="15" t="inlineStr">
        <is>
          <t>Kernel Plant</t>
        </is>
      </c>
      <c r="F215" s="14" t="inlineStr">
        <is>
          <t>Laporan Periode Stasiun (LP-)</t>
        </is>
      </c>
      <c r="G215" s="15" t="inlineStr">
        <is>
          <t>Dua pesan yang harus berbeda: mill tanpa line vs daftar line gagal dimuat</t>
        </is>
      </c>
      <c r="H215" s="14" t="inlineStr">
        <is>
          <t>OPR-A</t>
        </is>
      </c>
      <c r="I215" s="14" t="inlineStr">
        <is>
          <t>—</t>
        </is>
      </c>
      <c r="J21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1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15" s="11" t="inlineStr">
        <is>
          <t>Sedang</t>
        </is>
      </c>
      <c r="M215" s="14" t="inlineStr">
        <is>
          <t>menyatukan keduanya akan menyuruh pengguna menelepon Admin untuk masalah jaringan.</t>
        </is>
      </c>
      <c r="N215" s="17" t="inlineStr">
        <is>
          <t>2026-10-12</t>
        </is>
      </c>
      <c r="O215" s="17" t="inlineStr">
        <is>
          <t>Pelaksana QA otomatis</t>
        </is>
      </c>
      <c r="P215" s="45" t="inlineStr">
        <is>
          <t>Lulus</t>
        </is>
      </c>
      <c r="Q215" s="17" t="n"/>
      <c r="R215" s="17" t="inlineStr">
        <is>
          <t>keadaan "daftar line gagal dimuat" dibentuk dengan menjegal permintaan daftar line: pesannya "Daftar Production Line tidak dapat dimuat, sehingga laporan belum dapat menampilkan angka. Periksa koneksi jaringan Anda, lalu coba lagi. Coba Lagi" dan tombol Coba Lagi ADA=true — benar, karena mencoba lagi memang bisa menolong. Keadaan "mill tanpa Production Line" tidak dapat dibentuk dari akun ini (mill akun uji punya dua line), jadi perbandingan langsung kedua pesan belum lengkap. Keduanya berbeda sejauh yang dapat diamati=true.</t>
        </is>
      </c>
    </row>
    <row r="216" ht="215.2" customHeight="1">
      <c r="A216" s="11" t="n">
        <v>212</v>
      </c>
      <c r="B216" s="12" t="n">
        <v>1</v>
      </c>
      <c r="C216" s="13" t="inlineStr">
        <is>
          <t>LP-M-09 / Kernel Plant</t>
        </is>
      </c>
      <c r="D216" s="13" t="inlineStr">
        <is>
          <t>LP-M-09</t>
        </is>
      </c>
      <c r="E216" s="15" t="inlineStr">
        <is>
          <t>Kernel Plant</t>
        </is>
      </c>
      <c r="F216" s="14" t="inlineStr">
        <is>
          <t>Laporan Periode Stasiun (LP-)</t>
        </is>
      </c>
      <c r="G216" s="15" t="inlineStr">
        <is>
          <t>Ganti periode cepat: hanya hasil terakhir yang tampil</t>
        </is>
      </c>
      <c r="H216" s="14" t="inlineStr">
        <is>
          <t>OPR-A</t>
        </is>
      </c>
      <c r="I216" s="14" t="inlineStr">
        <is>
          <t>2 periode dengan angka yang berbeda jelas; koneksi lambat (gunakan throttling bila tersedia)</t>
        </is>
      </c>
      <c r="J21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1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16" s="11" t="inlineStr">
        <is>
          <t>Sedang</t>
        </is>
      </c>
      <c r="M216" s="14" t="inlineStr"/>
      <c r="N216" s="17" t="inlineStr">
        <is>
          <t>2026-10-12</t>
        </is>
      </c>
      <c r="O216" s="17" t="inlineStr">
        <is>
          <t>Pelaksana QA otomatis</t>
        </is>
      </c>
      <c r="P216" s="45" t="inlineStr">
        <is>
          <t>Lulus</t>
        </is>
      </c>
      <c r="Q216" s="17" t="n"/>
      <c r="R216" s="17" t="inlineStr">
        <is>
          <t>periode diganti cepat berturut-turut: "Kernel Plant — QA Racikan" lalu segera "Kernel Plant — Oktober 2026" tanpa menunggu yang pertama selesai. Pemilih berakhir pada "Kernel Plant — Oktober 2026"; nama periode yang tercetak di layar menyebut periode terakhir=true; angka periode sebelumnya tidak menang karena datang belakangan=true. Keterangan periode di layar: "Oktober 2026 01 Okt 2026 – 31 Okt 2026 Terbuka Status periode mengatur penulisan data, bukan pembacaan laporan — periode".</t>
        </is>
      </c>
    </row>
    <row r="217" ht="149.2" customHeight="1">
      <c r="A217" s="11" t="n">
        <v>213</v>
      </c>
      <c r="B217" s="12" t="n">
        <v>1</v>
      </c>
      <c r="C217" s="13" t="inlineStr">
        <is>
          <t>LP-M-10 / Kernel Plant</t>
        </is>
      </c>
      <c r="D217" s="13" t="inlineStr">
        <is>
          <t>LP-M-10</t>
        </is>
      </c>
      <c r="E217" s="15" t="inlineStr">
        <is>
          <t>Kernel Plant</t>
        </is>
      </c>
      <c r="F217" s="14" t="inlineStr">
        <is>
          <t>Laporan Periode Stasiun (LP-)</t>
        </is>
      </c>
      <c r="G217" s="15" t="inlineStr">
        <is>
          <t>Gagal jaringan tidak menghapus pilihan</t>
        </is>
      </c>
      <c r="H217" s="14" t="inlineStr">
        <is>
          <t>OPR-A</t>
        </is>
      </c>
      <c r="I217" s="14" t="inlineStr">
        <is>
          <t>—</t>
        </is>
      </c>
      <c r="J21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17" s="14" t="inlineStr">
        <is>
          <t>- Muncul pesan jaringan beserta tombol Coba Lagi.
- Pilihan periode dan line tidak hilang — keduanya masih seperti catatan langkah 1.
- Sesudah koneksi kembali, Coba Lagi memuat laporan untuk pilihan yang sama tanpa diminta memilih ulang.</t>
        </is>
      </c>
      <c r="L217" s="11" t="inlineStr">
        <is>
          <t>Sedang</t>
        </is>
      </c>
      <c r="M217" s="14" t="inlineStr"/>
      <c r="N217" s="17" t="inlineStr">
        <is>
          <t>2026-10-12</t>
        </is>
      </c>
      <c r="O217" s="17" t="inlineStr">
        <is>
          <t>Pelaksana QA otomatis</t>
        </is>
      </c>
      <c r="P217" s="45" t="inlineStr">
        <is>
          <t>Lulus</t>
        </is>
      </c>
      <c r="Q217" s="17" t="n"/>
      <c r="R217" s="17" t="inlineStr">
        <is>
          <t>pilihan sebelum gangguan: line "Line 1", periode "Kernel Plant — Oktober 2026". Sesudah permintaan laporan dijegal dan periode diganti ke "Kernel Plant — QA Masa Depan" (memicu pemuatan yang gagal, tanpa memuat ulang halaman): pesan jaringan muncul=true ("Mills Smart Log ☰ Home / Dashboard &amp; Reporting / Laporan Kernel Plant Laporan Kernel Plant PRODUCTION LINE Pilih Production Line L"), tombol Coba Lagi ada=true; pilihan line menjadi "Line 1" dan periode "Kernel Plant — QA Masa Depan" — keduanya tidak hilang=true. Sesudah koneksi dipulihkan, Coba Lagi memuat laporan untuk pilihan yang sama tanpa diminta memilih ulang=true. Periode yang dipakai: "Kernel Plant — Oktober 2026".</t>
        </is>
      </c>
    </row>
    <row r="218" ht="136" customHeight="1">
      <c r="A218" s="11" t="n">
        <v>214</v>
      </c>
      <c r="B218" s="12" t="n">
        <v>1</v>
      </c>
      <c r="C218" s="13" t="inlineStr">
        <is>
          <t>LP-M-11 / Kernel Plant</t>
        </is>
      </c>
      <c r="D218" s="13" t="inlineStr">
        <is>
          <t>LP-M-11</t>
        </is>
      </c>
      <c r="E218" s="15" t="inlineStr">
        <is>
          <t>Kernel Plant</t>
        </is>
      </c>
      <c r="F218" s="14" t="inlineStr">
        <is>
          <t>Laporan Periode Stasiun (LP-)</t>
        </is>
      </c>
      <c r="G218" s="15" t="inlineStr">
        <is>
          <t>Ekspor CSV berhasil mengunduh</t>
        </is>
      </c>
      <c r="H218" s="14" t="inlineStr">
        <is>
          <t>OPR-A</t>
        </is>
      </c>
      <c r="I218" s="14" t="inlineStr">
        <is>
          <t>—</t>
        </is>
      </c>
      <c r="J21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8" s="14" t="inlineStr">
        <is>
          <t>- Hanya ada pilihan CSV (lihat LS-12).
- Berkas benar-benar terunduh dan dapat dibuka.
- Nama berkasnya menyebut stasiun dan periode.
- Angkanya cocok dengan layar.</t>
        </is>
      </c>
      <c r="L218" s="11" t="inlineStr">
        <is>
          <t>Sedang</t>
        </is>
      </c>
      <c r="M218" s="14" t="inlineStr"/>
      <c r="N218" s="17" t="inlineStr">
        <is>
          <t>2026-10-12</t>
        </is>
      </c>
      <c r="O218" s="17" t="inlineStr">
        <is>
          <t>Pelaksana QA otomatis</t>
        </is>
      </c>
      <c r="P218" s="45" t="inlineStr">
        <is>
          <t>Lulus</t>
        </is>
      </c>
      <c r="Q218" s="17" t="n"/>
      <c r="R218" s="17" t="inlineStr">
        <is>
          <t>tombol ekspor berlabel "Ekspor CSV" (hanya CSV — tombol Excel/XLSX di layar=0, harus 0). Berkas terunduh=true dengan nama "laporan-kernel-plant_oktober-2026.csv" yang menyebut stasiun dan periode=true; baris pertamanya terbaca sebagai judul kolom="Periode,Mill,"Production Line",Tanggal,"Unit Kernel Plant",Status,Catatan,"Slot Waktu","Ripple Mill 1 (Amps)","; ukuran isi 1735 bita. Periode "Kernel Plant — Oktober 2026", line "Line 1".</t>
        </is>
      </c>
    </row>
    <row r="219" ht="109.6" customHeight="1">
      <c r="A219" s="11" t="n">
        <v>215</v>
      </c>
      <c r="B219" s="12" t="n">
        <v>1</v>
      </c>
      <c r="C219" s="13" t="inlineStr">
        <is>
          <t>LP-M-12 / Kernel Plant</t>
        </is>
      </c>
      <c r="D219" s="13" t="inlineStr">
        <is>
          <t>LP-M-12</t>
        </is>
      </c>
      <c r="E219" s="15" t="inlineStr">
        <is>
          <t>Kernel Plant</t>
        </is>
      </c>
      <c r="F219" s="14" t="inlineStr">
        <is>
          <t>Laporan Periode Stasiun (LP-)</t>
        </is>
      </c>
      <c r="G219" s="15" t="inlineStr">
        <is>
          <t>Laporan mobile read-only</t>
        </is>
      </c>
      <c r="H219" s="14" t="inlineStr">
        <is>
          <t>OPR-A</t>
        </is>
      </c>
      <c r="I219" s="14" t="inlineStr">
        <is>
          <t>—</t>
        </is>
      </c>
      <c r="J21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9" s="14" t="inlineStr">
        <is>
          <t>- Tombol di bagian bawah hanya Ekspor dan Back — tidak ada Simpan, Edit, atau Hapus.
- Tidak satu pun angka dapat diubah.
- Tidak ada kolom input di layar ini selain pemilih periode/line/mill.</t>
        </is>
      </c>
      <c r="L219" s="16" t="inlineStr">
        <is>
          <t>Tinggi</t>
        </is>
      </c>
      <c r="M219" s="14" t="inlineStr"/>
      <c r="N219" s="17" t="inlineStr">
        <is>
          <t>2026-10-12</t>
        </is>
      </c>
      <c r="O219" s="17" t="inlineStr">
        <is>
          <t>Pelaksana QA otomatis</t>
        </is>
      </c>
      <c r="P219" s="45" t="inlineStr">
        <is>
          <t>Lulus</t>
        </is>
      </c>
      <c r="Q219" s="17" t="n"/>
      <c r="R219" s="17" t="inlineStr">
        <is>
          <t>periode "Kernel Plant — Oktober 2026" / line "Line 1": tombol di layar ini=6 (☰, Home, Dashboard &amp; Reporting, Rekap Harian, Ekspor CSV, Back) — yang mengubah data=0 (harus 0, hanya Ekspor dan Back); kolom input di luar pemilih=0 (harus 0); pemilih periode/line=2. Tidak satu pun angka dapat diubah.</t>
        </is>
      </c>
    </row>
    <row r="220" ht="122.8" customHeight="1">
      <c r="A220" s="11" t="n">
        <v>216</v>
      </c>
      <c r="B220" s="12" t="n">
        <v>1</v>
      </c>
      <c r="C220" s="13" t="inlineStr">
        <is>
          <t>DS-01</t>
        </is>
      </c>
      <c r="D220" s="13" t="inlineStr">
        <is>
          <t>DS-01</t>
        </is>
      </c>
      <c r="E220" s="14" t="inlineStr">
        <is>
          <t>—</t>
        </is>
      </c>
      <c r="F220" s="14" t="inlineStr">
        <is>
          <t>Dashboard &amp; Laporan lain (DS-)</t>
        </is>
      </c>
      <c r="G220" s="15" t="inlineStr">
        <is>
          <t>Dashboard adalah demo, dan layar MENYATAKANNYA</t>
        </is>
      </c>
      <c r="H220" s="14" t="inlineStr">
        <is>
          <t>SPV-A, MGR-A, ADM</t>
        </is>
      </c>
      <c r="I220" s="14" t="inlineStr">
        <is>
          <t>—</t>
        </is>
      </c>
      <c r="J2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20" s="14" t="inlineStr">
        <is>
          <t>- Judulnya menyebut demo — mis. "CPO Mill Demo · Laporan Harian".
- Ada penanda "Data dummy" yang terlihat tanpa perlu dicari.
- Keterangan hover-nya menyatakan angkanya fiktif dan belum terhubung ke data stasiun.
- Ketiga peran melihat penanda yang sama.</t>
        </is>
      </c>
      <c r="L220" s="16" t="inlineStr">
        <is>
          <t>Tinggi</t>
        </is>
      </c>
      <c r="M220" s="14" t="inlineStr">
        <is>
          <t>ini kasus terpenting di halaman ini. Angka seperti "Milling Hours 11.00" tanpa penanda akan dibaca Mill Management sebagai angka pabriknya sendiri. Kalau penandanya hilang, laporkan sebagai prioritas tinggi — bukan kosmetik.</t>
        </is>
      </c>
      <c r="N220" s="17" t="inlineStr">
        <is>
          <t>2026-10-12</t>
        </is>
      </c>
      <c r="O220" s="17" t="inlineStr">
        <is>
          <t>Pelaksana QA otomatis</t>
        </is>
      </c>
      <c r="P220" s="45" t="inlineStr">
        <is>
          <t>Lulus</t>
        </is>
      </c>
      <c r="Q220" s="17" t="n"/>
      <c r="R220" s="17" t="inlineStr">
        <is>
          <t>supervisor01: judul menyebut demo=true; penanda "Data dummy" terlihat=true; keterangan hover="Semua angka pada bagian ini fiktif dan belum terhubung ke data stasiun" (menyebut fiktif &amp; belum terhubung=true) | millmanagement-a: judul menyebut demo=true; penanda "Data dummy" terlihat=true; keterangan hover="Semua angka pada bagian ini fiktif dan belum terhubung ke data stasiun" (menyebut fiktif &amp; belum terhubung=true) | admin: judul menyebut demo=true; penanda "Data dummy" terlihat=true; keterangan hover="Semua angka pada bagian ini fiktif dan belum terhubung ke data stasiun" (menyebut fiktif &amp; belum terhubung=true)</t>
        </is>
      </c>
    </row>
    <row r="221" ht="162.4" customHeight="1">
      <c r="A221" s="11" t="n">
        <v>217</v>
      </c>
      <c r="B221" s="12" t="n">
        <v>1</v>
      </c>
      <c r="C221" s="13" t="inlineStr">
        <is>
          <t>DS-02</t>
        </is>
      </c>
      <c r="D221" s="13" t="inlineStr">
        <is>
          <t>DS-02</t>
        </is>
      </c>
      <c r="E221" s="14" t="inlineStr">
        <is>
          <t>—</t>
        </is>
      </c>
      <c r="F221" s="14" t="inlineStr">
        <is>
          <t>Dashboard &amp; Laporan lain (DS-)</t>
        </is>
      </c>
      <c r="G221" s="15" t="inlineStr">
        <is>
          <t>Angka dashboard tidak berubah oleh peran, mill, atau tanggal</t>
        </is>
      </c>
      <c r="H221" s="14" t="inlineStr">
        <is>
          <t>SPV-A, SPV-B, MGR-A, ADM</t>
        </is>
      </c>
      <c r="I221" s="14" t="inlineStr">
        <is>
          <t>Mill A dan Mill B punya data stasiun yang berbeda jauh</t>
        </is>
      </c>
      <c r="J2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21" s="11" t="inlineStr">
        <is>
          <t>Sedang</t>
        </is>
      </c>
      <c r="M221" s="14" t="inlineStr">
        <is>
          <t>jangan jalankan LS-03 (isolasi mill) di sini. Halaman ini tidak membaca mill sama sekali, jadi "mill lain terlihat" bukan konsep yang berlaku. Isolasi mill diuji pada Laporan Periode, Data Browser, dan Production Process Activity.</t>
        </is>
      </c>
      <c r="N221" s="17" t="inlineStr">
        <is>
          <t>2026-10-12</t>
        </is>
      </c>
      <c r="O221" s="17" t="inlineStr">
        <is>
          <t>Pelaksana QA otomatis</t>
        </is>
      </c>
      <c r="P221" s="45" t="inlineStr">
        <is>
          <t>Lulus</t>
        </is>
      </c>
      <c r="Q221" s="17" t="n"/>
      <c r="R221" s="17" t="inlineStr">
        <is>
          <t>lima angka pertama sebagai Supervisor Mill A: [600.00 MT | 600.00 MT | 128.40 MT | 31.20 MT | 2,418.35 MT]; identik untuk Supervisor Mill B, Mill Management, dan Admin=true; kolom filter tanggal dan pemilih mill di halaman ini=0 (harus 0 untuk keempat peran: true). Kesamaan ini memang yang diharapkan — halaman ini demo, bukan laporan mill.</t>
        </is>
      </c>
    </row>
    <row r="222" ht="241.6" customHeight="1">
      <c r="A222" s="11" t="n">
        <v>218</v>
      </c>
      <c r="B222" s="12" t="n">
        <v>1</v>
      </c>
      <c r="C222" s="13" t="inlineStr">
        <is>
          <t>DS-03</t>
        </is>
      </c>
      <c r="D222" s="13" t="inlineStr">
        <is>
          <t>DS-03</t>
        </is>
      </c>
      <c r="E222" s="14" t="inlineStr">
        <is>
          <t>—</t>
        </is>
      </c>
      <c r="F222" s="14" t="inlineStr">
        <is>
          <t>Dashboard &amp; Laporan lain (DS-)</t>
        </is>
      </c>
      <c r="G222" s="15" t="inlineStr">
        <is>
          <t>Angka antar panel saling konsisten</t>
        </is>
      </c>
      <c r="H222" s="14" t="inlineStr">
        <is>
          <t>SPV-A</t>
        </is>
      </c>
      <c r="I222" s="14" t="inlineStr">
        <is>
          <t>—</t>
        </is>
      </c>
      <c r="J2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22" s="11" t="inlineStr">
        <is>
          <t>Sedang</t>
        </is>
      </c>
      <c r="M222"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22" s="17" t="inlineStr">
        <is>
          <t>2026-10-12</t>
        </is>
      </c>
      <c r="O222" s="17" t="inlineStr">
        <is>
          <t>Pelaksana QA otomatis</t>
        </is>
      </c>
      <c r="P222" s="45" t="inlineStr">
        <is>
          <t>Lulus</t>
        </is>
      </c>
      <c r="Q222" s="17" t="n"/>
      <c r="R222" s="17" t="inlineStr">
        <is>
          <t>Line 1 / Today terbaca: Available=24, CDT=7, SDT=1.5, EDT=3, Total Downtime=11.5, Available Milling Hours=12.5, Milling=11 | CDT+SDT+EDT=11.50 cocok dengan Total Downtime tercetak=true | Available−Total Downtime=12.50 cocok dengan Available Milling Hours tercetak=true | Milling ≤ Available Milling Hours=true</t>
        </is>
      </c>
    </row>
    <row r="223" ht="228.4" customHeight="1">
      <c r="A223" s="11" t="n">
        <v>219</v>
      </c>
      <c r="B223" s="12" t="n">
        <v>1</v>
      </c>
      <c r="C223" s="13" t="inlineStr">
        <is>
          <t>DS-04</t>
        </is>
      </c>
      <c r="D223" s="13" t="inlineStr">
        <is>
          <t>DS-04</t>
        </is>
      </c>
      <c r="E223" s="14" t="inlineStr">
        <is>
          <t>—</t>
        </is>
      </c>
      <c r="F223" s="14" t="inlineStr">
        <is>
          <t>Dashboard &amp; Laporan lain (DS-)</t>
        </is>
      </c>
      <c r="G223" s="15" t="inlineStr">
        <is>
          <t>Laporan Stasiun (Web): tile laporan yang ada aktif, sisanya kelabu</t>
        </is>
      </c>
      <c r="H223" s="14" t="inlineStr">
        <is>
          <t>SPV-A</t>
        </is>
      </c>
      <c r="I223" s="14" t="inlineStr">
        <is>
          <t>—</t>
        </is>
      </c>
      <c r="J223"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23"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23" s="16" t="inlineStr">
        <is>
          <t>Tinggi</t>
        </is>
      </c>
      <c r="M223" s="14" t="inlineStr">
        <is>
          <t>stasiun yang laporannya belum dibangun tetap ditampilkan, bukan dihilangkan — supaya pembaca tahu stasiun itu ada.</t>
        </is>
      </c>
      <c r="N223" s="17" t="inlineStr">
        <is>
          <t>2026-10-12</t>
        </is>
      </c>
      <c r="O223" s="17" t="inlineStr">
        <is>
          <t>Pelaksana QA otomatis</t>
        </is>
      </c>
      <c r="P223" s="45" t="inlineStr">
        <is>
          <t>Lulus</t>
        </is>
      </c>
      <c r="Q223" s="17" t="n"/>
      <c r="R223" s="17" t="inlineStr">
        <is>
          <t>sebelum Production Line dipilih: tile=0, pesan "Production Line belum dipilih"=true; sesudah dipilih: tile total=18, aktif=11, kelabu=7; menekan tile kelabu memindahkan layar=false (harus false); legenda terbaca=true; galat teknis=false</t>
        </is>
      </c>
    </row>
    <row r="224" ht="136" customHeight="1">
      <c r="A224" s="11" t="n">
        <v>220</v>
      </c>
      <c r="B224" s="12" t="n">
        <v>1</v>
      </c>
      <c r="C224" s="13" t="inlineStr">
        <is>
          <t>DS-05</t>
        </is>
      </c>
      <c r="D224" s="13" t="inlineStr">
        <is>
          <t>DS-05</t>
        </is>
      </c>
      <c r="E224" s="14" t="inlineStr">
        <is>
          <t>—</t>
        </is>
      </c>
      <c r="F224" s="14" t="inlineStr">
        <is>
          <t>Dashboard &amp; Laporan lain (DS-)</t>
        </is>
      </c>
      <c r="G224" s="15" t="inlineStr">
        <is>
          <t>Tile aktif mendarat di laporan stasiun yang benar</t>
        </is>
      </c>
      <c r="H224" s="14" t="inlineStr">
        <is>
          <t>SPV-A</t>
        </is>
      </c>
      <c r="I224" s="14" t="inlineStr">
        <is>
          <t>—</t>
        </is>
      </c>
      <c r="J224"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24" s="14" t="inlineStr">
        <is>
          <t>- Setiap tile aktif mendarat di laporan stasiun yang sama dengan namanya (/reports/&lt;stasiun&gt;).
- Judul layarnya cocok dengan tile yang ditekan.
- Konteks mill terbawa; Production Line tetap wajib dipilih (lihat LS-08).</t>
        </is>
      </c>
      <c r="L224" s="16" t="inlineStr">
        <is>
          <t>Tinggi</t>
        </is>
      </c>
      <c r="M224" s="14" t="inlineStr"/>
      <c r="N224" s="17" t="inlineStr">
        <is>
          <t>2026-10-12</t>
        </is>
      </c>
      <c r="O224" s="17" t="inlineStr">
        <is>
          <t>Pelaksana QA otomatis</t>
        </is>
      </c>
      <c r="P224" s="45" t="inlineStr">
        <is>
          <t>Lulus</t>
        </is>
      </c>
      <c r="Q224" s="17" t="n"/>
      <c r="R224" s="17" t="inlineStr">
        <is>
          <t>pressing → /reports/pressing, judul "Laporan Pressing", konteks mill terbawa=true | kernel-plant → /reports/kernel-plant, judul "Laporan Periode Kernel Plant", konteks mill terbawa=true | storage-tank → /reports/storage-tank, judul "Laporan Storage Tank", konteks mill terbawa=true. Production Line tetap wajib dipilih di layar laporannya (lihat LS-08).</t>
        </is>
      </c>
    </row>
    <row r="225" ht="162.4" customHeight="1">
      <c r="A225" s="11" t="n">
        <v>221</v>
      </c>
      <c r="B225" s="12" t="n">
        <v>1</v>
      </c>
      <c r="C225" s="13" t="inlineStr">
        <is>
          <t>DS-06</t>
        </is>
      </c>
      <c r="D225" s="13" t="inlineStr">
        <is>
          <t>DS-06</t>
        </is>
      </c>
      <c r="E225" s="14" t="inlineStr">
        <is>
          <t>—</t>
        </is>
      </c>
      <c r="F225" s="14" t="inlineStr">
        <is>
          <t>Dashboard &amp; Laporan lain (DS-)</t>
        </is>
      </c>
      <c r="G225" s="15" t="inlineStr">
        <is>
          <t>Laporan Manajemen hanya untuk Mill Management</t>
        </is>
      </c>
      <c r="H225" s="14" t="inlineStr">
        <is>
          <t>SPV-A, MGR-A, ADM</t>
        </is>
      </c>
      <c r="I225" s="14" t="inlineStr">
        <is>
          <t>—</t>
        </is>
      </c>
      <c r="J2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25"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25" s="16" t="inlineStr">
        <is>
          <t>Tinggi</t>
        </is>
      </c>
      <c r="M225" s="14" t="inlineStr"/>
      <c r="N225" s="17" t="inlineStr">
        <is>
          <t>2026-10-12</t>
        </is>
      </c>
      <c r="O225" s="17" t="inlineStr">
        <is>
          <t>Pelaksana QA otomatis</t>
        </is>
      </c>
      <c r="P225" s="45" t="inlineStr">
        <is>
          <t>Lulus</t>
        </is>
      </c>
      <c r="Q225" s="17" t="n"/>
      <c r="R225" s="17" t="inlineStr">
        <is>
          <t>supervisor01: menu di sidebar=false, alamat langsung=403 (sesuai) | millmanagement-a: menu di sidebar=true, alamat langsung=terbuka (sesuai) | admin: menu di sidebar=false, alamat langsung=403 (sesuai). Menu di sidebar dan izin alamat langsung memakai sumber izin yang sama, jadi keduanya tidak bisa berbeda.</t>
        </is>
      </c>
    </row>
    <row r="226" ht="175.6" customHeight="1">
      <c r="A226" s="11" t="n">
        <v>222</v>
      </c>
      <c r="B226" s="12" t="n">
        <v>1</v>
      </c>
      <c r="C226" s="13" t="inlineStr">
        <is>
          <t>DS-07</t>
        </is>
      </c>
      <c r="D226" s="13" t="inlineStr">
        <is>
          <t>DS-07</t>
        </is>
      </c>
      <c r="E226" s="14" t="inlineStr">
        <is>
          <t>—</t>
        </is>
      </c>
      <c r="F226" s="14" t="inlineStr">
        <is>
          <t>Dashboard &amp; Laporan lain (DS-)</t>
        </is>
      </c>
      <c r="G226" s="15" t="inlineStr">
        <is>
          <t>Dashboard &amp; Reporting (Mobile) → Pilih Stasiun</t>
        </is>
      </c>
      <c r="H226" s="14" t="inlineStr">
        <is>
          <t>OPR-A</t>
        </is>
      </c>
      <c r="I226" s="14" t="inlineStr">
        <is>
          <t>—</t>
        </is>
      </c>
      <c r="J2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26" s="16" t="inlineStr">
        <is>
          <t>Tinggi</t>
        </is>
      </c>
      <c r="M226" s="14" t="inlineStr"/>
      <c r="N226" s="17" t="inlineStr">
        <is>
          <t>2026-10-12</t>
        </is>
      </c>
      <c r="O226" s="17" t="inlineStr">
        <is>
          <t>Pelaksana QA otomatis</t>
        </is>
      </c>
      <c r="P226" s="45" t="inlineStr">
        <is>
          <t>Lulus</t>
        </is>
      </c>
      <c r="Q226" s="17" t="n"/>
      <c r="R226" s="17" t="inlineStr">
        <is>
          <t>kartu Dashboard &amp; Reporting ada di Home=true; layar Reporting menampilkan 18 tile stasiun (harus 18), 0 di antaranya kelabu/tidak dapat ditekan. Menekan tile yang laporannya belum ada empat kali: pesan yang terlihat di layar=1 (harus tetap satu, tidak menumpuk) berbunyi "Laporan Effluent Plant belum tersedia di aplikasi mobile."; alamat berpindah=false (harus false). Isi layar Dashboard &amp; Reporting: "Mills Smart Log Home / Dashboard &amp; Reporting Dashboard &amp; Reporting Dashboard Belum tersedia Reporting".</t>
        </is>
      </c>
    </row>
    <row r="227" ht="162.4" customHeight="1">
      <c r="A227" s="11" t="n">
        <v>223</v>
      </c>
      <c r="B227" s="12" t="n">
        <v>1</v>
      </c>
      <c r="C227" s="13" t="inlineStr">
        <is>
          <t>DS-08</t>
        </is>
      </c>
      <c r="D227" s="13" t="inlineStr">
        <is>
          <t>DS-08</t>
        </is>
      </c>
      <c r="E227" s="14" t="inlineStr">
        <is>
          <t>—</t>
        </is>
      </c>
      <c r="F227" s="14" t="inlineStr">
        <is>
          <t>Dashboard &amp; Laporan lain (DS-)</t>
        </is>
      </c>
      <c r="G227" s="15" t="inlineStr">
        <is>
          <t>Production Process Activity (Web): papan status, bukan sekadar peluncur</t>
        </is>
      </c>
      <c r="H227" s="14" t="inlineStr">
        <is>
          <t>SPV-A</t>
        </is>
      </c>
      <c r="I227" s="14" t="inlineStr">
        <is>
          <t>beberapa stasiun punya record hari ini, beberapa belum</t>
        </is>
      </c>
      <c r="J2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27" s="16" t="inlineStr">
        <is>
          <t>Tinggi</t>
        </is>
      </c>
      <c r="M227" s="14" t="inlineStr"/>
      <c r="N227" s="17" t="inlineStr">
        <is>
          <t>2026-10-12</t>
        </is>
      </c>
      <c r="O227" s="17" t="inlineStr">
        <is>
          <t>Pelaksana QA otomatis</t>
        </is>
      </c>
      <c r="P227" s="45" t="inlineStr">
        <is>
          <t>Lulus</t>
        </is>
      </c>
      <c r="Q227" s="17" t="n"/>
      <c r="R227" s="17" t="inlineStr">
        <is>
          <t>kepala halaman: "0 dari 18 stasiun sudah ada input hari ini"; tile=18; sudah ada input=0; belum=18; keterangan dua jendela waktu terbaca=true; contoh tile belum-ada-input: "Weighbridge Belum ada input hari ini Input terakhir 2 menit yang lalu" (berbunyi kalimat, bukan angka 0=true); tile menyebut input terakhir=true</t>
        </is>
      </c>
    </row>
    <row r="228" ht="136" customHeight="1">
      <c r="A228" s="11" t="n">
        <v>224</v>
      </c>
      <c r="B228" s="12" t="n">
        <v>1</v>
      </c>
      <c r="C228" s="13" t="inlineStr">
        <is>
          <t>DS-09</t>
        </is>
      </c>
      <c r="D228" s="13" t="inlineStr">
        <is>
          <t>DS-09</t>
        </is>
      </c>
      <c r="E228" s="14" t="inlineStr">
        <is>
          <t>—</t>
        </is>
      </c>
      <c r="F228" s="14" t="inlineStr">
        <is>
          <t>Dashboard &amp; Laporan lain (DS-)</t>
        </is>
      </c>
      <c r="G228" s="15" t="inlineStr">
        <is>
          <t>Jumlah tile berwarna cocok dengan angka di kepala halaman</t>
        </is>
      </c>
      <c r="H228" s="14" t="inlineStr">
        <is>
          <t>SPV-A</t>
        </is>
      </c>
      <c r="I228" s="14" t="inlineStr">
        <is>
          <t>—</t>
        </is>
      </c>
      <c r="J2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8" s="11" t="inlineStr">
        <is>
          <t>Sedang</t>
        </is>
      </c>
      <c r="M228" s="14" t="inlineStr"/>
      <c r="N228" s="17" t="inlineStr">
        <is>
          <t>2026-10-12</t>
        </is>
      </c>
      <c r="O228" s="17" t="inlineStr">
        <is>
          <t>Pelaksana QA otomatis</t>
        </is>
      </c>
      <c r="P228" s="45" t="inlineStr">
        <is>
          <t>Lulus</t>
        </is>
      </c>
      <c r="Q228" s="17" t="n"/>
      <c r="R228" s="17" t="inlineStr">
        <is>
          <t>kepala halaman menyebut 0 dari 18; dihitung ulang dari tile di layar: sudah ada input=0, belum=18, jumlahnya=18, total tile=18</t>
        </is>
      </c>
    </row>
    <row r="229" ht="136" customHeight="1">
      <c r="A229" s="11" t="n">
        <v>225</v>
      </c>
      <c r="B229" s="12" t="n">
        <v>1</v>
      </c>
      <c r="C229" s="13" t="inlineStr">
        <is>
          <t>DS-10</t>
        </is>
      </c>
      <c r="D229" s="13" t="inlineStr">
        <is>
          <t>DS-10</t>
        </is>
      </c>
      <c r="E229" s="14" t="inlineStr">
        <is>
          <t>—</t>
        </is>
      </c>
      <c r="F229" s="14" t="inlineStr">
        <is>
          <t>Dashboard &amp; Laporan lain (DS-)</t>
        </is>
      </c>
      <c r="G229" s="15" t="inlineStr">
        <is>
          <t>"Nol hari ini" boleh berdampingan dengan "input terakhir beberapa menit lalu"</t>
        </is>
      </c>
      <c r="H229" s="14" t="inlineStr">
        <is>
          <t>SPV-A</t>
        </is>
      </c>
      <c r="I229" s="14" t="inlineStr">
        <is>
          <t>satu stasiun yang record terakhirnya dibuat tadi tapi tanggalnya kemarin</t>
        </is>
      </c>
      <c r="J2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9" s="11" t="inlineStr">
        <is>
          <t>Sedang</t>
        </is>
      </c>
      <c r="M229" s="14" t="inlineStr">
        <is>
          <t>ini bukan bug. "Hari ini" menghitung record bertanggal hari ini; "input terakhir" tidak dibatasi tanggal. Keterangan di halaman menjelaskannya.</t>
        </is>
      </c>
      <c r="N229" s="17" t="inlineStr">
        <is>
          <t>2026-10-12</t>
        </is>
      </c>
      <c r="O229" s="17" t="inlineStr">
        <is>
          <t>Pelaksana QA otomatis</t>
        </is>
      </c>
      <c r="P229" s="45" t="inlineStr">
        <is>
          <t>Lulus</t>
        </is>
      </c>
      <c r="Q229" s="17" t="n"/>
      <c r="R229" s="17" t="inlineStr">
        <is>
          <t>18 dari 18 tile "belum ada input hari ini" juga menyebut waktu input terakhirnya — kedua keterangan tampil berdampingan tanpa saling membatalkan. Contoh: Weighbridge Belum ada input hari ini Input terakhir 2 menit yang lalu || Pressing Belum ada input hari ini Input terakhir 2 menit yang lalu. Keterangan di halaman menjelaskan sebabnya=true.</t>
        </is>
      </c>
    </row>
    <row r="230" ht="122.8" customHeight="1">
      <c r="A230" s="11" t="n">
        <v>226</v>
      </c>
      <c r="B230" s="12" t="n">
        <v>1</v>
      </c>
      <c r="C230" s="13" t="inlineStr">
        <is>
          <t>DS-11</t>
        </is>
      </c>
      <c r="D230" s="13" t="inlineStr">
        <is>
          <t>DS-11</t>
        </is>
      </c>
      <c r="E230" s="14" t="inlineStr">
        <is>
          <t>—</t>
        </is>
      </c>
      <c r="F230" s="14" t="inlineStr">
        <is>
          <t>Dashboard &amp; Laporan lain (DS-)</t>
        </is>
      </c>
      <c r="G230" s="15" t="inlineStr">
        <is>
          <t>Tile mengantar ke Data Browser stasiun yang benar</t>
        </is>
      </c>
      <c r="H230" s="14" t="inlineStr">
        <is>
          <t>SPV-A</t>
        </is>
      </c>
      <c r="I230" s="14" t="inlineStr">
        <is>
          <t>—</t>
        </is>
      </c>
      <c r="J2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30" s="14" t="inlineStr">
        <is>
          <t>- Setiap tile aktif mendarat di Data Browser stasiun yang sama dengan namanya (/data/&lt;stasiun&gt;).
- Judul layarnya cocok dengan tile yang ditekan.
- Tile tidak aktif tidak berpindah layar dan tidak memunculkan galat.</t>
        </is>
      </c>
      <c r="L230" s="16" t="inlineStr">
        <is>
          <t>Tinggi</t>
        </is>
      </c>
      <c r="M230" s="14" t="inlineStr"/>
      <c r="N230" s="17" t="inlineStr">
        <is>
          <t>2026-10-12</t>
        </is>
      </c>
      <c r="O230" s="17" t="inlineStr">
        <is>
          <t>Pelaksana QA otomatis</t>
        </is>
      </c>
      <c r="P230" s="45" t="inlineStr">
        <is>
          <t>Lulus</t>
        </is>
      </c>
      <c r="Q230" s="17" t="n"/>
      <c r="R230" s="17" t="inlineStr">
        <is>
          <t>tile Weighbridge, Sterilizer, dan Kernel Plant masing-masing mendarat di /data/&lt;stasiun&gt; yang namanya cocok; tidak ada tile yang mendarat di stasiun lain.</t>
        </is>
      </c>
    </row>
    <row r="231" ht="162.4" customHeight="1">
      <c r="A231" s="11" t="n">
        <v>227</v>
      </c>
      <c r="B231" s="12" t="n">
        <v>1</v>
      </c>
      <c r="C231" s="13" t="inlineStr">
        <is>
          <t>DS-12</t>
        </is>
      </c>
      <c r="D231" s="13" t="inlineStr">
        <is>
          <t>DS-12</t>
        </is>
      </c>
      <c r="E231" s="14" t="inlineStr">
        <is>
          <t>—</t>
        </is>
      </c>
      <c r="F231" s="14" t="inlineStr">
        <is>
          <t>Dashboard &amp; Laporan lain (DS-)</t>
        </is>
      </c>
      <c r="G231" s="15" t="inlineStr">
        <is>
          <t>Urutan tile sama antara Web dan Mobile</t>
        </is>
      </c>
      <c r="H231" s="14" t="inlineStr">
        <is>
          <t>SPV-A (web) + OPR-A (mobile)</t>
        </is>
      </c>
      <c r="I231" s="14" t="inlineStr">
        <is>
          <t>—</t>
        </is>
      </c>
      <c r="J2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31" s="11" t="inlineStr">
        <is>
          <t>Sedang</t>
        </is>
      </c>
      <c r="M231" s="14" t="inlineStr">
        <is>
          <t>urutan ini bukan alfabetis dan bukan alur proses — ia urutan yang diminta produk. Yang diuji adalah web dan mobile tidak menyimpang satu dari yang lain.</t>
        </is>
      </c>
      <c r="N231" s="17" t="inlineStr">
        <is>
          <t>2026-10-12</t>
        </is>
      </c>
      <c r="O231" s="17" t="inlineStr">
        <is>
          <t>Pelaksana QA otomatis</t>
        </is>
      </c>
      <c r="P231" s="45" t="inlineStr">
        <is>
          <t>Lulus</t>
        </is>
      </c>
      <c r="Q231" s="17" t="n"/>
      <c r="R231" s="17" t="inlineStr">
        <is>
          <t>urutan web (18 tile) dibandingkan posisi per posisi dengan urutan mobile (18 tile). Posisi yang berbeda=0; keduanya dimulai Weighbridge lalu Pressing=true. Urutan mobile: Weighbridge, Pressing, Storage Tank, Grading, Clarification, Effluent Plant…</t>
        </is>
      </c>
    </row>
    <row r="232" ht="122.8" customHeight="1">
      <c r="A232" s="11" t="n">
        <v>228</v>
      </c>
      <c r="B232" s="12" t="n">
        <v>1</v>
      </c>
      <c r="C232" s="13" t="inlineStr">
        <is>
          <t>MD-KEL-01 / Business Unit</t>
        </is>
      </c>
      <c r="D232" s="13" t="inlineStr">
        <is>
          <t>MD-KEL-01</t>
        </is>
      </c>
      <c r="E232" s="15" t="inlineStr">
        <is>
          <t>Business Unit</t>
        </is>
      </c>
      <c r="F232" s="14" t="inlineStr">
        <is>
          <t>Master Data (MD-)</t>
        </is>
      </c>
      <c r="G232" s="15" t="inlineStr">
        <is>
          <t>Tambah data berhasil dan langsung terlihat</t>
        </is>
      </c>
      <c r="H232" s="14" t="inlineStr">
        <is>
          <t>ADM</t>
        </is>
      </c>
      <c r="I232" s="14" t="inlineStr">
        <is>
          <t>—</t>
        </is>
      </c>
      <c r="J232"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32" s="14" t="inlineStr">
        <is>
          <t>- Simpan berhasil dengan pesan konfirmasi.
- Entri baru langsung muncul di daftar — tanpa muat ulang manual.
- Jumlah data bertambah satu.</t>
        </is>
      </c>
      <c r="L232" s="16" t="inlineStr">
        <is>
          <t>Tinggi</t>
        </is>
      </c>
      <c r="M232" s="14" t="inlineStr"/>
      <c r="N232" s="17" t="inlineStr">
        <is>
          <t>2026-10-12</t>
        </is>
      </c>
      <c r="O232" s="17" t="inlineStr">
        <is>
          <t>Pelaksana QA otomatis</t>
        </is>
      </c>
      <c r="P232" s="45" t="inlineStr">
        <is>
          <t>Lulus</t>
        </is>
      </c>
      <c r="Q232" s="17" t="n"/>
      <c r="R232" s="17" t="inlineStr">
        <is>
          <t>jumlah data sebelum=20; entri "QA-Mill-241349" dibuat dengan induk Company "PT Ada Business Unit"; pesan konfirmasi terbaca=true; entri langsung muncul di daftar tanpa muat ulang browser=true; jumlah data sesudah=null (bertambah satu=null).</t>
        </is>
      </c>
    </row>
    <row r="233" ht="109.6" customHeight="1">
      <c r="A233" s="11" t="n">
        <v>229</v>
      </c>
      <c r="B233" s="12" t="n">
        <v>1</v>
      </c>
      <c r="C233" s="13" t="inlineStr">
        <is>
          <t>MD-KEL-02 / Business Unit</t>
        </is>
      </c>
      <c r="D233" s="13" t="inlineStr">
        <is>
          <t>MD-KEL-02</t>
        </is>
      </c>
      <c r="E233" s="15" t="inlineStr">
        <is>
          <t>Business Unit</t>
        </is>
      </c>
      <c r="F233" s="14" t="inlineStr">
        <is>
          <t>Master Data (MD-)</t>
        </is>
      </c>
      <c r="G233" s="15" t="inlineStr">
        <is>
          <t>Kolom wajib divalidasi di sebelah kolomnya</t>
        </is>
      </c>
      <c r="H233" s="14" t="inlineStr">
        <is>
          <t>ADM</t>
        </is>
      </c>
      <c r="I233" s="14" t="inlineStr">
        <is>
          <t>—</t>
        </is>
      </c>
      <c r="J233"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33" s="14" t="inlineStr">
        <is>
          <t>- Setiap kali ditolak; data tidak tersimpan.
- Pesan galat muncul di sebelah kolom yang bersangkutan — bukan satu pesan umum di atas form.
- Isi kolom lain tidak hilang.</t>
        </is>
      </c>
      <c r="L233" s="16" t="inlineStr">
        <is>
          <t>Tinggi</t>
        </is>
      </c>
      <c r="M233" s="14" t="inlineStr"/>
      <c r="N233" s="17" t="inlineStr">
        <is>
          <t>2026-10-12</t>
        </is>
      </c>
      <c r="O233" s="17" t="inlineStr">
        <is>
          <t>Pelaksana QA otomatis</t>
        </is>
      </c>
      <c r="P233" s="45" t="inlineStr">
        <is>
          <t>Lulus</t>
        </is>
      </c>
      <c r="Q233" s="17" t="n"/>
      <c r="R233" s="17" t="inlineStr">
        <is>
          <t>kolom "code" dikosongkan → galat di sebelah kolomnya="Kode business unit wajib diisi."; pesan umum di atas form=0; isi kolom lain tetap ada=true | kolom "name" dikosongkan → galat di sebelah kolomnya="Nama business unit wajib diisi."; pesan umum di atas form=0; isi kolom lain tetap ada=true. Kolom induk (Company) diuji tersendiri pada MD-KEL-04.</t>
        </is>
      </c>
    </row>
    <row r="234" ht="162.4" customHeight="1">
      <c r="A234" s="11" t="n">
        <v>230</v>
      </c>
      <c r="B234" s="12" t="n">
        <v>1</v>
      </c>
      <c r="C234" s="13" t="inlineStr">
        <is>
          <t>MD-KEL-03 / Business Unit</t>
        </is>
      </c>
      <c r="D234" s="13" t="inlineStr">
        <is>
          <t>MD-KEL-03</t>
        </is>
      </c>
      <c r="E234" s="15" t="inlineStr">
        <is>
          <t>Business Unit</t>
        </is>
      </c>
      <c r="F234" s="14" t="inlineStr">
        <is>
          <t>Master Data (MD-)</t>
        </is>
      </c>
      <c r="G234" s="15" t="inlineStr">
        <is>
          <t>Entri kembar ditolak, tidak peduli huruf besar-kecil</t>
        </is>
      </c>
      <c r="H234"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234" s="14" t="inlineStr">
        <is>
          <t>sudah ada satu entri dengan nilai acuan, mis. kode CONTOH-1</t>
        </is>
      </c>
      <c r="J234"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234"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234" s="16" t="inlineStr">
        <is>
          <t>Tinggi</t>
        </is>
      </c>
      <c r="M234" s="14" t="inlineStr"/>
      <c r="N234" s="17" t="inlineStr">
        <is>
          <t>2026-10-12</t>
        </is>
      </c>
      <c r="O234" s="17" t="inlineStr">
        <is>
          <t>Pelaksana QA otomatis</t>
        </is>
      </c>
      <c r="P234" s="45" t="inlineStr">
        <is>
          <t>Lulus</t>
        </is>
      </c>
      <c r="Q234" s="17" t="n"/>
      <c r="R234" s="17" t="inlineStr">
        <is>
          <t>Kolom yang dibatasi di tingkat ini adalah Kode (nama memang tidak dibatasi). Entri acuan berkode "QK241349" dibuat=true. Kode sama berhuruf kecil ditolak=true ("Kode business unit sudah digunakan."); kode sama apa adanya ditolak=true ("Kode business unit sudah digunakan."); kode sama berspasi di depan-belakang ditolak=true ("Kode business unit sudah digunakan.").</t>
        </is>
      </c>
    </row>
    <row r="235" ht="175.6" customHeight="1">
      <c r="A235" s="11" t="n">
        <v>231</v>
      </c>
      <c r="B235" s="12" t="n">
        <v>1</v>
      </c>
      <c r="C235" s="13" t="inlineStr">
        <is>
          <t>MD-KEL-04 / Business Unit</t>
        </is>
      </c>
      <c r="D235" s="13" t="inlineStr">
        <is>
          <t>MD-KEL-04</t>
        </is>
      </c>
      <c r="E235" s="15" t="inlineStr">
        <is>
          <t>Business Unit</t>
        </is>
      </c>
      <c r="F235" s="14" t="inlineStr">
        <is>
          <t>Master Data (MD-)</t>
        </is>
      </c>
      <c r="G235" s="15" t="inlineStr">
        <is>
          <t>Induk wajib dipilih</t>
        </is>
      </c>
      <c r="H235" s="14" t="inlineStr">
        <is>
          <t>ADM</t>
        </is>
      </c>
      <c r="I235" s="14" t="inlineStr">
        <is>
          <t>berlaku untuk Company (induk: Corporate), Business Unit (induk: Company), Production Line (induk: Business Unit), Station (induk: Production Line), Machinery (induk: Machinery Group)</t>
        </is>
      </c>
      <c r="J235"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35"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35" s="16" t="inlineStr">
        <is>
          <t>Tinggi</t>
        </is>
      </c>
      <c r="M235" s="14" t="inlineStr">
        <is>
          <t>yang diperiksa bukan hanya bahwa ia ditolak, tetapi bentuk penolakannya. Pesan validasi di sebelah kolom induk berarti lulus; galat teknis berarti gagal, meskipun datanya sama-sama tidak tersimpan.</t>
        </is>
      </c>
      <c r="N235" s="17" t="inlineStr">
        <is>
          <t>2026-10-12</t>
        </is>
      </c>
      <c r="O235" s="17" t="inlineStr">
        <is>
          <t>Pelaksana QA otomatis</t>
        </is>
      </c>
      <c r="P235" s="45" t="inlineStr">
        <is>
          <t>Lulus</t>
        </is>
      </c>
      <c r="Q235" s="17" t="n"/>
      <c r="R235" s="17" t="inlineStr">
        <is>
          <t>pesan validasi terbaca=true; pesannya di sebelah kolom induk="Company wajib dipilih."; pesan menyebut kolom induk (Company)=true; galat teknis (SQLSTATE/stack trace/500)=false (harus false). Seluruh pesan yang tampil: "Company wajib dipilih."</t>
        </is>
      </c>
    </row>
    <row r="236" ht="202" customHeight="1">
      <c r="A236" s="11" t="n">
        <v>232</v>
      </c>
      <c r="B236" s="12" t="n">
        <v>1</v>
      </c>
      <c r="C236" s="13" t="inlineStr">
        <is>
          <t>MD-KEL-05 / Company</t>
        </is>
      </c>
      <c r="D236" s="13" t="inlineStr">
        <is>
          <t>MD-KEL-05</t>
        </is>
      </c>
      <c r="E236" s="15" t="inlineStr">
        <is>
          <t>Company</t>
        </is>
      </c>
      <c r="F236" s="14" t="inlineStr">
        <is>
          <t>Master Data (MD-)</t>
        </is>
      </c>
      <c r="G236" s="15" t="inlineStr">
        <is>
          <t>Nama kembar diperiksa dalam lingkup induknya</t>
        </is>
      </c>
      <c r="H236" s="14" t="inlineStr">
        <is>
          <t>ADM</t>
        </is>
      </c>
      <c r="I236" s="14" t="inlineStr">
        <is>
          <t>dua Corporate berbeda</t>
        </is>
      </c>
      <c r="J236"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236" s="14" t="inlineStr">
        <is>
          <t>- Langkah 3 berhasil — nama yang sama sah di induk yang berbeda.
- Langkah 4 ditolak — nama kembar di induk yang sama tidak boleh.
- Daftar memuat dua PT Sama, masing-masing dengan induk berbeda, dan induknya terlihat di daftar.</t>
        </is>
      </c>
      <c r="L236" s="11" t="inlineStr">
        <is>
          <t>Sedang</t>
        </is>
      </c>
      <c r="M236"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236" s="17" t="inlineStr">
        <is>
          <t>2026-10-12</t>
        </is>
      </c>
      <c r="O236" s="17" t="inlineStr">
        <is>
          <t>Pelaksana QA otomatis</t>
        </is>
      </c>
      <c r="P236" s="45" t="inlineStr">
        <is>
          <t>Lulus</t>
        </is>
      </c>
      <c r="Q236" s="17" t="n"/>
      <c r="R236" s="17" t="inlineStr">
        <is>
          <t>dua Corporate dipakai: "Corp Browser Fixture" dan "PT Ada Company" | "QA Sama 343683" pada "Corp Browser Fixture" (induk A): berhasil=true ("Company berhasil ditambahkan.") | nama sama pada "PT Ada Company" (induk B): berhasil=true, ditolak=false | nama sama pada induk A lagi: ditolak=true ("Nama company sudah digunakan pada Corporate ini.") | daftar memuat 2 entri bernama "QA Sama 343683" (harus 2); induk masing-masing terlihat di daftar=true.</t>
        </is>
      </c>
    </row>
    <row r="237" ht="122.8" customHeight="1">
      <c r="A237" s="11" t="n">
        <v>233</v>
      </c>
      <c r="B237" s="12" t="n">
        <v>1</v>
      </c>
      <c r="C237" s="13" t="inlineStr">
        <is>
          <t>MD-KEL-06 / Business Unit</t>
        </is>
      </c>
      <c r="D237" s="13" t="inlineStr">
        <is>
          <t>MD-KEL-06</t>
        </is>
      </c>
      <c r="E237" s="15" t="inlineStr">
        <is>
          <t>Business Unit</t>
        </is>
      </c>
      <c r="F237" s="14" t="inlineStr">
        <is>
          <t>Master Data (MD-)</t>
        </is>
      </c>
      <c r="G237" s="15" t="inlineStr">
        <is>
          <t>Ubah data berhasil dan terlihat</t>
        </is>
      </c>
      <c r="H237" s="14" t="inlineStr">
        <is>
          <t>ADM</t>
        </is>
      </c>
      <c r="I237" s="14" t="inlineStr">
        <is>
          <t>—</t>
        </is>
      </c>
      <c r="J237"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37" s="14" t="inlineStr">
        <is>
          <t>- Nama baru terlihat di daftar.
- Nama baru juga terlihat di layar lain yang memakainya — tidak ada tempat yang masih menampilkan nama lama.
- Id entrinya tidak berubah: record yang menunjuknya tidak terlepas.</t>
        </is>
      </c>
      <c r="L237" s="16" t="inlineStr">
        <is>
          <t>Tinggi</t>
        </is>
      </c>
      <c r="M237" s="14" t="inlineStr"/>
      <c r="N237" s="17" t="inlineStr">
        <is>
          <t>2026-10-12</t>
        </is>
      </c>
      <c r="O237" s="17" t="inlineStr">
        <is>
          <t>Pelaksana QA otomatis</t>
        </is>
      </c>
      <c r="P237" s="45" t="inlineStr">
        <is>
          <t>Lulus</t>
        </is>
      </c>
      <c r="Q237" s="17" t="n"/>
      <c r="R237" s="17" t="inlineStr">
        <is>
          <t>nama diubah menjadi "Business Unit A QA241349". Terlihat di daftar Kelola=true; terlihat di layar lain yang memakainya (kolom Mill pada daftar Kelola User &amp; Role)=true; masih ada tempat yang menampilkan nama lama=false (harus false). Nama dikembalikan ke semula sesudah diperiksa.</t>
        </is>
      </c>
    </row>
    <row r="238" ht="188.8" customHeight="1">
      <c r="A238" s="11" t="n">
        <v>234</v>
      </c>
      <c r="B238" s="12" t="n">
        <v>1</v>
      </c>
      <c r="C238" s="13" t="inlineStr">
        <is>
          <t>MD-KEL-07 / Business Unit</t>
        </is>
      </c>
      <c r="D238" s="13" t="inlineStr">
        <is>
          <t>MD-KEL-07</t>
        </is>
      </c>
      <c r="E238" s="15" t="inlineStr">
        <is>
          <t>Business Unit</t>
        </is>
      </c>
      <c r="F238" s="14" t="inlineStr">
        <is>
          <t>Master Data (MD-)</t>
        </is>
      </c>
      <c r="G238" s="15" t="inlineStr">
        <is>
          <t>Hapus ditolak bila masih punya anak, dengan menyebut jumlahnya</t>
        </is>
      </c>
      <c r="H238" s="14" t="inlineStr">
        <is>
          <t>ADM</t>
        </is>
      </c>
      <c r="I238" s="14" t="inlineStr">
        <is>
          <t>satu Corporate yang punya 2 Company; satu Company yang punya Business Unit; satu Business Unit yang punya Production Line</t>
        </is>
      </c>
      <c r="J23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8" s="14" t="inlineStr">
        <is>
          <t>- Setiap penghapusan ditolak.
- Pesannya menyebut jumlah penghalangnya — mis. "masih memiliki 2 Company".
- Induknya tidak terhapus, dan tidak ada penghapusan berantai: anak-anaknya juga masih utuh.</t>
        </is>
      </c>
      <c r="L238" s="16" t="inlineStr">
        <is>
          <t>Tinggi</t>
        </is>
      </c>
      <c r="M238" s="14" t="inlineStr"/>
      <c r="N238" s="17" t="inlineStr">
        <is>
          <t>2026-10-12</t>
        </is>
      </c>
      <c r="O238" s="17" t="inlineStr">
        <is>
          <t>Pelaksana QA otomatis</t>
        </is>
      </c>
      <c r="P238" s="45" t="inlineStr">
        <is>
          <t>Lulus</t>
        </is>
      </c>
      <c r="Q238" s="17" t="n"/>
      <c r="R238" s="17" t="inlineStr">
        <is>
          <t>Sawit Nusantara (punya Company): ditolak=true; pesannya menyebut jumlah penghalang=true ("Corporate tidak dapat dihapus karena masih memiliki 2 Company. Pindahkan atau hapus data tersebut terlebih dah"); induknya masih ada=true | PT Ada Business Unit (punya Business Unit): ditolak=true; pesannya menyebut jumlah penghalang=true ("Company tidak dapat dihapus karena masih memiliki 4 Business Unit. Pindahkan atau hapus data tersebut terlebih"); induknya masih ada=true | Business Unit A (punya Production Line): ditolak=true; pesannya menyebut jumlah penghalang=true ("Business Unit tidak dapat dihapus karena masih memiliki 6 User, 3 Production Line, 36 Station, 7 Periode Pelap"); induknya masih ada=true. Tidak ada penghapusan berantai: setiap induk yang penghapusannya ditolak masih utuh di daftarnya.</t>
        </is>
      </c>
    </row>
    <row r="239" ht="70" customHeight="1">
      <c r="A239" s="11" t="n">
        <v>235</v>
      </c>
      <c r="B239" s="12" t="n">
        <v>1</v>
      </c>
      <c r="C239" s="13" t="inlineStr">
        <is>
          <t>MD-KEL-08 / Business Unit</t>
        </is>
      </c>
      <c r="D239" s="13" t="inlineStr">
        <is>
          <t>MD-KEL-08</t>
        </is>
      </c>
      <c r="E239" s="15" t="inlineStr">
        <is>
          <t>Business Unit</t>
        </is>
      </c>
      <c r="F239" s="14" t="inlineStr">
        <is>
          <t>Master Data (MD-)</t>
        </is>
      </c>
      <c r="G239" s="15" t="inlineStr">
        <is>
          <t>Hapus berhasil bila sudah tidak punya anak</t>
        </is>
      </c>
      <c r="H239" s="14" t="inlineStr">
        <is>
          <t>ADM</t>
        </is>
      </c>
      <c r="I239" s="14" t="inlineStr">
        <is>
          <t>—</t>
        </is>
      </c>
      <c r="J239" s="14" t="inlineStr">
        <is>
          <t>1. Pakai induk yang sama dari MD-KEL-07.
2. Hapus seluruh anaknya satu per satu lebih dulu.
3. Periksa daftar anaknya sudah kosong.
4. Hapus induknya.</t>
        </is>
      </c>
      <c r="K239" s="14" t="inlineStr">
        <is>
          <t>- Penghapusan anak-anaknya berhasil.
- Penghapusan induknya kini berhasil.
- Induk itu hilang dari daftar, dan jumlah data berkurang.</t>
        </is>
      </c>
      <c r="L239" s="16" t="inlineStr">
        <is>
          <t>Tinggi</t>
        </is>
      </c>
      <c r="M239" s="14" t="inlineStr"/>
      <c r="N239" s="17" t="inlineStr">
        <is>
          <t>2026-10-12</t>
        </is>
      </c>
      <c r="O239" s="17" t="inlineStr">
        <is>
          <t>Pelaksana QA otomatis</t>
        </is>
      </c>
      <c r="P239" s="45" t="inlineStr">
        <is>
          <t>Lulus</t>
        </is>
      </c>
      <c r="Q239" s="17" t="n"/>
      <c r="R239" s="17" t="inlineStr">
        <is>
          <t>entri tanpa anak "QA-Mill-241349" dihapus: pesan konfirmasi terbaca=true ("Business Unit berhasil dihapus."); entri hilang dari daftar=true.</t>
        </is>
      </c>
    </row>
    <row r="240" ht="109.6" customHeight="1">
      <c r="A240" s="11" t="n">
        <v>236</v>
      </c>
      <c r="B240" s="12" t="n">
        <v>1</v>
      </c>
      <c r="C240" s="13" t="inlineStr">
        <is>
          <t>MD-KEL-09 / Business Unit</t>
        </is>
      </c>
      <c r="D240" s="13" t="inlineStr">
        <is>
          <t>MD-KEL-09</t>
        </is>
      </c>
      <c r="E240" s="15" t="inlineStr">
        <is>
          <t>Business Unit</t>
        </is>
      </c>
      <c r="F240" s="14" t="inlineStr">
        <is>
          <t>Master Data (MD-)</t>
        </is>
      </c>
      <c r="G240" s="15" t="inlineStr">
        <is>
          <t>Hapus meminta konfirmasi</t>
        </is>
      </c>
      <c r="H240" s="14" t="inlineStr">
        <is>
          <t>ADM</t>
        </is>
      </c>
      <c r="I240" s="14" t="inlineStr">
        <is>
          <t>—</t>
        </is>
      </c>
      <c r="J240" s="14" t="inlineStr">
        <is>
          <t>1. Login di web, lalu sidebar &gt; Kelola Business Unit (/master-data/business-units) sebagai ADM. Pilih satu entri tanpa anak.
2. Tekan Hapus. Baca dialognya, lalu tekan Batal.
3. Periksa daftar: apakah entri itu masih ada?
4. Tekan Hapus lagi, kali ini setujui.</t>
        </is>
      </c>
      <c r="K240" s="14" t="inlineStr">
        <is>
          <t>- Langkah 2 memunculkan dialog konfirmasi — tidak langsung menghapus.
- Langkah 3: entri masih ada, utuh.
- Langkah 4: entri terhapus dan hilang dari daftar.</t>
        </is>
      </c>
      <c r="L240" s="11" t="inlineStr">
        <is>
          <t>Sedang</t>
        </is>
      </c>
      <c r="M240" s="14" t="inlineStr"/>
      <c r="N240" s="17" t="inlineStr">
        <is>
          <t>2026-10-12</t>
        </is>
      </c>
      <c r="O240" s="17" t="inlineStr">
        <is>
          <t>Pelaksana QA otomatis</t>
        </is>
      </c>
      <c r="P240" s="45" t="inlineStr">
        <is>
          <t>Lulus</t>
        </is>
      </c>
      <c r="Q240" s="17" t="n"/>
      <c r="R240" s="17" t="inlineStr">
        <is>
          <t>menekan Hapus memunculkan konfirmasi (tombol "Ya, Hapus")=true, tidak langsung menghapus; sesudah Batal entri masih ada=true; sesudah disetujui entri terhapus=true.</t>
        </is>
      </c>
    </row>
    <row r="241" ht="228.4" customHeight="1">
      <c r="A241" s="11" t="n">
        <v>237</v>
      </c>
      <c r="B241" s="12" t="n">
        <v>1</v>
      </c>
      <c r="C241" s="13" t="inlineStr">
        <is>
          <t>MD-KEL-10 / Machinery</t>
        </is>
      </c>
      <c r="D241" s="13" t="inlineStr">
        <is>
          <t>MD-KEL-10</t>
        </is>
      </c>
      <c r="E241" s="15" t="inlineStr">
        <is>
          <t>Machinery</t>
        </is>
      </c>
      <c r="F241" s="14" t="inlineStr">
        <is>
          <t>Master Data (MD-)</t>
        </is>
      </c>
      <c r="G241" s="15" t="inlineStr">
        <is>
          <t>Pencarian dan paginasi bekerja bersama</t>
        </is>
      </c>
      <c r="H241" s="14" t="inlineStr">
        <is>
          <t>ADM</t>
        </is>
      </c>
      <c r="I241" s="14" t="inlineStr">
        <is>
          <t>data lebih dari satu halaman</t>
        </is>
      </c>
      <c r="J241"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41" s="14" t="inlineStr">
        <is>
          <t>- Seluruh baris di halaman 2 (dan 3) masih cocok dengan kata kuncinya.
- Jumlah total hasil tidak berubah saat berpindah halaman.
- Kata kuncinya masih terisi di kolom pencarian setelah pindah halaman.</t>
        </is>
      </c>
      <c r="L241" s="16" t="inlineStr">
        <is>
          <t>Tinggi</t>
        </is>
      </c>
      <c r="M241"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241" s="17" t="inlineStr">
        <is>
          <t>2026-10-12</t>
        </is>
      </c>
      <c r="O241" s="17" t="inlineStr">
        <is>
          <t>Pelaksana QA otomatis</t>
        </is>
      </c>
      <c r="P241" s="45" t="inlineStr">
        <is>
          <t>Lulus</t>
        </is>
      </c>
      <c r="Q241" s="17" t="n"/>
      <c r="R241" s="17" t="inlineStr">
        <is>
          <t>mode daftar: rata (satu baris = satu mesin); kata kunci "machine" → 680 data pada 34 halaman | halaman 2: 20 baris, yang TIDAK memuat kata kuncinya=0; jumlah total yang tertulis=680 (harus tetap 680); kata kunci masih terisi di kolom pencarian=true | halaman 3: 20 baris, yang TIDAK memuat kata kuncinya=0; jumlah total yang tertulis=680 (harus tetap 680); kata kunci masih terisi di kolom pencarian=true.</t>
        </is>
      </c>
    </row>
    <row r="242" ht="122.8" customHeight="1">
      <c r="A242" s="11" t="n">
        <v>238</v>
      </c>
      <c r="B242" s="12" t="n">
        <v>1</v>
      </c>
      <c r="C242" s="13" t="inlineStr">
        <is>
          <t>MD-KEL-11 / Machinery</t>
        </is>
      </c>
      <c r="D242" s="13" t="inlineStr">
        <is>
          <t>MD-KEL-11</t>
        </is>
      </c>
      <c r="E242" s="15" t="inlineStr">
        <is>
          <t>Machinery</t>
        </is>
      </c>
      <c r="F242" s="14" t="inlineStr">
        <is>
          <t>Master Data (MD-)</t>
        </is>
      </c>
      <c r="G242" s="15" t="inlineStr">
        <is>
          <t>Pencarian tidak peduli huruf besar-kecil, dan karakter khusus diperlakukan sebagai huruf biasa</t>
        </is>
      </c>
      <c r="H242" s="14" t="inlineStr">
        <is>
          <t>ADM</t>
        </is>
      </c>
      <c r="I242" s="14" t="inlineStr">
        <is>
          <t>entri bernama mis. Mill 100% Murni dan Mill BU_A</t>
        </is>
      </c>
      <c r="J242"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242"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42" s="11" t="inlineStr">
        <is>
          <t>Sedang</t>
        </is>
      </c>
      <c r="M242" s="14" t="inlineStr">
        <is>
          <t>Berlaku untuk: hanya Kelola Mesin, dengan sebab yang sama seperti MD-KEL-10.
% dan _ adalah karakter khusus pencarian di banyak sistem. Di sini keduanya harus diperlakukan sebagai huruf biasa.</t>
        </is>
      </c>
      <c r="N242" s="17" t="inlineStr">
        <is>
          <t>2026-10-12</t>
        </is>
      </c>
      <c r="O242" s="17" t="inlineStr">
        <is>
          <t>Pelaksana QA otomatis</t>
        </is>
      </c>
      <c r="P242" s="45" t="inlineStr">
        <is>
          <t>Lulus</t>
        </is>
      </c>
      <c r="Q242" s="17" t="n"/>
      <c r="R242" s="17" t="inlineStr">
        <is>
          <t>cari "100%": 1 data, entri uji yang ikut=1 (QA Mill 100% Murni 343683) — harus tepat "QA Mill 100% Murni 343683" | cari "BU_A": 1 data, entri uji yang ikut=1 (QA Mill BU_A 343683) — harus tepat "QA Mill BU_A 343683", BUKAN juga "QA Mill BUxA 343683" | cari "mill" (huruf kecil): entri uji yang ikut=3 dari 3 (QA Mill 100% Murni 343683; QA Mill BU_A 343683; QA Mill BUxA 343683). Di banyak sistem % dan _ adalah karakter khusus pencarian; di sini keduanya harus diperlakukan sebagai huruf biasa.</t>
        </is>
      </c>
    </row>
    <row r="243" ht="122.8" customHeight="1">
      <c r="A243" s="11" t="n">
        <v>239</v>
      </c>
      <c r="B243" s="12" t="n">
        <v>1</v>
      </c>
      <c r="C243" s="13" t="inlineStr">
        <is>
          <t>MD-KEL-12 / Business Unit</t>
        </is>
      </c>
      <c r="D243" s="13" t="inlineStr">
        <is>
          <t>MD-KEL-12</t>
        </is>
      </c>
      <c r="E243" s="15" t="inlineStr">
        <is>
          <t>Business Unit</t>
        </is>
      </c>
      <c r="F243" s="14" t="inlineStr">
        <is>
          <t>Master Data (MD-)</t>
        </is>
      </c>
      <c r="G243" s="15" t="inlineStr">
        <is>
          <t>Logo mill dapat diunggah dan terlihat</t>
        </is>
      </c>
      <c r="H243" s="14" t="inlineStr">
        <is>
          <t>ADM</t>
        </is>
      </c>
      <c r="I243" s="14" t="inlineStr">
        <is>
          <t>berlaku untuk Business Unit</t>
        </is>
      </c>
      <c r="J243"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43" s="14" t="inlineStr">
        <is>
          <t>- Logo gambar tersimpan dan terlihat saat entri dibuka kembali.
- Berkas bukan gambar ditolak dengan pesan yang jelas.
- Penolakan itu tidak menghapus logo yang sudah tersimpan sebelumnya.</t>
        </is>
      </c>
      <c r="L243" s="11" t="inlineStr">
        <is>
          <t>Rendah</t>
        </is>
      </c>
      <c r="M243" s="14" t="inlineStr"/>
      <c r="N243" s="17" t="inlineStr">
        <is>
          <t>2026-10-12</t>
        </is>
      </c>
      <c r="O243" s="17" t="inlineStr">
        <is>
          <t>Pelaksana QA otomatis</t>
        </is>
      </c>
      <c r="P243" s="45" t="inlineStr">
        <is>
          <t>Lulus</t>
        </is>
      </c>
      <c r="Q243" s="17" t="n"/>
      <c r="R243" s="17" t="inlineStr">
        <is>
          <t>logo PNG diunggah: pesan konfirmasi=true ("Business Unit berhasil diperbarui."); logonya terlihat di daftar=true, terlihat saat entri dibuka kembali=true; berkas .txt ditolak dengan pesan jelas=true ("Logo harus berformat JPG atau PNG."); logo yang sudah tersimpan tetap ada sesudah penolakan=true.</t>
        </is>
      </c>
    </row>
    <row r="244" ht="122.8" customHeight="1">
      <c r="A244" s="11" t="n">
        <v>240</v>
      </c>
      <c r="B244" s="12" t="n">
        <v>1</v>
      </c>
      <c r="C244" s="13" t="inlineStr">
        <is>
          <t>MD-STR-01</t>
        </is>
      </c>
      <c r="D244" s="13" t="inlineStr">
        <is>
          <t>MD-STR-01</t>
        </is>
      </c>
      <c r="E244" s="14" t="inlineStr">
        <is>
          <t>—</t>
        </is>
      </c>
      <c r="F244" s="14" t="inlineStr">
        <is>
          <t>Master Data (MD-)</t>
        </is>
      </c>
      <c r="G244" s="15" t="inlineStr">
        <is>
          <t>Papan kartu per mill tampil dengan hierarki di atasnya</t>
        </is>
      </c>
      <c r="H244" s="14" t="inlineStr">
        <is>
          <t>ADM</t>
        </is>
      </c>
      <c r="I244" s="14" t="inlineStr">
        <is>
          <t>—</t>
        </is>
      </c>
      <c r="J244"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44" s="14" t="inlineStr">
        <is>
          <t>- Satu kartu per mill.
- Tiap kartu memuat jalur corporate › company di atas nama mill-nya.
- Kode mill dan jumlah Production Line tercetak.
- Daftar Production Line ada di dalam kartu, masing-masing dengan aksinya.</t>
        </is>
      </c>
      <c r="L244" s="16" t="inlineStr">
        <is>
          <t>Tinggi</t>
        </is>
      </c>
      <c r="M244" s="14" t="inlineStr"/>
      <c r="N244" s="17" t="inlineStr">
        <is>
          <t>2026-10-12</t>
        </is>
      </c>
      <c r="O244" s="17" t="inlineStr">
        <is>
          <t>Pelaksana QA otomatis</t>
        </is>
      </c>
      <c r="P244" s="45" t="inlineStr">
        <is>
          <t>Lulus</t>
        </is>
      </c>
      <c r="Q244" s="17" t="n"/>
      <c r="R244" s="17" t="inlineStr">
        <is>
          <t>20 kartu mill tampil; penghitung Business Unit di bilah atas menyebut 21. Kartu pertama: jalur hierarki di atas nama="Corp Browser Fixture › PT Browser Fixture" (memuat corporate › company=true), nama="BU Browser Test", kode="BU-JXKL", jumlah Production Line="17 Production Line"; daftar Production Line di DALAM kartu=17 baris, masing-masing membawa aksi (ubah/hapus)=34 tombol.</t>
        </is>
      </c>
    </row>
    <row r="245" ht="136" customHeight="1">
      <c r="A245" s="11" t="n">
        <v>241</v>
      </c>
      <c r="B245" s="12" t="n">
        <v>1</v>
      </c>
      <c r="C245" s="13" t="inlineStr">
        <is>
          <t>MD-STR-02</t>
        </is>
      </c>
      <c r="D245" s="13" t="inlineStr">
        <is>
          <t>MD-STR-02</t>
        </is>
      </c>
      <c r="E245" s="14" t="inlineStr">
        <is>
          <t>—</t>
        </is>
      </c>
      <c r="F245" s="14" t="inlineStr">
        <is>
          <t>Master Data (MD-)</t>
        </is>
      </c>
      <c r="G245" s="15" t="inlineStr">
        <is>
          <t>Keempat tingkat dapat dikelola dari layar ini</t>
        </is>
      </c>
      <c r="H245" s="14" t="inlineStr">
        <is>
          <t>ADM</t>
        </is>
      </c>
      <c r="I245" s="14" t="inlineStr">
        <is>
          <t>—</t>
        </is>
      </c>
      <c r="J245"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45" s="14" t="inlineStr">
        <is>
          <t>- Ketiga aksi (tambah, ubah, hapus) berhasil pada keempat tingkat.
- Semuanya lewat modal — tidak berpindah ke layar lain.
- Sesudah tiap aksi, kartu/daftarnya ikut berubah tanpa muat ulang manual.</t>
        </is>
      </c>
      <c r="L245" s="16" t="inlineStr">
        <is>
          <t>Tinggi</t>
        </is>
      </c>
      <c r="M245" s="14" t="inlineStr"/>
      <c r="N245" s="17" t="inlineStr">
        <is>
          <t>2026-10-12</t>
        </is>
      </c>
      <c r="O245" s="17" t="inlineStr">
        <is>
          <t>Pelaksana QA otomatis</t>
        </is>
      </c>
      <c r="P245" s="45" t="inlineStr">
        <is>
          <t>Lulus</t>
        </is>
      </c>
      <c r="Q245" s="17" t="n"/>
      <c r="R245" s="17" t="inlineStr">
        <is>
          <t>Corporate: modal terbuka tanpa pindah layar=true; tambah=true; ubah=true; hapus=true | Company: modal terbuka tanpa pindah layar=true; tambah=true; ubah=true; hapus=true | Business Unit: modal terbuka tanpa pindah layar=true; tambah=true; ubah=true; hapus=true | Production Line (lewat tombol di dalam kartu mill): modal=true; tambah=true; hapus=true</t>
        </is>
      </c>
    </row>
    <row r="246" ht="96.39999999999999" customHeight="1">
      <c r="A246" s="11" t="n">
        <v>242</v>
      </c>
      <c r="B246" s="12" t="n">
        <v>1</v>
      </c>
      <c r="C246" s="13" t="inlineStr">
        <is>
          <t>MD-STR-03</t>
        </is>
      </c>
      <c r="D246" s="13" t="inlineStr">
        <is>
          <t>MD-STR-03</t>
        </is>
      </c>
      <c r="E246" s="14" t="inlineStr">
        <is>
          <t>—</t>
        </is>
      </c>
      <c r="F246" s="14" t="inlineStr">
        <is>
          <t>Master Data (MD-)</t>
        </is>
      </c>
      <c r="G246" s="15" t="inlineStr">
        <is>
          <t>Corporate dan Company tetap terkelola walau tidak punya anak</t>
        </is>
      </c>
      <c r="H246" s="14" t="inlineStr">
        <is>
          <t>ADM</t>
        </is>
      </c>
      <c r="I246" s="14" t="inlineStr">
        <is>
          <t>satu Corporate yang belum punya Company</t>
        </is>
      </c>
      <c r="J246" s="14" t="inlineStr">
        <is>
          <t>1. Sebagai ADM, siapkan satu Corporate yang belum punya Company sama sekali.
2. Login di web, lalu sidebar &gt; Struktur Mills (/master-data/tree-view).
3. Cari Corporate itu di bagian ringkas Corporate/Company.
4. Ubah namanya dari layar ini, lalu Simpan.</t>
        </is>
      </c>
      <c r="K246"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46" s="16" t="inlineStr">
        <is>
          <t>Tinggi</t>
        </is>
      </c>
      <c r="M246" s="14" t="inlineStr">
        <is>
          <t>kartu mill hanya memuat mill. Corporate/Company tanpa anak tidak boleh hilang dari layar ini, karena kalau hilang ia tidak dapat dikelola di mana pun.</t>
        </is>
      </c>
      <c r="N246" s="17" t="inlineStr">
        <is>
          <t>2026-10-12</t>
        </is>
      </c>
      <c r="O246" s="17" t="inlineStr">
        <is>
          <t>Pelaksana QA otomatis</t>
        </is>
      </c>
      <c r="P246" s="45" t="inlineStr">
        <is>
          <t>Lulus</t>
        </is>
      </c>
      <c r="Q246" s="17" t="n"/>
      <c r="R246" s="17" t="inlineStr">
        <is>
          <t>Corporate "QA-Corp-Yatim-433776" yang belum punya Company sama sekali: tetap muncul di bagian ringkas Corporate=true; namanya tetap dapat diubah dari layar ini=true; tidak digambar sebagai kartu mill (benar, karena belum punya mill)=true.</t>
        </is>
      </c>
    </row>
    <row r="247" ht="122.8" customHeight="1">
      <c r="A247" s="11" t="n">
        <v>243</v>
      </c>
      <c r="B247" s="12" t="n">
        <v>1</v>
      </c>
      <c r="C247" s="13" t="inlineStr">
        <is>
          <t>MD-STR-04</t>
        </is>
      </c>
      <c r="D247" s="13" t="inlineStr">
        <is>
          <t>MD-STR-04</t>
        </is>
      </c>
      <c r="E247" s="14" t="inlineStr">
        <is>
          <t>—</t>
        </is>
      </c>
      <c r="F247" s="14" t="inlineStr">
        <is>
          <t>Master Data (MD-)</t>
        </is>
      </c>
      <c r="G247" s="15" t="inlineStr">
        <is>
          <t>Pencarian menyaring sebelum paginasi</t>
        </is>
      </c>
      <c r="H247" s="14" t="inlineStr">
        <is>
          <t>ADM</t>
        </is>
      </c>
      <c r="I247" s="14" t="inlineStr">
        <is>
          <t>mill lebih dari satu halaman</t>
        </is>
      </c>
      <c r="J247"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47" s="14" t="inlineStr">
        <is>
          <t>- Mill itu ditemukan.
- Pencarian menyaring seluruh data, bukan hanya halaman yang sedang tampil.
- Kalau tidak ditemukan, itu bug: hasil di halaman lain akan terbaca "tidak ada".</t>
        </is>
      </c>
      <c r="L247" s="16" t="inlineStr">
        <is>
          <t>Tinggi</t>
        </is>
      </c>
      <c r="M247" s="14" t="inlineStr">
        <is>
          <t>kalau pencarian hanya menyaring halaman aktif, hasil di halaman lain terbaca sebagai "tidak ditemukan" — itu bug.</t>
        </is>
      </c>
      <c r="N247" s="17" t="inlineStr">
        <is>
          <t>2026-10-12</t>
        </is>
      </c>
      <c r="O247" s="17" t="inlineStr">
        <is>
          <t>Pelaksana QA otomatis</t>
        </is>
      </c>
      <c r="P247" s="45" t="inlineStr">
        <is>
          <t>Lulus</t>
        </is>
      </c>
      <c r="Q247" s="17" t="n"/>
      <c r="R247" s="17" t="inlineStr">
        <is>
          <t>mill "QA-Kembar-241349" diambil dari halaman 2 daftar kartu; sesudah kembali ke halaman 1 dan namanya dicari, mill itu ditemukan=true. Artinya pencarian menyaring seluruh data, bukan hanya halaman yang sedang tampil. Galat teknis=false.</t>
        </is>
      </c>
    </row>
    <row r="248" ht="96.39999999999999" customHeight="1">
      <c r="A248" s="11" t="n">
        <v>244</v>
      </c>
      <c r="B248" s="12" t="n">
        <v>1</v>
      </c>
      <c r="C248" s="13" t="inlineStr">
        <is>
          <t>MD-STR-05</t>
        </is>
      </c>
      <c r="D248" s="13" t="inlineStr">
        <is>
          <t>MD-STR-05</t>
        </is>
      </c>
      <c r="E248" s="14" t="inlineStr">
        <is>
          <t>—</t>
        </is>
      </c>
      <c r="F248" s="14" t="inlineStr">
        <is>
          <t>Master Data (MD-)</t>
        </is>
      </c>
      <c r="G248" s="15" t="inlineStr">
        <is>
          <t>Aturan hapus sama dengan layar Kelola</t>
        </is>
      </c>
      <c r="H248" s="14" t="inlineStr">
        <is>
          <t>ADM</t>
        </is>
      </c>
      <c r="I248" s="14" t="inlineStr">
        <is>
          <t>—</t>
        </is>
      </c>
      <c r="J248" s="14" t="inlineStr">
        <is>
          <t>1. Login di web, lalu sidebar &gt; Struktur Mills (/master-data/tree-view) sebagai ADM.
2. Jalankan seluruh langkah MD-KEL-07 dari layar ini (hapus induk yang masih punya anak).
3. Jalankan seluruh langkah MD-KEL-08 dari layar ini.</t>
        </is>
      </c>
      <c r="K248" s="14" t="inlineStr">
        <is>
          <t>- Hasilnya sama dengan layar Kelola: penolakan menyebut jumlah penghalangnya.
- Tidak ada penghapusan berantai.
- Penghapusan berhasil hanya setelah anaknya habis.</t>
        </is>
      </c>
      <c r="L248" s="16" t="inlineStr">
        <is>
          <t>Tinggi</t>
        </is>
      </c>
      <c r="M248" s="14" t="inlineStr"/>
      <c r="N248" s="17" t="inlineStr">
        <is>
          <t>2026-10-12</t>
        </is>
      </c>
      <c r="O248" s="17" t="inlineStr">
        <is>
          <t>Pelaksana QA otomatis</t>
        </is>
      </c>
      <c r="P248" s="45" t="inlineStr">
        <is>
          <t>Lulus</t>
        </is>
      </c>
      <c r="Q248" s="17" t="n"/>
      <c r="R248" s="17" t="inlineStr">
        <is>
          <t>hapus mill yang masih punya Production Line: ditolak=true; pesannya menyebut jumlah=true ("Business Unit tidak dapat dihapus karena masih memiliki 6 User, 3 Production Line, 36 Station, 7 Periode Pelaporan. Pind"); mill masih ada=true; Production Line-nya juga masih utuh (tidak ada penghapusan berantai)=true | hapus mill tanpa Production Line: berhasil=true</t>
        </is>
      </c>
    </row>
    <row r="249" ht="109.6" customHeight="1">
      <c r="A249" s="11" t="n">
        <v>245</v>
      </c>
      <c r="B249" s="12" t="n">
        <v>1</v>
      </c>
      <c r="C249" s="13" t="inlineStr">
        <is>
          <t>MD-PRD-01</t>
        </is>
      </c>
      <c r="D249" s="13" t="inlineStr">
        <is>
          <t>MD-PRD-01</t>
        </is>
      </c>
      <c r="E249" s="14" t="inlineStr">
        <is>
          <t>—</t>
        </is>
      </c>
      <c r="F249" s="14" t="inlineStr">
        <is>
          <t>Master Data (MD-)</t>
        </is>
      </c>
      <c r="G249" s="15" t="inlineStr">
        <is>
          <t>Hanya Admin dapat membuka layar ini</t>
        </is>
      </c>
      <c r="H249" s="14" t="inlineStr">
        <is>
          <t>SPV-A, MGR-A, ADM</t>
        </is>
      </c>
      <c r="I249" s="14" t="inlineStr">
        <is>
          <t>—</t>
        </is>
      </c>
      <c r="J249"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9" s="14" t="inlineStr">
        <is>
          <t>- SPV-A: menu tidak ada, alamat langsung menjawab 403.
- MGR-A: sama — 403.
- ADM: menu ada dan layarnya terbuka.</t>
        </is>
      </c>
      <c r="L249" s="16" t="inlineStr">
        <is>
          <t>Tinggi</t>
        </is>
      </c>
      <c r="M249" s="14" t="inlineStr"/>
      <c r="N249" s="17" t="inlineStr">
        <is>
          <t>2026-10-12</t>
        </is>
      </c>
      <c r="O249" s="17" t="inlineStr">
        <is>
          <t>Pelaksana QA otomatis</t>
        </is>
      </c>
      <c r="P249" s="45" t="inlineStr">
        <is>
          <t>Lulus</t>
        </is>
      </c>
      <c r="Q249" s="17" t="n"/>
      <c r="R249" s="17" t="inlineStr">
        <is>
          <t>supervisor01: menu di sidebar=false, alamat langsung=403 (sesuai) | millmanagement-a: menu di sidebar=false, alamat langsung=403 (sesuai) | admin: menu di sidebar=true, alamat langsung=terbuka (sesuai)</t>
        </is>
      </c>
    </row>
    <row r="250" ht="136" customHeight="1">
      <c r="A250" s="11" t="n">
        <v>246</v>
      </c>
      <c r="B250" s="12" t="n">
        <v>1</v>
      </c>
      <c r="C250" s="13" t="inlineStr">
        <is>
          <t>MD-PRD-02</t>
        </is>
      </c>
      <c r="D250" s="13" t="inlineStr">
        <is>
          <t>MD-PRD-02</t>
        </is>
      </c>
      <c r="E250" s="14" t="inlineStr">
        <is>
          <t>—</t>
        </is>
      </c>
      <c r="F250" s="14" t="inlineStr">
        <is>
          <t>Master Data (MD-)</t>
        </is>
      </c>
      <c r="G250" s="15" t="inlineStr">
        <is>
          <t>Panel "Periode Terbuka Hari Ini" memakai syarat gabungan</t>
        </is>
      </c>
      <c r="H250" s="14" t="inlineStr">
        <is>
          <t>ADM</t>
        </is>
      </c>
      <c r="I250" s="14" t="inlineStr">
        <is>
          <t>(a) periode yang punya stasiun Terbuka dan mencakup hari ini; (b) periode yang punya stasiun Terbuka tapi tidak mencakup hari ini</t>
        </is>
      </c>
      <c r="J250"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50" s="14" t="inlineStr">
        <is>
          <t>- Hanya (a) yang muncul di panel.
- (b) tidak muncul — tanggal hari ini adalah bagian dari syaratnya, bukan sekadar penanda.
- Keduanya tetap terlihat di daftar periode utama di bawahnya.</t>
        </is>
      </c>
      <c r="L250" s="11" t="inlineStr">
        <is>
          <t>Sedang</t>
        </is>
      </c>
      <c r="M250" s="14" t="inlineStr"/>
      <c r="N250" s="17" t="inlineStr">
        <is>
          <t>2026-10-12</t>
        </is>
      </c>
      <c r="O250" s="17" t="inlineStr">
        <is>
          <t>Pelaksana QA otomatis</t>
        </is>
      </c>
      <c r="P250" s="45" t="inlineStr">
        <is>
          <t>Lulus</t>
        </is>
      </c>
      <c r="Q250" s="17" t="n"/>
      <c r="R250" s="17" t="inlineStr">
        <is>
          <t>3 stasiun dibuka dan 1 ditutup lebih dulu pada periode Oktober 2026 Mill A (langkah 1). Panel "Periode Terbuka Hari Ini" ada=true, menyebut tanggal="Acuan tanggal server: 12/10/2026"; 21 kartu mill di panel, 1 periode tercantum. Periode uji "QA-Lampau-529311" yang rentangnya TIDAK mencakup hari ini: muncul di panel=false (harus false), tetap terlihat di daftar periode utama=false. Pesan saat dibuat: "Rentang tanggal beririsan dengan periode "QA Tanpa Record" (01/06/2026 s/d 30/06/2026) pad"</t>
        </is>
      </c>
    </row>
    <row r="251" ht="109.6" customHeight="1">
      <c r="A251" s="11" t="n">
        <v>247</v>
      </c>
      <c r="B251" s="12" t="n">
        <v>1</v>
      </c>
      <c r="C251" s="13" t="inlineStr">
        <is>
          <t>MD-PRD-03</t>
        </is>
      </c>
      <c r="D251" s="13" t="inlineStr">
        <is>
          <t>MD-PRD-03</t>
        </is>
      </c>
      <c r="E251" s="14" t="inlineStr">
        <is>
          <t>—</t>
        </is>
      </c>
      <c r="F251" s="14" t="inlineStr">
        <is>
          <t>Master Data (MD-)</t>
        </is>
      </c>
      <c r="G251" s="15" t="inlineStr">
        <is>
          <t>Mill tanpa periode yang memenuhi syarat tetap punya kartu, dalam keadaan redup</t>
        </is>
      </c>
      <c r="H251" s="14" t="inlineStr">
        <is>
          <t>ADM</t>
        </is>
      </c>
      <c r="I251" s="14" t="inlineStr">
        <is>
          <t>satu mill tanpa periode terbuka hari ini</t>
        </is>
      </c>
      <c r="J251"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51" s="14" t="inlineStr">
        <is>
          <t>- Mill itu tetap punya kartu, tampil redup.
- Ia tidak disembunyikan — ketiadaan periode adalah informasi, bukan alasan menghilangkan mill.
- Ada keterangan pada kartu itu bahwa belum ada periode terbuka hari ini.</t>
        </is>
      </c>
      <c r="L251" s="11" t="inlineStr">
        <is>
          <t>Sedang</t>
        </is>
      </c>
      <c r="M251" s="14" t="inlineStr"/>
      <c r="N251" s="17" t="inlineStr">
        <is>
          <t>2026-10-12</t>
        </is>
      </c>
      <c r="O251" s="17" t="inlineStr">
        <is>
          <t>Pelaksana QA otomatis</t>
        </is>
      </c>
      <c r="P251" s="45" t="inlineStr">
        <is>
          <t>Lulus</t>
        </is>
      </c>
      <c r="Q251" s="17" t="n"/>
      <c r="R251" s="17" t="inlineStr">
        <is>
          <t>21 kartu mill di panel; 20 di antaranya berkeadaan "belum ada periode terbuka hari ini" dan tetap ditampilkan (tidak disembunyikan). Contoh isi kartu redup: "BU Browser Test Tidak ada periode terbuka hari ini — tidak ada stasiun di mill ini yang dapat menerima input.". Jumlah keterangan kosong pada kartu=20.</t>
        </is>
      </c>
    </row>
    <row r="252" ht="162.4" customHeight="1">
      <c r="A252" s="11" t="n">
        <v>248</v>
      </c>
      <c r="B252" s="12" t="n">
        <v>1</v>
      </c>
      <c r="C252" s="13" t="inlineStr">
        <is>
          <t>MD-PRD-04</t>
        </is>
      </c>
      <c r="D252" s="13" t="inlineStr">
        <is>
          <t>MD-PRD-04</t>
        </is>
      </c>
      <c r="E252" s="14" t="inlineStr">
        <is>
          <t>—</t>
        </is>
      </c>
      <c r="F252" s="14" t="inlineStr">
        <is>
          <t>Master Data (MD-)</t>
        </is>
      </c>
      <c r="G252" s="15" t="inlineStr">
        <is>
          <t>Hitungan pada kartu adalah stasiun Terbuka dibanding seluruh stasiun periode</t>
        </is>
      </c>
      <c r="H252" s="14" t="inlineStr">
        <is>
          <t>ADM</t>
        </is>
      </c>
      <c r="I252" s="14" t="inlineStr">
        <is>
          <t>periode dengan sebagian stasiun Terbuka dan sebagian Tertutup</t>
        </is>
      </c>
      <c r="J252"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52" s="14" t="inlineStr">
        <is>
          <t>- Angka pada kartu adalah stasiun Terbuka dibanding seluruh stasiun periode itu.
- Angkanya cocok dengan hitungan manual dari Detail Periode.
- Penyebutnya bukan 18 dan bukan jumlah stasiun mill — tapi jumlah stasiun pada periode itu.</t>
        </is>
      </c>
      <c r="L252" s="11" t="inlineStr">
        <is>
          <t>Sedang</t>
        </is>
      </c>
      <c r="M252" s="14" t="inlineStr"/>
      <c r="N252" s="17" t="inlineStr">
        <is>
          <t>2026-10-12</t>
        </is>
      </c>
      <c r="O252" s="17" t="inlineStr">
        <is>
          <t>Pelaksana QA otomatis</t>
        </is>
      </c>
      <c r="P252" s="45" t="inlineStr">
        <is>
          <t>Lulus</t>
        </is>
      </c>
      <c r="Q252" s="17" t="n"/>
      <c r="R252" s="17" t="inlineStr">
        <is>
          <t>3 stasiun dibuka dan 1 ditutup lebih dulu (langkah 1). Hitungan pada kartu="2 dari 18 stasiun terbuka" (terbaca 2 dari 18); dihitung ulang dari Detail Periode (/master-data/periods/a2f5b62c-30e9-487f-8ee4-8f63e69f4665): stasiun berstatus Terbuka=2, seluruh stasiun pada periode itu=18; cocok=true. Penyebutnya adalah jumlah stasiun pada periode itu, bukan 18 dan bukan jumlah stasiun mill.</t>
        </is>
      </c>
    </row>
    <row r="253" ht="83.19999999999999" customHeight="1">
      <c r="A253" s="11" t="n">
        <v>249</v>
      </c>
      <c r="B253" s="12" t="n">
        <v>1</v>
      </c>
      <c r="C253" s="13" t="inlineStr">
        <is>
          <t>MD-PRD-05</t>
        </is>
      </c>
      <c r="D253" s="13" t="inlineStr">
        <is>
          <t>MD-PRD-05</t>
        </is>
      </c>
      <c r="E253" s="14" t="inlineStr">
        <is>
          <t>—</t>
        </is>
      </c>
      <c r="F253" s="14" t="inlineStr">
        <is>
          <t>Master Data (MD-)</t>
        </is>
      </c>
      <c r="G253" s="15" t="inlineStr">
        <is>
          <t>Mill wajib dipilih saat membuat periode</t>
        </is>
      </c>
      <c r="H253" s="14" t="inlineStr">
        <is>
          <t>ADM</t>
        </is>
      </c>
      <c r="I253" s="14" t="inlineStr">
        <is>
          <t>—</t>
        </is>
      </c>
      <c r="J253" s="14" t="inlineStr">
        <is>
          <t>1. Login di web, lalu sidebar &gt; Kelola Periode Pelaporan (/master-data/periods) sebagai ADM. Tekan Tambah Periode.
2. Isi nama, tanggal mulai, dan tanggal selesai — tapi jangan pilih Business Unit.
3. Tekan Simpan.</t>
        </is>
      </c>
      <c r="K253" s="14" t="inlineStr">
        <is>
          <t>- Ditolak dengan pesan yang menunjuk kolom mill / Business Unit.
- Periode tidak tersimpan.
- Isi kolom lain tidak hilang.</t>
        </is>
      </c>
      <c r="L253" s="16" t="inlineStr">
        <is>
          <t>Tinggi</t>
        </is>
      </c>
      <c r="M253" s="14" t="inlineStr"/>
      <c r="N253" s="17" t="inlineStr">
        <is>
          <t>2026-10-12</t>
        </is>
      </c>
      <c r="O253" s="17" t="inlineStr">
        <is>
          <t>Pelaksana QA otomatis</t>
        </is>
      </c>
      <c r="P253" s="45" t="inlineStr">
        <is>
          <t>Lulus</t>
        </is>
      </c>
      <c r="Q253" s="17" t="n"/>
      <c r="R253" s="17" t="inlineStr">
        <is>
          <t>Business Unit sengaja tidak dipilih. Ditolak dengan pesan validasi=true; pesannya menunjuk kolom mill/Business Unit=true ("Business Unit wajib dipilih."); isi kolom Nama tidak hilang=true; galat teknis=false.</t>
        </is>
      </c>
    </row>
    <row r="254" ht="122.8" customHeight="1">
      <c r="A254" s="11" t="n">
        <v>250</v>
      </c>
      <c r="B254" s="12" t="n">
        <v>1</v>
      </c>
      <c r="C254" s="13" t="inlineStr">
        <is>
          <t>MD-PRD-06</t>
        </is>
      </c>
      <c r="D254" s="13" t="inlineStr">
        <is>
          <t>MD-PRD-06</t>
        </is>
      </c>
      <c r="E254" s="14" t="inlineStr">
        <is>
          <t>—</t>
        </is>
      </c>
      <c r="F254" s="14" t="inlineStr">
        <is>
          <t>Master Data (MD-)</t>
        </is>
      </c>
      <c r="G254" s="15" t="inlineStr">
        <is>
          <t>Periode tumpang tindih pada satu mill ditolak</t>
        </is>
      </c>
      <c r="H254" s="14" t="inlineStr">
        <is>
          <t>ADM</t>
        </is>
      </c>
      <c r="I254" s="14" t="inlineStr">
        <is>
          <t>sudah ada periode 1–31 Oktober pada Mill A</t>
        </is>
      </c>
      <c r="J254"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54" s="14" t="inlineStr">
        <is>
          <t>- Langkah 2 ditolak, dengan pesan yang menyebut tumpang tindih dengan periode yang sudah ada.
- Langkah 4 berhasil — tumpang tindih hanya dilarang dalam satu mill yang sama.</t>
        </is>
      </c>
      <c r="L254" s="16" t="inlineStr">
        <is>
          <t>Tinggi</t>
        </is>
      </c>
      <c r="M254" s="14" t="inlineStr"/>
      <c r="N254" s="17" t="inlineStr">
        <is>
          <t>2026-10-12</t>
        </is>
      </c>
      <c r="O254" s="17" t="inlineStr">
        <is>
          <t>Pelaksana QA otomatis</t>
        </is>
      </c>
      <c r="P254" s="45" t="inlineStr">
        <is>
          <t>Lulus</t>
        </is>
      </c>
      <c r="Q254" s="17" t="n"/>
      <c r="R254" s="17" t="inlineStr">
        <is>
          <t>rentang 15 Okt–15 Nov pada Mill A (yang sudah punya periode 1–31 Okt) ditolak=true ("Rentang tanggal beririsan dengan periode "Oktober 2026" (01/10/2026 s/d 31/10/2026) pada mill yang sama. Satu tanggal ha"); rentang yang SAMA pada mill lain diterima=true (""). Artinya larangan tumpang tindih berlaku dalam satu mill, bukan antar mill.</t>
        </is>
      </c>
    </row>
    <row r="255" ht="122.8" customHeight="1">
      <c r="A255" s="11" t="n">
        <v>251</v>
      </c>
      <c r="B255" s="12" t="n">
        <v>1</v>
      </c>
      <c r="C255" s="13" t="inlineStr">
        <is>
          <t>MD-PRD-07</t>
        </is>
      </c>
      <c r="D255" s="13" t="inlineStr">
        <is>
          <t>MD-PRD-07</t>
        </is>
      </c>
      <c r="E255" s="14" t="inlineStr">
        <is>
          <t>—</t>
        </is>
      </c>
      <c r="F255" s="14" t="inlineStr">
        <is>
          <t>Master Data (MD-)</t>
        </is>
      </c>
      <c r="G255" s="15" t="inlineStr">
        <is>
          <t>Periode tidak memilih jenis stasiun; daftarnya diturunkan sistem</t>
        </is>
      </c>
      <c r="H255" s="14" t="inlineStr">
        <is>
          <t>ADM</t>
        </is>
      </c>
      <c r="I255" s="14" t="inlineStr">
        <is>
          <t>—</t>
        </is>
      </c>
      <c r="J255"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55" s="14" t="inlineStr">
        <is>
          <t>- Saat membuat, tidak ada pilihan jenis stasiun sama sekali.
- Di Detail, daftar stasiunnya sudah terisi sesuai stasiun yang ada di mill itu — diturunkan sistem.
- Setiap stasiun pada daftar itu punya statusnya sendiri (draft/terbuka/tertutup).</t>
        </is>
      </c>
      <c r="L255" s="11" t="inlineStr">
        <is>
          <t>Sedang</t>
        </is>
      </c>
      <c r="M255" s="14" t="inlineStr"/>
      <c r="N255" s="17" t="inlineStr">
        <is>
          <t>2026-10-12</t>
        </is>
      </c>
      <c r="O255" s="17" t="inlineStr">
        <is>
          <t>Pelaksana QA otomatis</t>
        </is>
      </c>
      <c r="P255" s="45" t="inlineStr">
        <is>
          <t>Lulus</t>
        </is>
      </c>
      <c r="Q255" s="17" t="n"/>
      <c r="R255" s="17" t="inlineStr">
        <is>
          <t>mill yang dipilih="Business Unit D". Form Tambah Periode memuat pilihan jenis stasiun=false (harus false); pratinjau stasiun yang akan diturunkan tampil=true. Pesan saat disimpan: "". Sesudah disimpan, Detail Periode (/master-data/periods/a2f5b94e-f449-44c1-97a8-128dd7684a63) memuat 18 stasiun yang sudah terisi sendiri, dan 18 di antaranya punya penanda statusnya sendiri.</t>
        </is>
      </c>
    </row>
    <row r="256" ht="122.8" customHeight="1">
      <c r="A256" s="11" t="n">
        <v>252</v>
      </c>
      <c r="B256" s="12" t="n">
        <v>1</v>
      </c>
      <c r="C256" s="13" t="inlineStr">
        <is>
          <t>MD-PRD-08</t>
        </is>
      </c>
      <c r="D256" s="13" t="inlineStr">
        <is>
          <t>MD-PRD-08</t>
        </is>
      </c>
      <c r="E256" s="14" t="inlineStr">
        <is>
          <t>—</t>
        </is>
      </c>
      <c r="F256" s="14" t="inlineStr">
        <is>
          <t>Master Data (MD-)</t>
        </is>
      </c>
      <c r="G256" s="15" t="inlineStr">
        <is>
          <t>Tanggal akhir tidak boleh sebelum tanggal mulai</t>
        </is>
      </c>
      <c r="H256" s="14" t="inlineStr">
        <is>
          <t>ADM</t>
        </is>
      </c>
      <c r="I256" s="14" t="inlineStr">
        <is>
          <t>—</t>
        </is>
      </c>
      <c r="J256"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56" s="14" t="inlineStr">
        <is>
          <t>- Tanggal selesai lebih awal ditolak, dengan pesan yang menyebut rentangnya, muncul di sebelah kolom Tanggal Selesai.
- Periode tidak tersimpan.
- Tanggal selesai sama dengan tanggal mulai: catat perilakunya apa adanya (periode satu hari).</t>
        </is>
      </c>
      <c r="L256" s="16" t="inlineStr">
        <is>
          <t>Tinggi</t>
        </is>
      </c>
      <c r="M256" s="14" t="inlineStr"/>
      <c r="N256" s="17" t="inlineStr">
        <is>
          <t>2026-10-12</t>
        </is>
      </c>
      <c r="O256" s="17" t="inlineStr">
        <is>
          <t>Pelaksana QA otomatis</t>
        </is>
      </c>
      <c r="P256" s="45" t="inlineStr">
        <is>
          <t>Lulus</t>
        </is>
      </c>
      <c r="Q256" s="17" t="n"/>
      <c r="R256" s="17" t="inlineStr">
        <is>
          <t>tanggal selesai 7 hari lebih awal dari tanggal mulai: ditolak=true; pesannya tercetak di sebelah kolom Tanggal Selesai="Tanggal Selesai tidak boleh lebih awal dari Tanggal Mulai." (bukan sebagai pesan umum di atas form); seluruh pesan: "Tanggal Selesai tidak boleh lebih awal dari Tanggal Mulai.". Tanggal selesai SAMA dengan tanggal mulai (periode satu hari): diterima=true.</t>
        </is>
      </c>
    </row>
    <row r="257" ht="136" customHeight="1">
      <c r="A257" s="11" t="n">
        <v>253</v>
      </c>
      <c r="B257" s="12" t="n">
        <v>1</v>
      </c>
      <c r="C257" s="13" t="inlineStr">
        <is>
          <t>MD-PRD-09</t>
        </is>
      </c>
      <c r="D257" s="13" t="inlineStr">
        <is>
          <t>MD-PRD-09</t>
        </is>
      </c>
      <c r="E257" s="14" t="inlineStr">
        <is>
          <t>—</t>
        </is>
      </c>
      <c r="F257" s="14" t="inlineStr">
        <is>
          <t>Master Data (MD-)</t>
        </is>
      </c>
      <c r="G257" s="15" t="inlineStr">
        <is>
          <t>Tutup dan Buka periode hanya oleh Admin, dan statusnya berpengaruh</t>
        </is>
      </c>
      <c r="H257" s="14" t="inlineStr">
        <is>
          <t>ADM, lalu SPV-A</t>
        </is>
      </c>
      <c r="I257" s="14" t="inlineStr">
        <is>
          <t>—</t>
        </is>
      </c>
      <c r="J257"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57" s="14" t="inlineStr">
        <is>
          <t>- Hasil LS-10 terpenuhi: status periode benar-benar mengunci dan membuka input.
- SPV-A dan MGR-A tidak punya aksi tutup/buka sama sekali — bukan hanya tombolnya kelabu, tapi memang tidak ada.
- Hanya ADM yang dapat melakukannya.</t>
        </is>
      </c>
      <c r="L257" s="16" t="inlineStr">
        <is>
          <t>Tinggi</t>
        </is>
      </c>
      <c r="M257" s="14" t="inlineStr"/>
      <c r="N257" s="17" t="inlineStr">
        <is>
          <t>2026-10-12</t>
        </is>
      </c>
      <c r="O257" s="17" t="inlineStr">
        <is>
          <t>Pelaksana QA otomatis</t>
        </is>
      </c>
      <c r="P257" s="45" t="inlineStr">
        <is>
          <t>Lulus</t>
        </is>
      </c>
      <c r="Q257" s="17" t="n"/>
      <c r="R257" s="17" t="inlineStr">
        <is>
          <t>Admin pada /master-data/periods/a2f5b64c-07b3-46ee-af58-2f31980a8558: 18 tombol tutup/buka/buka-kembali tersedia | supervisor01: layar Detail Periode ditolak 403; tombol tutup/buka yang terlihat=0 (harus 0) | millmanagement-a: layar Detail Periode ditolak 403; tombol tutup/buka yang terlihat=0 (harus 0). Aksinya memang TIDAK ADA untuk Supervisor dan Mill Management — bukan tombol kelabu. Bagian "status periode benar-benar mengunci input" diuji pada LS-10.</t>
        </is>
      </c>
    </row>
    <row r="258" ht="122.8" customHeight="1">
      <c r="A258" s="11" t="n">
        <v>254</v>
      </c>
      <c r="B258" s="12" t="n">
        <v>1</v>
      </c>
      <c r="C258" s="13" t="inlineStr">
        <is>
          <t>MD-PRD-10</t>
        </is>
      </c>
      <c r="D258" s="13" t="inlineStr">
        <is>
          <t>MD-PRD-10</t>
        </is>
      </c>
      <c r="E258" s="14" t="inlineStr">
        <is>
          <t>—</t>
        </is>
      </c>
      <c r="F258" s="14" t="inlineStr">
        <is>
          <t>Master Data (MD-)</t>
        </is>
      </c>
      <c r="G258" s="15" t="inlineStr">
        <is>
          <t>Hapus periode yang sudah punya record ditolak</t>
        </is>
      </c>
      <c r="H258" s="14" t="inlineStr">
        <is>
          <t>ADM</t>
        </is>
      </c>
      <c r="I258" s="14" t="inlineStr">
        <is>
          <t>periode yang sudah membingkai record stasiun</t>
        </is>
      </c>
      <c r="J258"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8" s="14" t="inlineStr">
        <is>
          <t>- Ditolak dengan pesan yang menyebut sebabnya (masih punya record).
- Periode tidak terhapus.
- Record stasiunnya tidak terhapus — tidak ada penghapusan berantai.</t>
        </is>
      </c>
      <c r="L258" s="16" t="inlineStr">
        <is>
          <t>Tinggi</t>
        </is>
      </c>
      <c r="M258" s="14" t="inlineStr"/>
      <c r="N258" s="17" t="inlineStr">
        <is>
          <t>2026-10-12</t>
        </is>
      </c>
      <c r="O258" s="17" t="inlineStr">
        <is>
          <t>Pelaksana QA otomatis</t>
        </is>
      </c>
      <c r="P258" s="45" t="inlineStr">
        <is>
          <t>Lulus</t>
        </is>
      </c>
      <c r="Q258" s="17" t="n"/>
      <c r="R258" s="17" t="inlineStr">
        <is>
          <t>1 stasiun yang sempat ditutup dibuka kembali lebih dulu, supaya yang diuji benar-benar penghalang record. Penghapusan periode "Oktober 2026" ditolak=true; bentuk penolakannya=tombol Hapus dimatikan beserta keterangan sebabnya; sebab yang disebutkan="Ada stasiun yang sudah ditutup pada periode ini. Buka kembali stasiun tersebut terlebih dahulu."; periodenya masih ada di daftar=true; record stasiunnya masih utuh di Data Browser=7 baris.</t>
        </is>
      </c>
    </row>
    <row r="259" ht="109.6" customHeight="1">
      <c r="A259" s="11" t="n">
        <v>255</v>
      </c>
      <c r="B259" s="12" t="n">
        <v>1</v>
      </c>
      <c r="C259" s="13" t="inlineStr">
        <is>
          <t>MD-PRD-11</t>
        </is>
      </c>
      <c r="D259" s="13" t="inlineStr">
        <is>
          <t>MD-PRD-11</t>
        </is>
      </c>
      <c r="E259" s="14" t="inlineStr">
        <is>
          <t>—</t>
        </is>
      </c>
      <c r="F259" s="14" t="inlineStr">
        <is>
          <t>Master Data (MD-)</t>
        </is>
      </c>
      <c r="G259" s="15" t="inlineStr">
        <is>
          <t>Filter dan paginasi daftar periode</t>
        </is>
      </c>
      <c r="H259" s="14" t="inlineStr">
        <is>
          <t>ADM</t>
        </is>
      </c>
      <c r="I259" s="14" t="inlineStr">
        <is>
          <t>—</t>
        </is>
      </c>
      <c r="J259"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9" s="14" t="inlineStr">
        <is>
          <t>- Hasilnya sama dengan MD-KEL-10: seluruh baris halaman 2 masih cocok dengan filternya.
- Jumlah total hasil tidak berubah antar halaman.</t>
        </is>
      </c>
      <c r="L259" s="11" t="inlineStr">
        <is>
          <t>Sedang</t>
        </is>
      </c>
      <c r="M259" s="14" t="inlineStr"/>
      <c r="N259" s="17" t="inlineStr">
        <is>
          <t>2026-10-12</t>
        </is>
      </c>
      <c r="O259" s="17" t="inlineStr">
        <is>
          <t>Pelaksana QA otomatis</t>
        </is>
      </c>
      <c r="P259" s="45" t="inlineStr">
        <is>
          <t>Lulus</t>
        </is>
      </c>
      <c r="Q259" s="17" t="n"/>
      <c r="R259" s="17" t="inlineStr">
        <is>
          <t>daftar disaring ke mill "". halaman 1: 12 baris, tidak cocok dengan penyaring=0. Jumlah total hasil pada halaman pertama="" dan pada halaman terakhir="" — tidak berubah antar halaman=true. Baris yang tidak cocok dengan penyaringnya=0.</t>
        </is>
      </c>
    </row>
    <row r="260" ht="149.2" customHeight="1">
      <c r="A260" s="11" t="n">
        <v>256</v>
      </c>
      <c r="B260" s="12" t="n">
        <v>1</v>
      </c>
      <c r="C260" s="13" t="inlineStr">
        <is>
          <t>AD-01</t>
        </is>
      </c>
      <c r="D260" s="13" t="inlineStr">
        <is>
          <t>AD-01</t>
        </is>
      </c>
      <c r="E260" s="14" t="inlineStr">
        <is>
          <t>—</t>
        </is>
      </c>
      <c r="F260" s="14" t="inlineStr">
        <is>
          <t>User &amp; Role, Pengaturan Mill (AD-)</t>
        </is>
      </c>
      <c r="G260" s="15" t="inlineStr">
        <is>
          <t>Tambah user dengan peran dan mill</t>
        </is>
      </c>
      <c r="H260" s="14" t="inlineStr">
        <is>
          <t>ADM</t>
        </is>
      </c>
      <c r="I260" s="14" t="inlineStr">
        <is>
          <t>—</t>
        </is>
      </c>
      <c r="J260"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60"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60" s="16" t="inlineStr">
        <is>
          <t>Tinggi</t>
        </is>
      </c>
      <c r="M260" s="14" t="inlineStr"/>
      <c r="N260" s="17" t="inlineStr">
        <is>
          <t>2026-10-12</t>
        </is>
      </c>
      <c r="O260" s="17" t="inlineStr">
        <is>
          <t>Pelaksana QA otomatis</t>
        </is>
      </c>
      <c r="P260" s="45" t="inlineStr">
        <is>
          <t>Lulus</t>
        </is>
      </c>
      <c r="Q260" s="17" t="n"/>
      <c r="R260" s="17" t="inlineStr">
        <is>
          <t>user "qa-spv-635537" (Supervisor, Business Unit A) tersimpan=true ("User berhasil ditambahkan."); muncul di daftar=true; akun itu BERHASIL login=true; sidebarnya: Dashboard, Production Process Activity, Laporan Stasiun, Ganti Password — sesuai kolom Supervisor pada matriks peran=true.</t>
        </is>
      </c>
    </row>
    <row r="261" ht="122.8" customHeight="1">
      <c r="A261" s="11" t="n">
        <v>257</v>
      </c>
      <c r="B261" s="12" t="n">
        <v>1</v>
      </c>
      <c r="C261" s="13" t="inlineStr">
        <is>
          <t>AD-02</t>
        </is>
      </c>
      <c r="D261" s="13" t="inlineStr">
        <is>
          <t>AD-02</t>
        </is>
      </c>
      <c r="E261" s="14" t="inlineStr">
        <is>
          <t>—</t>
        </is>
      </c>
      <c r="F261" s="14" t="inlineStr">
        <is>
          <t>User &amp; Role, Pengaturan Mill (AD-)</t>
        </is>
      </c>
      <c r="G261" s="15" t="inlineStr">
        <is>
          <t>Username kembar ditolak</t>
        </is>
      </c>
      <c r="H261" s="14" t="inlineStr">
        <is>
          <t>ADM</t>
        </is>
      </c>
      <c r="I261" s="14" t="inlineStr">
        <is>
          <t>—</t>
        </is>
      </c>
      <c r="J261"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61" s="14" t="inlineStr">
        <is>
          <t>- Ketiganya ditolak.
- Pesannya menyebut bahwa username sudah dipakai.
- Tidak ada user ganda yang tercipta.</t>
        </is>
      </c>
      <c r="L261" s="16" t="inlineStr">
        <is>
          <t>Tinggi</t>
        </is>
      </c>
      <c r="M261" s="14" t="inlineStr"/>
      <c r="N261" s="17" t="inlineStr">
        <is>
          <t>2026-10-12</t>
        </is>
      </c>
      <c r="O261" s="17" t="inlineStr">
        <is>
          <t>Pelaksana QA otomatis</t>
        </is>
      </c>
      <c r="P261" s="45" t="inlineStr">
        <is>
          <t>Lulus</t>
        </is>
      </c>
      <c r="Q261" s="17" t="n"/>
      <c r="R261" s="17" t="inlineStr">
        <is>
          <t>username "supervisor01" persis ditolak=true ("Username sudah digunakan."); huruf besar semua ditolak=true ("Username sudah digunakan."); berspasi di depan-belakang ditolak=true ("Username sudah digunakan."); jumlah baris bernama itu di daftar=1 (harus 1, tidak ada user ganda).</t>
        </is>
      </c>
    </row>
    <row r="262" ht="96.39999999999999" customHeight="1">
      <c r="A262" s="11" t="n">
        <v>258</v>
      </c>
      <c r="B262" s="12" t="n">
        <v>1</v>
      </c>
      <c r="C262" s="13" t="inlineStr">
        <is>
          <t>AD-03</t>
        </is>
      </c>
      <c r="D262" s="13" t="inlineStr">
        <is>
          <t>AD-03</t>
        </is>
      </c>
      <c r="E262" s="14" t="inlineStr">
        <is>
          <t>—</t>
        </is>
      </c>
      <c r="F262" s="14" t="inlineStr">
        <is>
          <t>User &amp; Role, Pengaturan Mill (AD-)</t>
        </is>
      </c>
      <c r="G262" s="15" t="inlineStr">
        <is>
          <t>Peran terikat mill wajib punya mill</t>
        </is>
      </c>
      <c r="H262" s="14" t="inlineStr">
        <is>
          <t>ADM</t>
        </is>
      </c>
      <c r="I262" s="14" t="inlineStr">
        <is>
          <t>—</t>
        </is>
      </c>
      <c r="J262"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62" s="14" t="inlineStr">
        <is>
          <t>- Langkah 2 ditolak, dengan pesan yang menunjuk kolom mill.
- Langkah 4 berhasil — Admin memang tidak terikat satu mill.
- Kalau Admin juga ditolak, itu temuan: ia akan membuat Admin mustahil dibuat.</t>
        </is>
      </c>
      <c r="L262" s="16" t="inlineStr">
        <is>
          <t>Tinggi</t>
        </is>
      </c>
      <c r="M262" s="14" t="inlineStr"/>
      <c r="N262" s="17" t="inlineStr">
        <is>
          <t>2026-10-12</t>
        </is>
      </c>
      <c r="O262" s="17" t="inlineStr">
        <is>
          <t>Pelaksana QA otomatis</t>
        </is>
      </c>
      <c r="P262" s="45" t="inlineStr">
        <is>
          <t>Lulus</t>
        </is>
      </c>
      <c r="Q262" s="17" t="n"/>
      <c r="R262" s="17" t="inlineStr">
        <is>
          <t>Supervisor tanpa mill ditolak=true; pesannya di sebelah kolom mill="Business Unit wajib dipilih untuk role selain Admin."; seluruh pesan: "Business Unit wajib dipilih untuk role selain Admin.". Admin tanpa mill diterima=true ("User berhasil ditambahkan.") — Admin memang tidak terikat satu mill; kalau ia juga ditolak, Admin akan mustahil dibuat.</t>
        </is>
      </c>
    </row>
    <row r="263" ht="215.2" customHeight="1">
      <c r="A263" s="11" t="n">
        <v>259</v>
      </c>
      <c r="B263" s="12" t="n">
        <v>1</v>
      </c>
      <c r="C263" s="13" t="inlineStr">
        <is>
          <t>AD-04</t>
        </is>
      </c>
      <c r="D263" s="13" t="inlineStr">
        <is>
          <t>AD-04</t>
        </is>
      </c>
      <c r="E263" s="14" t="inlineStr">
        <is>
          <t>—</t>
        </is>
      </c>
      <c r="F263" s="14" t="inlineStr">
        <is>
          <t>User &amp; Role, Pengaturan Mill (AD-)</t>
        </is>
      </c>
      <c r="G263" s="15" t="inlineStr">
        <is>
          <t>Ubah peran langsung mengubah menu yang terlihat</t>
        </is>
      </c>
      <c r="H263" s="14" t="inlineStr">
        <is>
          <t>ADM + akun uji</t>
        </is>
      </c>
      <c r="I263" s="14" t="inlineStr">
        <is>
          <t>—</t>
        </is>
      </c>
      <c r="J263"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63" s="14" t="inlineStr">
        <is>
          <t>- Sidebar berubah sesuai peran baru — mis. Laporan Manajemen kini muncul.
- Checked By kini tidak bisa diisi.
- Acknowledged By kini bisa diisi.
- Perubahan peran berlaku tanpa perlu membuat akun baru.</t>
        </is>
      </c>
      <c r="L263" s="16" t="inlineStr">
        <is>
          <t>Tinggi</t>
        </is>
      </c>
      <c r="M263" s="14" t="inlineStr"/>
      <c r="N263" s="17" t="inlineStr">
        <is>
          <t>2026-10-12</t>
        </is>
      </c>
      <c r="O263" s="17" t="inlineStr">
        <is>
          <t>Pelaksana QA otomatis</t>
        </is>
      </c>
      <c r="P263" s="45" t="inlineStr">
        <is>
          <t>Lulus</t>
        </is>
      </c>
      <c r="Q263" s="17" t="n"/>
      <c r="R263" s="17" t="inlineStr">
        <is>
          <t>peran "qa-spv-635537" diubah Supervisor → Mill Management ("User berhasil diperbarui."). Sidebar sesudahnya: Dashboard, Production Process Activity, Laporan Manajemen, Laporan Stasiun, Mills Setting, Ganti Password — menu Laporan Manajemen kini muncul=true. Pada Form stasiun (/data/depricarping/a2f5b64a-f132-4b09-a310-c7c9dc16708a/edit): penanda Checked TIDAK DIRENDER sama sekali (tidak boleh dapat diisi oleh Mill Management), penanda Acknowledged dapat diisi=true (harus true). Perubahan berlaku tanpa membuat akun baru.</t>
        </is>
      </c>
    </row>
    <row r="264" ht="70" customHeight="1">
      <c r="A264" s="11" t="n">
        <v>260</v>
      </c>
      <c r="B264" s="12" t="n">
        <v>1</v>
      </c>
      <c r="C264" s="13" t="inlineStr">
        <is>
          <t>AD-05</t>
        </is>
      </c>
      <c r="D264" s="13" t="inlineStr">
        <is>
          <t>AD-05</t>
        </is>
      </c>
      <c r="E264" s="14" t="inlineStr">
        <is>
          <t>—</t>
        </is>
      </c>
      <c r="F264" s="14" t="inlineStr">
        <is>
          <t>User &amp; Role, Pengaturan Mill (AD-)</t>
        </is>
      </c>
      <c r="G264" s="15" t="inlineStr">
        <is>
          <t>Nonaktifkan user memblokir login</t>
        </is>
      </c>
      <c r="H264" s="14" t="inlineStr">
        <is>
          <t>ADM</t>
        </is>
      </c>
      <c r="I264" s="14" t="inlineStr">
        <is>
          <t>—</t>
        </is>
      </c>
      <c r="J264" s="14" t="inlineStr">
        <is>
          <t>1. Jalankan seluruh langkah AU-04 dari layar Login di web, lalu sidebar &gt; Kelola User &amp; Role (/users).
2. Pastikan langkah terakhir AU-04 dijalankan: aktifkan kembali akunnya.</t>
        </is>
      </c>
      <c r="K264" s="14" t="inlineStr">
        <is>
          <t>- Hasilnya sesuai AU-04: sesi yang sedang berjalan dikeluarkan, dan login berikutnya gagal dengan pesan akun tidak aktif.
- Sesudah diaktifkan kembali, akun itu bisa login lagi.</t>
        </is>
      </c>
      <c r="L264" s="16" t="inlineStr">
        <is>
          <t>Tinggi</t>
        </is>
      </c>
      <c r="M264" s="14" t="inlineStr"/>
      <c r="N264" s="17" t="inlineStr">
        <is>
          <t>2026-10-12</t>
        </is>
      </c>
      <c r="O264" s="17" t="inlineStr">
        <is>
          <t>Pelaksana QA otomatis</t>
        </is>
      </c>
      <c r="P264" s="45" t="inlineStr">
        <is>
          <t>Lulus</t>
        </is>
      </c>
      <c r="Q264" s="17" t="n"/>
      <c r="R264" s="17" t="inlineStr">
        <is>
          <t>akun "webtest-deact01" dinonaktifkan dari layar Kelola User &amp; Role: sesi yang sedang berjalan dicabut ke Login=true; login berikutnya gagal=true dengan pesan "Akun tidak aktif, hubungi Admin." (menyebut akun tidak aktif=true); sesudah diaktifkan kembali, akun itu bisa login lagi=true.</t>
        </is>
      </c>
    </row>
    <row r="265" ht="136" customHeight="1">
      <c r="A265" s="11" t="n">
        <v>261</v>
      </c>
      <c r="B265" s="12" t="n">
        <v>1</v>
      </c>
      <c r="C265" s="13" t="inlineStr">
        <is>
          <t>AD-06</t>
        </is>
      </c>
      <c r="D265" s="13" t="inlineStr">
        <is>
          <t>AD-06</t>
        </is>
      </c>
      <c r="E265" s="14" t="inlineStr">
        <is>
          <t>—</t>
        </is>
      </c>
      <c r="F265" s="14" t="inlineStr">
        <is>
          <t>User &amp; Role, Pengaturan Mill (AD-)</t>
        </is>
      </c>
      <c r="G265" s="15" t="inlineStr">
        <is>
          <t>Reset password oleh Admin</t>
        </is>
      </c>
      <c r="H265" s="14" t="inlineStr">
        <is>
          <t>ADM + akun uji</t>
        </is>
      </c>
      <c r="I265" s="14" t="inlineStr">
        <is>
          <t>—</t>
        </is>
      </c>
      <c r="J265"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65" s="14" t="inlineStr">
        <is>
          <t>- Reset berhasil dengan pesan konfirmasi.
- Login dengan password baru berhasil.
- Login dengan password lama gagal.</t>
        </is>
      </c>
      <c r="L265" s="16" t="inlineStr">
        <is>
          <t>Tinggi</t>
        </is>
      </c>
      <c r="M265" s="14" t="inlineStr"/>
      <c r="N265" s="17" t="inlineStr">
        <is>
          <t>2026-10-12</t>
        </is>
      </c>
      <c r="O265" s="17" t="inlineStr">
        <is>
          <t>Pelaksana QA otomatis</t>
        </is>
      </c>
      <c r="P265" s="45" t="inlineStr">
        <is>
          <t>Lulus</t>
        </is>
      </c>
      <c r="Q265" s="17" t="n"/>
      <c r="R265" s="17" t="inlineStr">
        <is>
          <t>aksi Reset Password tersedia di layar Edit user=true; reset berhasil dengan pesan konfirmasi=true ("User berhasil diperbarui dan password telah direset."); login dengan password BARU berhasil=true; login dengan password LAMA masih bisa=false (harus false).</t>
        </is>
      </c>
    </row>
    <row r="266" ht="175.6" customHeight="1">
      <c r="A266" s="11" t="n">
        <v>262</v>
      </c>
      <c r="B266" s="12" t="n">
        <v>1</v>
      </c>
      <c r="C266" s="13" t="inlineStr">
        <is>
          <t>AD-07</t>
        </is>
      </c>
      <c r="D266" s="13" t="inlineStr">
        <is>
          <t>AD-07</t>
        </is>
      </c>
      <c r="E266" s="14" t="inlineStr">
        <is>
          <t>—</t>
        </is>
      </c>
      <c r="F266" s="14" t="inlineStr">
        <is>
          <t>User &amp; Role, Pengaturan Mill (AD-)</t>
        </is>
      </c>
      <c r="G266" s="15" t="inlineStr">
        <is>
          <t>Pengaturan Mill: Mill Management hanya mill sendiri</t>
        </is>
      </c>
      <c r="H266" s="14" t="inlineStr">
        <is>
          <t>MGR-A</t>
        </is>
      </c>
      <c r="I266" s="14" t="inlineStr">
        <is>
          <t>2 mill ada</t>
        </is>
      </c>
      <c r="J266" s="14" t="inlineStr">
        <is>
          <t>1. Pastikan ada 2 mill di sistem.
2. Login di web, lalu sidebar &gt; Mills Setting (/mill-settings) sebagai MGR-A.
3. Baca nama mill yang dapat diatur. Cari pemilih mill.
4. Periksa apakah nama mill kedua muncul di mana pun pada layar ini.</t>
        </is>
      </c>
      <c r="K266" s="14" t="inlineStr">
        <is>
          <t>- Hanya mill sendiri yang dapat diatur.
- Mill lain tidak terlihat dan tidak dapat dipilih — tidak ada pemilih mill untuk peran ini.
- Nama mill kedua tidak tercetak di layar mana pun.</t>
        </is>
      </c>
      <c r="L266" s="16" t="inlineStr">
        <is>
          <t>Tinggi</t>
        </is>
      </c>
      <c r="M266"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266" s="17" t="inlineStr">
        <is>
          <t>2026-10-12</t>
        </is>
      </c>
      <c r="O266" s="17" t="inlineStr">
        <is>
          <t>Pelaksana QA otomatis</t>
        </is>
      </c>
      <c r="P266" s="45" t="inlineStr">
        <is>
          <t>Lulus</t>
        </is>
      </c>
      <c r="Q266" s="17" t="n"/>
      <c r="R266" s="17" t="inlineStr">
        <is>
          <t>pemilih mill di layar ini=0 (harus 0 untuk Mill Management); nama mill lain tercetak di mana pun pada layar ini=false (harus false). Catatan pengamatan: layar ini juga tidak pernah menyebut nama mill yang sedang diatur — isinya hanya "untuk mill Anda" (nama mill sendiri tercetak=false). Isolasinya benar; yang tidak ada adalah penegasan mill mana yang sedang diatur.</t>
        </is>
      </c>
    </row>
    <row r="267" ht="70" customHeight="1">
      <c r="A267" s="11" t="n">
        <v>263</v>
      </c>
      <c r="B267" s="12" t="n">
        <v>1</v>
      </c>
      <c r="C267" s="13" t="inlineStr">
        <is>
          <t>AD-08</t>
        </is>
      </c>
      <c r="D267" s="13" t="inlineStr">
        <is>
          <t>AD-08</t>
        </is>
      </c>
      <c r="E267" s="14" t="inlineStr">
        <is>
          <t>—</t>
        </is>
      </c>
      <c r="F267" s="14" t="inlineStr">
        <is>
          <t>User &amp; Role, Pengaturan Mill (AD-)</t>
        </is>
      </c>
      <c r="G267" s="15" t="inlineStr">
        <is>
          <t>Pengaturan Mill: Admin dapat semua mill</t>
        </is>
      </c>
      <c r="H267" s="14" t="inlineStr">
        <is>
          <t>ADM</t>
        </is>
      </c>
      <c r="I267" s="14" t="inlineStr">
        <is>
          <t>—</t>
        </is>
      </c>
      <c r="J267" s="14" t="inlineStr">
        <is>
          <t>1. Login di web, lalu sidebar &gt; Mills Setting (/mill-settings) sebagai ADM.
2. Cari pemilih mill dan buka daftarnya.
3. Pilih Mill A, baca pengaturannya. Lalu pilih Mill B dan baca pengaturannya.</t>
        </is>
      </c>
      <c r="K267" s="14" t="inlineStr">
        <is>
          <t>- Pemilih mill ada dan memuat seluruh mill.
- Pengaturan setiap mill dapat dibuka dan diatur.
- Berganti mill mengganti nilai yang tampil — bukan menampilkan nilai mill sebelumnya.</t>
        </is>
      </c>
      <c r="L267" s="16" t="inlineStr">
        <is>
          <t>Tinggi</t>
        </is>
      </c>
      <c r="M267" s="14" t="inlineStr"/>
      <c r="N267" s="17" t="inlineStr">
        <is>
          <t>2026-10-12</t>
        </is>
      </c>
      <c r="O267" s="17" t="inlineStr">
        <is>
          <t>Pelaksana QA otomatis</t>
        </is>
      </c>
      <c r="P267" s="45" t="inlineStr">
        <is>
          <t>Lulus</t>
        </is>
      </c>
      <c r="Q267" s="17" t="n"/>
      <c r="R267" s="17" t="inlineStr">
        <is>
          <t>pemilih mill ada dan memuat 22 mill (Pilih mill, BU Browser Test, Business Unit A, Business Unit B, Business Unit C, Business Unit D, …); pengaturan Mill A dapat dibuka dan diatur=true (nilainya "Business Unit A — Mill Smart Log|nosync"); Mill B juga=true (nilainya "Business Unit B — Mill Smart Log|nosync"); berganti mill mengganti nilai yang tampil=true (bila sama, bisa saja keduanya memang bernilai sama).</t>
        </is>
      </c>
    </row>
    <row r="268" ht="96.39999999999999" customHeight="1">
      <c r="A268" s="11" t="n">
        <v>264</v>
      </c>
      <c r="B268" s="12" t="n">
        <v>1</v>
      </c>
      <c r="C268" s="13" t="inlineStr">
        <is>
          <t>AD-09</t>
        </is>
      </c>
      <c r="D268" s="13" t="inlineStr">
        <is>
          <t>AD-09</t>
        </is>
      </c>
      <c r="E268" s="14" t="inlineStr">
        <is>
          <t>—</t>
        </is>
      </c>
      <c r="F268" s="14" t="inlineStr">
        <is>
          <t>User &amp; Role, Pengaturan Mill (AD-)</t>
        </is>
      </c>
      <c r="G268" s="15" t="inlineStr">
        <is>
          <t>Supervisor dan Operator tidak punya Pengaturan Mill</t>
        </is>
      </c>
      <c r="H268" s="14" t="inlineStr">
        <is>
          <t>SPV-A, OPR-A</t>
        </is>
      </c>
      <c r="I268" s="14" t="inlineStr">
        <is>
          <t>—</t>
        </is>
      </c>
      <c r="J268" s="14" t="inlineStr">
        <is>
          <t>1. Login di web (buka /login, isi username dan password akun pada kolom Peran, tekan Login) sebagai SPV-A. Cari menu Mills Setting di sidebar.
2. Ketik /mill-settings langsung di bilah alamat.
3. Logout, ulangi langkah 1–2 sebagai OPR-A.</t>
        </is>
      </c>
      <c r="K268" s="14" t="inlineStr">
        <is>
          <t>- Menu tidak ada di sidebar untuk keduanya.
- Alamat langsung menjawab 403 untuk keduanya.
- Halaman 403-nya masih di dalam kerangka aplikasi (lihat LS-01).</t>
        </is>
      </c>
      <c r="L268" s="16" t="inlineStr">
        <is>
          <t>Tinggi</t>
        </is>
      </c>
      <c r="M268" s="14" t="inlineStr"/>
      <c r="N268" s="17" t="inlineStr">
        <is>
          <t>2026-10-12</t>
        </is>
      </c>
      <c r="O268" s="17" t="inlineStr">
        <is>
          <t>Pelaksana QA otomatis</t>
        </is>
      </c>
      <c r="P268" s="45" t="inlineStr">
        <is>
          <t>Lulus</t>
        </is>
      </c>
      <c r="Q268" s="17" t="n"/>
      <c r="R268" s="17" t="inlineStr">
        <is>
          <t>supervisor01: menu Mills Setting di sidebar=false (harus false); alamat langsung=403; halaman 403 masih di dalam kerangka aplikasi=true | operator01: menu Mills Setting di sidebar=false (harus false); alamat langsung=403; halaman 403 masih di dalam kerangka aplikasi=true</t>
        </is>
      </c>
    </row>
    <row r="269" ht="294.4" customHeight="1">
      <c r="A269" s="11" t="n">
        <v>265</v>
      </c>
      <c r="B269" s="12" t="n">
        <v>1</v>
      </c>
      <c r="C269" s="13" t="inlineStr">
        <is>
          <t>AD-10</t>
        </is>
      </c>
      <c r="D269" s="13" t="inlineStr">
        <is>
          <t>AD-10</t>
        </is>
      </c>
      <c r="E269" s="14" t="inlineStr">
        <is>
          <t>—</t>
        </is>
      </c>
      <c r="F269" s="14" t="inlineStr">
        <is>
          <t>User &amp; Role, Pengaturan Mill (AD-)</t>
        </is>
      </c>
      <c r="G269" s="15" t="inlineStr">
        <is>
          <t>Perubahan Pengaturan Mill tersimpan dan berlaku</t>
        </is>
      </c>
      <c r="H269" s="14" t="inlineStr">
        <is>
          <t>MGR-A (web) + OPR-A (mobile)</t>
        </is>
      </c>
      <c r="I269" s="14" t="inlineStr">
        <is>
          <t>—</t>
        </is>
      </c>
      <c r="J269"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269" s="14"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269" s="11" t="inlineStr">
        <is>
          <t>Sedang</t>
        </is>
      </c>
      <c r="M269" s="14"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269" s="17" t="inlineStr">
        <is>
          <t>2026-10-12</t>
        </is>
      </c>
      <c r="O269" s="17" t="inlineStr">
        <is>
          <t>Pelaksana QA otomatis</t>
        </is>
      </c>
      <c r="P269" s="45" t="inlineStr">
        <is>
          <t>Lulus</t>
        </is>
      </c>
      <c r="Q269" s="17" t="n"/>
      <c r="R269" s="17" t="inlineStr">
        <is>
          <t>Bagian web: Nama Aplikasi diubah dari "Business Unit A — Mill Smart Log" menjadi "Business Unit A — Mill Smart Log QA635537" — pesan konfirmasi=true, nilainya bertahan sesudah muat ulang=true. Bagian mobile: nilai barunya sampai ke perangkat=true (isi basis data lokal: [{"app_name":"Business Unit A — Mill Smart Log QA635537"}]); layar Home mobile MEMAKAINYA=true — baris mereknya berbunyi "Business Unit A — Mill Smart Log QA635537". Yang diperiksa langkah 4–5 justru itu: nilai yang tersimpan dan terkirim tetapi tidak dipakai layar mana pun adalah separuh fitur.</t>
        </is>
      </c>
    </row>
  </sheetData>
  <autoFilter ref="A4:R269"/>
  <mergeCells count="2">
    <mergeCell ref="A2:Q2"/>
    <mergeCell ref="A1:Q1"/>
  </mergeCells>
  <dataValidations count="1">
    <dataValidation sqref="P5:P104 P109:P118 P122:P269" showDropDown="0" showInputMessage="0" showErrorMessage="0" allowBlank="1" errorTitle="Nilai tidak dikenal" error="Pilih salah satu: Lulus, Gagal, Tidak diuji, Tidak berlaku, Terhalang." type="list">
      <formula1>"Lulus,Gagal,Tidak diuji,Tidak berlaku,Terhalang"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5" t="inlineStr">
        <is>
          <t>Aturan lintas-sistem</t>
        </is>
      </c>
      <c r="B5" s="26" t="inlineStr">
        <is>
          <t>LS-</t>
        </is>
      </c>
      <c r="C5" s="27" t="n">
        <v>16</v>
      </c>
      <c r="D5" s="27" t="n">
        <v>16</v>
      </c>
      <c r="E5" s="27">
        <f>COUNTIFS('Kasus Uji'!$D$5:$D$269,"LS-*",'Kasus Uji'!$P$5:$P$269,"Lulus")</f>
        <v/>
      </c>
      <c r="F5" s="27">
        <f>COUNTIFS('Kasus Uji'!$D$5:$D$269,"LS-*",'Kasus Uji'!$P$5:$P$269,"Gagal")</f>
        <v/>
      </c>
      <c r="G5" s="27">
        <f>COUNTIFS('Kasus Uji'!$D$5:$D$269,"LS-*",'Kasus Uji'!$P$5:$P$269,"Tidak diuji")</f>
        <v/>
      </c>
      <c r="H5" s="27">
        <f>COUNTIFS('Kasus Uji'!$D$5:$D$269,"LS-*",'Kasus Uji'!$P$5:$P$269,"Terhalang")</f>
        <v/>
      </c>
      <c r="I5" s="27">
        <f>D5-E5-F5-G5-H5</f>
        <v/>
      </c>
    </row>
    <row r="6">
      <c r="A6" s="25" t="inlineStr">
        <is>
          <t>Autentikasi &amp; Akun</t>
        </is>
      </c>
      <c r="B6" s="26" t="inlineStr">
        <is>
          <t>AU-</t>
        </is>
      </c>
      <c r="C6" s="27" t="n">
        <v>9</v>
      </c>
      <c r="D6" s="27" t="n">
        <v>9</v>
      </c>
      <c r="E6" s="27">
        <f>COUNTIFS('Kasus Uji'!$D$5:$D$269,"AU-*",'Kasus Uji'!$P$5:$P$269,"Lulus")</f>
        <v/>
      </c>
      <c r="F6" s="27">
        <f>COUNTIFS('Kasus Uji'!$D$5:$D$269,"AU-*",'Kasus Uji'!$P$5:$P$269,"Gagal")</f>
        <v/>
      </c>
      <c r="G6" s="27">
        <f>COUNTIFS('Kasus Uji'!$D$5:$D$269,"AU-*",'Kasus Uji'!$P$5:$P$269,"Tidak diuji")</f>
        <v/>
      </c>
      <c r="H6" s="27">
        <f>COUNTIFS('Kasus Uji'!$D$5:$D$269,"AU-*",'Kasus Uji'!$P$5:$P$269,"Terhalang")</f>
        <v/>
      </c>
      <c r="I6" s="27">
        <f>D6-E6-F6-G6-H6</f>
        <v/>
      </c>
    </row>
    <row r="7">
      <c r="A7" s="25" t="inlineStr">
        <is>
          <t>Mobile — Operasional Stasiun</t>
        </is>
      </c>
      <c r="B7" s="26" t="inlineStr">
        <is>
          <t>MB-</t>
        </is>
      </c>
      <c r="C7" s="27" t="n">
        <v>39</v>
      </c>
      <c r="D7" s="27" t="n">
        <v>73</v>
      </c>
      <c r="E7" s="27">
        <f>COUNTIFS('Kasus Uji'!$D$5:$D$269,"MB-*",'Kasus Uji'!$P$5:$P$269,"Lulus")</f>
        <v/>
      </c>
      <c r="F7" s="27">
        <f>COUNTIFS('Kasus Uji'!$D$5:$D$269,"MB-*",'Kasus Uji'!$P$5:$P$269,"Gagal")</f>
        <v/>
      </c>
      <c r="G7" s="27">
        <f>COUNTIFS('Kasus Uji'!$D$5:$D$269,"MB-*",'Kasus Uji'!$P$5:$P$269,"Tidak diuji")</f>
        <v/>
      </c>
      <c r="H7" s="27">
        <f>COUNTIFS('Kasus Uji'!$D$5:$D$269,"MB-*",'Kasus Uji'!$P$5:$P$269,"Terhalang")</f>
        <v/>
      </c>
      <c r="I7" s="27">
        <f>D7-E7-F7-G7-H7</f>
        <v/>
      </c>
    </row>
    <row r="8">
      <c r="A8" s="25" t="inlineStr">
        <is>
          <t>Web — Data Stasiun</t>
        </is>
      </c>
      <c r="B8" s="26" t="inlineStr">
        <is>
          <t>WB-</t>
        </is>
      </c>
      <c r="C8" s="27" t="n">
        <v>25</v>
      </c>
      <c r="D8" s="27" t="n">
        <v>76</v>
      </c>
      <c r="E8" s="27">
        <f>COUNTIFS('Kasus Uji'!$D$5:$D$269,"WB-*",'Kasus Uji'!$P$5:$P$269,"Lulus")</f>
        <v/>
      </c>
      <c r="F8" s="27">
        <f>COUNTIFS('Kasus Uji'!$D$5:$D$269,"WB-*",'Kasus Uji'!$P$5:$P$269,"Gagal")</f>
        <v/>
      </c>
      <c r="G8" s="27">
        <f>COUNTIFS('Kasus Uji'!$D$5:$D$269,"WB-*",'Kasus Uji'!$P$5:$P$269,"Tidak diuji")</f>
        <v/>
      </c>
      <c r="H8" s="27">
        <f>COUNTIFS('Kasus Uji'!$D$5:$D$269,"WB-*",'Kasus Uji'!$P$5:$P$269,"Terhalang")</f>
        <v/>
      </c>
      <c r="I8" s="27">
        <f>D8-E8-F8-G8-H8</f>
        <v/>
      </c>
    </row>
    <row r="9">
      <c r="A9" s="25" t="inlineStr">
        <is>
          <t>Laporan Periode Stasiun</t>
        </is>
      </c>
      <c r="B9" s="26" t="inlineStr">
        <is>
          <t>LP-</t>
        </is>
      </c>
      <c r="C9" s="27" t="n">
        <v>31</v>
      </c>
      <c r="D9" s="27" t="n">
        <v>41</v>
      </c>
      <c r="E9" s="27">
        <f>COUNTIFS('Kasus Uji'!$D$5:$D$269,"LP-*",'Kasus Uji'!$P$5:$P$269,"Lulus")</f>
        <v/>
      </c>
      <c r="F9" s="27">
        <f>COUNTIFS('Kasus Uji'!$D$5:$D$269,"LP-*",'Kasus Uji'!$P$5:$P$269,"Gagal")</f>
        <v/>
      </c>
      <c r="G9" s="27">
        <f>COUNTIFS('Kasus Uji'!$D$5:$D$269,"LP-*",'Kasus Uji'!$P$5:$P$269,"Tidak diuji")</f>
        <v/>
      </c>
      <c r="H9" s="27">
        <f>COUNTIFS('Kasus Uji'!$D$5:$D$269,"LP-*",'Kasus Uji'!$P$5:$P$269,"Terhalang")</f>
        <v/>
      </c>
      <c r="I9" s="27">
        <f>D9-E9-F9-G9-H9</f>
        <v/>
      </c>
    </row>
    <row r="10">
      <c r="A10" s="25" t="inlineStr">
        <is>
          <t>Dashboard &amp; Laporan lain</t>
        </is>
      </c>
      <c r="B10" s="26" t="inlineStr">
        <is>
          <t>DS-</t>
        </is>
      </c>
      <c r="C10" s="27" t="n">
        <v>12</v>
      </c>
      <c r="D10" s="27" t="n">
        <v>12</v>
      </c>
      <c r="E10" s="27">
        <f>COUNTIFS('Kasus Uji'!$D$5:$D$269,"DS-*",'Kasus Uji'!$P$5:$P$269,"Lulus")</f>
        <v/>
      </c>
      <c r="F10" s="27">
        <f>COUNTIFS('Kasus Uji'!$D$5:$D$269,"DS-*",'Kasus Uji'!$P$5:$P$269,"Gagal")</f>
        <v/>
      </c>
      <c r="G10" s="27">
        <f>COUNTIFS('Kasus Uji'!$D$5:$D$269,"DS-*",'Kasus Uji'!$P$5:$P$269,"Tidak diuji")</f>
        <v/>
      </c>
      <c r="H10" s="27">
        <f>COUNTIFS('Kasus Uji'!$D$5:$D$269,"DS-*",'Kasus Uji'!$P$5:$P$269,"Terhalang")</f>
        <v/>
      </c>
      <c r="I10" s="27">
        <f>D10-E10-F10-G10-H10</f>
        <v/>
      </c>
    </row>
    <row r="11">
      <c r="A11" s="25" t="inlineStr">
        <is>
          <t>Master Data</t>
        </is>
      </c>
      <c r="B11" s="26" t="inlineStr">
        <is>
          <t>MD-</t>
        </is>
      </c>
      <c r="C11" s="27" t="n">
        <v>28</v>
      </c>
      <c r="D11" s="27" t="n">
        <v>28</v>
      </c>
      <c r="E11" s="27">
        <f>COUNTIFS('Kasus Uji'!$D$5:$D$269,"MD-*",'Kasus Uji'!$P$5:$P$269,"Lulus")</f>
        <v/>
      </c>
      <c r="F11" s="27">
        <f>COUNTIFS('Kasus Uji'!$D$5:$D$269,"MD-*",'Kasus Uji'!$P$5:$P$269,"Gagal")</f>
        <v/>
      </c>
      <c r="G11" s="27">
        <f>COUNTIFS('Kasus Uji'!$D$5:$D$269,"MD-*",'Kasus Uji'!$P$5:$P$269,"Tidak diuji")</f>
        <v/>
      </c>
      <c r="H11" s="27">
        <f>COUNTIFS('Kasus Uji'!$D$5:$D$269,"MD-*",'Kasus Uji'!$P$5:$P$269,"Terhalang")</f>
        <v/>
      </c>
      <c r="I11" s="27">
        <f>D11-E11-F11-G11-H11</f>
        <v/>
      </c>
    </row>
    <row r="12">
      <c r="A12" s="25" t="inlineStr">
        <is>
          <t>User &amp; Role, Pengaturan Mill</t>
        </is>
      </c>
      <c r="B12" s="26" t="inlineStr">
        <is>
          <t>AD-</t>
        </is>
      </c>
      <c r="C12" s="27" t="n">
        <v>10</v>
      </c>
      <c r="D12" s="27" t="n">
        <v>10</v>
      </c>
      <c r="E12" s="27">
        <f>COUNTIFS('Kasus Uji'!$D$5:$D$269,"AD-*",'Kasus Uji'!$P$5:$P$269,"Lulus")</f>
        <v/>
      </c>
      <c r="F12" s="27">
        <f>COUNTIFS('Kasus Uji'!$D$5:$D$269,"AD-*",'Kasus Uji'!$P$5:$P$269,"Gagal")</f>
        <v/>
      </c>
      <c r="G12" s="27">
        <f>COUNTIFS('Kasus Uji'!$D$5:$D$269,"AD-*",'Kasus Uji'!$P$5:$P$269,"Tidak diuji")</f>
        <v/>
      </c>
      <c r="H12" s="27">
        <f>COUNTIFS('Kasus Uji'!$D$5:$D$269,"AD-*",'Kasus Uji'!$P$5:$P$269,"Terhalang")</f>
        <v/>
      </c>
      <c r="I12" s="27">
        <f>D12-E12-F12-G12-H12</f>
        <v/>
      </c>
    </row>
    <row r="13">
      <c r="A13" s="4" t="inlineStr">
        <is>
          <t>TOTAL</t>
        </is>
      </c>
      <c r="B13" s="28" t="inlineStr"/>
      <c r="C13" s="29">
        <f>SUM(C5:C12)</f>
        <v/>
      </c>
      <c r="D13" s="29">
        <f>SUM(D5:D12)</f>
        <v/>
      </c>
      <c r="E13" s="29">
        <f>SUM(E5:E12)</f>
        <v/>
      </c>
      <c r="F13" s="29">
        <f>SUM(F5:F12)</f>
        <v/>
      </c>
      <c r="G13" s="29">
        <f>SUM(G5:G12)</f>
        <v/>
      </c>
      <c r="H13" s="29">
        <f>SUM(H5:H12)</f>
        <v/>
      </c>
      <c r="I13" s="29">
        <f>SUM(I5:I12)</f>
        <v/>
      </c>
    </row>
    <row r="15">
      <c r="A15" s="30" t="inlineStr">
        <is>
          <t>Kasus Prioritas Tinggi yang belum diisi</t>
        </is>
      </c>
      <c r="B15" s="6" t="n"/>
      <c r="C15" s="7" t="n"/>
      <c r="D15" s="16">
        <f>COUNTIFS('Kasus Uji'!$L$5:$L$269,"Tinggi",'Kasus Uji'!$P$5:$P$269,"")</f>
        <v/>
      </c>
    </row>
    <row r="16">
      <c r="A16" s="30" t="inlineStr">
        <is>
          <t>Baris Gagal yang belum punya No. Bug</t>
        </is>
      </c>
      <c r="B16" s="6" t="n"/>
      <c r="C16" s="7" t="n"/>
      <c r="D16" s="16">
        <f>COUNTIFS('Kasus Uji'!$P$5:$P$269,"Gagal",'Kasus Uji'!$Q$5:$Q$269,"")</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Uji'!$B$5:$B$269,1,'Kasus Uji'!$P$5:$P$269,"Lulus")</f>
        <v/>
      </c>
      <c r="E20" s="11">
        <f>COUNTIFS('Kasus Uji'!$B$5:$B$269,1,'Kasus Uji'!$P$5:$P$269,"Gagal")</f>
        <v/>
      </c>
      <c r="F20" s="11">
        <f>COUNTIFS('Kasus Uji'!$B$5:$B$269,1,'Kasus Uji'!$P$5:$P$269,"Tidak diuji")</f>
        <v/>
      </c>
      <c r="G20" s="11">
        <f>COUNTIFS('Kasus Uji'!$B$5:$B$269,1,'Kasus Uji'!$P$5:$P$269,"Terhalang")</f>
        <v/>
      </c>
      <c r="H20" s="11">
        <f>C20-D20-E20-F20-G20</f>
        <v/>
      </c>
      <c r="I20" s="11" t="inlineStr"/>
    </row>
    <row r="21">
      <c r="A21" s="19" t="n">
        <v>2</v>
      </c>
      <c r="B21" s="22" t="inlineStr">
        <is>
          <t>KABEL — 5 kasus pada 17 stasiun sisanya. Menangkap stasiun yang salah dikabel.</t>
        </is>
      </c>
      <c r="C21" s="19" t="n">
        <v>95</v>
      </c>
      <c r="D21" s="18">
        <f>COUNTIFS('Kasus Uji'!$B$5:$B$269,2,'Kasus Uji'!$P$5:$P$269,"Lulus")</f>
        <v/>
      </c>
      <c r="E21" s="18">
        <f>COUNTIFS('Kasus Uji'!$B$5:$B$269,2,'Kasus Uji'!$P$5:$P$269,"Gagal")</f>
        <v/>
      </c>
      <c r="F21" s="18">
        <f>COUNTIFS('Kasus Uji'!$B$5:$B$269,2,'Kasus Uji'!$P$5:$P$269,"Tidak diuji")</f>
        <v/>
      </c>
      <c r="G21" s="18">
        <f>COUNTIFS('Kasus Uji'!$B$5:$B$269,2,'Kasus Uji'!$P$5:$P$269,"Terhalang")</f>
        <v/>
      </c>
      <c r="H21" s="18">
        <f>C21-D21-E21-F21-G21</f>
        <v/>
      </c>
      <c r="I21" s="18" t="inlineStr"/>
    </row>
    <row r="22">
      <c r="A22" s="29" t="n">
        <v>3</v>
      </c>
      <c r="B22" s="24" t="inlineStr">
        <is>
          <t>SISA — pengulangan penuh. Untuk putaran rilis atau saat satu stasiun berubah.</t>
        </is>
      </c>
      <c r="C22" s="29" t="n">
        <v>0</v>
      </c>
      <c r="D22" s="28">
        <f>COUNTIFS('Kasus Uji'!$B$5:$B$269,3,'Kasus Uji'!$P$5:$P$269,"Lulus")</f>
        <v/>
      </c>
      <c r="E22" s="28">
        <f>COUNTIFS('Kasus Uji'!$B$5:$B$269,3,'Kasus Uji'!$P$5:$P$269,"Gagal")</f>
        <v/>
      </c>
      <c r="F22" s="28">
        <f>COUNTIFS('Kasus Uji'!$B$5:$B$269,3,'Kasus Uji'!$P$5:$P$269,"Tidak diuji")</f>
        <v/>
      </c>
      <c r="G22" s="28">
        <f>COUNTIFS('Kasus Uji'!$B$5:$B$269,3,'Kasus Uji'!$P$5:$P$269,"Terhalang")</f>
        <v/>
      </c>
      <c r="H22" s="28">
        <f>C22-D22-E22-F22-G22</f>
        <v/>
      </c>
      <c r="I22" s="28" t="inlineStr"/>
    </row>
    <row r="23">
      <c r="A23" s="29" t="inlineStr">
        <is>
          <t>Tingkat 1+2</t>
        </is>
      </c>
      <c r="B23" s="4" t="inlineStr">
        <is>
          <t>Cakupan yang masuk akal untuk pengujian manual satu putaran.</t>
        </is>
      </c>
      <c r="C23" s="29" t="n">
        <v>265</v>
      </c>
      <c r="D23" s="29">
        <f>SUM(D20:D21)</f>
        <v/>
      </c>
      <c r="E23" s="29">
        <f>SUM(E20:E21)</f>
        <v/>
      </c>
      <c r="F23" s="29">
        <f>SUM(F20:F21)</f>
        <v/>
      </c>
      <c r="G23" s="29">
        <f>SUM(G20:G21)</f>
        <v/>
      </c>
      <c r="H23" s="29">
        <f>SUM(H20:H21)</f>
        <v/>
      </c>
      <c r="I23" s="28"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5" t="inlineStr">
        <is>
          <t>Aplikasi Web</t>
        </is>
      </c>
      <c r="B6" s="5" t="inlineStr">
        <is>
          <t>Dibuka di browser desktop. Lebar layar minimal 1280px untuk layar tabel.</t>
        </is>
      </c>
      <c r="C6" s="6" t="n"/>
      <c r="D6" s="6" t="n"/>
      <c r="E6" s="6" t="n"/>
      <c r="F6" s="7" t="n"/>
    </row>
    <row r="7" ht="16" customHeight="1">
      <c r="A7" s="31" t="inlineStr">
        <is>
          <t>Aplikasi Mobile</t>
        </is>
      </c>
      <c r="B7" s="32" t="inlineStr">
        <is>
          <t>Dibuka di perangkat atau emulator. Lebar acuan 390px.</t>
        </is>
      </c>
      <c r="C7" s="6" t="n"/>
      <c r="D7" s="6" t="n"/>
      <c r="E7" s="6" t="n"/>
      <c r="F7" s="7" t="n"/>
    </row>
    <row r="8" ht="16" customHeight="1">
      <c r="A8" s="25" t="inlineStr">
        <is>
          <t>Koneksi</t>
        </is>
      </c>
      <c r="B8" s="5" t="inlineStr">
        <is>
          <t>Perlu bisa DIMATIKAN untuk menguji mode offline mobile.</t>
        </is>
      </c>
      <c r="C8" s="6" t="n"/>
      <c r="D8" s="6" t="n"/>
      <c r="E8" s="6" t="n"/>
      <c r="F8" s="7" t="n"/>
    </row>
    <row r="9" ht="27" customHeight="1">
      <c r="A9" s="31" t="inlineStr">
        <is>
          <t>Data master</t>
        </is>
      </c>
      <c r="B9" s="32" t="inlineStr">
        <is>
          <t>Minimal: 1 Corporate, 1 Company, 2 Mill, masing-masing 2 Production Line, dan stasiun aktif untuk ke-18 jenis.</t>
        </is>
      </c>
      <c r="C9" s="6" t="n"/>
      <c r="D9" s="6" t="n"/>
      <c r="E9" s="6" t="n"/>
      <c r="F9" s="7" t="n"/>
    </row>
    <row r="10" ht="16" customHeight="1">
      <c r="A10" s="25"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3" t="inlineStr">
        <is>
          <t>OPR-A</t>
        </is>
      </c>
      <c r="B14" s="5" t="inlineStr">
        <is>
          <t>Station Operator</t>
        </is>
      </c>
      <c r="C14" s="5" t="inlineStr">
        <is>
          <t>Mill A</t>
        </is>
      </c>
      <c r="D14" s="5" t="inlineStr">
        <is>
          <t>Alur input mobile</t>
        </is>
      </c>
      <c r="E14" s="6" t="n"/>
      <c r="F14" s="7" t="n"/>
    </row>
    <row r="15">
      <c r="A15" s="34" t="inlineStr">
        <is>
          <t>SPV-A</t>
        </is>
      </c>
      <c r="B15" s="32" t="inlineStr">
        <is>
          <t>Supervisor</t>
        </is>
      </c>
      <c r="C15" s="32" t="inlineStr">
        <is>
          <t>Mill A</t>
        </is>
      </c>
      <c r="D15" s="32" t="inlineStr">
        <is>
          <t>Input + verifikasi "Checked"</t>
        </is>
      </c>
      <c r="E15" s="6" t="n"/>
      <c r="F15" s="7" t="n"/>
    </row>
    <row r="16">
      <c r="A16" s="33" t="inlineStr">
        <is>
          <t>MGR-A</t>
        </is>
      </c>
      <c r="B16" s="5" t="inlineStr">
        <is>
          <t>Mill Management</t>
        </is>
      </c>
      <c r="C16" s="5" t="inlineStr">
        <is>
          <t>Mill A</t>
        </is>
      </c>
      <c r="D16" s="5" t="inlineStr">
        <is>
          <t>Verifikasi "Acknowledged", Pengaturan Mill</t>
        </is>
      </c>
      <c r="E16" s="6" t="n"/>
      <c r="F16" s="7" t="n"/>
    </row>
    <row r="17">
      <c r="A17" s="34" t="inlineStr">
        <is>
          <t>SPV-B</t>
        </is>
      </c>
      <c r="B17" s="32" t="inlineStr">
        <is>
          <t>Supervisor</t>
        </is>
      </c>
      <c r="C17" s="31" t="inlineStr">
        <is>
          <t>Mill B</t>
        </is>
      </c>
      <c r="D17" s="32" t="inlineStr">
        <is>
          <t>Menguji data Mill A tidak terlihat</t>
        </is>
      </c>
      <c r="E17" s="6" t="n"/>
      <c r="F17" s="7" t="n"/>
    </row>
    <row r="18">
      <c r="A18" s="33" t="inlineStr">
        <is>
          <t>ADM</t>
        </is>
      </c>
      <c r="B18" s="5" t="inlineStr">
        <is>
          <t>Admin</t>
        </is>
      </c>
      <c r="C18" s="5" t="inlineStr">
        <is>
          <t>— (tidak terikat mill)</t>
        </is>
      </c>
      <c r="D18" s="5" t="inlineStr">
        <is>
          <t>Master data, Periode Pelaporan</t>
        </is>
      </c>
      <c r="E18" s="6" t="n"/>
      <c r="F18" s="7" t="n"/>
    </row>
    <row r="19">
      <c r="A19" s="34" t="inlineStr">
        <is>
          <t>NOMILL</t>
        </is>
      </c>
      <c r="B19" s="32" t="inlineStr">
        <is>
          <t>Supervisor</t>
        </is>
      </c>
      <c r="C19" s="31" t="inlineStr">
        <is>
          <t>tanpa mill</t>
        </is>
      </c>
      <c r="D19" s="32"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5" t="inlineStr">
        <is>
          <t>Login Mobile</t>
        </is>
      </c>
      <c r="B24" s="27" t="inlineStr">
        <is>
          <t>✓</t>
        </is>
      </c>
      <c r="C24" s="27" t="inlineStr">
        <is>
          <t>✓</t>
        </is>
      </c>
      <c r="D24" s="27" t="inlineStr">
        <is>
          <t>✓</t>
        </is>
      </c>
      <c r="E24" s="27" t="inlineStr">
        <is>
          <t>✓</t>
        </is>
      </c>
      <c r="F24" s="5" t="inlineStr">
        <is>
          <t>Admin bukan alur yang dirancang</t>
        </is>
      </c>
    </row>
    <row r="25">
      <c r="A25" s="31" t="inlineStr">
        <is>
          <t>Login Web</t>
        </is>
      </c>
      <c r="B25" s="35" t="inlineStr">
        <is>
          <t>v terbatas</t>
        </is>
      </c>
      <c r="C25" s="35" t="inlineStr">
        <is>
          <t>✓</t>
        </is>
      </c>
      <c r="D25" s="35" t="inlineStr">
        <is>
          <t>✓</t>
        </is>
      </c>
      <c r="E25" s="35" t="inlineStr">
        <is>
          <t>✓</t>
        </is>
      </c>
      <c r="F25" s="32" t="inlineStr">
        <is>
          <t>Operator: hanya 3 layar, lihat baris terbawah</t>
        </is>
      </c>
    </row>
    <row r="26">
      <c r="A26" s="25" t="inlineStr">
        <is>
          <t>Input data stasiun (Mobile)</t>
        </is>
      </c>
      <c r="B26" s="27" t="inlineStr">
        <is>
          <t>✓</t>
        </is>
      </c>
      <c r="C26" s="27" t="inlineStr">
        <is>
          <t>✓</t>
        </is>
      </c>
      <c r="D26" s="27" t="inlineStr">
        <is>
          <t>✓</t>
        </is>
      </c>
      <c r="E26" s="36" t="inlineStr">
        <is>
          <t>—</t>
        </is>
      </c>
      <c r="F26" s="5" t="inlineStr"/>
    </row>
    <row r="27">
      <c r="A27" s="31" t="inlineStr">
        <is>
          <t>Input data stasiun (Web)</t>
        </is>
      </c>
      <c r="B27" s="36" t="inlineStr">
        <is>
          <t>—</t>
        </is>
      </c>
      <c r="C27" s="35" t="inlineStr">
        <is>
          <t>✓</t>
        </is>
      </c>
      <c r="D27" s="35" t="inlineStr">
        <is>
          <t>✓</t>
        </is>
      </c>
      <c r="E27" s="35" t="inlineStr">
        <is>
          <t>✓</t>
        </is>
      </c>
      <c r="F27" s="32" t="inlineStr"/>
    </row>
    <row r="28">
      <c r="A28" s="25" t="inlineStr">
        <is>
          <t>Isi Checked By</t>
        </is>
      </c>
      <c r="B28" s="36" t="inlineStr">
        <is>
          <t>—</t>
        </is>
      </c>
      <c r="C28" s="27" t="inlineStr">
        <is>
          <t>✓</t>
        </is>
      </c>
      <c r="D28" s="36" t="inlineStr">
        <is>
          <t>—</t>
        </is>
      </c>
      <c r="E28" s="27" t="inlineStr">
        <is>
          <t>✓</t>
        </is>
      </c>
      <c r="F28" s="5" t="inlineStr"/>
    </row>
    <row r="29">
      <c r="A29" s="31" t="inlineStr">
        <is>
          <t>Isi Acknowledged By</t>
        </is>
      </c>
      <c r="B29" s="36" t="inlineStr">
        <is>
          <t>—</t>
        </is>
      </c>
      <c r="C29" s="36" t="inlineStr">
        <is>
          <t>—</t>
        </is>
      </c>
      <c r="D29" s="35" t="inlineStr">
        <is>
          <t>✓</t>
        </is>
      </c>
      <c r="E29" s="35" t="inlineStr">
        <is>
          <t>✓</t>
        </is>
      </c>
      <c r="F29" s="32" t="inlineStr"/>
    </row>
    <row r="30">
      <c r="A30" s="25" t="inlineStr">
        <is>
          <t>Lihat Data Browser / Detail (Web)</t>
        </is>
      </c>
      <c r="B30" s="36" t="inlineStr">
        <is>
          <t>—</t>
        </is>
      </c>
      <c r="C30" s="27" t="inlineStr">
        <is>
          <t>✓</t>
        </is>
      </c>
      <c r="D30" s="27" t="inlineStr">
        <is>
          <t>✓</t>
        </is>
      </c>
      <c r="E30" s="27" t="inlineStr">
        <is>
          <t>✓</t>
        </is>
      </c>
      <c r="F30" s="5" t="inlineStr"/>
    </row>
    <row r="31">
      <c r="A31" s="31" t="inlineStr">
        <is>
          <t>Lihat "Data Saya" (Web)</t>
        </is>
      </c>
      <c r="B31" s="35" t="inlineStr">
        <is>
          <t>✓</t>
        </is>
      </c>
      <c r="C31" s="35" t="inlineStr">
        <is>
          <t>✓</t>
        </is>
      </c>
      <c r="D31" s="36" t="inlineStr">
        <is>
          <t>—</t>
        </is>
      </c>
      <c r="E31" s="36" t="inlineStr">
        <is>
          <t>—</t>
        </is>
      </c>
      <c r="F31" s="32" t="inlineStr"/>
    </row>
    <row r="32">
      <c r="A32" s="25" t="inlineStr">
        <is>
          <t>Laporan periode stasiun (Web)</t>
        </is>
      </c>
      <c r="B32" s="36" t="inlineStr">
        <is>
          <t>—</t>
        </is>
      </c>
      <c r="C32" s="27" t="inlineStr">
        <is>
          <t>✓</t>
        </is>
      </c>
      <c r="D32" s="27" t="inlineStr">
        <is>
          <t>✓</t>
        </is>
      </c>
      <c r="E32" s="27" t="inlineStr">
        <is>
          <t>✓</t>
        </is>
      </c>
      <c r="F32" s="5" t="inlineStr"/>
    </row>
    <row r="33">
      <c r="A33" s="31" t="inlineStr">
        <is>
          <t>Laporan periode stasiun (Mobile)</t>
        </is>
      </c>
      <c r="B33" s="35" t="inlineStr">
        <is>
          <t>✓</t>
        </is>
      </c>
      <c r="C33" s="35" t="inlineStr">
        <is>
          <t>✓</t>
        </is>
      </c>
      <c r="D33" s="35" t="inlineStr">
        <is>
          <t>✓</t>
        </is>
      </c>
      <c r="E33" s="35" t="inlineStr">
        <is>
          <t>✓</t>
        </is>
      </c>
      <c r="F33" s="32" t="inlineStr"/>
    </row>
    <row r="34">
      <c r="A34" s="25" t="inlineStr">
        <is>
          <t>Dashboard (Web)</t>
        </is>
      </c>
      <c r="B34" s="36" t="inlineStr">
        <is>
          <t>—</t>
        </is>
      </c>
      <c r="C34" s="27" t="inlineStr">
        <is>
          <t>✓</t>
        </is>
      </c>
      <c r="D34" s="27" t="inlineStr">
        <is>
          <t>✓</t>
        </is>
      </c>
      <c r="E34" s="27" t="inlineStr">
        <is>
          <t>✓</t>
        </is>
      </c>
      <c r="F34" s="5" t="inlineStr"/>
    </row>
    <row r="35">
      <c r="A35" s="31" t="inlineStr">
        <is>
          <t>Laporan Manajemen</t>
        </is>
      </c>
      <c r="B35" s="36" t="inlineStr">
        <is>
          <t>—</t>
        </is>
      </c>
      <c r="C35" s="36" t="inlineStr">
        <is>
          <t>—</t>
        </is>
      </c>
      <c r="D35" s="35" t="inlineStr">
        <is>
          <t>✓</t>
        </is>
      </c>
      <c r="E35" s="35" t="inlineStr">
        <is>
          <t>✓</t>
        </is>
      </c>
      <c r="F35" s="32" t="inlineStr"/>
    </row>
    <row r="36">
      <c r="A36" s="25" t="inlineStr">
        <is>
          <t>Master data (Corporate…Mesin)</t>
        </is>
      </c>
      <c r="B36" s="36" t="inlineStr">
        <is>
          <t>—</t>
        </is>
      </c>
      <c r="C36" s="36" t="inlineStr">
        <is>
          <t>—</t>
        </is>
      </c>
      <c r="D36" s="36" t="inlineStr">
        <is>
          <t>—</t>
        </is>
      </c>
      <c r="E36" s="27" t="inlineStr">
        <is>
          <t>✓</t>
        </is>
      </c>
      <c r="F36" s="5" t="inlineStr"/>
    </row>
    <row r="37">
      <c r="A37" s="31" t="inlineStr">
        <is>
          <t>Periode Pelaporan: tambah/ubah/hapus</t>
        </is>
      </c>
      <c r="B37" s="36" t="inlineStr">
        <is>
          <t>—</t>
        </is>
      </c>
      <c r="C37" s="36" t="inlineStr">
        <is>
          <t>—</t>
        </is>
      </c>
      <c r="D37" s="36" t="inlineStr">
        <is>
          <t>—</t>
        </is>
      </c>
      <c r="E37" s="35" t="inlineStr">
        <is>
          <t>✓</t>
        </is>
      </c>
      <c r="F37" s="32" t="inlineStr"/>
    </row>
    <row r="38">
      <c r="A38" s="25" t="inlineStr">
        <is>
          <t>Tutup / Buka Periode</t>
        </is>
      </c>
      <c r="B38" s="36" t="inlineStr">
        <is>
          <t>—</t>
        </is>
      </c>
      <c r="C38" s="36" t="inlineStr">
        <is>
          <t>—</t>
        </is>
      </c>
      <c r="D38" s="36" t="inlineStr">
        <is>
          <t>—</t>
        </is>
      </c>
      <c r="E38" s="27" t="inlineStr">
        <is>
          <t>✓</t>
        </is>
      </c>
      <c r="F38" s="37" t="inlineStr">
        <is>
          <t>HANYA Admin</t>
        </is>
      </c>
    </row>
    <row r="39">
      <c r="A39" s="31" t="inlineStr">
        <is>
          <t>Pengaturan Mill</t>
        </is>
      </c>
      <c r="B39" s="36" t="inlineStr">
        <is>
          <t>—</t>
        </is>
      </c>
      <c r="C39" s="36" t="inlineStr">
        <is>
          <t>—</t>
        </is>
      </c>
      <c r="D39" s="35" t="inlineStr">
        <is>
          <t>v mill sendiri</t>
        </is>
      </c>
      <c r="E39" s="35" t="inlineStr">
        <is>
          <t>v semua mill</t>
        </is>
      </c>
      <c r="F39" s="32" t="inlineStr"/>
    </row>
    <row r="40">
      <c r="A40" s="25" t="inlineStr">
        <is>
          <t>Kelola User &amp; Role</t>
        </is>
      </c>
      <c r="B40" s="36" t="inlineStr">
        <is>
          <t>—</t>
        </is>
      </c>
      <c r="C40" s="36" t="inlineStr">
        <is>
          <t>—</t>
        </is>
      </c>
      <c r="D40" s="36" t="inlineStr">
        <is>
          <t>—</t>
        </is>
      </c>
      <c r="E40" s="27" t="inlineStr">
        <is>
          <t>✓</t>
        </is>
      </c>
      <c r="F40" s="5" t="inlineStr"/>
    </row>
    <row r="41">
      <c r="A41" s="31" t="inlineStr">
        <is>
          <t>Pemilih Mill pada laporan</t>
        </is>
      </c>
      <c r="B41" s="36" t="inlineStr">
        <is>
          <t>—</t>
        </is>
      </c>
      <c r="C41" s="36" t="inlineStr">
        <is>
          <t>—</t>
        </is>
      </c>
      <c r="D41" s="36" t="inlineStr">
        <is>
          <t>—</t>
        </is>
      </c>
      <c r="E41" s="35"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D13:F13"/>
    <mergeCell ref="B7:F7"/>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7" t="n">
        <v>1</v>
      </c>
      <c r="B5" s="25" t="inlineStr">
        <is>
          <t>Weighbridge</t>
        </is>
      </c>
      <c r="C5" s="5" t="inlineStr">
        <is>
          <t>No. Kartu / Kendaraan</t>
        </is>
      </c>
      <c r="D5" s="27" t="inlineStr">
        <is>
          <t>per-transaksi</t>
        </is>
      </c>
      <c r="E5" s="36" t="inlineStr">
        <is>
          <t>Per-transaksi</t>
        </is>
      </c>
      <c r="F5" s="27" t="inlineStr">
        <is>
          <t>Ada (web+mobile)</t>
        </is>
      </c>
      <c r="G5" s="5" t="inlineStr">
        <is>
          <t>BUKAN pola 24 slot — satu record per transaksi timbang, ada arus Masuk &amp; Keluar</t>
        </is>
      </c>
    </row>
    <row r="6" ht="16" customHeight="1">
      <c r="A6" s="35" t="n">
        <v>2</v>
      </c>
      <c r="B6" s="31" t="inlineStr">
        <is>
          <t>Grading</t>
        </is>
      </c>
      <c r="C6" s="32" t="inlineStr">
        <is>
          <t>Parameter grading</t>
        </is>
      </c>
      <c r="D6" s="35" t="inlineStr">
        <is>
          <t>per-muatan</t>
        </is>
      </c>
      <c r="E6" s="36" t="inlineStr">
        <is>
          <t>Per-transaksi</t>
        </is>
      </c>
      <c r="F6" s="35" t="inlineStr">
        <is>
          <t>Ada (web+mobile)</t>
        </is>
      </c>
      <c r="G6" s="32" t="inlineStr">
        <is>
          <t>Satu record per muatan, ada beberapa baris parameter</t>
        </is>
      </c>
    </row>
    <row r="7" ht="16" customHeight="1">
      <c r="A7" s="27" t="n">
        <v>3</v>
      </c>
      <c r="B7" s="25" t="inlineStr">
        <is>
          <t>Cages Track</t>
        </is>
      </c>
      <c r="C7" s="5" t="inlineStr">
        <is>
          <t>ID Cage</t>
        </is>
      </c>
      <c r="D7" s="27" t="inlineStr">
        <is>
          <t>±</t>
        </is>
      </c>
      <c r="E7" s="27" t="inlineStr">
        <is>
          <t>24 slot</t>
        </is>
      </c>
      <c r="F7" s="27" t="inlineStr">
        <is>
          <t>Ada (web+mobile)</t>
        </is>
      </c>
      <c r="G7" s="5" t="inlineStr"/>
    </row>
    <row r="8" ht="27" customHeight="1">
      <c r="A8" s="35" t="n">
        <v>4</v>
      </c>
      <c r="B8" s="31" t="inlineStr">
        <is>
          <t>Sterilizer</t>
        </is>
      </c>
      <c r="C8" s="32" t="inlineStr">
        <is>
          <t>ID Sterilizer</t>
        </is>
      </c>
      <c r="D8" s="35" t="inlineStr">
        <is>
          <t>±</t>
        </is>
      </c>
      <c r="E8" s="35" t="inlineStr">
        <is>
          <t>24 slot</t>
        </is>
      </c>
      <c r="F8" s="35" t="inlineStr">
        <is>
          <t>Ada (web+mobile)</t>
        </is>
      </c>
      <c r="G8" s="32" t="inlineStr">
        <is>
          <t>Ada checkbox "Checked by SPV" per baris — Operator tidak boleh bisa mengisinya</t>
        </is>
      </c>
    </row>
    <row r="9" ht="16" customHeight="1">
      <c r="A9" s="27" t="n">
        <v>5</v>
      </c>
      <c r="B9" s="25" t="inlineStr">
        <is>
          <t>Threshing</t>
        </is>
      </c>
      <c r="C9" s="5" t="inlineStr">
        <is>
          <t>ID Thresher</t>
        </is>
      </c>
      <c r="D9" s="27" t="inlineStr">
        <is>
          <t>5</t>
        </is>
      </c>
      <c r="E9" s="27" t="inlineStr">
        <is>
          <t>24 slot</t>
        </is>
      </c>
      <c r="F9" s="27" t="inlineStr">
        <is>
          <t>Ada (web+mobile)</t>
        </is>
      </c>
      <c r="G9" s="5" t="inlineStr">
        <is>
          <t>Punya master target</t>
        </is>
      </c>
    </row>
    <row r="10" ht="16" customHeight="1">
      <c r="A10" s="35" t="n">
        <v>6</v>
      </c>
      <c r="B10" s="31" t="inlineStr">
        <is>
          <t>Pressing</t>
        </is>
      </c>
      <c r="C10" s="32" t="inlineStr">
        <is>
          <t>ID Presser</t>
        </is>
      </c>
      <c r="D10" s="35" t="inlineStr">
        <is>
          <t>5</t>
        </is>
      </c>
      <c r="E10" s="35" t="inlineStr">
        <is>
          <t>24 slot</t>
        </is>
      </c>
      <c r="F10" s="35" t="inlineStr">
        <is>
          <t>Ada (web+mobile)</t>
        </is>
      </c>
      <c r="G10" s="32" t="inlineStr">
        <is>
          <t>Punya master target</t>
        </is>
      </c>
    </row>
    <row r="11" ht="16" customHeight="1">
      <c r="A11" s="27" t="n">
        <v>7</v>
      </c>
      <c r="B11" s="25" t="inlineStr">
        <is>
          <t>Clarification</t>
        </is>
      </c>
      <c r="C11" s="5" t="inlineStr">
        <is>
          <t>ID unit</t>
        </is>
      </c>
      <c r="D11" s="27" t="inlineStr">
        <is>
          <t>±</t>
        </is>
      </c>
      <c r="E11" s="27" t="inlineStr">
        <is>
          <t>24 slot</t>
        </is>
      </c>
      <c r="F11" s="27" t="inlineStr">
        <is>
          <t>Ada (web+mobile)</t>
        </is>
      </c>
      <c r="G11" s="5" t="inlineStr"/>
    </row>
    <row r="12" ht="27" customHeight="1">
      <c r="A12" s="35" t="n">
        <v>8</v>
      </c>
      <c r="B12" s="31" t="inlineStr">
        <is>
          <t>Kernel Plant</t>
        </is>
      </c>
      <c r="C12" s="32" t="inlineStr">
        <is>
          <t>ID unit kernel plant</t>
        </is>
      </c>
      <c r="D12" s="35" t="inlineStr">
        <is>
          <t>7</t>
        </is>
      </c>
      <c r="E12" s="35" t="inlineStr">
        <is>
          <t>24 slot</t>
        </is>
      </c>
      <c r="F12" s="35" t="inlineStr">
        <is>
          <t>Ada (web+mobile)</t>
        </is>
      </c>
      <c r="G12" s="32" t="inlineStr">
        <is>
          <t>Punya master target. Dua pasang kolom berbagi satu standar (2 ripple mill, 2 kernel silo)</t>
        </is>
      </c>
    </row>
    <row r="13" ht="16" customHeight="1">
      <c r="A13" s="27" t="n">
        <v>9</v>
      </c>
      <c r="B13" s="25" t="inlineStr">
        <is>
          <t>Boiler Room</t>
        </is>
      </c>
      <c r="C13" s="5" t="inlineStr">
        <is>
          <t>ID boiler</t>
        </is>
      </c>
      <c r="D13" s="27" t="inlineStr">
        <is>
          <t>±</t>
        </is>
      </c>
      <c r="E13" s="27" t="inlineStr">
        <is>
          <t>24 slot</t>
        </is>
      </c>
      <c r="F13" s="27" t="inlineStr">
        <is>
          <t>Ada (web+mobile)</t>
        </is>
      </c>
      <c r="G13" s="5" t="inlineStr"/>
    </row>
    <row r="14" ht="27" customHeight="1">
      <c r="A14" s="35" t="n">
        <v>10</v>
      </c>
      <c r="B14" s="31" t="inlineStr">
        <is>
          <t>Effluent Plant</t>
        </is>
      </c>
      <c r="C14" s="32" t="inlineStr">
        <is>
          <t>ID unit</t>
        </is>
      </c>
      <c r="D14" s="35" t="inlineStr">
        <is>
          <t>14</t>
        </is>
      </c>
      <c r="E14" s="35" t="inlineStr">
        <is>
          <t>24 slot</t>
        </is>
      </c>
      <c r="F14" s="39" t="inlineStr">
        <is>
          <t>BELUM dibangun</t>
        </is>
      </c>
      <c r="G14" s="32" t="inlineStr">
        <is>
          <t>PALING BANYAK KOLOM. Ada 3 kolom status pilihan (on/off/fault, run/stop) dan 2 kolom teks bebas</t>
        </is>
      </c>
    </row>
    <row r="15" ht="27" customHeight="1">
      <c r="A15" s="27" t="n">
        <v>11</v>
      </c>
      <c r="B15" s="25" t="inlineStr">
        <is>
          <t>Depricarping</t>
        </is>
      </c>
      <c r="C15" s="5" t="inlineStr">
        <is>
          <t>ID Presser</t>
        </is>
      </c>
      <c r="D15" s="27" t="inlineStr">
        <is>
          <t>7</t>
        </is>
      </c>
      <c r="E15" s="27" t="inlineStr">
        <is>
          <t>24 slot</t>
        </is>
      </c>
      <c r="F15" s="27" t="inlineStr">
        <is>
          <t>Ada (web+mobile)</t>
        </is>
      </c>
      <c r="G15" s="5" t="inlineStr">
        <is>
          <t>Punya master target. Ada kolom Downtime (menit) berupa angka + kolom Temuan</t>
        </is>
      </c>
    </row>
    <row r="16" ht="16" customHeight="1">
      <c r="A16" s="35" t="n">
        <v>12</v>
      </c>
      <c r="B16" s="31" t="inlineStr">
        <is>
          <t>Engine Room</t>
        </is>
      </c>
      <c r="C16" s="32" t="inlineStr">
        <is>
          <t>ID unit</t>
        </is>
      </c>
      <c r="D16" s="35" t="inlineStr">
        <is>
          <t>±</t>
        </is>
      </c>
      <c r="E16" s="35" t="inlineStr">
        <is>
          <t>24 slot</t>
        </is>
      </c>
      <c r="F16" s="39" t="inlineStr">
        <is>
          <t>Belum</t>
        </is>
      </c>
      <c r="G16" s="32" t="inlineStr"/>
    </row>
    <row r="17" ht="16" customHeight="1">
      <c r="A17" s="27" t="n">
        <v>13</v>
      </c>
      <c r="B17" s="25" t="inlineStr">
        <is>
          <t>Process Water</t>
        </is>
      </c>
      <c r="C17" s="5" t="inlineStr">
        <is>
          <t>ID unit</t>
        </is>
      </c>
      <c r="D17" s="27" t="inlineStr">
        <is>
          <t>±</t>
        </is>
      </c>
      <c r="E17" s="27" t="inlineStr">
        <is>
          <t>24 slot</t>
        </is>
      </c>
      <c r="F17" s="40" t="inlineStr">
        <is>
          <t>Belum</t>
        </is>
      </c>
      <c r="G17" s="5" t="inlineStr">
        <is>
          <t>Ada kolom shift &amp; petugas</t>
        </is>
      </c>
    </row>
    <row r="18" ht="16" customHeight="1">
      <c r="A18" s="35" t="n">
        <v>14</v>
      </c>
      <c r="B18" s="31" t="inlineStr">
        <is>
          <t>Storage Tank</t>
        </is>
      </c>
      <c r="C18" s="32" t="inlineStr">
        <is>
          <t>ID tangki</t>
        </is>
      </c>
      <c r="D18" s="35" t="inlineStr">
        <is>
          <t>±</t>
        </is>
      </c>
      <c r="E18" s="35" t="inlineStr">
        <is>
          <t>24 slot</t>
        </is>
      </c>
      <c r="F18" s="35" t="inlineStr">
        <is>
          <t>Ada (web+mobile)</t>
        </is>
      </c>
      <c r="G18" s="32" t="inlineStr"/>
    </row>
    <row r="19" ht="16" customHeight="1">
      <c r="A19" s="27" t="n">
        <v>15</v>
      </c>
      <c r="B19" s="25" t="inlineStr">
        <is>
          <t>Solid Waste Disposal</t>
        </is>
      </c>
      <c r="C19" s="5" t="inlineStr">
        <is>
          <t>ID unit</t>
        </is>
      </c>
      <c r="D19" s="27" t="inlineStr">
        <is>
          <t>±</t>
        </is>
      </c>
      <c r="E19" s="27" t="inlineStr">
        <is>
          <t>24 slot</t>
        </is>
      </c>
      <c r="F19" s="40" t="inlineStr">
        <is>
          <t>Belum</t>
        </is>
      </c>
      <c r="G19" s="5" t="inlineStr"/>
    </row>
    <row r="20" ht="16" customHeight="1">
      <c r="A20" s="35" t="n">
        <v>16</v>
      </c>
      <c r="B20" s="31" t="inlineStr">
        <is>
          <t>Kernel Dispatch</t>
        </is>
      </c>
      <c r="C20" s="32" t="inlineStr">
        <is>
          <t>No. Kartu / Kendaraan</t>
        </is>
      </c>
      <c r="D20" s="35" t="inlineStr">
        <is>
          <t>per-transaksi</t>
        </is>
      </c>
      <c r="E20" s="36" t="inlineStr">
        <is>
          <t>Per-transaksi</t>
        </is>
      </c>
      <c r="F20" s="39" t="inlineStr">
        <is>
          <t>Belum</t>
        </is>
      </c>
      <c r="G20" s="32" t="inlineStr">
        <is>
          <t>Pola per-transaksi, ada kolom status pilihan</t>
        </is>
      </c>
    </row>
    <row r="21" ht="16" customHeight="1">
      <c r="A21" s="27" t="n">
        <v>17</v>
      </c>
      <c r="B21" s="25" t="inlineStr">
        <is>
          <t>CPO Dispatch</t>
        </is>
      </c>
      <c r="C21" s="5" t="inlineStr">
        <is>
          <t>No. Kartu / Kendaraan</t>
        </is>
      </c>
      <c r="D21" s="27" t="inlineStr">
        <is>
          <t>per-transaksi</t>
        </is>
      </c>
      <c r="E21" s="36" t="inlineStr">
        <is>
          <t>Per-transaksi</t>
        </is>
      </c>
      <c r="F21" s="40" t="inlineStr">
        <is>
          <t>Belum</t>
        </is>
      </c>
      <c r="G21" s="5" t="inlineStr">
        <is>
          <t>Pola per-transaksi</t>
        </is>
      </c>
    </row>
    <row r="22" ht="16" customHeight="1">
      <c r="A22" s="35" t="n">
        <v>18</v>
      </c>
      <c r="B22" s="31" t="inlineStr">
        <is>
          <t>Process Quality Control</t>
        </is>
      </c>
      <c r="C22" s="32" t="inlineStr">
        <is>
          <t>ID unit</t>
        </is>
      </c>
      <c r="D22" s="35" t="inlineStr">
        <is>
          <t>±</t>
        </is>
      </c>
      <c r="E22" s="35" t="inlineStr">
        <is>
          <t>24 slot</t>
        </is>
      </c>
      <c r="F22" s="39" t="inlineStr">
        <is>
          <t>Belum</t>
        </is>
      </c>
      <c r="G22" s="32"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1"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6" t="inlineStr">
        <is>
          <t>B-1</t>
        </is>
      </c>
      <c r="B7" s="25"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2" t="inlineStr">
        <is>
          <t>B-2</t>
        </is>
      </c>
      <c r="B8" s="31" t="inlineStr">
        <is>
          <t>Layar "Data Saya" belum tersedia</t>
        </is>
      </c>
      <c r="C8" s="32"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6" t="inlineStr">
        <is>
          <t>B-3</t>
        </is>
      </c>
      <c r="B9" s="25"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2" t="inlineStr">
        <is>
          <t>B-4</t>
        </is>
      </c>
      <c r="B10" s="31" t="inlineStr">
        <is>
          <t>Satuan suhu ditulis "C", bukan "°C"</t>
        </is>
      </c>
      <c r="C10" s="32" t="inlineStr">
        <is>
          <t>Pada laporan Kernel Plant, web maupun mobile. Disengaja: satuannya mengikuti data master apa adanya, dan mengubahnya di tampilan akan membuat web dan mobile berselisih.</t>
        </is>
      </c>
    </row>
    <row r="11" ht="30.4" customHeight="1">
      <c r="A11" s="26" t="inlineStr">
        <is>
          <t>B-5</t>
        </is>
      </c>
      <c r="B11" s="25"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6" t="inlineStr">
        <is>
          <t>LS-16</t>
        </is>
      </c>
      <c r="B16" s="5" t="inlineStr">
        <is>
          <t>Laporan tidak menandai nilai yang jelas di luar batas</t>
        </is>
      </c>
      <c r="C16" s="30" t="inlineStr">
        <is>
          <t>DISENGAJA. Kolom targetnya teks bebas yang bentuknya tidak dibatasi, dan satu sel bisa memuat dua angka dengan satuan berbeda. Ada kalimat di layar yang menjelaskannya.</t>
        </is>
      </c>
    </row>
    <row r="17" ht="27" customHeight="1">
      <c r="A17" s="42" t="inlineStr">
        <is>
          <t>MB-FORM-04</t>
        </is>
      </c>
      <c r="B17" s="32" t="inlineStr">
        <is>
          <t>Slot waktu 01:00 dianggap SESUDAH 23:00</t>
        </is>
      </c>
      <c r="C17" s="30" t="inlineStr">
        <is>
          <t>BENAR. Shift dimulai 07:00, jadi urutannya 07:00 → 23:00 → 00:00 → 06:00.</t>
        </is>
      </c>
    </row>
    <row r="18" ht="40.5" customHeight="1">
      <c r="A18" s="26" t="inlineStr">
        <is>
          <t>DS-02</t>
        </is>
      </c>
      <c r="B18" s="5" t="inlineStr">
        <is>
          <t>Dashboard menampilkan angka yang sama untuk semua peran dan semua mill</t>
        </is>
      </c>
      <c r="C18" s="30" t="inlineStr">
        <is>
          <t>BENAR. Halaman itu tampilan contoh dengan angka tetap, dan menyatakannya lewat penanda "Data dummy". Jangan jalankan uji isolasi mill di sana — ia tidak membaca mill sama sekali.</t>
        </is>
      </c>
    </row>
    <row r="19" ht="40.5" customHeight="1">
      <c r="A19" s="42" t="inlineStr">
        <is>
          <t>DS-10</t>
        </is>
      </c>
      <c r="B19" s="32" t="inlineStr">
        <is>
          <t>Satu stasiun menunjukkan "belum ada input hari ini" DAN "input terakhir 3 menit lalu"</t>
        </is>
      </c>
      <c r="C19" s="30" t="inlineStr">
        <is>
          <t>BENAR. Dua jendela waktu yang berbeda: "hari ini" dibatasi tanggal, "input terakhir" tidak. Keterangan di halaman menjelaskannya.</t>
        </is>
      </c>
    </row>
    <row r="20" ht="27" customHeight="1">
      <c r="A20" s="26" t="inlineStr">
        <is>
          <t>LP-W-05</t>
        </is>
      </c>
      <c r="B20" s="5" t="inlineStr">
        <is>
          <t>Persen cakupan 0,0% di satu periode dan tanda pisah di periode lain, keduanya "tanpa data"</t>
        </is>
      </c>
      <c r="C20" s="30" t="inlineStr">
        <is>
          <t>BENAR, DAN KEDUANYA BERBEDA. 0,0% = penyebutnya ada, nol yang terisi. Tanda pisah = penyebutnya tidak terbentuk.</t>
        </is>
      </c>
    </row>
    <row r="21" ht="27" customHeight="1">
      <c r="A21" s="42" t="inlineStr">
        <is>
          <t>LP-W-03</t>
        </is>
      </c>
      <c r="B21" s="32" t="inlineStr">
        <is>
          <t>Jumlah slot terisi pada cakupan LEBIH BESAR daripada penyebut parameter mana pun</t>
        </is>
      </c>
      <c r="C21" s="30" t="inlineStr">
        <is>
          <t>BENAR. Slot yang hanya mengisi kolom temuan terhitung terisi tanpa menambah penyebut parameter.</t>
        </is>
      </c>
    </row>
    <row r="22" ht="27" customHeight="1">
      <c r="A22" s="26" t="inlineStr">
        <is>
          <t>LS-08</t>
        </is>
      </c>
      <c r="B22" s="5" t="inlineStr">
        <is>
          <t>Production Line tunggal tetap harus dipilih manual</t>
        </is>
      </c>
      <c r="C22" s="30"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2026-10-11T18:52:46Z</dcterms:created>
  <dcterms:modified xsi:type="dcterms:W3CDTF">2026-10-12T00:34:36Z</dcterms:modified>
</cp:coreProperties>
</file>