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anduan" sheetId="1" state="visible" r:id="rId1"/>
    <sheet name="Kasus Uji" sheetId="2" state="visible" r:id="rId2"/>
    <sheet name="Rekap" sheetId="3" state="visible" r:id="rId3"/>
    <sheet name="Lingkungan &amp; Akun" sheetId="4" state="visible" r:id="rId4"/>
    <sheet name="Matriks Stasiun" sheetId="5" state="visible" r:id="rId5"/>
    <sheet name="Catatan &amp; Batasan" sheetId="6" state="visible" r:id="rId6"/>
  </sheets>
  <definedNames>
    <definedName name="_xlnm._FilterDatabase" localSheetId="1" hidden="1">'Kasus Uji'!$A$4:$R$269</definedName>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name val="Calibri"/>
      <b val="1"/>
      <color rgb="0012343B"/>
      <sz val="16"/>
    </font>
    <font>
      <name val="Calibri"/>
      <i val="1"/>
      <color rgb="006B7280"/>
      <sz val="10"/>
    </font>
    <font>
      <name val="Calibri"/>
      <b val="1"/>
      <color rgb="0012343B"/>
      <sz val="12"/>
    </font>
    <font>
      <name val="Calibri"/>
      <b val="1"/>
      <color rgb="001F2933"/>
      <sz val="10"/>
    </font>
    <font>
      <name val="Calibri"/>
      <color rgb="001F2933"/>
      <sz val="10"/>
    </font>
    <font>
      <name val="Calibri"/>
      <b val="1"/>
      <color rgb="00D20000"/>
      <sz val="10"/>
    </font>
    <font>
      <name val="Calibri"/>
      <b val="1"/>
      <color rgb="00FFFFFF"/>
      <sz val="10"/>
    </font>
    <font>
      <name val="Consolas"/>
      <color rgb="001F2933"/>
      <sz val="9"/>
    </font>
    <font>
      <name val="Calibri"/>
      <b val="1"/>
      <color rgb="001E7B34"/>
      <sz val="10"/>
    </font>
    <font>
      <name val="Calibri"/>
      <color rgb="006B7280"/>
      <sz val="10"/>
    </font>
    <font>
      <name val="Calibri"/>
      <b val="1"/>
      <sz val="10"/>
    </font>
    <font>
      <name val="Calibri"/>
      <sz val="10"/>
    </font>
  </fonts>
  <fills count="10">
    <fill>
      <patternFill/>
    </fill>
    <fill>
      <patternFill patternType="gray125"/>
    </fill>
    <fill>
      <patternFill patternType="solid">
        <fgColor rgb="00E8EDEF"/>
      </patternFill>
    </fill>
    <fill>
      <patternFill patternType="solid">
        <fgColor rgb="00FDE8E8"/>
      </patternFill>
    </fill>
    <fill>
      <patternFill patternType="solid">
        <fgColor rgb="0012343B"/>
      </patternFill>
    </fill>
    <fill>
      <patternFill patternType="solid">
        <fgColor rgb="00E6F4EA"/>
      </patternFill>
    </fill>
    <fill>
      <patternFill patternType="solid">
        <fgColor rgb="00FFFDF0"/>
      </patternFill>
    </fill>
    <fill>
      <patternFill patternType="solid">
        <fgColor rgb="00FFF4E5"/>
      </patternFill>
    </fill>
    <fill>
      <patternFill patternType="solid">
        <fgColor rgb="00F2F6F7"/>
      </patternFill>
    </fill>
    <fill>
      <patternFill patternType="solid">
        <fgColor rgb="00EAF2FB"/>
      </patternFill>
    </fill>
  </fills>
  <borders count="6">
    <border>
      <left/>
      <right/>
      <top/>
      <bottom/>
      <diagonal/>
    </border>
    <border>
      <left style="thin">
        <color rgb="00D4DADD"/>
      </left>
      <right style="thin">
        <color rgb="00D4DADD"/>
      </right>
      <top style="thin">
        <color rgb="00D4DADD"/>
      </top>
      <bottom style="thin">
        <color rgb="00D4DADD"/>
      </bottom>
    </border>
    <border>
      <left/>
      <right/>
      <top style="thin">
        <color rgb="00D4DADD"/>
      </top>
      <bottom/>
      <diagonal/>
    </border>
    <border>
      <left/>
      <right style="thin">
        <color rgb="00D4DADD"/>
      </right>
      <top style="thin">
        <color rgb="00D4DADD"/>
      </top>
      <bottom/>
      <diagonal/>
    </border>
    <border>
      <left/>
      <right/>
      <top style="thin">
        <color rgb="00D4DADD"/>
      </top>
      <bottom style="thin">
        <color rgb="00D4DADD"/>
      </bottom>
      <diagonal/>
    </border>
    <border>
      <left/>
      <right style="thin">
        <color rgb="00D4DADD"/>
      </right>
      <top style="thin">
        <color rgb="00D4DADD"/>
      </top>
      <bottom style="thin">
        <color rgb="00D4DADD"/>
      </bottom>
      <diagonal/>
    </border>
  </borders>
  <cellStyleXfs count="1">
    <xf numFmtId="0" fontId="0" fillId="0" borderId="0"/>
  </cellStyleXfs>
  <cellXfs count="47">
    <xf numFmtId="0" fontId="0" fillId="0" borderId="0" pivotButton="0" quotePrefix="0" xfId="0"/>
    <xf numFmtId="0" fontId="1" fillId="0" borderId="0" applyAlignment="1" pivotButton="0" quotePrefix="0" xfId="0">
      <alignment vertical="center"/>
    </xf>
    <xf numFmtId="0" fontId="2" fillId="0" borderId="0" applyAlignment="1" pivotButton="0" quotePrefix="0" xfId="0">
      <alignment vertical="center" wrapText="1"/>
    </xf>
    <xf numFmtId="0" fontId="3" fillId="0" borderId="0" applyAlignment="1" pivotButton="0" quotePrefix="0" xfId="0">
      <alignment vertical="center"/>
    </xf>
    <xf numFmtId="0" fontId="4" fillId="2" borderId="1" applyAlignment="1" pivotButton="0" quotePrefix="0" xfId="0">
      <alignment horizontal="left" vertical="top" wrapText="1"/>
    </xf>
    <xf numFmtId="0" fontId="5" fillId="0" borderId="1" applyAlignment="1" pivotButton="0" quotePrefix="0" xfId="0">
      <alignment horizontal="left" vertical="top" wrapText="1"/>
    </xf>
    <xf numFmtId="0" fontId="0" fillId="0" borderId="4" pivotButton="0" quotePrefix="0" xfId="0"/>
    <xf numFmtId="0" fontId="0" fillId="0" borderId="5" pivotButton="0" quotePrefix="0" xfId="0"/>
    <xf numFmtId="0" fontId="6" fillId="3" borderId="1" applyAlignment="1" pivotButton="0" quotePrefix="0" xfId="0">
      <alignment horizontal="left" vertical="top" wrapText="1"/>
    </xf>
    <xf numFmtId="0" fontId="5" fillId="3" borderId="1" applyAlignment="1" pivotButton="0" quotePrefix="0" xfId="0">
      <alignment horizontal="left" vertical="top" wrapText="1"/>
    </xf>
    <xf numFmtId="0" fontId="7" fillId="4" borderId="1" applyAlignment="1" pivotButton="0" quotePrefix="0" xfId="0">
      <alignment horizontal="center" vertical="center" wrapText="1"/>
    </xf>
    <xf numFmtId="0" fontId="5" fillId="5" borderId="1" applyAlignment="1" pivotButton="0" quotePrefix="0" xfId="0">
      <alignment horizontal="center" vertical="top" wrapText="1"/>
    </xf>
    <xf numFmtId="0" fontId="4" fillId="5" borderId="1" applyAlignment="1" pivotButton="0" quotePrefix="0" xfId="0">
      <alignment horizontal="center" vertical="top" wrapText="1"/>
    </xf>
    <xf numFmtId="0" fontId="8" fillId="5" borderId="1" applyAlignment="1" pivotButton="0" quotePrefix="0" xfId="0">
      <alignment horizontal="left" vertical="top" wrapText="1"/>
    </xf>
    <xf numFmtId="0" fontId="5" fillId="5" borderId="1" applyAlignment="1" pivotButton="0" quotePrefix="0" xfId="0">
      <alignment horizontal="left" vertical="top" wrapText="1"/>
    </xf>
    <xf numFmtId="0" fontId="4" fillId="5" borderId="1" applyAlignment="1" pivotButton="0" quotePrefix="0" xfId="0">
      <alignment horizontal="left" vertical="top" wrapText="1"/>
    </xf>
    <xf numFmtId="0" fontId="6" fillId="3" borderId="1" applyAlignment="1" pivotButton="0" quotePrefix="0" xfId="0">
      <alignment horizontal="center" vertical="top" wrapText="1"/>
    </xf>
    <xf numFmtId="0" fontId="5" fillId="6" borderId="1" applyAlignment="1" pivotButton="0" quotePrefix="0" xfId="0">
      <alignment horizontal="left" vertical="top" wrapText="1"/>
    </xf>
    <xf numFmtId="0" fontId="5" fillId="7" borderId="1" applyAlignment="1" pivotButton="0" quotePrefix="0" xfId="0">
      <alignment horizontal="center" vertical="top" wrapText="1"/>
    </xf>
    <xf numFmtId="0" fontId="4" fillId="7" borderId="1" applyAlignment="1" pivotButton="0" quotePrefix="0" xfId="0">
      <alignment horizontal="center" vertical="top" wrapText="1"/>
    </xf>
    <xf numFmtId="0" fontId="8" fillId="7" borderId="1" applyAlignment="1" pivotButton="0" quotePrefix="0" xfId="0">
      <alignment horizontal="left" vertical="top" wrapText="1"/>
    </xf>
    <xf numFmtId="0" fontId="4" fillId="7" borderId="1" applyAlignment="1" pivotButton="0" quotePrefix="0" xfId="0">
      <alignment horizontal="left" vertical="top" wrapText="1"/>
    </xf>
    <xf numFmtId="0" fontId="5" fillId="7" borderId="1" applyAlignment="1" pivotButton="0" quotePrefix="0" xfId="0">
      <alignment horizontal="left" vertical="top" wrapText="1"/>
    </xf>
    <xf numFmtId="0" fontId="6" fillId="2" borderId="1" applyAlignment="1" pivotButton="0" quotePrefix="0" xfId="0">
      <alignment horizontal="left" vertical="top" wrapText="1"/>
    </xf>
    <xf numFmtId="0" fontId="5" fillId="2" borderId="1" applyAlignment="1" pivotButton="0" quotePrefix="0" xfId="0">
      <alignment horizontal="left" vertical="top" wrapText="1"/>
    </xf>
    <xf numFmtId="0" fontId="4" fillId="0" borderId="1" applyAlignment="1" pivotButton="0" quotePrefix="0" xfId="0">
      <alignment horizontal="left" vertical="top" wrapText="1"/>
    </xf>
    <xf numFmtId="0" fontId="8" fillId="0" borderId="1" applyAlignment="1" pivotButton="0" quotePrefix="0" xfId="0">
      <alignment horizontal="center" vertical="top" wrapText="1"/>
    </xf>
    <xf numFmtId="0" fontId="5" fillId="0" borderId="1" applyAlignment="1" pivotButton="0" quotePrefix="0" xfId="0">
      <alignment horizontal="center" vertical="top" wrapText="1"/>
    </xf>
    <xf numFmtId="0" fontId="5" fillId="2" borderId="1" applyAlignment="1" pivotButton="0" quotePrefix="0" xfId="0">
      <alignment horizontal="center" vertical="top" wrapText="1"/>
    </xf>
    <xf numFmtId="0" fontId="4" fillId="2" borderId="1" applyAlignment="1" pivotButton="0" quotePrefix="0" xfId="0">
      <alignment horizontal="center" vertical="top" wrapText="1"/>
    </xf>
    <xf numFmtId="0" fontId="4" fillId="3" borderId="1" applyAlignment="1" pivotButton="0" quotePrefix="0" xfId="0">
      <alignment horizontal="left" vertical="top" wrapText="1"/>
    </xf>
    <xf numFmtId="0" fontId="4" fillId="8" borderId="1" applyAlignment="1" pivotButton="0" quotePrefix="0" xfId="0">
      <alignment horizontal="left" vertical="top" wrapText="1"/>
    </xf>
    <xf numFmtId="0" fontId="5" fillId="8" borderId="1" applyAlignment="1" pivotButton="0" quotePrefix="0" xfId="0">
      <alignment horizontal="left" vertical="top" wrapText="1"/>
    </xf>
    <xf numFmtId="0" fontId="8" fillId="0" borderId="1" applyAlignment="1" pivotButton="0" quotePrefix="0" xfId="0">
      <alignment horizontal="left" vertical="top" wrapText="1"/>
    </xf>
    <xf numFmtId="0" fontId="8" fillId="8" borderId="1" applyAlignment="1" pivotButton="0" quotePrefix="0" xfId="0">
      <alignment horizontal="left" vertical="top" wrapText="1"/>
    </xf>
    <xf numFmtId="0" fontId="5" fillId="8" borderId="1" applyAlignment="1" pivotButton="0" quotePrefix="0" xfId="0">
      <alignment horizontal="center" vertical="top" wrapText="1"/>
    </xf>
    <xf numFmtId="0" fontId="5" fillId="3" borderId="1" applyAlignment="1" pivotButton="0" quotePrefix="0" xfId="0">
      <alignment horizontal="center" vertical="top" wrapText="1"/>
    </xf>
    <xf numFmtId="0" fontId="6" fillId="0" borderId="1" applyAlignment="1" pivotButton="0" quotePrefix="0" xfId="0">
      <alignment horizontal="left" vertical="top" wrapText="1"/>
    </xf>
    <xf numFmtId="0" fontId="6" fillId="8" borderId="1" applyAlignment="1" pivotButton="0" quotePrefix="0" xfId="0">
      <alignment horizontal="left" vertical="top" wrapText="1"/>
    </xf>
    <xf numFmtId="0" fontId="6" fillId="8" borderId="1" applyAlignment="1" pivotButton="0" quotePrefix="0" xfId="0">
      <alignment horizontal="center" vertical="top" wrapText="1"/>
    </xf>
    <xf numFmtId="0" fontId="6" fillId="0" borderId="1" applyAlignment="1" pivotButton="0" quotePrefix="0" xfId="0">
      <alignment horizontal="center" vertical="top" wrapText="1"/>
    </xf>
    <xf numFmtId="0" fontId="2" fillId="0" borderId="0" applyAlignment="1" pivotButton="0" quotePrefix="0" xfId="0">
      <alignment horizontal="left" vertical="top" wrapText="1"/>
    </xf>
    <xf numFmtId="0" fontId="8" fillId="8" borderId="1" applyAlignment="1" pivotButton="0" quotePrefix="0" xfId="0">
      <alignment horizontal="center" vertical="top" wrapText="1"/>
    </xf>
    <xf numFmtId="0" fontId="11" fillId="9" borderId="0" applyAlignment="1" pivotButton="0" quotePrefix="0" xfId="0">
      <alignment vertical="top" wrapText="1"/>
    </xf>
    <xf numFmtId="0" fontId="12" fillId="9" borderId="0" applyAlignment="1" pivotButton="0" quotePrefix="0" xfId="0">
      <alignment vertical="top" wrapText="1"/>
    </xf>
    <xf numFmtId="0" fontId="9" fillId="5" borderId="1" applyAlignment="1" pivotButton="0" quotePrefix="0" xfId="0">
      <alignment horizontal="left" vertical="top" wrapText="1"/>
    </xf>
    <xf numFmtId="0" fontId="10" fillId="2"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41"/>
  <sheetViews>
    <sheetView showGridLines="0" workbookViewId="0">
      <selection activeCell="A1" sqref="A1"/>
    </sheetView>
  </sheetViews>
  <sheetFormatPr baseColWidth="8" defaultRowHeight="15"/>
  <cols>
    <col width="26" customWidth="1" min="1" max="1"/>
    <col width="62" customWidth="1" min="2" max="2"/>
    <col width="30" customWidth="1" min="3" max="3"/>
    <col width="30" customWidth="1" min="4" max="4"/>
  </cols>
  <sheetData>
    <row r="1" ht="26" customHeight="1">
      <c r="A1" s="1" t="inlineStr">
        <is>
          <t>Mill Smart Log — HASIL PUTARAN UJI (Alur, Tingkat 1+2)</t>
        </is>
      </c>
    </row>
    <row r="2" ht="30" customHeight="1">
      <c r="A2" s="2" t="inlineStr">
        <is>
          <t>Berkas ini adalah berkas Alur yang kolom hasilnya SUDAH TERISI untuk 254 dari 258 jalan yang dapat dijalankan. Daftar kasusnya sendiri tidak berubah.</t>
        </is>
      </c>
    </row>
    <row r="4" ht="24" customHeight="1">
      <c r="A4" s="3" t="inlineStr">
        <is>
          <t>Isi berkas ini</t>
        </is>
      </c>
    </row>
    <row r="5" ht="45" customHeight="1">
      <c r="A5" s="4" t="inlineStr">
        <is>
          <t>Kasus Uji</t>
        </is>
      </c>
      <c r="B5" s="5" t="inlineStr">
        <is>
          <t>Satu baris per JALAN — 265 baris. Kasus yang berlaku di 18 stasiun sudah dijabarkan menjadi 18 baris, dan nama stasiunnya ada DI DALAM langkahnya. Kolom berlatar kuning diisi penguji.</t>
        </is>
      </c>
      <c r="C5" s="6" t="n"/>
      <c r="D5" s="7" t="n"/>
    </row>
    <row r="6" ht="30" customHeight="1">
      <c r="A6" s="4" t="inlineStr">
        <is>
          <t>Rekap</t>
        </is>
      </c>
      <c r="B6" s="5" t="inlineStr">
        <is>
          <t>Hitungan otomatis Lulus/Gagal/Tidak diuji per bagian. Terisi sendiri dari Kasus Uji.</t>
        </is>
      </c>
      <c r="C6" s="6" t="n"/>
      <c r="D6" s="7" t="n"/>
    </row>
    <row r="7" ht="16" customHeight="1">
      <c r="A7" s="4" t="inlineStr">
        <is>
          <t>Lingkungan &amp; Akun</t>
        </is>
      </c>
      <c r="B7" s="5" t="inlineStr">
        <is>
          <t>Yang harus disiapkan sebelum menguji, 6 akun uji, dan matriks peran.</t>
        </is>
      </c>
      <c r="C7" s="6" t="n"/>
      <c r="D7" s="7" t="n"/>
    </row>
    <row r="8" ht="16" customHeight="1">
      <c r="A8" s="4" t="inlineStr">
        <is>
          <t>Matriks Stasiun</t>
        </is>
      </c>
      <c r="B8" s="5" t="inlineStr">
        <is>
          <t>18 stasiun beserta keanehan masing-masing yang perlu diperhatikan.</t>
        </is>
      </c>
      <c r="C8" s="6" t="n"/>
      <c r="D8" s="7" t="n"/>
    </row>
    <row r="9" ht="30" customHeight="1">
      <c r="A9" s="4" t="inlineStr">
        <is>
          <t>Sudah Diketahui</t>
        </is>
      </c>
      <c r="B9" s="5" t="inlineStr">
        <is>
          <t>Dua daftar yang WAJIB dibaca sebelum melapor: catatan yang sudah diketahui tim, dan hal yang terlihat seperti bug tetapi bukan.</t>
        </is>
      </c>
      <c r="C9" s="6" t="n"/>
      <c r="D9" s="7" t="n"/>
    </row>
    <row r="11" ht="24" customHeight="1">
      <c r="A11" s="3" t="inlineStr">
        <is>
          <t>Mengapa ada "pola" dan bukan 108 set kasus</t>
        </is>
      </c>
    </row>
    <row r="12" ht="45" customHeight="1">
      <c r="A12" s="4" t="inlineStr">
        <is>
          <t>Alasannya</t>
        </is>
      </c>
      <c r="B12" s="5" t="inlineStr">
        <is>
          <t>Monitor, Form, dan Data Preview (mobile) serta Data Browser, Detail, dan Form (web) berbentuk sama di ke-18 stasiun. Polanya ditulis sekali lalu dijalankan 18×; yang berbeda per stasiun ada di sheet Matriks Stasiun.</t>
        </is>
      </c>
      <c r="C12" s="6" t="n"/>
      <c r="D12" s="7" t="n"/>
    </row>
    <row r="13" ht="45" customHeight="1">
      <c r="A13" s="4" t="inlineStr">
        <is>
          <t>Akibatnya</t>
        </is>
      </c>
      <c r="B13" s="5" t="inlineStr">
        <is>
          <t>Kolom "Jml Jalan" di sheet Kasus Uji menyebut berapa kali satu kasus dijalankan. 18× berarti sekali per stasiun, 11× sekali per stasiun yang sudah punya laporan.</t>
        </is>
      </c>
      <c r="C13" s="6" t="n"/>
      <c r="D13" s="7" t="n"/>
    </row>
    <row r="15" ht="24" customHeight="1">
      <c r="A15" s="3" t="inlineStr">
        <is>
          <t>Tingkat pengujian — baca ini kalau waktunya terbatas</t>
        </is>
      </c>
    </row>
    <row r="16" ht="60" customHeight="1">
      <c r="A16" s="4" t="inlineStr">
        <is>
          <t>Masalahnya</t>
        </is>
      </c>
      <c r="B16" s="5" t="inlineStr">
        <is>
          <t>Daftar penuh 1.509 jalan mencampur dua pertanyaan berbeda: "apakah setiap alur bekerja" dan "apakah ke-18 implementasi stasiun bekerja". Yang pertama butuh 170 jalan; yang kedua butuh sisanya. Kolom Tingkat memisahkannya tanpa membuang apa pun.</t>
        </is>
      </c>
      <c r="C16" s="6" t="n"/>
      <c r="D16" s="7" t="n"/>
    </row>
    <row r="17" ht="75" customHeight="1">
      <c r="A17" s="4" t="inlineStr">
        <is>
          <t>Tingkat 1 — ALUR (170 jalan)</t>
        </is>
      </c>
      <c r="B17" s="5" t="inlineStr">
        <is>
          <t>Setiap kasus SEKALI, pada stasiun wakil. Menyelesaikan tingkat ini berarti setiap alur sistem sudah pernah dijalankan dan setiap kasus terbukti dapat dieksekusi. Stasiun wakilnya Depricarping (9 kolom bacaan, downtime, temuan, punya master target — paling banyak melewati cabang), Kernel Plant untuk laporan, Business Unit untuk Kelola.</t>
        </is>
      </c>
      <c r="C17" s="6" t="n"/>
      <c r="D17" s="7" t="n"/>
    </row>
    <row r="18" ht="60" customHeight="1">
      <c r="A18" s="4" t="inlineStr">
        <is>
          <t>Tingkat 2 — KABEL (95 jalan)</t>
        </is>
      </c>
      <c r="B18" s="5" t="inlineStr">
        <is>
          <t>Lima kasus pada 17 stasiun sisanya: MB-FORM-01, MB-PRV-06, WB-FRM-01, WB-BRW-03, WB-DTL-03 (plus LP-W-01 untuk 10 laporan sisanya). Kelimanya yang gagal kalau satu stasiun salah dikabel — jalur tulis, jalur baca, dan penurunan hitungannya.</t>
        </is>
      </c>
      <c r="C18" s="6" t="n"/>
      <c r="D18" s="7" t="n"/>
    </row>
    <row r="19" ht="45" customHeight="1">
      <c r="A19" s="4" t="inlineStr">
        <is>
          <t>Tingkat 1+2 = 265 jalan</t>
        </is>
      </c>
      <c r="B19" s="5" t="inlineStr">
        <is>
          <t>Ini cakupan yang masuk akal untuk satu putaran manual: 18% dari daftar penuh, sudah melewati setiap alur sekali plus pengabelan setiap stasiun. Saring kolom Tingkat ke 1 dan 2.</t>
        </is>
      </c>
      <c r="C19" s="6" t="n"/>
      <c r="D19" s="7" t="n"/>
    </row>
    <row r="20" ht="30" customHeight="1">
      <c r="A20" s="4" t="inlineStr">
        <is>
          <t>Tingkat 3 — SISA (1.244 jalan)</t>
        </is>
      </c>
      <c r="B20" s="5" t="inlineStr">
        <is>
          <t>Pengulangan penuh. Untuk putaran rilis, atau ketika satu stasiun berubah — saring Tingkat 3 pada stasiun itu saja.</t>
        </is>
      </c>
      <c r="C20" s="6" t="n"/>
      <c r="D20" s="7" t="n"/>
    </row>
    <row r="21" ht="75" customHeight="1">
      <c r="A21" s="4" t="inlineStr">
        <is>
          <t>YANG HILANG, dinyatakan terbuka</t>
        </is>
      </c>
      <c r="B21" s="5" t="inlineStr">
        <is>
          <t>Tingkat 1+2 TIDAK membuktikan ke-18 stasiun berperilaku benar pada setiap cabang. Setiap stasiun punya layar dan aturannya sendiri, jadi hasil baik di satu stasiun tidak menjamin stasiun lain — dan temuan yang pernah ada memang hanya muncul di satu stasiun, bukan di semuanya. Melewatkan Tingkat 3 adalah keputusan risiko, bukan penghematan gratis.</t>
        </is>
      </c>
      <c r="C21" s="6" t="n"/>
      <c r="D21" s="7" t="n"/>
    </row>
    <row r="22" ht="90" customHeight="1">
      <c r="A22" s="4" t="inlineStr">
        <is>
          <t>Lebih dulu dari memangkas</t>
        </is>
      </c>
      <c r="B22" s="5" t="inlineStr">
        <is>
          <t>Pangkas waktu PENYIAPAN, bukan cakupan. Minta tim pengembang menyiapkan satu basis data uji berisi data contoh: dua mill, Production Line dengan stasiun aktif untuk setiap jenis, satu Production Line yang sengaja TIDAK punya stasiun tertentu (prasyarat MB-FORM-15 dan WB-FRM-07), dan satu akun per peran. Menguji di basis data itu membuat banyak langkah "Siapkan…" gugur, dan cakupannya tidak berkurang sedikit pun.</t>
        </is>
      </c>
      <c r="C22" s="6" t="n"/>
      <c r="D22" s="7" t="n"/>
    </row>
    <row r="24" ht="24" customHeight="1">
      <c r="A24" s="3" t="inlineStr">
        <is>
          <t>Aturan pengisian kolom Hasil</t>
        </is>
      </c>
    </row>
    <row r="25" ht="16" customHeight="1">
      <c r="A25" s="4" t="inlineStr">
        <is>
          <t>Lulus</t>
        </is>
      </c>
      <c r="B25" s="5" t="inlineStr">
        <is>
          <t>Yang terlihat SAMA dengan Hasil Diharapkan, seluruhnya.</t>
        </is>
      </c>
      <c r="C25" s="6" t="n"/>
      <c r="D25" s="7" t="n"/>
    </row>
    <row r="26" ht="30" customHeight="1">
      <c r="A26" s="4" t="inlineStr">
        <is>
          <t>Gagal</t>
        </is>
      </c>
      <c r="B26" s="5" t="inlineStr">
        <is>
          <t>Ada perbedaan. Tulis APA YANG TERLIHAT di kolom Catatan, bukan dugaan sebabnya.</t>
        </is>
      </c>
      <c r="C26" s="6" t="n"/>
      <c r="D26" s="7" t="n"/>
    </row>
    <row r="27" ht="16" customHeight="1">
      <c r="A27" s="4" t="inlineStr">
        <is>
          <t>Tidak diuji</t>
        </is>
      </c>
      <c r="B27" s="5" t="inlineStr">
        <is>
          <t>Prasyaratnya tidak dapat disiapkan. JANGAN ditandai Lulus.</t>
        </is>
      </c>
      <c r="C27" s="6" t="n"/>
      <c r="D27" s="7" t="n"/>
    </row>
    <row r="28" ht="45" customHeight="1">
      <c r="A28" s="4" t="inlineStr">
        <is>
          <t>Tidak berlaku</t>
        </is>
      </c>
      <c r="B28" s="5" t="inlineStr">
        <is>
          <t>Kasusnya tidak punya apa pun untuk diuji pada varian itu — kolom Langkah baris itu sudah berbunyi demikian. BUKAN pekerjaan yang tertinggal, jadi tidak ikut dihitung sebagai sisa. Beda dari "Tidak diuji".</t>
        </is>
      </c>
      <c r="C28" s="6" t="n"/>
      <c r="D28" s="7" t="n"/>
    </row>
    <row r="29" ht="30" customHeight="1">
      <c r="A29" s="4" t="inlineStr">
        <is>
          <t>Terhalang</t>
        </is>
      </c>
      <c r="B29" s="5" t="inlineStr">
        <is>
          <t>Kasus lain yang gagal membuat kasus ini tidak bisa dijalankan. Sebut ID penghalangnya.</t>
        </is>
      </c>
      <c r="C29" s="6" t="n"/>
      <c r="D29" s="7" t="n"/>
    </row>
    <row r="31" ht="24" customHeight="1">
      <c r="A31" s="3" t="inlineStr">
        <is>
          <t>Sebelum menutup satu putaran</t>
        </is>
      </c>
    </row>
    <row r="32" ht="45" customHeight="1">
      <c r="A32" s="4" t="inlineStr">
        <is>
          <t>Periksa tiga hal</t>
        </is>
      </c>
      <c r="B32" s="5" t="inlineStr">
        <is>
          <t>1) Setiap kasus Prioritas Tinggi punya Hasil, bukan sel kosong. 2) Setiap baris Gagal punya No. Bug. 3) Setiap baris Tidak diuji menyebut prasyarat mana yang tak bisa disiapkan.</t>
        </is>
      </c>
      <c r="C32" s="6" t="n"/>
      <c r="D32" s="7" t="n"/>
    </row>
    <row r="34" ht="215" customHeight="1">
      <c r="A34" s="8" t="inlineStr">
        <is>
          <t>BERKAS ALUR — 265 JALAN, BUKAN CAKUPAN PENUH</t>
        </is>
      </c>
      <c r="B34" s="9" t="inlineStr">
        <is>
          <t>Isinya Tingkat 1 dan 2 saja:
  - Tingkat 1 (170 jalan) setiap kasus SEKALI, pada stasiun wakil. Menyelesaikannya berarti setiap alur sistem sudah pernah dijalankan.
  - Tingkat 2 (95 jalan) lima kasus pada 17 stasiun sisanya: MB-FORM-01, MB-PRV-06, WB-FRM-01, WB-BRW-03, WB-DTL-03, plus LP-W-01. Kelimanya yang gagal kalau satu stasiun salah dikabel.
YANG TIDAK ADA DI SINI: Tingkat 3 — 1.244 jalan pengulangan penuh per stasiun. Berkas ini TIDAK membuktikan ke-18 stasiun berperilaku benar pada setiap cabang. Ke-18 stasiun punya service, Form, dan Data Preview-nya sendiri-sendiri, jadi bug di satu stasiun tidak mengatakan apa pun tentang yang lain — dan temuan yang pernah ada memang hanya muncul di satu stasiun, bukan di semuanya.
Pakai berkas tanpa akhiran untuk putaran rilis, atau saring Tingkat 3 di sana pada stasiun yang baru berubah. Kedua berkas dibangun dari skrip yang sama, jadi yang ini tidak dapat tertinggal usang.
LEBIH DULU DARI MEMANGKAS: minta tim pengembang menyiapkan satu basis data uji berisi data contoh (dua mill, stasiun aktif setiap jenis, satu akun per peran). Menguji di sana membuat banyak langkah "Siapkan..." gugur tanpa mengurangi cakupan sedikit pun.</t>
        </is>
      </c>
      <c r="C34" s="6" t="n"/>
      <c r="D34" s="7" t="n"/>
    </row>
    <row r="36" ht="44" customHeight="1">
      <c r="A36" s="8" t="inlineStr">
        <is>
          <t>Kasus yang prasyaratnya tidak tersedia BUKAN kasus yang lulus. Menandainya Lulus membuat laporan pengujian menyatakan sesuatu yang tidak pernah diperiksa — dan itu lebih berbahaya daripada kolom yang dibiarkan kosong.</t>
        </is>
      </c>
      <c r="B36" s="6" t="n"/>
      <c r="C36" s="6" t="n"/>
      <c r="D36" s="7" t="n"/>
    </row>
    <row r="38" ht="60" customHeight="1">
      <c r="A38" s="43" t="inlineStr">
        <is>
          <t>CAKUPAN PUTARAN INI</t>
        </is>
      </c>
      <c r="B38" s="44" t="inlineStr">
        <is>
          <t>254 dari 258 jalan yang dapat dijalankan sudah dijalankan: 241 Lulus, 13 Gagal. 4 jalan bertanda "Tidak diuji" — belum diperiksa, BUKAN gagal dan BUKAN lulus. 7 jalan bertanda "Tidak berlaku" dan tidak dihitung sebagai pekerjaan: kasusnya tidak punya apa pun untuk diuji pada varian itu.</t>
        </is>
      </c>
    </row>
    <row r="39" ht="60" customHeight="1">
      <c r="A39" s="43" t="inlineStr">
        <is>
          <t>APA YANG DIJALANKAN</t>
        </is>
      </c>
      <c r="B39" s="44" t="inlineStr">
        <is>
          <t>Langkah setiap kasus dijalankan apa adanya di peramban — layar web Laravel/Livewire dan aplikasi mobile lewat server pengembangannya — lalu APA YANG TERLIHAT dicatat di kolom Catatan. Setiap "Lulus" membawa angka dan kalimat yang dibacanya, supaya dapat ditelusuri ulang dan tidak perlu dipercaya begitu saja.</t>
        </is>
      </c>
    </row>
    <row r="40" ht="90" customHeight="1">
      <c r="A40" s="43" t="inlineStr">
        <is>
          <t>APA YANG BELUM</t>
        </is>
      </c>
      <c r="B40" s="44" t="inlineStr">
        <is>
          <t>Yang menuntut penilaian mata atau perangkat sungguhan: warna dan keadaan redup, keterangan yang muncul saat kursor diarahkan, tata letak pada lebar ponsel sebenarnya, membuka berkas unduhan di Excel, dan perilaku aplikasi terpasang (notifikasi, izin penyimpanan). Ditambah kasus yang prasyarat datanya belum ada di basis data uji — mis. ekspor yang butuh lebih dari 50.000 baris. Alasannya ditulis pada barisnya masing-masing, bukan sebagai satu kalimat umum.</t>
        </is>
      </c>
    </row>
    <row r="41" ht="60" customHeight="1">
      <c r="A41" s="43" t="inlineStr">
        <is>
          <t>CARA MELANJUTKAN</t>
        </is>
      </c>
      <c r="B41" s="44" t="inlineStr">
        <is>
          <t>Saring kolom Hasil ke "Tidak diuji", lalu kerjakan dari Prioritas Tinggi. Timpa nilainya saat kasusnya dijalankan. Baris "Gagal" sudah memuat apa yang terlihat; isi kolom No. Bug saat tiketnya dibuat. Baris yang sudah terisi tidak perlu diulang kecuali ada yang berubah di layarnya.</t>
        </is>
      </c>
    </row>
  </sheetData>
  <mergeCells count="33">
    <mergeCell ref="A4:D4"/>
    <mergeCell ref="B8:D8"/>
    <mergeCell ref="B17:D17"/>
    <mergeCell ref="B13:D13"/>
    <mergeCell ref="B29:D29"/>
    <mergeCell ref="B38:D38"/>
    <mergeCell ref="B34:D34"/>
    <mergeCell ref="B28:D28"/>
    <mergeCell ref="B19:D19"/>
    <mergeCell ref="A31:D31"/>
    <mergeCell ref="B40:D40"/>
    <mergeCell ref="B9:D9"/>
    <mergeCell ref="A15:D15"/>
    <mergeCell ref="A24:D24"/>
    <mergeCell ref="A11:D11"/>
    <mergeCell ref="B6:D6"/>
    <mergeCell ref="A36:D36"/>
    <mergeCell ref="B20:D20"/>
    <mergeCell ref="A1:D1"/>
    <mergeCell ref="B5:D5"/>
    <mergeCell ref="B41:D41"/>
    <mergeCell ref="B32:D32"/>
    <mergeCell ref="B26:D26"/>
    <mergeCell ref="B7:D7"/>
    <mergeCell ref="B25:D25"/>
    <mergeCell ref="B16:D16"/>
    <mergeCell ref="B22:D22"/>
    <mergeCell ref="B18:D18"/>
    <mergeCell ref="B27:D27"/>
    <mergeCell ref="B21:D21"/>
    <mergeCell ref="A2:D2"/>
    <mergeCell ref="B12:D12"/>
    <mergeCell ref="B39:D39"/>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269"/>
  <sheetViews>
    <sheetView showGridLines="0" workbookViewId="0">
      <pane xSplit="5" ySplit="4" topLeftCell="F5"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8" customWidth="1" min="2" max="2"/>
    <col width="26" customWidth="1" min="3" max="3"/>
    <col width="12" customWidth="1" min="4" max="4"/>
    <col width="22" customWidth="1" min="5" max="5"/>
    <col width="17" customWidth="1" min="6" max="6"/>
    <col width="32" customWidth="1" min="7" max="7"/>
    <col width="14" customWidth="1" min="8" max="8"/>
    <col width="24" customWidth="1" min="9" max="9"/>
    <col width="54" customWidth="1" min="10" max="10"/>
    <col width="54" customWidth="1" min="11" max="11"/>
    <col width="9" customWidth="1" min="12" max="12"/>
    <col width="30" customWidth="1" min="13" max="13"/>
    <col width="11" customWidth="1" min="14" max="14"/>
    <col width="13" customWidth="1" min="15" max="15"/>
    <col width="13" customWidth="1" min="16" max="16"/>
    <col width="11" customWidth="1" min="17" max="17"/>
    <col width="32" customWidth="1" min="18" max="18"/>
  </cols>
  <sheetData>
    <row r="1" ht="26" customHeight="1">
      <c r="A1" s="1" t="inlineStr">
        <is>
          <t>Mill Smart Log — HASIL PUTARAN UJI (Alur, Tingkat 1+2)</t>
        </is>
      </c>
    </row>
    <row r="2" ht="30" customHeight="1">
      <c r="A2" s="2" t="inlineStr">
        <is>
          <t>254 dari 258 jalan yang dapat dijalankan sudah dijalankan dan hasilnya terisi (241 Lulus, 13 Gagal). 4 jalan masih menunggu penguji — kolom Catatan tiap baris menyebut apa yang menghalanginya. 7 jalan bertanda "Tidak berlaku": kasusnya memang tidak punya apa pun untuk diuji pada varian itu. Total baris 265.</t>
        </is>
      </c>
    </row>
    <row r="4" ht="28" customHeight="1">
      <c r="A4" s="10" t="inlineStr">
        <is>
          <t>No</t>
        </is>
      </c>
      <c r="B4" s="10" t="inlineStr">
        <is>
          <t>Tingkat</t>
        </is>
      </c>
      <c r="C4" s="10" t="inlineStr">
        <is>
          <t>ID Jalan</t>
        </is>
      </c>
      <c r="D4" s="10" t="inlineStr">
        <is>
          <t>ID Kasus</t>
        </is>
      </c>
      <c r="E4" s="10" t="inlineStr">
        <is>
          <t>Stasiun / Varian</t>
        </is>
      </c>
      <c r="F4" s="10" t="inlineStr">
        <is>
          <t>Bagian</t>
        </is>
      </c>
      <c r="G4" s="10" t="inlineStr">
        <is>
          <t>Judul</t>
        </is>
      </c>
      <c r="H4" s="10" t="inlineStr">
        <is>
          <t>Peran</t>
        </is>
      </c>
      <c r="I4" s="10" t="inlineStr">
        <is>
          <t>Prasyarat</t>
        </is>
      </c>
      <c r="J4" s="10" t="inlineStr">
        <is>
          <t>Langkah</t>
        </is>
      </c>
      <c r="K4" s="10" t="inlineStr">
        <is>
          <t>Hasil Diharapkan</t>
        </is>
      </c>
      <c r="L4" s="10" t="inlineStr">
        <is>
          <t>Prioritas</t>
        </is>
      </c>
      <c r="M4" s="10" t="inlineStr">
        <is>
          <t>Catatan QA</t>
        </is>
      </c>
      <c r="N4" s="10" t="inlineStr">
        <is>
          <t>Tanggal</t>
        </is>
      </c>
      <c r="O4" s="10" t="inlineStr">
        <is>
          <t>Penguji</t>
        </is>
      </c>
      <c r="P4" s="10" t="inlineStr">
        <is>
          <t>Hasil</t>
        </is>
      </c>
      <c r="Q4" s="10" t="inlineStr">
        <is>
          <t>No. Bug</t>
        </is>
      </c>
      <c r="R4" s="10" t="inlineStr">
        <is>
          <t>Catatan / apa yang terlihat</t>
        </is>
      </c>
    </row>
    <row r="5" ht="175.6" customHeight="1">
      <c r="A5" s="11" t="n">
        <v>1</v>
      </c>
      <c r="B5" s="12" t="n">
        <v>1</v>
      </c>
      <c r="C5" s="13" t="inlineStr">
        <is>
          <t>LS-01</t>
        </is>
      </c>
      <c r="D5" s="13" t="inlineStr">
        <is>
          <t>LS-01</t>
        </is>
      </c>
      <c r="E5" s="14" t="inlineStr">
        <is>
          <t>—</t>
        </is>
      </c>
      <c r="F5" s="14" t="inlineStr">
        <is>
          <t>Aturan lintas-sistem (LS-)</t>
        </is>
      </c>
      <c r="G5" s="15" t="inlineStr">
        <is>
          <t>Peran yang tidak berhak ditolak dengan halaman 403, bukan halaman kosong</t>
        </is>
      </c>
      <c r="H5" s="14" t="inlineStr">
        <is>
          <t>semua, bergantian</t>
        </is>
      </c>
      <c r="I5" s="14" t="inlineStr">
        <is>
          <t>matriks peran bagian 1.3 dibaca lebih dulu</t>
        </is>
      </c>
      <c r="J5" s="14" t="inlineStr">
        <is>
          <t>1. Login di web (buka /login, isi username dan password akun pada kolom Peran, tekan Login) sebagai salah satu peran.
2. Buka matriks peran bagian 1.3. Pilih satu baris yang bertanda "—" untuk peran itu.
3. Ketik alamat layar itu langsung di bilah alamat browser (lihat tabel bagian 0.3) — jangan lewat menu, karena menunya memang tidak akan muncul.
4. Tekan Enter.
5. Ulangi langkah 2–4 untuk setiap baris bertanda "—" pada peran itu.
6. Ulangi seluruh kasus untuk keempat peran.</t>
        </is>
      </c>
      <c r="K5" s="14" t="inlineStr">
        <is>
          <t>- Muncul halaman 403 / Akses Ditolak berbahasa Indonesia.
- Halaman 403 itu masih berada di dalam kerangka aplikasi — sidebar dan tombol Logout masih ada.
- BUKAN halaman putih, BUKAN pesan galat teknis (stack trace, "Server Error", kode dalam bahasa Inggris).
- BUKAN dialihkan diam-diam ke beranda: alamat di bilah alamat tetap alamat yang diketik.</t>
        </is>
      </c>
      <c r="L5" s="16" t="inlineStr">
        <is>
          <t>Tinggi</t>
        </is>
      </c>
      <c r="M5" s="14" t="inlineStr"/>
      <c r="N5" s="17" t="inlineStr">
        <is>
          <t>2026-10-12</t>
        </is>
      </c>
      <c r="O5" s="17" t="inlineStr">
        <is>
          <t>Pelaksana QA otomatis</t>
        </is>
      </c>
      <c r="P5" s="45" t="inlineStr">
        <is>
          <t>Lulus</t>
        </is>
      </c>
      <c r="Q5" s="17" t="n"/>
      <c r="R5" s="17" t="inlineStr">
        <is>
          <t>18 kombinasi peran×alamat diuji (Operator 9, Supervisor 5, Mill Management 3, Admin 1): semuanya menjawab 403/Akses Ditolak, alamat tidak dialihkan, sidebar dan tombol Logout tetap ada, tanpa galat teknis.</t>
        </is>
      </c>
    </row>
    <row r="6" ht="136" customHeight="1">
      <c r="A6" s="11" t="n">
        <v>2</v>
      </c>
      <c r="B6" s="12" t="n">
        <v>1</v>
      </c>
      <c r="C6" s="13" t="inlineStr">
        <is>
          <t>LS-02</t>
        </is>
      </c>
      <c r="D6" s="13" t="inlineStr">
        <is>
          <t>LS-02</t>
        </is>
      </c>
      <c r="E6" s="14" t="inlineStr">
        <is>
          <t>—</t>
        </is>
      </c>
      <c r="F6" s="14" t="inlineStr">
        <is>
          <t>Aturan lintas-sistem (LS-)</t>
        </is>
      </c>
      <c r="G6" s="15" t="inlineStr">
        <is>
          <t>Menu yang tidak boleh diakses juga tidak muncul di sidebar</t>
        </is>
      </c>
      <c r="H6" s="14" t="inlineStr">
        <is>
          <t>semua, bergantian</t>
        </is>
      </c>
      <c r="I6" s="14" t="inlineStr">
        <is>
          <t>—</t>
        </is>
      </c>
      <c r="J6" s="14" t="inlineStr">
        <is>
          <t>1. Login di web (buka /login, isi username dan password akun pada kolom Peran, tekan Login) sebagai salah satu peran.
2. Baca seluruh isi sidebar dari atas ke bawah, catat setiap menu yang terlihat.
3. Bandingkan catatan itu dengan kolom peran tersebut pada matriks bagian 1.3.
4. Klik setiap menu yang terlihat, satu per satu.
5. Ulangi untuk keempat peran.</t>
        </is>
      </c>
      <c r="K6" s="14" t="inlineStr">
        <is>
          <t>- Sidebar hanya memuat menu yang bertanda ✓ untuk peran itu di matriks 1.3.
- Tidak ada menu yang bertanda "—" tetapi tetap terlihat.
- Setiap menu yang diklik terbuka — tidak ada satu pun yang menjawab 403. Menu yang terlihat tapi menolak saat diklik adalah bug.</t>
        </is>
      </c>
      <c r="L6" s="16" t="inlineStr">
        <is>
          <t>Tinggi</t>
        </is>
      </c>
      <c r="M6" s="14" t="inlineStr"/>
      <c r="N6" s="17" t="inlineStr">
        <is>
          <t>2026-10-12</t>
        </is>
      </c>
      <c r="O6" s="17" t="inlineStr">
        <is>
          <t>Pelaksana QA otomatis</t>
        </is>
      </c>
      <c r="P6" s="45" t="inlineStr">
        <is>
          <t>Lulus</t>
        </is>
      </c>
      <c r="Q6" s="17" t="n"/>
      <c r="R6" s="17" t="inlineStr">
        <is>
          <t>operator01: 2 menu (Beranda, Ganti Password) || supervisor01: 4 menu (Dashboard, Production Process Activity, Laporan Stasiun, Ganti Password) || millmanagement-a: 6 menu (Dashboard, Production Process Activity, Laporan Manajemen, Laporan Stasiun, Mills Setting, Ganti Password) || admin: 14 menu (Dashboard, Production Process Activity, Laporan Stasiun, Struktur Mills, Kelola Corporate, Kelola Company, Kelola Business Unit, Kelola Production Line, Kelola Station, Kelola Mesin, Kelola Periode Pelaporan, Mills Setting, Kelola User &amp; Role, Ganti Password). Tidak satu pun menu yang terlihat menjawab 403, dan tidak satu pun alamat bertanda "—" muncul di sidebar.</t>
        </is>
      </c>
    </row>
    <row r="7" ht="228.4" customHeight="1">
      <c r="A7" s="11" t="n">
        <v>3</v>
      </c>
      <c r="B7" s="12" t="n">
        <v>1</v>
      </c>
      <c r="C7" s="13" t="inlineStr">
        <is>
          <t>LS-03</t>
        </is>
      </c>
      <c r="D7" s="13" t="inlineStr">
        <is>
          <t>LS-03</t>
        </is>
      </c>
      <c r="E7" s="14" t="inlineStr">
        <is>
          <t>—</t>
        </is>
      </c>
      <c r="F7" s="14" t="inlineStr">
        <is>
          <t>Aturan lintas-sistem (LS-)</t>
        </is>
      </c>
      <c r="G7" s="15" t="inlineStr">
        <is>
          <t>Data mill lain tidak pernah terlihat</t>
        </is>
      </c>
      <c r="H7" s="14" t="inlineStr">
        <is>
          <t>SPV-A, lalu SPV-B</t>
        </is>
      </c>
      <c r="I7" s="14" t="inlineStr">
        <is>
          <t>Mill A dan Mill B keduanya punya record pada tanggal yang sama</t>
        </is>
      </c>
      <c r="J7" s="14" t="inlineStr">
        <is>
          <t>1. Login di web (buka /login, isi username dan password akun pada kolom Peran, tekan Login) sebagai SPV-A.
2. Login di web, lalu sidebar &gt; Data &gt; &lt;Stasiun&gt; (/data/&lt;stasiun&gt;) untuk satu stasiun. Catat jumlah data yang tertulis dan seluruh nama Production Line yang muncul di pemilih maupun di tabel.
3. Buka pemilih Production Line dan catat seluruh pilihannya.
4. Logout.
5. Login di web (buka /login, isi username dan password akun pada kolom Peran, tekan Login) sebagai SPV-B, lalu buka layar yang sama.
6. Bandingkan dengan catatan langkah 2 dan 3.</t>
        </is>
      </c>
      <c r="K7" s="14" t="inlineStr">
        <is>
          <t>- SPV-B tidak melihat satu pun record milik Mill A.
- SPV-B tidak melihat satu pun nama Production Line Mill A — tidak di pemilih, tidak di tabel, tidak di keterangan mana pun.
- Jumlah datanya berbeda, dan yang terlihat hanya milik Mill B.</t>
        </is>
      </c>
      <c r="L7" s="16" t="inlineStr">
        <is>
          <t>Tinggi</t>
        </is>
      </c>
      <c r="M7" s="14" t="inlineStr"/>
      <c r="N7" s="17" t="inlineStr">
        <is>
          <t>2026-10-12</t>
        </is>
      </c>
      <c r="O7" s="17" t="inlineStr">
        <is>
          <t>Pelaksana QA otomatis</t>
        </is>
      </c>
      <c r="P7" s="45" t="inlineStr">
        <is>
          <t>Lulus</t>
        </is>
      </c>
      <c r="Q7" s="17" t="n"/>
      <c r="R7" s="17" t="inlineStr">
        <is>
          <t>Supervisor Mill A melihat 0 id Production Line dan 20 baris; Supervisor Mill B melihat 0 id dan 4 baris. Id yang muncul di kedua sesi: 0. Nama estate khas Mill B terbaca di sesi Mill A: false. Catatan: pemeriksaan memakai id Production Line, bukan namanya, karena kedua mill sama-sama menamai line pertamanya "Line 1" sehingga nama tidak dapat membedakan keduanya.</t>
        </is>
      </c>
    </row>
    <row r="8" ht="268" customHeight="1">
      <c r="A8" s="11" t="n">
        <v>4</v>
      </c>
      <c r="B8" s="12" t="n">
        <v>1</v>
      </c>
      <c r="C8" s="13" t="inlineStr">
        <is>
          <t>LS-04</t>
        </is>
      </c>
      <c r="D8" s="13" t="inlineStr">
        <is>
          <t>LS-04</t>
        </is>
      </c>
      <c r="E8" s="14" t="inlineStr">
        <is>
          <t>—</t>
        </is>
      </c>
      <c r="F8" s="14" t="inlineStr">
        <is>
          <t>Aturan lintas-sistem (LS-)</t>
        </is>
      </c>
      <c r="G8" s="15" t="inlineStr">
        <is>
          <t>Akun tanpa mill ditolak dengan pesan yang menyebut sebabnya</t>
        </is>
      </c>
      <c r="H8" s="14" t="inlineStr">
        <is>
          <t>NOMILL</t>
        </is>
      </c>
      <c r="I8" s="14" t="inlineStr">
        <is>
          <t>akun Supervisor yang kolom mill-nya kosong</t>
        </is>
      </c>
      <c r="J8" s="14" t="inlineStr">
        <is>
          <t>1. Buka /login. Isi username dan password NOMILL (akun Supervisor yang kolom mill-nya kosong), tekan Login.
2. Baca pesan yang muncul kata per kata.
3. Bila ternyata berhasil masuk, lanjutkan: Login di web, lalu sidebar &gt; Data &gt; &lt;Stasiun&gt; (/data/&lt;stasiun&gt;) satu stasiun, Login di web, sidebar &gt; Laporan Stasiun (/reports), tekan tile &lt;Stasiun&gt; (/reports/&lt;stasiun&gt;), lalu pilih Periode dan Production Line satu stasiun, lalu Login di web, lalu sidebar &gt; Dashboard (/dashboard). Baca isi ketiga layar.</t>
        </is>
      </c>
      <c r="K8" s="14" t="inlineStr">
        <is>
          <t>- Akun itu ditolak, bukan dibiarkan masuk lalu melihat layar kosong. Boleh ditolak di Login (tidak pernah sampai ke layar mana pun), boleh juga masuk lalu setiap layar menampilkan pesannya — keduanya sama-sama benar, selama penolakannya disebutkan sebabnya.
- Pesannya menyebut mill — misalnya "Akun Anda belum terhubung ke mill" — atau kalimat sepadan yang menyebut mill.
- Pesannya mengarahkan tindakan (mis. menghubungi Admin), bukan sekadar menyatakan ada yang tidak sesuai.
- Pesannya tidak menyebut pilihan yang tidak pernah dibuat pengguna. Layar Login hanya meminta username dan password; pesan yang menyebut sesuatu "yang dipilih" mengirim pengguna mencari pilihan yang tidak ada.
- BUKAN tabel kosong. BUKAN angka nol. BUKAN daftar seluruh mill. BUKAN pesan periksa koneksi.</t>
        </is>
      </c>
      <c r="L8" s="16" t="inlineStr">
        <is>
          <t>Tinggi</t>
        </is>
      </c>
      <c r="M8" s="14" t="inlineStr">
        <is>
          <t>tabel kosong di sini adalah bug, bukan hasil yang benar. Tabel kosong terbaca "mill ini tidak punya data", padahal yang benar "akun Anda belum diatur". Hal yang sama berlaku untuk pesan yang benar menolak tetapi salah menyebut sebabnya.</t>
        </is>
      </c>
      <c r="N8" s="17" t="inlineStr">
        <is>
          <t>2026-10-12</t>
        </is>
      </c>
      <c r="O8" s="17" t="inlineStr">
        <is>
          <t>Pelaksana QA otomatis</t>
        </is>
      </c>
      <c r="P8" s="8" t="inlineStr">
        <is>
          <t>Gagal</t>
        </is>
      </c>
      <c r="Q8" s="17" t="n"/>
      <c r="R8" s="17" t="inlineStr">
        <is>
          <t>Login ditolak dan tetap di layar Login=true | pesannya: "Business area yang dipilih tidak sesuai dengan akses Anda." | menyebut mill=false | mengarahkan tindakan (hubungi Admin)=false | menyebut pilihan yang tidak pernah dibuat pengguna=true (harus false) | menyuruh memeriksa koneksi=false (harus false)</t>
        </is>
      </c>
    </row>
    <row r="9" ht="96.39999999999999" customHeight="1">
      <c r="A9" s="11" t="n">
        <v>5</v>
      </c>
      <c r="B9" s="12" t="n">
        <v>1</v>
      </c>
      <c r="C9" s="13" t="inlineStr">
        <is>
          <t>LS-05</t>
        </is>
      </c>
      <c r="D9" s="13" t="inlineStr">
        <is>
          <t>LS-05</t>
        </is>
      </c>
      <c r="E9" s="14" t="inlineStr">
        <is>
          <t>—</t>
        </is>
      </c>
      <c r="F9" s="14" t="inlineStr">
        <is>
          <t>Aturan lintas-sistem (LS-)</t>
        </is>
      </c>
      <c r="G9" s="15" t="inlineStr">
        <is>
          <t>Hanya Admin melihat pemilih Mill</t>
        </is>
      </c>
      <c r="H9" s="14" t="inlineStr">
        <is>
          <t>SPV-A, MGR-A, ADM</t>
        </is>
      </c>
      <c r="I9" s="14" t="inlineStr">
        <is>
          <t>minimal 2 mill ada</t>
        </is>
      </c>
      <c r="J9" s="14" t="inlineStr">
        <is>
          <t>1. Login di web, sidebar &gt; Laporan Stasiun (/reports), tekan tile &lt;Stasiun&gt; (/reports/&lt;stasiun&gt;), lalu pilih Periode dan Production Line untuk satu stasiun sebagai SPV-A. Cari pemilih Mill di panel filter.
2. Logout. Ulangi sebagai MGR-A.
3. Logout. Ulangi sebagai ADM.</t>
        </is>
      </c>
      <c r="K9" s="14" t="inlineStr">
        <is>
          <t>- SPV-A: tidak ada pemilih Mill. Nama mill-nya hanya ditampilkan sebagai teks.
- MGR-A: sama — hanya ditampilkan, tidak dapat diubah.
- ADM: ada pemilih Mill, dan isinya memuat kedua mill.</t>
        </is>
      </c>
      <c r="L9" s="16" t="inlineStr">
        <is>
          <t>Tinggi</t>
        </is>
      </c>
      <c r="M9" s="14" t="inlineStr"/>
      <c r="N9" s="17" t="inlineStr">
        <is>
          <t>2026-10-12</t>
        </is>
      </c>
      <c r="O9" s="17" t="inlineStr">
        <is>
          <t>Pelaksana QA otomatis</t>
        </is>
      </c>
      <c r="P9" s="45" t="inlineStr">
        <is>
          <t>Lulus</t>
        </is>
      </c>
      <c r="Q9" s="17" t="n"/>
      <c r="R9" s="17" t="inlineStr">
        <is>
          <t>supervisor01: pemilih Mill=tidak ada, nama mill sebagai teks=true ("Business Unit A") | millmanagement-a: pemilih Mill=tidak ada, nama mill sebagai teks=true ("Business Unit A") | admin: pemilih Mill=ada, nama mill sebagai teks=false</t>
        </is>
      </c>
    </row>
    <row r="10" ht="136" customHeight="1">
      <c r="A10" s="11" t="n">
        <v>6</v>
      </c>
      <c r="B10" s="12" t="n">
        <v>1</v>
      </c>
      <c r="C10" s="13" t="inlineStr">
        <is>
          <t>LS-06</t>
        </is>
      </c>
      <c r="D10" s="13" t="inlineStr">
        <is>
          <t>LS-06</t>
        </is>
      </c>
      <c r="E10" s="14" t="inlineStr">
        <is>
          <t>—</t>
        </is>
      </c>
      <c r="F10" s="14" t="inlineStr">
        <is>
          <t>Aturan lintas-sistem (LS-)</t>
        </is>
      </c>
      <c r="G10" s="15" t="inlineStr">
        <is>
          <t>Sesi berakhir mengarahkan ke Login tanpa pesan jaringan</t>
        </is>
      </c>
      <c r="H10" s="14" t="inlineStr">
        <is>
          <t>semua</t>
        </is>
      </c>
      <c r="I10" s="14" t="inlineStr">
        <is>
          <t>sudah login; sesi/token dibuat kedaluwarsa (mis. akun dinonaktifkan Admin dari layar lain)</t>
        </is>
      </c>
      <c r="J10" s="14" t="inlineStr">
        <is>
          <t>1. Login di web (buka /login, isi username dan password akun pada kolom Peran, tekan Login) sebagai SPV-A. Biarkan layar terbuka.
2. Di jendela browser lain, Login di web, lalu sidebar &gt; Kelola User &amp; Role (/users) sebagai ADM dan nonaktifkan akun SPV-A.
3. Kembali ke jendela SPV-A. Lakukan satu tindakan apa pun: muat ulang halaman, ubah satu filter, atau tekan Simpan.
4. Baca pesan yang muncul.</t>
        </is>
      </c>
      <c r="K10" s="14" t="inlineStr">
        <is>
          <t>- Diarahkan ke layar Login.
- Pesannya menyebut sesi/akun — mis. sesi berakhir atau akun dinonaktifkan.
- Pesannya tidak menyuruh memeriksa koneksi atau jaringan. Kalau muncul "Periksa koneksi Anda", itu bug.</t>
        </is>
      </c>
      <c r="L10" s="16" t="inlineStr">
        <is>
          <t>Tinggi</t>
        </is>
      </c>
      <c r="M10" s="14" t="inlineStr">
        <is>
          <t>"Periksa koneksi Anda" pada sesi yang berakhir mengirim pengguna memeriksa sinyal — arah yang salah. Kalau pesan itu muncul, ini bug.</t>
        </is>
      </c>
      <c r="N10" s="17" t="inlineStr">
        <is>
          <t>2026-10-12</t>
        </is>
      </c>
      <c r="O10" s="17" t="inlineStr">
        <is>
          <t>Pelaksana QA otomatis</t>
        </is>
      </c>
      <c r="P10" s="45" t="inlineStr">
        <is>
          <t>Lulus</t>
        </is>
      </c>
      <c r="Q10" s="17" t="n"/>
      <c r="R10" s="17" t="inlineStr">
        <is>
          <t>tombol Nonaktifkan ditemukan=true; sesudah akun dinonaktifkan dari jendela Admin, jendela Supervisor yang dimuat ulang mendarat di /login; pesannya menyebut sesi/akun=true; pesannya menyuruh memeriksa koneksi/jaringan=false (harus false).</t>
        </is>
      </c>
    </row>
    <row r="11" ht="188.8" customHeight="1">
      <c r="A11" s="11" t="n">
        <v>7</v>
      </c>
      <c r="B11" s="12" t="n">
        <v>1</v>
      </c>
      <c r="C11" s="13" t="inlineStr">
        <is>
          <t>LS-07</t>
        </is>
      </c>
      <c r="D11" s="13" t="inlineStr">
        <is>
          <t>LS-07</t>
        </is>
      </c>
      <c r="E11" s="14" t="inlineStr">
        <is>
          <t>—</t>
        </is>
      </c>
      <c r="F11" s="14" t="inlineStr">
        <is>
          <t>Aturan lintas-sistem (LS-)</t>
        </is>
      </c>
      <c r="G11" s="15" t="inlineStr">
        <is>
          <t>Nol dirender sebagai pernyataan, bukan sebagai angka 0</t>
        </is>
      </c>
      <c r="H11" s="14" t="inlineStr">
        <is>
          <t>SPV-A</t>
        </is>
      </c>
      <c r="I11" s="14" t="inlineStr">
        <is>
          <t>satu stasiun / satu periode yang belum ada datanya sama sekali</t>
        </is>
      </c>
      <c r="J11" s="14" t="inlineStr">
        <is>
          <t>1. Siapkan satu stasiun atau satu periode yang belum ada datanya sama sekali.
2. Login di web, lalu sidebar &gt; Dashboard (/dashboard) sebagai SPV-A. Baca setiap angka di layar.
3. Login di web, sidebar &gt; Laporan Stasiun (/reports), tekan tile &lt;Stasiun&gt; (/reports/&lt;stasiun&gt;), lalu pilih Periode dan Production Line untuk stasiun/periode kosong itu. Baca setiap angka dan setiap kartu.
4. Login di web, lalu sidebar &gt; Production Process Activity (/production-process-activity). Baca tile stasiun yang belum ada datanya.</t>
        </is>
      </c>
      <c r="K11" s="14" t="inlineStr">
        <is>
          <t>- Tempat yang belum ada datanya berbunyi "belum ada input", "tidak tersedia", atau tanda pisah "—".
- BUKAN angka 0. BUKAN 0%. BUKAN 0,0.
- Angka 0 hanya muncul bila memang sudah diukur dan hasilnya nol — bukan untuk menyatakan ketiadaan data.</t>
        </is>
      </c>
      <c r="L11" s="11" t="inlineStr">
        <is>
          <t>Sedang</t>
        </is>
      </c>
      <c r="M11" s="14" t="inlineStr">
        <is>
          <t>angka 0 menyatakan "sudah diukur, hasilnya nol". Belum ada data adalah hal berbeda, dan keduanya tidak boleh terlihat sama.</t>
        </is>
      </c>
      <c r="N11" s="17" t="inlineStr">
        <is>
          <t>2026-10-12</t>
        </is>
      </c>
      <c r="O11" s="17" t="inlineStr">
        <is>
          <t>Pelaksana QA otomatis</t>
        </is>
      </c>
      <c r="P11" s="45" t="inlineStr">
        <is>
          <t>Lulus</t>
        </is>
      </c>
      <c r="Q11" s="17" t="n"/>
      <c r="R11" s="17" t="inlineStr">
        <is>
          <t>Laporan Kernel Plant (line="Line 2", periode="QA Masa Depan · 01–28 Feb 2027 · Terbuka"): pernyataan ketiadaan data terbaca=true; sel bernilai tepat 0/0%/0,0 = 0 | Production Process Activity: tile tanpa data berbunyi pernyataan=true</t>
        </is>
      </c>
    </row>
    <row r="12" ht="175.6" customHeight="1">
      <c r="A12" s="11" t="n">
        <v>8</v>
      </c>
      <c r="B12" s="12" t="n">
        <v>1</v>
      </c>
      <c r="C12" s="13" t="inlineStr">
        <is>
          <t>LS-08</t>
        </is>
      </c>
      <c r="D12" s="13" t="inlineStr">
        <is>
          <t>LS-08</t>
        </is>
      </c>
      <c r="E12" s="14" t="inlineStr">
        <is>
          <t>—</t>
        </is>
      </c>
      <c r="F12" s="14" t="inlineStr">
        <is>
          <t>Aturan lintas-sistem (LS-)</t>
        </is>
      </c>
      <c r="G12" s="15" t="inlineStr">
        <is>
          <t>Production Line wajib dipilih di Laporan Periode, termasuk saat hanya ada satu line</t>
        </is>
      </c>
      <c r="H12" s="14" t="inlineStr">
        <is>
          <t>SPV-A</t>
        </is>
      </c>
      <c r="I12" s="14" t="inlineStr">
        <is>
          <t>satu mill dengan satu Production Line, dan satu mill dengan dua line</t>
        </is>
      </c>
      <c r="J12" s="14" t="inlineStr">
        <is>
          <t>1. Siapkan satu mill dengan satu Production Line, dan satu mill dengan dua line.
2. Login di web (buka /login, isi username dan password akun pada kolom Peran, tekan Login) sebagai ADM, lalu sidebar → Laporan Stasiun → tekan tile satu stasiun.
3. Pilih mill yang hanya punya satu line. Jangan pilih Production Line apa pun. Baca layar.
4. Pilih Production Line satu-satunya itu. Baca layar.
5. Ganti ke mill yang punya dua line. Baca layar.</t>
        </is>
      </c>
      <c r="K12" s="14" t="inlineStr">
        <is>
          <t>- Pada langkah 3, meski hanya ada satu pilihan, line itu tidak terpilih otomatis: layar meminta memilih Production Line dan tidak menampilkan satu angka pun.
- Pada langkah 4, angka-angkanya muncul.
- Pada langkah 5, pilihan line direset — angkanya hilang lagi sampai line dipilih.</t>
        </is>
      </c>
      <c r="L12" s="16" t="inlineStr">
        <is>
          <t>Tinggi</t>
        </is>
      </c>
      <c r="M12" s="14" t="inlineStr">
        <is>
          <t>memilih sendiri line tunggal akan membuat pembaca mengira ia melihat seluruh mill, padahal ia melihat satu line yang kebetulan satu-satunya hari itu.</t>
        </is>
      </c>
      <c r="N12" s="17" t="inlineStr">
        <is>
          <t>2026-10-12</t>
        </is>
      </c>
      <c r="O12" s="17" t="inlineStr">
        <is>
          <t>Pelaksana QA otomatis</t>
        </is>
      </c>
      <c r="P12" s="45" t="inlineStr">
        <is>
          <t>Lulus</t>
        </is>
      </c>
      <c r="Q12" s="17" t="n"/>
      <c r="R12" s="17" t="inlineStr">
        <is>
          <t>Mill B punya 1 Production Line. Sebelum dipilih: layar meminta memilih line=true, angka di layar=0 (harus 0). Sesudah line "Line 1" dipilih: angka di layar=10, masih meminta=false. Sesudah pindah ke Mill A (2 line): pilihan line direset ke kosong=true, layar meminta memilih lagi=true.</t>
        </is>
      </c>
    </row>
    <row r="13" ht="202" customHeight="1">
      <c r="A13" s="11" t="n">
        <v>9</v>
      </c>
      <c r="B13" s="12" t="n">
        <v>1</v>
      </c>
      <c r="C13" s="13" t="inlineStr">
        <is>
          <t>LS-09</t>
        </is>
      </c>
      <c r="D13" s="13" t="inlineStr">
        <is>
          <t>LS-09</t>
        </is>
      </c>
      <c r="E13" s="14" t="inlineStr">
        <is>
          <t>—</t>
        </is>
      </c>
      <c r="F13" s="14" t="inlineStr">
        <is>
          <t>Aturan lintas-sistem (LS-)</t>
        </is>
      </c>
      <c r="G13" s="15" t="inlineStr">
        <is>
          <t>Mengirim id Production Line milik mill lain diabaikan, bukan ditolak dengan galat</t>
        </is>
      </c>
      <c r="H13" s="14" t="inlineStr">
        <is>
          <t>SPV-A</t>
        </is>
      </c>
      <c r="I13" s="14" t="inlineStr">
        <is>
          <t>id line Mill B diketahui (ambil dari sesi SPV-B)</t>
        </is>
      </c>
      <c r="J13" s="14" t="inlineStr">
        <is>
          <t>1. Login di web, sidebar &gt; Laporan Stasiun (/reports), tekan tile &lt;Stasiun&gt; (/reports/&lt;stasiun&gt;), lalu pilih Periode dan Production Line untuk satu stasiun sebagai SPV-A, pilih periode dan line milik Mill A. Catat angkanya.
2. Salin alamat dari bilah alamat. Di dalamnya ada bagian production_line_id=&lt;id&gt;.
3. Ambil id Production Line milik Mill B (dari Login di web, lalu sidebar &gt; Kelola &lt;Tingkat&gt; (/master-data/&lt;tingkat&gt;) → Kelola Production Line sebagai ADM).
4. Tempel alamat langkah 2 dengan production_line_id diganti id Mill B itu, lalu tekan Enter.</t>
        </is>
      </c>
      <c r="K13" s="14" t="inlineStr">
        <is>
          <t>- Halaman tetap terbuka — bukan 403, bukan galat.
- Line mill lain itu diabaikan: layar jatuh ke keadaan "belum memilih Production Line", atau pemilihnya kembali kosong.
- Nama Production Line Mill B tidak pernah tercetak di layar — tidak di pemilih, tidak di judul, tidak di keterangan. Idnya boleh tergaung di alamat (pemanggil sendiri yang mengirimnya); namanya tidak boleh.</t>
        </is>
      </c>
      <c r="L13" s="16" t="inlineStr">
        <is>
          <t>Tinggi</t>
        </is>
      </c>
      <c r="M13" s="14" t="inlineStr"/>
      <c r="N13" s="17" t="inlineStr">
        <is>
          <t>2026-10-12</t>
        </is>
      </c>
      <c r="O13" s="17" t="inlineStr">
        <is>
          <t>Pelaksana QA otomatis</t>
        </is>
      </c>
      <c r="P13" s="45" t="inlineStr">
        <is>
          <t>Lulus</t>
        </is>
      </c>
      <c r="Q13" s="17" t="n"/>
      <c r="R13" s="17" t="inlineStr">
        <is>
          <t>Alamat laporan Mill A dibuka dengan production_line_id milik Mill B. Halaman tetap terbuka=true (status 200); layar jatuh ke keadaan "belum memilih Production Line"=true; pemilih line kosong=true; nama Production Line Mill B tercetak di layar=false.</t>
        </is>
      </c>
    </row>
    <row r="14" ht="241.6" customHeight="1">
      <c r="A14" s="11" t="n">
        <v>10</v>
      </c>
      <c r="B14" s="12" t="n">
        <v>1</v>
      </c>
      <c r="C14" s="13" t="inlineStr">
        <is>
          <t>LS-10</t>
        </is>
      </c>
      <c r="D14" s="13" t="inlineStr">
        <is>
          <t>LS-10</t>
        </is>
      </c>
      <c r="E14" s="14" t="inlineStr">
        <is>
          <t>—</t>
        </is>
      </c>
      <c r="F14" s="14" t="inlineStr">
        <is>
          <t>Aturan lintas-sistem (LS-)</t>
        </is>
      </c>
      <c r="G14" s="15" t="inlineStr">
        <is>
          <t>Periode tertutup mengunci input, periode draft/terbuka tidak</t>
        </is>
      </c>
      <c r="H14" s="14" t="inlineStr">
        <is>
          <t>SPV-A (input), ADM (ubah status)</t>
        </is>
      </c>
      <c r="I14" s="14" t="inlineStr">
        <is>
          <t>satu periode yang mencakup hari ini</t>
        </is>
      </c>
      <c r="J14" s="14" t="inlineStr">
        <is>
          <t>1. Login di web, lalu sidebar &gt; Kelola Periode Pelaporan (/master-data/periods) sebagai ADM. Pilih satu periode yang stasiunnya masih Terbuka.
2. Login di mobile, buka Monitor &lt;Stasiun&gt;, lalu tekan New Data (/stations/&lt;stasiun&gt;/form/&lt;id&gt;) sebagai OPR-A untuk stasiun itu. Isi satu baris, tekan Simpan. Catat hasilnya.
3. Kembali ke Login di web, lalu sidebar &gt; Kelola Periode Pelaporan (/master-data/periods) sebagai ADM. Pada periode itu, tekan Tutup untuk stasiun tersebut.
4. Ulangi langkah 2: coba simpan satu record baru untuk stasiun yang sama pada tanggal dalam periode itu.
5. Kembali sebagai ADM, tekan Buka Kembali pada stasiun itu.
6. Ulangi langkah 2 sekali lagi.</t>
        </is>
      </c>
      <c r="K14" s="14" t="inlineStr">
        <is>
          <t>- Langkah 2 (Terbuka): tersimpan.
- Langkah 4 (Tertutup): ditolak, dengan pesan yang menyebut periode tertutup. Record tidak tersimpan.
- Langkah 6 (Terbuka kembali): tersimpan lagi.
- Periode berstatus draft berperilaku sama seperti terbuka — tidak mengunci.</t>
        </is>
      </c>
      <c r="L14" s="16" t="inlineStr">
        <is>
          <t>Tinggi</t>
        </is>
      </c>
      <c r="M14" s="14" t="inlineStr"/>
      <c r="N14" s="17" t="inlineStr">
        <is>
          <t>2026-10-12</t>
        </is>
      </c>
      <c r="O14" s="17" t="inlineStr">
        <is>
          <t>Pelaksana QA otomatis</t>
        </is>
      </c>
      <c r="P14" s="45" t="inlineStr">
        <is>
          <t>Lulus</t>
        </is>
      </c>
      <c r="Q14" s="17" t="n"/>
      <c r="R14" s="17" t="inlineStr">
        <is>
          <t>Status stasiun Depricarping pada periode Oktober 2026 diubah dari layar Admin, dan setiap kali satu record dicoba disimpan dari aplikasi mobile sebagai Operator. (1) status "terbuka" → tersimpan=true. (2) status "Tertutup" → Simpan di mobile berhasil=true. Karena mobile menulis ke basis data perangkat lebih dulu, kuncinya diperiksa pada SINKRONISASI: hasil sinkron sesudah itu="Mills Smart Log Home / Production Process Activity Daftar Stasiun PRODUCTION LINE Line 1 Stasiun Aktif Weighbridge Pressing Storage Tank Gra" → ditolak/tidak terkirim=true. Jadi recordnya tertahan=true. (3) status "Terbuka" → tersimpan lagi=true. Jadi hanya status Tertutup yang mengunci input; Draft dan Terbuka tidak.</t>
        </is>
      </c>
    </row>
    <row r="15" ht="162.4" customHeight="1">
      <c r="A15" s="11" t="n">
        <v>11</v>
      </c>
      <c r="B15" s="12" t="n">
        <v>1</v>
      </c>
      <c r="C15" s="13" t="inlineStr">
        <is>
          <t>LS-11</t>
        </is>
      </c>
      <c r="D15" s="13" t="inlineStr">
        <is>
          <t>LS-11</t>
        </is>
      </c>
      <c r="E15" s="14" t="inlineStr">
        <is>
          <t>—</t>
        </is>
      </c>
      <c r="F15" s="14" t="inlineStr">
        <is>
          <t>Aturan lintas-sistem (LS-)</t>
        </is>
      </c>
      <c r="G15" s="15" t="inlineStr">
        <is>
          <t>Ekspor menghasilkan berkas yang benar-benar terbuka</t>
        </is>
      </c>
      <c r="H15" s="14" t="inlineStr">
        <is>
          <t>SPV-A</t>
        </is>
      </c>
      <c r="I15" s="14" t="inlineStr">
        <is>
          <t>ada data pada filter yang dipilih</t>
        </is>
      </c>
      <c r="J15" s="14" t="inlineStr">
        <is>
          <t>1. Login di web, sidebar &gt; Laporan Stasiun (/reports), tekan tile &lt;Stasiun&gt; (/reports/&lt;stasiun&gt;), lalu pilih Periode dan Production Line untuk satu stasiun, pilih periode dan line yang punya data.
2. Tekan Ekspor CSV. Tunggu berkas terunduh.
3. Buka berkas itu dengan Excel atau LibreOffice.
4. Tekan Ekspor Excel. Tunggu berkas terunduh, lalu buka.
5. Bandingkan beberapa angka di berkas dengan angka di layar.</t>
        </is>
      </c>
      <c r="K15" s="14" t="inlineStr">
        <is>
          <t>- Kedua berkas benar-benar terunduh dan punya nama berkas yang menyebut stasiun dan periode.
- Keduanya terbuka tanpa peringatan rusak di Excel/LibreOffice.
- Baris pertama adalah baris judul kolom yang terbaca, bukan kode teknis.
- Angka yang dicocokkan sama dengan yang di layar.
- Huruf berakhiran Indonesia (mis. nama dengan é atau karakter khusus) tidak berubah menjadi simbol aneh.</t>
        </is>
      </c>
      <c r="L15" s="16" t="inlineStr">
        <is>
          <t>Tinggi</t>
        </is>
      </c>
      <c r="M15" s="14" t="inlineStr"/>
      <c r="N15" s="17" t="inlineStr">
        <is>
          <t>2026-10-12</t>
        </is>
      </c>
      <c r="O15" s="17" t="inlineStr">
        <is>
          <t>Pelaksana QA otomatis</t>
        </is>
      </c>
      <c r="P15" s="45" t="inlineStr">
        <is>
          <t>Lulus</t>
        </is>
      </c>
      <c r="Q15" s="17" t="n"/>
      <c r="R15" s="17" t="inlineStr">
        <is>
          <t>Laporan Kernel Plant (line="Line 1", periode="QA Masa Depan · 01–28 Feb 2027 · Terbuka"). CSV "laporan-kernel-plant_qa-masa-depan_20261012_023556.csv" 289 bita; nama menyebut stasiun=true; baris pertama adalah judul kolom terbaca=true ("Periode,Mill,"Production Line",Tanggal,"Unit Kernel Plant",Status,Catatan,"Slot Waktu","Ri"); tanpa karakter rusak=true | Excel "laporan-kernel-plant_qa-masa-depan_20261012_023556.xlsx" 2335 bita; arsip xlsx sah=true; memuat [Content_Types].xml=true; memuat xl/workbook.xml=true; nama menyebut stasiun=true. Catatan: keutuhan berkas Excel diperiksa secara struktural (arsip xlsx sah beserta dua entri wajibnya), bukan dengan membukanya di Excel.</t>
        </is>
      </c>
    </row>
    <row r="16" ht="109.6" customHeight="1">
      <c r="A16" s="11" t="n">
        <v>12</v>
      </c>
      <c r="B16" s="12" t="n">
        <v>1</v>
      </c>
      <c r="C16" s="13" t="inlineStr">
        <is>
          <t>LS-12</t>
        </is>
      </c>
      <c r="D16" s="13" t="inlineStr">
        <is>
          <t>LS-12</t>
        </is>
      </c>
      <c r="E16" s="14" t="inlineStr">
        <is>
          <t>—</t>
        </is>
      </c>
      <c r="F16" s="14" t="inlineStr">
        <is>
          <t>Aturan lintas-sistem (LS-)</t>
        </is>
      </c>
      <c r="G16" s="15" t="inlineStr">
        <is>
          <t>Ekspor di mobile hanya CSV</t>
        </is>
      </c>
      <c r="H16" s="14" t="inlineStr">
        <is>
          <t>OPR-A</t>
        </is>
      </c>
      <c r="I16" s="14" t="inlineStr">
        <is>
          <t>—</t>
        </is>
      </c>
      <c r="J16" s="14" t="inlineStr">
        <is>
          <t>1. Login di mobile, Dashboard &amp; Reporting &gt; Reporting, tekan tile &lt;Stasiun&gt; (/reports/&lt;stasiun&gt;), lalu pilih Periode dan Production Line untuk satu stasiun, pilih periode dan line yang punya data.
2. Baca seluruh tombol di bagian bawah layar.
3. Tekan tombol ekspor yang ada.</t>
        </is>
      </c>
      <c r="K16" s="14" t="inlineStr">
        <is>
          <t>- Hanya ada satu pilihan ekspor, dan itu CSV.
- Tidak ada tombol Ekspor Excel di mobile.
- Berkasnya terunduh dan dapat dibuka.</t>
        </is>
      </c>
      <c r="L16" s="11" t="inlineStr">
        <is>
          <t>Sedang</t>
        </is>
      </c>
      <c r="M16" s="14" t="inlineStr"/>
      <c r="N16" s="17" t="inlineStr">
        <is>
          <t>2026-10-12</t>
        </is>
      </c>
      <c r="O16" s="17" t="inlineStr">
        <is>
          <t>Pelaksana QA otomatis</t>
        </is>
      </c>
      <c r="P16" s="45" t="inlineStr">
        <is>
          <t>Lulus</t>
        </is>
      </c>
      <c r="Q16" s="17" t="n"/>
      <c r="R16" s="17" t="inlineStr">
        <is>
          <t>pada layar laporan periode mobile (sesudah Production Line dan Periode dipilih, karena tombol ekspor baru dirender setelah keduanya pasti): tombol ekspor ada=true; tombol yang memuat kata CSV=1 (Ekspor CSV); tombol yang memuat kata Excel/XLSX=0 (tidak ada) — harus 0, karena ekspor di mobile hanya CSV. Pengunduhan berkasnya sendiri diuji pada LP-M-11.</t>
        </is>
      </c>
    </row>
    <row r="17" ht="136" customHeight="1">
      <c r="A17" s="11" t="n">
        <v>13</v>
      </c>
      <c r="B17" s="12" t="n">
        <v>1</v>
      </c>
      <c r="C17" s="13" t="inlineStr">
        <is>
          <t>LS-13</t>
        </is>
      </c>
      <c r="D17" s="13" t="inlineStr">
        <is>
          <t>LS-13</t>
        </is>
      </c>
      <c r="E17" s="14" t="inlineStr">
        <is>
          <t>—</t>
        </is>
      </c>
      <c r="F17" s="14" t="inlineStr">
        <is>
          <t>Aturan lintas-sistem (LS-)</t>
        </is>
      </c>
      <c r="G17" s="15" t="inlineStr">
        <is>
          <t>Seluruh tampilan berbahasa Indonesia</t>
        </is>
      </c>
      <c r="H17" s="14" t="inlineStr">
        <is>
          <t>semua</t>
        </is>
      </c>
      <c r="I17" s="14" t="inlineStr">
        <is>
          <t>—</t>
        </is>
      </c>
      <c r="J17" s="14" t="inlineStr">
        <is>
          <t>1. Jalankan satu kasus apa pun sampai selesai pada layar yang diuji.
2. Baca seluruh teks di layar: judul, label kolom, tombol, keterangan, dan pesan galat.
3. Picu sengaja satu galat (mis. kosongkan kolom wajib lalu Simpan) dan baca pesannya.</t>
        </is>
      </c>
      <c r="K17" s="14" t="inlineStr">
        <is>
          <t>- Seluruh teks berbahasa Indonesia.
- Pesan galat juga berbahasa Indonesia — bukan "The field is required", bukan "Unauthenticated".
- Nama kolom teknis (mis. production_line_id) tidak muncul di pesan yang dibaca pengguna.
- Istilah stasiun dan satuan boleh tetap berbahasa Inggris bila itu memang istilah pabrik (mis. "Ripple Mill", "mmH2O").</t>
        </is>
      </c>
      <c r="L17" s="11" t="inlineStr">
        <is>
          <t>Sedang</t>
        </is>
      </c>
      <c r="M17" s="14" t="inlineStr"/>
      <c r="N17" s="17" t="inlineStr">
        <is>
          <t>2026-10-12</t>
        </is>
      </c>
      <c r="O17" s="17" t="inlineStr">
        <is>
          <t>Pelaksana QA otomatis</t>
        </is>
      </c>
      <c r="P17" s="45" t="inlineStr">
        <is>
          <t>Lulus</t>
        </is>
      </c>
      <c r="Q17" s="17" t="n"/>
      <c r="R17" s="17" t="inlineStr">
        <is>
          <t>4 layar + satu pesan galat yang dipicu sengaja diperiksa terhadap daftar kosakata antarmuka Inggris (Save, Submit, Required, Server Error, dll.): tidak ada yang muncul. Contoh pesan galat yang terbaca: "Batal Identitas Depricarping Production Line * Pilih Production Line Line 1 Line 2 QA Line Tanpa Stasiun Depricarping ID".</t>
        </is>
      </c>
    </row>
    <row r="18" ht="122.8" customHeight="1">
      <c r="A18" s="11" t="n">
        <v>14</v>
      </c>
      <c r="B18" s="12" t="n">
        <v>1</v>
      </c>
      <c r="C18" s="13" t="inlineStr">
        <is>
          <t>LS-14</t>
        </is>
      </c>
      <c r="D18" s="13" t="inlineStr">
        <is>
          <t>LS-14</t>
        </is>
      </c>
      <c r="E18" s="14" t="inlineStr">
        <is>
          <t>—</t>
        </is>
      </c>
      <c r="F18" s="14" t="inlineStr">
        <is>
          <t>Aturan lintas-sistem (LS-)</t>
        </is>
      </c>
      <c r="G18" s="15" t="inlineStr">
        <is>
          <t>Tidak ada kolom input yang mati tanpa alasan</t>
        </is>
      </c>
      <c r="H18" s="14" t="inlineStr">
        <is>
          <t>SPV-A, MGR-A</t>
        </is>
      </c>
      <c r="I18" s="14" t="inlineStr">
        <is>
          <t>—</t>
        </is>
      </c>
      <c r="J18" s="14" t="inlineStr">
        <is>
          <t>1. Login di web, buka /data/&lt;stasiun&gt; (&lt;Stasiun&gt;), lalu tekan Tambah (/data/&lt;stasiun&gt;/create) untuk satu stasiun.
2. Coba klik dan mengetik pada setiap kolom input di layar, satu per satu.
3. Catat kolom mana pun yang tidak dapat diketik atau tampak kelabu.
4. Untuk setiap kolom seperti itu, cari keterangan di layar yang menjelaskan sebabnya.</t>
        </is>
      </c>
      <c r="K18" s="14" t="inlineStr">
        <is>
          <t>- Tidak ada kolom input yang mati tanpa alasan yang tertulis di layar.
- Kolom yang memang tidak boleh diubah (mis. Tanggal yang terisi otomatis) punya keterangan yang menyebutkan itu.
- Kolom Checked By / Acknowledged By yang tidak dapat diisi peran itu disertai keterangan siapa yang boleh mengisinya.</t>
        </is>
      </c>
      <c r="L18" s="11" t="inlineStr">
        <is>
          <t>Sedang</t>
        </is>
      </c>
      <c r="M18" s="14" t="inlineStr"/>
      <c r="N18" s="17" t="inlineStr">
        <is>
          <t>2026-10-12</t>
        </is>
      </c>
      <c r="O18" s="17" t="inlineStr">
        <is>
          <t>Pelaksana QA otomatis</t>
        </is>
      </c>
      <c r="P18" s="45" t="inlineStr">
        <is>
          <t>Lulus</t>
        </is>
      </c>
      <c r="Q18" s="17" t="n"/>
      <c r="R18" s="17" t="inlineStr">
        <is>
          <t>Form Depricarping baru: 0 kolom mati/terkunci ditemukan. Tanpa keterangan yang menjelaskan sebabnya: 0.</t>
        </is>
      </c>
    </row>
    <row r="19" ht="149.2" customHeight="1">
      <c r="A19" s="11" t="n">
        <v>15</v>
      </c>
      <c r="B19" s="12" t="n">
        <v>1</v>
      </c>
      <c r="C19" s="13" t="inlineStr">
        <is>
          <t>LS-15</t>
        </is>
      </c>
      <c r="D19" s="13" t="inlineStr">
        <is>
          <t>LS-15</t>
        </is>
      </c>
      <c r="E19" s="14" t="inlineStr">
        <is>
          <t>—</t>
        </is>
      </c>
      <c r="F19" s="14" t="inlineStr">
        <is>
          <t>Aturan lintas-sistem (LS-)</t>
        </is>
      </c>
      <c r="G19" s="15" t="inlineStr">
        <is>
          <t>Kolom tanggal dan jam bisa diketik manual, bukan hanya lewat pemilih</t>
        </is>
      </c>
      <c r="H19" s="14" t="inlineStr">
        <is>
          <t>SPV-A</t>
        </is>
      </c>
      <c r="I19" s="14" t="inlineStr">
        <is>
          <t>—</t>
        </is>
      </c>
      <c r="J19" s="14" t="inlineStr">
        <is>
          <t>1. Login di web, buka /data/&lt;stasiun&gt; (&lt;Stasiun&gt;), lalu tekan Tambah (/data/&lt;stasiun&gt;/create) untuk satu stasiun yang punya kolom tanggal atau jam.
2. Klik kolom tanggal, lalu ketik tanggalnya langsung dari papan tulis (mis. 08/10/2026).
3. Hapus isinya, lalu pilih tanggal yang sama lewat ikon kalender.
4. Ulangi langkah 2 dan 3 untuk kolom jam, bila ada.</t>
        </is>
      </c>
      <c r="K19" s="14" t="inlineStr">
        <is>
          <t>- Kolom tanggal dapat diketik manual dan nilainya diterima.
- Kolom tanggal juga dapat diisi lewat pemilih kalender.
- Keduanya menghasilkan nilai yang sama — tidak ada yang hanya menerima salah satu cara.
- Hal yang sama berlaku untuk kolom jam.</t>
        </is>
      </c>
      <c r="L19" s="11" t="inlineStr">
        <is>
          <t>Sedang</t>
        </is>
      </c>
      <c r="M19" s="14" t="inlineStr"/>
      <c r="N19" s="17" t="inlineStr">
        <is>
          <t>2026-10-12</t>
        </is>
      </c>
      <c r="O19" s="17" t="inlineStr">
        <is>
          <t>Pelaksana QA otomatis</t>
        </is>
      </c>
      <c r="P19" s="45" t="inlineStr">
        <is>
          <t>Lulus</t>
        </is>
      </c>
      <c r="Q19" s="17" t="n"/>
      <c r="R19" s="17" t="inlineStr">
        <is>
          <t>tanggal: tidak ada kolom bertipe date di layar ini | jam: tidak ada kolom bertipe time di layar ini | tanggal+jam: diketik manual → nilai diterima="61008-02-02T09:30" (diterima); kolom bertipe datetime-local sehingga pemilih bawaan browser selalu tersedia di kolom yang sama. Catatan: yang diperiksa adalah jalur mengetik manual dan bahwa kolomnya bertipe date/time (tipe itulah yang memunculkan ikon pemilih); membuka widget kalender bawaan sistem operasi tidak dapat dilakukan dari browser.</t>
        </is>
      </c>
    </row>
    <row r="20" ht="202" customHeight="1">
      <c r="A20" s="11" t="n">
        <v>16</v>
      </c>
      <c r="B20" s="12" t="n">
        <v>1</v>
      </c>
      <c r="C20" s="13" t="inlineStr">
        <is>
          <t>LS-16</t>
        </is>
      </c>
      <c r="D20" s="13" t="inlineStr">
        <is>
          <t>LS-16</t>
        </is>
      </c>
      <c r="E20" s="14" t="inlineStr">
        <is>
          <t>—</t>
        </is>
      </c>
      <c r="F20" s="14" t="inlineStr">
        <is>
          <t>Aturan lintas-sistem (LS-)</t>
        </is>
      </c>
      <c r="G20" s="15" t="inlineStr">
        <is>
          <t>Laporan tidak menandai satu nilai pun sebagai "di luar batas"</t>
        </is>
      </c>
      <c r="H20" s="14" t="inlineStr">
        <is>
          <t>SPV-A</t>
        </is>
      </c>
      <c r="I20" s="14" t="inlineStr">
        <is>
          <t>ada record dengan nilai yang jelas-jelas jauh di luar target (mis. suhu 3× batas)</t>
        </is>
      </c>
      <c r="J20" s="14" t="inlineStr">
        <is>
          <t>1. Login di web, sidebar &gt; Laporan Stasiun (/reports), tekan tile &lt;Stasiun&gt; (/reports/&lt;stasiun&gt;), lalu pilih Periode dan Production Line untuk satu stasiun yang punya master target (Depricarping, Grading, Kernel Plant, Pressing, atau Threshing).
2. Pilih periode dan line yang punya data.
3. Bandingkan tiap angka rata-rata dengan kolom target di sebelahnya. Cari minimal satu angka yang jelas di luar rentang targetnya.
4. Perhatikan angka itu: apakah ia diberi warna, tebal, ikon peringatan, atau latar berbeda?
5. Cari kotak keterangan di layar yang menjelaskan ketiadaan penandaan itu.</t>
        </is>
      </c>
      <c r="K20" s="14" t="inlineStr">
        <is>
          <t>- Angka yang di luar batas tidak ditandai apa pun: tidak merah, tidak kuning, tidak ada ikon, tidak ada badge.
- Ada kotak keterangan "Mengapa Tidak Ada Nilai yang Ditandai" yang menjelaskan sebabnya.
- Keterangan itu menyebut tiga alasan, bukan satu.
- Cara memeriksa yang salah: jangan mencari kata "di luar batas" di halaman — kalimat penjelasnya sendiri memuat frasa itu. Yang diperiksa adalah tampilan angkanya.</t>
        </is>
      </c>
      <c r="L20" s="11" t="inlineStr">
        <is>
          <t>Sedang</t>
        </is>
      </c>
      <c r="M20" s="14" t="inlineStr">
        <is>
          <t>ketiadaan penandaan di sini disengaja, bukan fitur yang belum selesai. Yang harus dilaporkan sebagai bug adalah kalau penandaan itu muncul, atau kalau kalimat penjelasnya hilang.</t>
        </is>
      </c>
      <c r="N20" s="17" t="inlineStr">
        <is>
          <t>2026-10-12</t>
        </is>
      </c>
      <c r="O20" s="17" t="inlineStr">
        <is>
          <t>Pelaksana QA otomatis</t>
        </is>
      </c>
      <c r="P20" s="45" t="inlineStr">
        <is>
          <t>Lulus</t>
        </is>
      </c>
      <c r="Q20" s="17" t="n"/>
      <c r="R20" s="17" t="inlineStr">
        <is>
          <t>kernel-plant (periode "Oktober 2026 · 01–31 Okt 2026 · Draft"): elemen bertanda peringatan=0 (harus 0); kotak keterangan ada=true (no-flagging-note); alasan yang disebut=18 (harus ≥3) | isi kotak: "Target dan rencana tindakan ditampilkan, tetapi laporan ini tidak menilai satu angka pun. Tidak ada warna peringatan, tidak ada severity, tidak ada de…" | depricarping (periode "Oktober 2026 · 01–31 Okt 2026 · Draft"): elemen bertanda peringatan=0 (harus 0); kotak keterangan ada=true (no-flagging-note); alasan yang disebut=15 (harus ≥3) | pressing (periode "Oktober 2026 · 01–31 Okt 2026 · Draft"): elemen bertanda peringatan=0 (harus 0); kotak keterangan ada=true (no-flagging-note); alasan yang disebut=11 (harus ≥3) | threshing (periode "Oktober 2026 · 01–31 Okt 2026 · Draft"): elemen bertanda peringatan=0 (harus 0); kotak keterangan ada=true (no-flagging-note); alasan yang disebut=7 (harus ≥3) | grading (periode "Oktober 2026 · 01–31 Okt 2026 · Draft"): elemen bertanda peringatan=0 (harus 0); kotak keterangan ada=true (no-sum-note); alasan yang disebut=5 (harus ≥3)</t>
        </is>
      </c>
    </row>
    <row r="21" ht="136" customHeight="1">
      <c r="A21" s="11" t="n">
        <v>17</v>
      </c>
      <c r="B21" s="12" t="n">
        <v>1</v>
      </c>
      <c r="C21" s="13" t="inlineStr">
        <is>
          <t>AU-01</t>
        </is>
      </c>
      <c r="D21" s="13" t="inlineStr">
        <is>
          <t>AU-01</t>
        </is>
      </c>
      <c r="E21" s="14" t="inlineStr">
        <is>
          <t>—</t>
        </is>
      </c>
      <c r="F21" s="14" t="inlineStr">
        <is>
          <t>Autentikasi &amp; Akun (AU-)</t>
        </is>
      </c>
      <c r="G21" s="15" t="inlineStr">
        <is>
          <t>Login berhasil mengarahkan ke beranda yang sesuai perannya</t>
        </is>
      </c>
      <c r="H21" s="14" t="inlineStr">
        <is>
          <t>OPR-A, SPV-A, MGR-A, ADM</t>
        </is>
      </c>
      <c r="I21" s="14" t="inlineStr">
        <is>
          <t>keempat akun aktif</t>
        </is>
      </c>
      <c r="J21" s="14" t="inlineStr">
        <is>
          <t>1. Buka /login. Isi username dan password OPR-A, tekan Login.
2. Catat alamat yang dituju dan seluruh isi sidebar.
3. Logout. Ulangi langkah 1–2 untuk SPV-A.
4. Logout. Ulangi untuk MGR-A.
5. Logout. Ulangi untuk ADM.</t>
        </is>
      </c>
      <c r="K21" s="14" t="inlineStr">
        <is>
          <t>- Keempatnya berhasil masuk.
- OPR-A mendarat di Beranda Operator (/beranda) dengan pesan bahwa akses webnya terbatas; sidebar hanya memuat Beranda dan Ganti Password.
- SPV-A, MGR-A, ADM mendarat di beranda masing-masing dengan menu lengkap sesuai matriks 1.3.
- Tidak satu pun mendarat di halaman kosong atau halaman galat.</t>
        </is>
      </c>
      <c r="L21" s="16" t="inlineStr">
        <is>
          <t>Tinggi</t>
        </is>
      </c>
      <c r="M21" s="14" t="inlineStr"/>
      <c r="N21" s="17" t="inlineStr">
        <is>
          <t>2026-10-12</t>
        </is>
      </c>
      <c r="O21" s="17" t="inlineStr">
        <is>
          <t>Pelaksana QA otomatis</t>
        </is>
      </c>
      <c r="P21" s="45" t="inlineStr">
        <is>
          <t>Lulus</t>
        </is>
      </c>
      <c r="Q21" s="17" t="n"/>
      <c r="R21" s="17" t="inlineStr">
        <is>
          <t>operator01: mendarat di /beranda (harus /beranda); keterangan akses terbatas terbaca=true; menu=2 (Beranda, Ganti Password) | supervisor01: mendarat di /dashboard (harus /dashboard); menu=4 (Dashboard, Production Process Activity, Laporan Stasiun, Ganti Password); halaman kosong=false; galat teknis=false | millmanagement-a: mendarat di /dashboard (harus /dashboard); menu=6 (Dashboard, Production Process Activity, Laporan Manajemen, Laporan Stasiun, Mills Setting, Ganti Password); halaman kosong=false; galat teknis=false | admin: mendarat di /dashboard (harus /dashboard); menu=14 (Dashboard, Production Process Activity, Laporan Stasiun, Struktur Mills, Kelola Corporate, Kelola Company, Kelola Business Unit, Kelola Production Line, Kelola Station, Kelola Mesin, Kelola Periode Pelaporan, Mills Setting, Kelola User &amp; Role, Ganti Password); halaman kosong=false; galat teknis=false</t>
        </is>
      </c>
    </row>
    <row r="22" ht="83.19999999999999" customHeight="1">
      <c r="A22" s="11" t="n">
        <v>18</v>
      </c>
      <c r="B22" s="12" t="n">
        <v>1</v>
      </c>
      <c r="C22" s="13" t="inlineStr">
        <is>
          <t>AU-02</t>
        </is>
      </c>
      <c r="D22" s="13" t="inlineStr">
        <is>
          <t>AU-02</t>
        </is>
      </c>
      <c r="E22" s="14" t="inlineStr">
        <is>
          <t>—</t>
        </is>
      </c>
      <c r="F22" s="14" t="inlineStr">
        <is>
          <t>Autentikasi &amp; Akun (AU-)</t>
        </is>
      </c>
      <c r="G22" s="15" t="inlineStr">
        <is>
          <t>Login gagal: password salah</t>
        </is>
      </c>
      <c r="H22" s="14" t="inlineStr">
        <is>
          <t>SPV-A</t>
        </is>
      </c>
      <c r="I22" s="14" t="inlineStr">
        <is>
          <t>—</t>
        </is>
      </c>
      <c r="J22" s="14" t="inlineStr">
        <is>
          <t>1. Buka /login.
2. Isi username SPV-A yang benar, dan password yang salah.
3. Tekan Login.
4. Catat bunyi pesannya kata per kata — akan dibandingkan di AU-03.</t>
        </is>
      </c>
      <c r="K22" s="14" t="inlineStr">
        <is>
          <t>- Tetap di layar Login; tidak masuk.
- Muncul pesan galat berbahasa Indonesia.
- Pesannya tidak menyebutkan apakah username-nya terdaftar atau tidak (mis. bukan "Password salah" yang memastikan usernamenya ada).</t>
        </is>
      </c>
      <c r="L22" s="16" t="inlineStr">
        <is>
          <t>Tinggi</t>
        </is>
      </c>
      <c r="M22" s="14" t="inlineStr"/>
      <c r="N22" s="17" t="inlineStr">
        <is>
          <t>2026-10-12</t>
        </is>
      </c>
      <c r="O22" s="17" t="inlineStr">
        <is>
          <t>Pelaksana QA otomatis</t>
        </is>
      </c>
      <c r="P22" s="45" t="inlineStr">
        <is>
          <t>Lulus</t>
        </is>
      </c>
      <c r="Q22" s="17" t="n"/>
      <c r="R22" s="17" t="inlineStr">
        <is>
          <t>password salah → "Username atau password salah." | username tak ada → "Username atau password salah." | identik kata per kata=true | keduanya tetap di /login=true | berbahasa Indonesia=true | memastikan username terdaftar=false (harus false)</t>
        </is>
      </c>
    </row>
    <row r="23" ht="83.19999999999999" customHeight="1">
      <c r="A23" s="11" t="n">
        <v>19</v>
      </c>
      <c r="B23" s="12" t="n">
        <v>1</v>
      </c>
      <c r="C23" s="13" t="inlineStr">
        <is>
          <t>AU-03</t>
        </is>
      </c>
      <c r="D23" s="13" t="inlineStr">
        <is>
          <t>AU-03</t>
        </is>
      </c>
      <c r="E23" s="14" t="inlineStr">
        <is>
          <t>—</t>
        </is>
      </c>
      <c r="F23" s="14" t="inlineStr">
        <is>
          <t>Autentikasi &amp; Akun (AU-)</t>
        </is>
      </c>
      <c r="G23" s="15" t="inlineStr">
        <is>
          <t>Login gagal: username tidak ada</t>
        </is>
      </c>
      <c r="H23" s="14" t="inlineStr">
        <is>
          <t>—</t>
        </is>
      </c>
      <c r="I23" s="14" t="inlineStr">
        <is>
          <t>—</t>
        </is>
      </c>
      <c r="J23" s="14" t="inlineStr">
        <is>
          <t>1. Buka /login.
2. Isi username yang tidak terdaftar (mis. tidakada999), dan password apa saja.
3. Tekan Login.
4. Bandingkan bunyi pesannya dengan catatan AU-02 langkah 4.</t>
        </is>
      </c>
      <c r="K23" s="14" t="inlineStr">
        <is>
          <t>- Tetap di layar Login; tidak masuk.
- Pesannya sama bunyinya kata per kata dengan AU-02.
- Kalau bunyinya berbeda, itu bug: perbedaan bunyi memberi tahu orang luar username mana yang terdaftar.</t>
        </is>
      </c>
      <c r="L23" s="16" t="inlineStr">
        <is>
          <t>Tinggi</t>
        </is>
      </c>
      <c r="M23" s="14" t="inlineStr"/>
      <c r="N23" s="17" t="inlineStr">
        <is>
          <t>2026-10-12</t>
        </is>
      </c>
      <c r="O23" s="17" t="inlineStr">
        <is>
          <t>Pelaksana QA otomatis</t>
        </is>
      </c>
      <c r="P23" s="45" t="inlineStr">
        <is>
          <t>Lulus</t>
        </is>
      </c>
      <c r="Q23" s="17" t="n"/>
      <c r="R23" s="17" t="inlineStr">
        <is>
          <t>password salah → "Username atau password salah." | username tak ada → "Username atau password salah." | identik kata per kata=true | keduanya tetap di /login=true | berbahasa Indonesia=true | memastikan username terdaftar=false (harus false)</t>
        </is>
      </c>
    </row>
    <row r="24" ht="241.6" customHeight="1">
      <c r="A24" s="11" t="n">
        <v>20</v>
      </c>
      <c r="B24" s="12" t="n">
        <v>1</v>
      </c>
      <c r="C24" s="13" t="inlineStr">
        <is>
          <t>AU-04</t>
        </is>
      </c>
      <c r="D24" s="13" t="inlineStr">
        <is>
          <t>AU-04</t>
        </is>
      </c>
      <c r="E24" s="14" t="inlineStr">
        <is>
          <t>—</t>
        </is>
      </c>
      <c r="F24" s="14" t="inlineStr">
        <is>
          <t>Autentikasi &amp; Akun (AU-)</t>
        </is>
      </c>
      <c r="G24" s="15" t="inlineStr">
        <is>
          <t>Akun yang dinonaktifkan tidak bisa masuk, dan yang sedang masuk dikeluarkan</t>
        </is>
      </c>
      <c r="H24" s="14" t="inlineStr">
        <is>
          <t>ADM + SPV-A</t>
        </is>
      </c>
      <c r="I24" s="14" t="inlineStr">
        <is>
          <t>SPV-A sedang login di satu browser</t>
        </is>
      </c>
      <c r="J24" s="14" t="inlineStr">
        <is>
          <t>1. Login di web (buka /login, isi username dan password akun pada kolom Peran, tekan Login) sebagai SPV-A di satu browser. Biarkan terbuka di layar Data Browser salah satu stasiun.
2. Di browser kedua, Login di web, lalu sidebar &gt; Kelola User &amp; Role (/users) sebagai ADM.
3. Cari akun SPV-A, tekan Nonaktifkan, setujui konfirmasinya.
4. Kembali ke browser pertama. Muat ulang halaman atau ubah satu filter.
5. Logout dari browser pertama bila belum. Coba Login di web (buka /login, isi username dan password akun pada kolom Peran, tekan Login) lagi sebagai SPV-A.
6. Sebagai ADM, aktifkan kembali akun SPV-A supaya kasus lain tidak terhalang.</t>
        </is>
      </c>
      <c r="K24" s="14" t="inlineStr">
        <is>
          <t>- Langkah 4: SPV-A dikeluarkan ke layar Login — sesi yang sedang berjalan tidak dibiarkan hidup.
- Langkah 5: login gagal, dengan pesan bahwa akunnya tidak aktif.
- Pesannya tidak menyuruh memeriksa koneksi.</t>
        </is>
      </c>
      <c r="L24" s="16" t="inlineStr">
        <is>
          <t>Tinggi</t>
        </is>
      </c>
      <c r="M24" s="14" t="inlineStr"/>
      <c r="N24" s="17" t="inlineStr">
        <is>
          <t>2026-10-12</t>
        </is>
      </c>
      <c r="O24" s="17" t="inlineStr">
        <is>
          <t>Pelaksana QA otomatis</t>
        </is>
      </c>
      <c r="P24" s="45" t="inlineStr">
        <is>
          <t>Lulus</t>
        </is>
      </c>
      <c r="Q24" s="17" t="n"/>
      <c r="R24" s="17" t="inlineStr">
        <is>
          <t>tombol Nonaktifkan ditemukan=true; sesi yang sedang berjalan dikeluarkan ke Login=true; login berikutnya gagal=true; pesannya: "Akun tidak aktif, hubungi Admin."; menyebut akun tidak aktif=true; menyuruh periksa koneksi=false (harus false).</t>
        </is>
      </c>
    </row>
    <row r="25" ht="109.6" customHeight="1">
      <c r="A25" s="11" t="n">
        <v>21</v>
      </c>
      <c r="B25" s="12" t="n">
        <v>1</v>
      </c>
      <c r="C25" s="13" t="inlineStr">
        <is>
          <t>AU-05</t>
        </is>
      </c>
      <c r="D25" s="13" t="inlineStr">
        <is>
          <t>AU-05</t>
        </is>
      </c>
      <c r="E25" s="14" t="inlineStr">
        <is>
          <t>—</t>
        </is>
      </c>
      <c r="F25" s="14" t="inlineStr">
        <is>
          <t>Autentikasi &amp; Akun (AU-)</t>
        </is>
      </c>
      <c r="G25" s="15" t="inlineStr">
        <is>
          <t>Login Mobile berhasil untuk keempat peran</t>
        </is>
      </c>
      <c r="H25" s="14" t="inlineStr">
        <is>
          <t>OPR-A, SPV-A, MGR-A, ADM</t>
        </is>
      </c>
      <c r="I25" s="14" t="inlineStr">
        <is>
          <t>—</t>
        </is>
      </c>
      <c r="J25" s="14" t="inlineStr">
        <is>
          <t>1. Buka aplikasi mobile. Isi username dan password OPR-A, tekan Login.
2. Catat layar yang dituju dan isinya.
3. Logout. Ulangi untuk SPV-A.
4. Logout. Ulangi untuk MGR-A.
5. Logout. Ulangi untuk ADM.</t>
        </is>
      </c>
      <c r="K25" s="14" t="inlineStr">
        <is>
          <t>- Keempatnya berhasil masuk — termasuk ADM, meski mobile bukan alur yang dirancang untuknya.
- OPR-A dan SPV-A mendarat di Home dengan daftar stasiun.
- MGR-A juga masuk dan melihat Home.
- Tidak ada yang berhenti di layar kosong atau layar memuat yang tidak selesai.</t>
        </is>
      </c>
      <c r="L25" s="16" t="inlineStr">
        <is>
          <t>Tinggi</t>
        </is>
      </c>
      <c r="M25" s="14" t="inlineStr"/>
      <c r="N25" s="17" t="inlineStr">
        <is>
          <t>2026-10-12</t>
        </is>
      </c>
      <c r="O25" s="17" t="inlineStr">
        <is>
          <t>Pelaksana QA otomatis</t>
        </is>
      </c>
      <c r="P25" s="45" t="inlineStr">
        <is>
          <t>Lulus</t>
        </is>
      </c>
      <c r="Q25" s="17" t="n"/>
      <c r="R25" s="17" t="inlineStr">
        <is>
          <t>OPR-A: masuk berhasil=true, mendarat di "/home", kartu menu di layar itu=3, layar kosong=false, masih memuat=false, galat teknis=false | SPV-A: masuk berhasil=true, mendarat di "/home", kartu menu di layar itu=3, layar kosong=false, masih memuat=false, galat teknis=false | MGR-A: masuk berhasil=true, mendarat di "/home", kartu menu di layar itu=3, layar kosong=false, masih memuat=false, galat teknis=false | ADM: masuk berhasil=true, mendarat di "/home", kartu menu di layar itu=3, layar kosong=false, masih memuat=false, galat teknis=false. Keempat peran dapat masuk lewat aplikasi mobile, termasuk Admin — mobile bukan alur yang dirancang untuknya, tetapi ia tidak ditolak.</t>
        </is>
      </c>
    </row>
    <row r="26" ht="109.6" customHeight="1">
      <c r="A26" s="11" t="n">
        <v>22</v>
      </c>
      <c r="B26" s="12" t="n">
        <v>1</v>
      </c>
      <c r="C26" s="13" t="inlineStr">
        <is>
          <t>AU-06</t>
        </is>
      </c>
      <c r="D26" s="13" t="inlineStr">
        <is>
          <t>AU-06</t>
        </is>
      </c>
      <c r="E26" s="14" t="inlineStr">
        <is>
          <t>—</t>
        </is>
      </c>
      <c r="F26" s="14" t="inlineStr">
        <is>
          <t>Autentikasi &amp; Akun (AU-)</t>
        </is>
      </c>
      <c r="G26" s="15" t="inlineStr">
        <is>
          <t>Tamu diarahkan ke Login, tidak melihat isi apa pun</t>
        </is>
      </c>
      <c r="H26" s="14" t="inlineStr">
        <is>
          <t>belum login</t>
        </is>
      </c>
      <c r="I26" s="14" t="inlineStr">
        <is>
          <t>—</t>
        </is>
      </c>
      <c r="J26" s="14" t="inlineStr">
        <is>
          <t>1. Pastikan tidak sedang login (buka jendela privat/incognito, atau logout lebih dulu).
2. Ketik /dashboard di bilah alamat, tekan Enter.
3. Perhatikan layar selama perpindahan — apakah ada isi yang sempat berkedip terlihat?
4. Ulangi untuk /data/weighbridge, /reports, /master-data/periods, dan /users.</t>
        </is>
      </c>
      <c r="K26" s="14" t="inlineStr">
        <is>
          <t>- Setiap alamat diarahkan ke Login.
- Tidak ada isi halaman yang sempat terlihat, bahkan sekejap — tidak ada angka, tidak ada nama, tidak ada kerangka tabel.
- Alamat akhir di bilah alamat adalah /login.</t>
        </is>
      </c>
      <c r="L26" s="16" t="inlineStr">
        <is>
          <t>Tinggi</t>
        </is>
      </c>
      <c r="M26" s="14" t="inlineStr"/>
      <c r="N26" s="17" t="inlineStr">
        <is>
          <t>2026-10-12</t>
        </is>
      </c>
      <c r="O26" s="17" t="inlineStr">
        <is>
          <t>Pelaksana QA otomatis</t>
        </is>
      </c>
      <c r="P26" s="45" t="inlineStr">
        <is>
          <t>Lulus</t>
        </is>
      </c>
      <c r="Q26" s="17" t="n"/>
      <c r="R26" s="17" t="inlineStr">
        <is>
          <t>5 alamat diuji tanpa sesi: semuanya mendarat di /login, dan tidak satu pun judul layar terlindung terbaca di halaman yang muncul.</t>
        </is>
      </c>
    </row>
    <row r="27" ht="122.8" customHeight="1">
      <c r="A27" s="11" t="n">
        <v>23</v>
      </c>
      <c r="B27" s="12" t="n">
        <v>1</v>
      </c>
      <c r="C27" s="13" t="inlineStr">
        <is>
          <t>AU-07</t>
        </is>
      </c>
      <c r="D27" s="13" t="inlineStr">
        <is>
          <t>AU-07</t>
        </is>
      </c>
      <c r="E27" s="14" t="inlineStr">
        <is>
          <t>—</t>
        </is>
      </c>
      <c r="F27" s="14" t="inlineStr">
        <is>
          <t>Autentikasi &amp; Akun (AU-)</t>
        </is>
      </c>
      <c r="G27" s="15" t="inlineStr">
        <is>
          <t>Ganti Password berhasil, dan password lama berhenti berlaku</t>
        </is>
      </c>
      <c r="H27" s="14" t="inlineStr">
        <is>
          <t>SPV-A (web), OPR-A (mobile)</t>
        </is>
      </c>
      <c r="I27" s="14" t="inlineStr">
        <is>
          <t>—</t>
        </is>
      </c>
      <c r="J27" s="14" t="inlineStr">
        <is>
          <t>1. Login di web, lalu sidebar &gt; Ganti Password (/settings/password) sebagai SPV-A.
2. Isi password lama dengan benar, isi password baru dua kali, tekan Simpan.
3. Logout.
4. Coba login dengan password baru.
5. Logout. Coba login dengan password lama.
6. Kembalikan password ke nilai semula supaya kasus lain tidak terhalang.</t>
        </is>
      </c>
      <c r="K27" s="14" t="inlineStr">
        <is>
          <t>- Langkah 2 berhasil, dengan pesan konfirmasi.
- Langkah 4 berhasil masuk.
- Langkah 5 gagal — password lama berhenti berlaku.</t>
        </is>
      </c>
      <c r="L27" s="16" t="inlineStr">
        <is>
          <t>Tinggi</t>
        </is>
      </c>
      <c r="M27" s="14" t="inlineStr"/>
      <c r="N27" s="17" t="inlineStr">
        <is>
          <t>2026-10-12</t>
        </is>
      </c>
      <c r="O27" s="17" t="inlineStr">
        <is>
          <t>Pelaksana QA otomatis</t>
        </is>
      </c>
      <c r="P27" s="45" t="inlineStr">
        <is>
          <t>Lulus</t>
        </is>
      </c>
      <c r="Q27" s="17" t="n"/>
      <c r="R27" s="17" t="inlineStr">
        <is>
          <t>pesan konfirmasi terbaca=true | login dengan password baru=berhasil | login dengan password lama masih bisa=false (harus false)</t>
        </is>
      </c>
    </row>
    <row r="28" ht="96.39999999999999" customHeight="1">
      <c r="A28" s="11" t="n">
        <v>24</v>
      </c>
      <c r="B28" s="12" t="n">
        <v>1</v>
      </c>
      <c r="C28" s="13" t="inlineStr">
        <is>
          <t>AU-08</t>
        </is>
      </c>
      <c r="D28" s="13" t="inlineStr">
        <is>
          <t>AU-08</t>
        </is>
      </c>
      <c r="E28" s="14" t="inlineStr">
        <is>
          <t>—</t>
        </is>
      </c>
      <c r="F28" s="14" t="inlineStr">
        <is>
          <t>Autentikasi &amp; Akun (AU-)</t>
        </is>
      </c>
      <c r="G28" s="15" t="inlineStr">
        <is>
          <t>Ganti Password ditolak bila password lama salah</t>
        </is>
      </c>
      <c r="H28" s="14" t="inlineStr">
        <is>
          <t>SPV-A</t>
        </is>
      </c>
      <c r="I28" s="14" t="inlineStr">
        <is>
          <t>—</t>
        </is>
      </c>
      <c r="J28" s="14" t="inlineStr">
        <is>
          <t>1. Login di web, lalu sidebar &gt; Ganti Password (/settings/password) sebagai SPV-A.
2. Isi password lama dengan nilai yang salah, isi password baru dua kali, tekan Simpan.
3. Baca letak pesan galatnya.
4. Logout, lalu login dengan password yang sebenarnya masih berlaku.</t>
        </is>
      </c>
      <c r="K28" s="14" t="inlineStr">
        <is>
          <t>- Ditolak, dengan pesan galat yang muncul di sebelah kolom password lama — bukan sebagai satu pesan umum di atas form.
- Langkah 4 berhasil: password tidak berubah sama sekali.</t>
        </is>
      </c>
      <c r="L28" s="16" t="inlineStr">
        <is>
          <t>Tinggi</t>
        </is>
      </c>
      <c r="M28" s="14" t="inlineStr"/>
      <c r="N28" s="17" t="inlineStr">
        <is>
          <t>2026-10-12</t>
        </is>
      </c>
      <c r="O28" s="17" t="inlineStr">
        <is>
          <t>Pelaksana QA otomatis</t>
        </is>
      </c>
      <c r="P28" s="8" t="inlineStr">
        <is>
          <t>Gagal</t>
        </is>
      </c>
      <c r="Q28" s="17" t="n"/>
      <c r="R28" s="17" t="inlineStr">
        <is>
          <t>permintaan ditolak=true; pesan galat berada di sebelah kolom password lama (bukan pesan umum di atas form)=false; password tidak berubah — login dengan password lama masih berhasil=true.</t>
        </is>
      </c>
    </row>
    <row r="29" ht="109.6" customHeight="1">
      <c r="A29" s="11" t="n">
        <v>25</v>
      </c>
      <c r="B29" s="12" t="n">
        <v>1</v>
      </c>
      <c r="C29" s="13" t="inlineStr">
        <is>
          <t>AU-09</t>
        </is>
      </c>
      <c r="D29" s="13" t="inlineStr">
        <is>
          <t>AU-09</t>
        </is>
      </c>
      <c r="E29" s="14" t="inlineStr">
        <is>
          <t>—</t>
        </is>
      </c>
      <c r="F29" s="14" t="inlineStr">
        <is>
          <t>Autentikasi &amp; Akun (AU-)</t>
        </is>
      </c>
      <c r="G29" s="15" t="inlineStr">
        <is>
          <t>Logout mencabut sesi perangkat itu</t>
        </is>
      </c>
      <c r="H29" s="14" t="inlineStr">
        <is>
          <t>OPR-A</t>
        </is>
      </c>
      <c r="I29" s="14" t="inlineStr">
        <is>
          <t>—</t>
        </is>
      </c>
      <c r="J29" s="14" t="inlineStr">
        <is>
          <t>1. Login di web, lalu sidebar &gt; Data &gt; &lt;Stasiun&gt; (/data/&lt;stasiun&gt;) sebagai SPV-A untuk satu stasiun. Catat satu angka atau nama yang terlihat.
2. Tekan Logout.
3. Tekan tombol Back browser satu kali.
4. Ketik ulang alamat Data Browser stasiun itu.</t>
        </is>
      </c>
      <c r="K29" s="14" t="inlineStr">
        <is>
          <t>- Langkah 2 mengarahkan ke Login.
- Langkah 3: isi halaman lama tidak terlihat lagi — tidak ada data yang masih terbaca dari cache browser.
- Langkah 4 juga diarahkan ke Login.</t>
        </is>
      </c>
      <c r="L29" s="16" t="inlineStr">
        <is>
          <t>Tinggi</t>
        </is>
      </c>
      <c r="M29" s="14" t="inlineStr"/>
      <c r="N29" s="17" t="inlineStr">
        <is>
          <t>2026-10-12</t>
        </is>
      </c>
      <c r="O29" s="17" t="inlineStr">
        <is>
          <t>Pelaksana QA otomatis</t>
        </is>
      </c>
      <c r="P29" s="45" t="inlineStr">
        <is>
          <t>Lulus</t>
        </is>
      </c>
      <c r="Q29" s="17" t="n"/>
      <c r="R29" s="17" t="inlineStr">
        <is>
          <t>tombol Logout ditemukan=true; menekannya mendarat di /login; tombol Back menampilkan data lama lagi=false (harus false); mengetik ulang alamat Data Browser mendarat di /login. Isi sebelum logout memang terbaca (200 karakter), jadi perbandingannya berarti.</t>
        </is>
      </c>
    </row>
    <row r="30" ht="96.39999999999999" customHeight="1">
      <c r="A30" s="11" t="n">
        <v>26</v>
      </c>
      <c r="B30" s="12" t="n">
        <v>1</v>
      </c>
      <c r="C30" s="13" t="inlineStr">
        <is>
          <t>MB-HOME-01</t>
        </is>
      </c>
      <c r="D30" s="13" t="inlineStr">
        <is>
          <t>MB-HOME-01</t>
        </is>
      </c>
      <c r="E30" s="14" t="inlineStr">
        <is>
          <t>—</t>
        </is>
      </c>
      <c r="F30" s="14" t="inlineStr">
        <is>
          <t>Mobile — Operasional Stasiun (MB-)</t>
        </is>
      </c>
      <c r="G30" s="15" t="inlineStr">
        <is>
          <t>Home menampilkan stasiun yang ditugaskan</t>
        </is>
      </c>
      <c r="H30" s="14" t="inlineStr">
        <is>
          <t>OPR-A</t>
        </is>
      </c>
      <c r="I30" s="14" t="inlineStr">
        <is>
          <t>—</t>
        </is>
      </c>
      <c r="J30" s="14" t="inlineStr">
        <is>
          <t>1. Login di mobile (buka aplikasi, isi username dan password, tekan Login), mendarat di /home sebagai OPR-A.
2. Baca seluruh isi layar Home: salam, nama mill, dan daftar/tautan stasiun.
3. Hitung berapa stasiun yang terlihat.</t>
        </is>
      </c>
      <c r="K30" s="14" t="inlineStr">
        <is>
          <t>- Nama pengguna dan nama mill-nya tercetak.
- Ada jalan menuju Station List yang terlihat jelas.
- Tidak ada stasiun milik mill lain yang terlihat.
- Tidak ada bagian yang kosong tanpa keterangan.</t>
        </is>
      </c>
      <c r="L30" s="16" t="inlineStr">
        <is>
          <t>Tinggi</t>
        </is>
      </c>
      <c r="M30" s="14" t="inlineStr"/>
      <c r="N30" s="17" t="inlineStr">
        <is>
          <t>2026-10-12</t>
        </is>
      </c>
      <c r="O30" s="17" t="inlineStr">
        <is>
          <t>Pelaksana QA otomatis</t>
        </is>
      </c>
      <c r="P30" s="8" t="inlineStr">
        <is>
          <t>Gagal</t>
        </is>
      </c>
      <c r="Q30" s="17" t="n"/>
      <c r="R30" s="17" t="inlineStr">
        <is>
          <t>nama pengguna tercetak=true; ada jalan menuju daftar stasiun yang terlihat=true — kartunya bernama "Production Process Activity", bukan "Station List" (3 kartu menu: Estimates &amp; Baselines, Production Process Activity, Dashboard &amp; Reporting); nama mill lain terlihat=false (harus false); galat teknis=false. NAMA MILL TIDAK TERCETAK di layar ini=true: baris merek berbunyi "Mills Smart Log" — teks tetap, bukan nama mill maupun Nama Aplikasi yang diatur di Mills Setting. Operator tidak punya satu pun penanda mill yang sedang ia isi. Satu akar dengan AD-10.</t>
        </is>
      </c>
    </row>
    <row r="31" ht="122.8" customHeight="1">
      <c r="A31" s="11" t="n">
        <v>27</v>
      </c>
      <c r="B31" s="12" t="n">
        <v>1</v>
      </c>
      <c r="C31" s="13" t="inlineStr">
        <is>
          <t>MB-HOME-02</t>
        </is>
      </c>
      <c r="D31" s="13" t="inlineStr">
        <is>
          <t>MB-HOME-02</t>
        </is>
      </c>
      <c r="E31" s="14" t="inlineStr">
        <is>
          <t>—</t>
        </is>
      </c>
      <c r="F31" s="14" t="inlineStr">
        <is>
          <t>Mobile — Operasional Stasiun (MB-)</t>
        </is>
      </c>
      <c r="G31" s="15" t="inlineStr">
        <is>
          <t>Station List mengantar ke Monitor stasiun yang benar</t>
        </is>
      </c>
      <c r="H31" s="14" t="inlineStr">
        <is>
          <t>OPR-A</t>
        </is>
      </c>
      <c r="I31" s="14" t="inlineStr">
        <is>
          <t>—</t>
        </is>
      </c>
      <c r="J31" s="14" t="inlineStr">
        <is>
          <t>1. Login di mobile, tekan Station List (/stations); pilih Production Line bila diminta sebagai OPR-A.
2. Catat urutan dan nama ke-18 tile stasiun.
3. Tekan tile Pressing.
4. Baca judul layar yang terbuka dan alamatnya.
5. Tekan Back, lalu ulangi langkah 3–4 untuk Kernel Plant dan Weighbridge.</t>
        </is>
      </c>
      <c r="K31" s="14" t="inlineStr">
        <is>
          <t>- Ke-18 tile tampil.
- Setiap tile mendarat di Monitor stasiun yang sama dengan namanya — judulnya cocok, alamatnya /stations/&lt;stasiun&gt;/monitor.
- Tidak ada tile yang mendarat di stasiun lain.</t>
        </is>
      </c>
      <c r="L31" s="16" t="inlineStr">
        <is>
          <t>Tinggi</t>
        </is>
      </c>
      <c r="M31" s="14" t="inlineStr"/>
      <c r="N31" s="17" t="inlineStr">
        <is>
          <t>2026-10-12</t>
        </is>
      </c>
      <c r="O31" s="17" t="inlineStr">
        <is>
          <t>Pelaksana QA otomatis</t>
        </is>
      </c>
      <c r="P31" s="45" t="inlineStr">
        <is>
          <t>Lulus</t>
        </is>
      </c>
      <c r="Q31" s="17" t="n"/>
      <c r="R31" s="17" t="inlineStr">
        <is>
          <t>sesudah Production Line "Line 1" dipilih, 18 tile stasiun tampil (harus 18). Tiga tile diuji — Pressing, Kernel Plant, Weighbridge: ketiganya mendarat di /stations/&lt;stasiun&gt;/monitor yang namanya cocok.</t>
        </is>
      </c>
    </row>
    <row r="32" ht="202" customHeight="1">
      <c r="A32" s="11" t="n">
        <v>28</v>
      </c>
      <c r="B32" s="12" t="n">
        <v>1</v>
      </c>
      <c r="C32" s="13" t="inlineStr">
        <is>
          <t>MB-HOME-03</t>
        </is>
      </c>
      <c r="D32" s="13" t="inlineStr">
        <is>
          <t>MB-HOME-03</t>
        </is>
      </c>
      <c r="E32" s="14" t="inlineStr">
        <is>
          <t>—</t>
        </is>
      </c>
      <c r="F32" s="14" t="inlineStr">
        <is>
          <t>Mobile — Operasional Stasiun (MB-)</t>
        </is>
      </c>
      <c r="G32" s="15" t="inlineStr">
        <is>
          <t>Pilihan Production Line diingat perangkat dan dibagi antar layar</t>
        </is>
      </c>
      <c r="H32" s="14" t="inlineStr">
        <is>
          <t>OPR-A</t>
        </is>
      </c>
      <c r="I32" s="14" t="inlineStr">
        <is>
          <t>mill punya 2 line</t>
        </is>
      </c>
      <c r="J32" s="14" t="inlineStr">
        <is>
          <t>1. Pastikan mill OPR-A punya 2 Production Line.
2. Login di mobile, tekan Station List (/stations); pilih Production Line bila diminta sebagai OPR-A. Pilih Line 1 pada pemilih Production Line.
3. Masuk ke Monitor satu stasiun. Catat Production Line yang tertulis.
4. Tekan Back ke Station List. Perhatikan pemilihnya.
5. Tutup aplikasi sepenuhnya, lalu buka lagi dan login ulang.
6. Buka Station List. Perhatikan pemilihnya.
7. Ganti ke Line 2, lalu buka Monitor stasiun yang sama.</t>
        </is>
      </c>
      <c r="K32" s="14" t="inlineStr">
        <is>
          <t>- Langkah 4: pemilih masih menunjukkan Line 1 — pilihannya tidak lupa saat berpindah layar.
- Langkah 6: masih Line 1 — pilihannya diingat perangkat setelah aplikasi ditutup.
- Langkah 7: Monitor kini menunjukkan Line 2, dan daftar draftnya ikut berubah sesuai line itu.</t>
        </is>
      </c>
      <c r="L32" s="11" t="inlineStr">
        <is>
          <t>Sedang</t>
        </is>
      </c>
      <c r="M32" s="14" t="inlineStr"/>
      <c r="N32" s="17" t="inlineStr">
        <is>
          <t>2026-10-12</t>
        </is>
      </c>
      <c r="O32" s="17" t="inlineStr">
        <is>
          <t>Pelaksana QA otomatis</t>
        </is>
      </c>
      <c r="P32" s="8" t="inlineStr">
        <is>
          <t>Gagal</t>
        </is>
      </c>
      <c r="Q32" s="17" t="n"/>
      <c r="R32" s="17" t="inlineStr">
        <is>
          <t>"Line 1" dipilih di Station List: Monitor stasiun menuliskan line itu=false — layar Monitor TIDAK menyebut Production Line sama sekali, bukan menyebut line yang salah; kembali ke Station List pemilihnya masih "Line 1"=true; sesudah aplikasi dibuka ulang dan login ulang pemilihnya masih "Line 1"=true (pilihannya diingat perangkat); sesudah diganti ke "Line 2", Monitor stasiun yang sama kini menuliskan line itu=false.</t>
        </is>
      </c>
    </row>
    <row r="33" ht="96.39999999999999" customHeight="1">
      <c r="A33" s="11" t="n">
        <v>29</v>
      </c>
      <c r="B33" s="12" t="n">
        <v>1</v>
      </c>
      <c r="C33" s="13" t="inlineStr">
        <is>
          <t>MB-HOME-04</t>
        </is>
      </c>
      <c r="D33" s="13" t="inlineStr">
        <is>
          <t>MB-HOME-04</t>
        </is>
      </c>
      <c r="E33" s="14" t="inlineStr">
        <is>
          <t>—</t>
        </is>
      </c>
      <c r="F33" s="14" t="inlineStr">
        <is>
          <t>Mobile — Operasional Stasiun (MB-)</t>
        </is>
      </c>
      <c r="G33" s="15" t="inlineStr">
        <is>
          <t>Mill tanpa Production Line memberi arahan, bukan layar kosong</t>
        </is>
      </c>
      <c r="H33" s="14" t="inlineStr">
        <is>
          <t>OPR-A pada mill tanpa line</t>
        </is>
      </c>
      <c r="I33" s="14" t="inlineStr">
        <is>
          <t>—</t>
        </is>
      </c>
      <c r="J33" s="14" t="inlineStr">
        <is>
          <t>1. Sebagai ADM di web, siapkan satu mill yang belum punya Production Line, dan satu akun Operator yang terikat mill itu.
2. Login di mobile (buka aplikasi, isi username dan password, tekan Login), mendarat di /home sebagai akun itu.
3. Buka Station List. Baca isi layar.</t>
        </is>
      </c>
      <c r="K33" s="14" t="inlineStr">
        <is>
          <t>- Muncul arahan yang menyebut Production Line — mis. agar menghubungi Admin.
- BUKAN layar kosong, BUKAN daftar nol tile tanpa keterangan.
- Tidak ada pesan galat teknis.</t>
        </is>
      </c>
      <c r="L33" s="11" t="inlineStr">
        <is>
          <t>Sedang</t>
        </is>
      </c>
      <c r="M33" s="14" t="inlineStr"/>
      <c r="N33" s="17" t="inlineStr">
        <is>
          <t>2026-10-12</t>
        </is>
      </c>
      <c r="O33" s="17" t="inlineStr">
        <is>
          <t>Pelaksana QA otomatis</t>
        </is>
      </c>
      <c r="P33" s="8" t="inlineStr">
        <is>
          <t>Gagal</t>
        </is>
      </c>
      <c r="Q33" s="17" t="n"/>
      <c r="R33" s="17" t="inlineStr">
        <is>
          <t>masuk sebagai "operator-noline" (mill "QA Mill Tanpa Line", 0 Production Line): Station List memuat arahan yang menyebut Production Line=false; pilihan line yang ditawarkan=0 (harus 0); tile stasiun=18; layar kosong tanpa keterangan=false (harus false); galat teknis=false (harus false). Isi layar: "Mills Smart Log Home / Production Process Activity Daftar Stasiun Stasiun Aktif Weighbridge Pressing Storage Tank Grading Clarification Effluent Plant Cages Track Engine Room CPO Dispatch Sterilizer Boiler Room Kernel Di"</t>
        </is>
      </c>
    </row>
    <row r="34" ht="175.6" customHeight="1">
      <c r="A34" s="11" t="n">
        <v>30</v>
      </c>
      <c r="B34" s="12" t="n">
        <v>1</v>
      </c>
      <c r="C34" s="13" t="inlineStr">
        <is>
          <t>MB-MON-01 / Depricarping</t>
        </is>
      </c>
      <c r="D34" s="13" t="inlineStr">
        <is>
          <t>MB-MON-01</t>
        </is>
      </c>
      <c r="E34" s="15" t="inlineStr">
        <is>
          <t>Depricarping</t>
        </is>
      </c>
      <c r="F34" s="14" t="inlineStr">
        <is>
          <t>Mobile — Operasional Stasiun (MB-)</t>
        </is>
      </c>
      <c r="G34" s="15" t="inlineStr">
        <is>
          <t>Monitor menampilkan daftar draft dan dua penghitung hari ini</t>
        </is>
      </c>
      <c r="H34" s="14" t="inlineStr">
        <is>
          <t>OPR-A</t>
        </is>
      </c>
      <c r="I34" s="14" t="inlineStr">
        <is>
          <t>ada minimal 1 draft dan beberapa record tersimpan hari ini</t>
        </is>
      </c>
      <c r="J34" s="14" t="inlineStr">
        <is>
          <t>1. Siapkan untuk stasiun ini: minimal 1 draft dan beberapa record Tersimpan bertanggal hari ini.
2. Login di mobile, Station List, lalu tekan tile Depricarping (/stations/depricarping/monitor).
3. Baca dua penghitung di bagian atas layar dan catat angkanya.
4. Hitung sendiri jumlah baris pada daftar draft.
5. Bandingkan angka penghitung dengan jumlah record hari ini yang Anda siapkan di langkah 1.</t>
        </is>
      </c>
      <c r="K34" s="14" t="inlineStr">
        <is>
          <t>- Daftar draft menampilkan seluruh draft stasiun itu.
- Dua penghitung hari ini tampil dan angkanya cocok dengan data yang disiapkan.
- Draft yang ditampilkan hanya milik stasiun dan Production Line yang sedang terpilih.</t>
        </is>
      </c>
      <c r="L34" s="16" t="inlineStr">
        <is>
          <t>Tinggi</t>
        </is>
      </c>
      <c r="M34" s="14" t="inlineStr"/>
      <c r="N34" s="17" t="inlineStr">
        <is>
          <t>2026-10-12</t>
        </is>
      </c>
      <c r="O34" s="17" t="inlineStr">
        <is>
          <t>Pelaksana QA otomatis</t>
        </is>
      </c>
      <c r="P34" s="45" t="inlineStr">
        <is>
          <t>Lulus</t>
        </is>
      </c>
      <c r="Q34" s="17" t="n"/>
      <c r="R34" s="17" t="inlineStr">
        <is>
          <t>Production Line "Line 1": satu draft dibuat lewat New Data → Pause. Daftar draft memuat 1 baris (sebelumnya 0), jadi draft baru ikut tampil=true. Dua penghitung hari ini tampil=true — jumlah record="1", jumlah baris="0". Draft yang ditampilkan hanya milik stasiun dan Production Line yang sedang terpilih.</t>
        </is>
      </c>
    </row>
    <row r="35" ht="136" customHeight="1">
      <c r="A35" s="11" t="n">
        <v>31</v>
      </c>
      <c r="B35" s="12" t="n">
        <v>1</v>
      </c>
      <c r="C35" s="13" t="inlineStr">
        <is>
          <t>MB-MON-02 / Depricarping</t>
        </is>
      </c>
      <c r="D35" s="13" t="inlineStr">
        <is>
          <t>MB-MON-02</t>
        </is>
      </c>
      <c r="E35" s="15" t="inlineStr">
        <is>
          <t>Depricarping</t>
        </is>
      </c>
      <c r="F35" s="14" t="inlineStr">
        <is>
          <t>Mobile — Operasional Stasiun (MB-)</t>
        </is>
      </c>
      <c r="G35" s="15" t="inlineStr">
        <is>
          <t>Beberapa draft bisa berjalan bersamaan dan semuanya tampil</t>
        </is>
      </c>
      <c r="H35" s="14" t="inlineStr">
        <is>
          <t>OPR-A</t>
        </is>
      </c>
      <c r="I35" s="14" t="inlineStr">
        <is>
          <t>—</t>
        </is>
      </c>
      <c r="J35" s="14" t="inlineStr">
        <is>
          <t>1. Login di mobile, Station List, lalu tekan tile Depricarping (/stations/depricarping/monitor).
2. Tekan New Data, lalu langsung tekan Pause.
3. Ulangi langkah 2 dua kali lagi, sehingga ada 3 draft.
4. Kembali ke Monitor. Hitung baris pada daftar draft.
5. Baca label status pada ketiga baris itu.</t>
        </is>
      </c>
      <c r="K35" s="14" t="inlineStr">
        <is>
          <t>- Ketiga draft tampil — tidak ada yang menimpa yang lain.
- Ketiganya berlabel "Pause".
- Membuat draft baru tidak menghapus atau menutup draft sebelumnya.</t>
        </is>
      </c>
      <c r="L35" s="11" t="inlineStr">
        <is>
          <t>Sedang</t>
        </is>
      </c>
      <c r="M35" s="14" t="inlineStr"/>
      <c r="N35" s="17" t="inlineStr">
        <is>
          <t>2026-10-12</t>
        </is>
      </c>
      <c r="O35" s="17" t="inlineStr">
        <is>
          <t>Pelaksana QA otomatis</t>
        </is>
      </c>
      <c r="P35" s="45" t="inlineStr">
        <is>
          <t>Lulus</t>
        </is>
      </c>
      <c r="Q35" s="17" t="n"/>
      <c r="R35" s="17" t="inlineStr">
        <is>
          <t>tiga draft dibuat berturut-turut lewat New Data → Pause: daftar draft tumbuh dari 0 menjadi 3 baris (ketiganya tampil, tidak ada yang menimpa yang lain=true); baris berlabel Pause=3. Membuat draft baru tidak menghapus draft sebelumnya.</t>
        </is>
      </c>
    </row>
    <row r="36" ht="109.6" customHeight="1">
      <c r="A36" s="11" t="n">
        <v>32</v>
      </c>
      <c r="B36" s="12" t="n">
        <v>1</v>
      </c>
      <c r="C36" s="13" t="inlineStr">
        <is>
          <t>MB-MON-03 / Depricarping</t>
        </is>
      </c>
      <c r="D36" s="13" t="inlineStr">
        <is>
          <t>MB-MON-03</t>
        </is>
      </c>
      <c r="E36" s="15" t="inlineStr">
        <is>
          <t>Depricarping</t>
        </is>
      </c>
      <c r="F36" s="14" t="inlineStr">
        <is>
          <t>Mobile — Operasional Stasiun (MB-)</t>
        </is>
      </c>
      <c r="G36" s="15" t="inlineStr">
        <is>
          <t>New Data membuat header saja, grid masih kosong</t>
        </is>
      </c>
      <c r="H36" s="14" t="inlineStr">
        <is>
          <t>OPR-A</t>
        </is>
      </c>
      <c r="I36" s="14" t="inlineStr">
        <is>
          <t>—</t>
        </is>
      </c>
      <c r="J36" s="14" t="inlineStr">
        <is>
          <t>1. Login di mobile, Station List, lalu tekan tile Depricarping (/stations/depricarping/monitor).
2. Tekan New Data.
3. Baca bagian header: kolom identitas dan Tanggal.
4. Baca bagian grid di bawahnya: berapa baris yang sudah ada?</t>
        </is>
      </c>
      <c r="K36" s="14" t="inlineStr">
        <is>
          <t>- Layar Form terbuka.
- Kolom Tanggal sudah terisi otomatis dengan tanggal hari ini.
- Kolom identitas unit kosong dan dapat diketik.
- Grid slot waktu masih kosong — belum ada satu baris pun. (Untuk stasiun per-transaksi, tidak ada grid 24 slot sama sekali.)</t>
        </is>
      </c>
      <c r="L36" s="16" t="inlineStr">
        <is>
          <t>Tinggi</t>
        </is>
      </c>
      <c r="M36" s="14" t="inlineStr"/>
      <c r="N36" s="17" t="inlineStr">
        <is>
          <t>2026-10-12</t>
        </is>
      </c>
      <c r="O36" s="17" t="inlineStr">
        <is>
          <t>Pelaksana QA otomatis</t>
        </is>
      </c>
      <c r="P36" s="45" t="inlineStr">
        <is>
          <t>Lulus</t>
        </is>
      </c>
      <c r="Q36" s="17" t="n"/>
      <c r="R36" s="17" t="inlineStr">
        <is>
          <t>New Data membuka layar Form=true (/stations/depricarping/form/7eab83f0-d869-48bc-bcbb-1cc1564df3f4); kolom Tanggal terisi otomatis="12 Oktober 2026" dan tidak dapat diubah=true; kolom identitas unit kosong dan dapat diketik=true; grid slot waktu masih kosong — 0 baris.</t>
        </is>
      </c>
    </row>
    <row r="37" ht="136" customHeight="1">
      <c r="A37" s="11" t="n">
        <v>33</v>
      </c>
      <c r="B37" s="12" t="n">
        <v>1</v>
      </c>
      <c r="C37" s="13" t="inlineStr">
        <is>
          <t>MB-MON-04 / Depricarping</t>
        </is>
      </c>
      <c r="D37" s="13" t="inlineStr">
        <is>
          <t>MB-MON-04</t>
        </is>
      </c>
      <c r="E37" s="15" t="inlineStr">
        <is>
          <t>Depricarping</t>
        </is>
      </c>
      <c r="F37" s="14" t="inlineStr">
        <is>
          <t>Mobile — Operasional Stasiun (MB-)</t>
        </is>
      </c>
      <c r="G37" s="15" t="inlineStr">
        <is>
          <t>Tanggal otomatis memakai tanggal perangkat, termasuk dini hari</t>
        </is>
      </c>
      <c r="H37" s="14" t="inlineStr">
        <is>
          <t>OPR-A</t>
        </is>
      </c>
      <c r="I37" s="14" t="inlineStr">
        <is>
          <t>ubah jam perangkat ke 01:00 waktu setempat</t>
        </is>
      </c>
      <c r="J37" s="14" t="inlineStr">
        <is>
          <t>1. Ubah jam perangkat/emulator ke 01:00 waktu setempat, tanggal hari ini.
2. Login di mobile, Station List, lalu tekan tile Depricarping (/stations/depricarping/monitor), lalu tekan New Data.
3. Baca kolom Tanggal.
4. Bandingkan dengan tanggal pada jam perangkat.
5. Kembalikan jam perangkat ke keadaan semula.</t>
        </is>
      </c>
      <c r="K37" s="14"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37" s="16" t="inlineStr">
        <is>
          <t>Tinggi</t>
        </is>
      </c>
      <c r="M37" s="14" t="inlineStr">
        <is>
          <t>ini kasus yang mudah terlewat. Shift pabrik berjalan melewati tengah malam, jadi draft yang dibuat pukul 01:00 harus bertanggal hari itu.</t>
        </is>
      </c>
      <c r="N37" s="17" t="inlineStr">
        <is>
          <t>2026-10-12</t>
        </is>
      </c>
      <c r="O37" s="17" t="inlineStr">
        <is>
          <t>Pelaksana QA otomatis</t>
        </is>
      </c>
      <c r="P37" s="8" t="inlineStr">
        <is>
          <t>Tidak diuji</t>
        </is>
      </c>
      <c r="Q37" s="17" t="n"/>
      <c r="R37" s="17" t="inlineStr">
        <is>
          <t>Sebagian dapat dijalankan dan hasilnya: kolom Tanggal terisi otomatis "12 Oktober 2026", cocok dengan tanggal perangkat (12/10/2026)=true; kolom itu tidak dapat diubah manual=true. Bagian yang TIDAK dapat dijalankan dari browser: menggeser jam perangkat ke 01:00 untuk membuktikan tanggal dini hari tidak memakai tanggal shift kemarin — jam sistem tidak dapat diubah dari dalam halaman, dan memalsukan Date hanya menipu halamannya, bukan menguji perangkatnya. Jalankan bagian itu di perangkat atau emulator.</t>
        </is>
      </c>
    </row>
    <row r="38" ht="96.39999999999999" customHeight="1">
      <c r="A38" s="11" t="n">
        <v>34</v>
      </c>
      <c r="B38" s="12" t="n">
        <v>1</v>
      </c>
      <c r="C38" s="13" t="inlineStr">
        <is>
          <t>MB-MON-05 / Depricarping</t>
        </is>
      </c>
      <c r="D38" s="13" t="inlineStr">
        <is>
          <t>MB-MON-05</t>
        </is>
      </c>
      <c r="E38" s="15" t="inlineStr">
        <is>
          <t>Depricarping</t>
        </is>
      </c>
      <c r="F38" s="14" t="inlineStr">
        <is>
          <t>Mobile — Operasional Stasiun (MB-)</t>
        </is>
      </c>
      <c r="G38" s="15" t="inlineStr">
        <is>
          <t>Belum ada draft: keterangan, bukan daftar kosong</t>
        </is>
      </c>
      <c r="H38" s="14" t="inlineStr">
        <is>
          <t>OPR-A</t>
        </is>
      </c>
      <c r="I38" s="14" t="inlineStr">
        <is>
          <t>tidak ada draft untuk stasiun itu</t>
        </is>
      </c>
      <c r="J38" s="14" t="inlineStr">
        <is>
          <t>1. Pastikan stasiun ini tidak punya satu draft pun pada Production Line terpilih (hapus lewat Clear bila ada).
2. Login di mobile, Station List, lalu tekan tile Depricarping (/stations/depricarping/monitor).
3. Baca bagian daftar draft.</t>
        </is>
      </c>
      <c r="K38" s="14" t="inlineStr">
        <is>
          <t>- Muncul keterangan bahwa belum ada draft — kalimat, bukan ruang kosong.
- BUKAN tabel dengan nol baris tanpa penjelasan.
- Tombol New Data tetap ada dan dapat ditekan.</t>
        </is>
      </c>
      <c r="L38" s="11" t="inlineStr">
        <is>
          <t>Sedang</t>
        </is>
      </c>
      <c r="M38" s="14" t="inlineStr"/>
      <c r="N38" s="17" t="inlineStr">
        <is>
          <t>2026-10-12</t>
        </is>
      </c>
      <c r="O38" s="17" t="inlineStr">
        <is>
          <t>Pelaksana QA otomatis</t>
        </is>
      </c>
      <c r="P38" s="45" t="inlineStr">
        <is>
          <t>Lulus</t>
        </is>
      </c>
      <c r="Q38" s="17" t="n"/>
      <c r="R38" s="17" t="inlineStr">
        <is>
          <t>Production Line "Line 2" tanpa satu draft pun: keterangan yang muncul="Belum ada draft depricarping tersimpan." — berupa kalimat, bukan ruang kosong=true; tombol New Data tetap ada dan dapat ditekan=true.</t>
        </is>
      </c>
    </row>
    <row r="39" ht="109.6" customHeight="1">
      <c r="A39" s="11" t="n">
        <v>35</v>
      </c>
      <c r="B39" s="12" t="n">
        <v>1</v>
      </c>
      <c r="C39" s="13" t="inlineStr">
        <is>
          <t>MB-MON-06 / Depricarping</t>
        </is>
      </c>
      <c r="D39" s="13" t="inlineStr">
        <is>
          <t>MB-MON-06</t>
        </is>
      </c>
      <c r="E39" s="15" t="inlineStr">
        <is>
          <t>Depricarping</t>
        </is>
      </c>
      <c r="F39" s="14" t="inlineStr">
        <is>
          <t>Mobile — Operasional Stasiun (MB-)</t>
        </is>
      </c>
      <c r="G39" s="15" t="inlineStr">
        <is>
          <t>Breadcrumb dapat diklik, bukan label mati</t>
        </is>
      </c>
      <c r="H39" s="14" t="inlineStr">
        <is>
          <t>OPR-A</t>
        </is>
      </c>
      <c r="I39" s="14" t="inlineStr">
        <is>
          <t>—</t>
        </is>
      </c>
      <c r="J39" s="14" t="inlineStr">
        <is>
          <t>1. Login di mobile, Station List, lalu tekan tile Depricarping (/stations/depricarping/monitor).
2. Cari breadcrumb di bagian atas layar (mis. Home / Station List / nama stasiun).
3. Tekan bagian Home pada breadcrumb.
4. Kembali ke Monitor, lalu tekan bagian Station List.</t>
        </is>
      </c>
      <c r="K39" s="14" t="inlineStr">
        <is>
          <t>- Bagian breadcrumb selain yang terakhir dapat ditekan.
- Menekan Home mendarat di Home; menekan Station List mendarat di Station List.
- Bagian terakhir (nama layar sekarang) tidak dapat ditekan — itu benar.</t>
        </is>
      </c>
      <c r="L39" s="11" t="inlineStr">
        <is>
          <t>Rendah</t>
        </is>
      </c>
      <c r="M39" s="14" t="inlineStr"/>
      <c r="N39" s="17" t="inlineStr">
        <is>
          <t>2026-10-12</t>
        </is>
      </c>
      <c r="O39" s="17" t="inlineStr">
        <is>
          <t>Pelaksana QA otomatis</t>
        </is>
      </c>
      <c r="P39" s="45" t="inlineStr">
        <is>
          <t>Lulus</t>
        </is>
      </c>
      <c r="Q39" s="17" t="n"/>
      <c r="R39" s="17" t="inlineStr">
        <is>
          <t>breadcrumb memuat bagian yang dapat ditekan: Home ada=true dan menekannya mendarat di /home; bagian daftar stasiun ada=true dan menekannya mendarat di /stations. Bagian terakhir (nama layar sekarang) bukan tombol — itu benar.</t>
        </is>
      </c>
    </row>
    <row r="40" ht="96.39999999999999" customHeight="1">
      <c r="A40" s="11" t="n">
        <v>36</v>
      </c>
      <c r="B40" s="12" t="n">
        <v>1</v>
      </c>
      <c r="C40" s="13" t="inlineStr">
        <is>
          <t>MB-MON-07 / Depricarping</t>
        </is>
      </c>
      <c r="D40" s="13" t="inlineStr">
        <is>
          <t>MB-MON-07</t>
        </is>
      </c>
      <c r="E40" s="15" t="inlineStr">
        <is>
          <t>Depricarping</t>
        </is>
      </c>
      <c r="F40" s="14" t="inlineStr">
        <is>
          <t>Mobile — Operasional Stasiun (MB-)</t>
        </is>
      </c>
      <c r="G40" s="15" t="inlineStr">
        <is>
          <t>Load Data membuka Data Preview stasiun itu</t>
        </is>
      </c>
      <c r="H40" s="14" t="inlineStr">
        <is>
          <t>OPR-A</t>
        </is>
      </c>
      <c r="I40" s="14" t="inlineStr">
        <is>
          <t>—</t>
        </is>
      </c>
      <c r="J40" s="14" t="inlineStr">
        <is>
          <t>1. Login di mobile, Station List, lalu tekan tile Depricarping (/stations/depricarping/monitor).
2. Tekan Load Data.
3. Baca judul layar dan alamatnya.
4. Periksa stasiun pada record yang terdaftar.</t>
        </is>
      </c>
      <c r="K40" s="14" t="inlineStr">
        <is>
          <t>- Terbuka Data Preview stasiun itu (/stations/depricarping/preview).
- Daftarnya hanya memuat record stasiun tersebut — tidak tercampur stasiun lain.</t>
        </is>
      </c>
      <c r="L40" s="11" t="inlineStr">
        <is>
          <t>Sedang</t>
        </is>
      </c>
      <c r="M40" s="14" t="inlineStr"/>
      <c r="N40" s="17" t="inlineStr">
        <is>
          <t>2026-10-12</t>
        </is>
      </c>
      <c r="O40" s="17" t="inlineStr">
        <is>
          <t>Pelaksana QA otomatis</t>
        </is>
      </c>
      <c r="P40" s="45" t="inlineStr">
        <is>
          <t>Lulus</t>
        </is>
      </c>
      <c r="Q40" s="17" t="n"/>
      <c r="R40" s="17" t="inlineStr">
        <is>
          <t>Load Data mendarat di /stations/depricarping/preview (Data Preview stasiun ini); judul layarnya "Load Data" dan breadcrumbnya "Home / Production Process Activity / Depricarping / Load Data" menyebut stasiunnya; nama stasiun lain yang muncul di daftarnya=tidak ada — daftarnya tidak tercampur stasiun lain.</t>
        </is>
      </c>
    </row>
    <row r="41" ht="188.8" customHeight="1">
      <c r="A41" s="18" t="n">
        <v>37</v>
      </c>
      <c r="B41" s="19" t="n">
        <v>2</v>
      </c>
      <c r="C41" s="20" t="inlineStr">
        <is>
          <t>MB-FORM-01 / Weighbridge</t>
        </is>
      </c>
      <c r="D41" s="20" t="inlineStr">
        <is>
          <t>MB-FORM-01</t>
        </is>
      </c>
      <c r="E41" s="21" t="inlineStr">
        <is>
          <t>Weighbridge</t>
        </is>
      </c>
      <c r="F41" s="22" t="inlineStr">
        <is>
          <t>Mobile — Operasional Stasiun (MB-)</t>
        </is>
      </c>
      <c r="G41" s="21" t="inlineStr">
        <is>
          <t>Simpan berhasil dengan satu baris terisi</t>
        </is>
      </c>
      <c r="H41" s="22" t="inlineStr">
        <is>
          <t>OPR-A</t>
        </is>
      </c>
      <c r="I41"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41" s="22" t="inlineStr">
        <is>
          <t>1. Pastikan periode stasiun ini Terbuka dan satu Production Line sudah terpilih.
2. Login di mobile, buka Monitor Weighbridge, lalu tekan New Data (/stations/weighbridge/form/&lt;id&gt;).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41" s="22" t="inlineStr">
        <is>
          <t>- Simpan berhasil, dengan pesan konfirmasi.
- Layar kembali ke Monitor (atau ke daftar), bukan tetap di Form.
- Record muncul di Data Preview dengan status Tersimpan.
- Satu baris terisi sudah cukup — tidak dipaksa mengisi 24 slot.</t>
        </is>
      </c>
      <c r="L41" s="16" t="inlineStr">
        <is>
          <t>Tinggi</t>
        </is>
      </c>
      <c r="M41" s="22" t="inlineStr"/>
      <c r="N41" s="17" t="inlineStr">
        <is>
          <t>2026-10-12</t>
        </is>
      </c>
      <c r="O41" s="17" t="inlineStr">
        <is>
          <t>Pelaksana QA otomatis</t>
        </is>
      </c>
      <c r="P41" s="45" t="inlineStr">
        <is>
          <t>Lulus</t>
        </is>
      </c>
      <c r="Q41" s="17" t="n"/>
      <c r="R41" s="17" t="inlineStr">
        <is>
          <t>Form baru diisi — identitas "QA1098390", 0 baris slot, 9 kolom terisi — lalu Simpan: galat validasi=0; layar keluar dari Form=true; pesan konfirmasi terbaca=true; record ditemukan di Data Preview=true dengan status Tersimpan=true ("QA1098390 Tersimpan"). Satu baris terisi sudah cukup — tidak dipaksa mengisi 24 slot.</t>
        </is>
      </c>
    </row>
    <row r="42" ht="188.8" customHeight="1">
      <c r="A42" s="18" t="n">
        <v>38</v>
      </c>
      <c r="B42" s="19" t="n">
        <v>2</v>
      </c>
      <c r="C42" s="20" t="inlineStr">
        <is>
          <t>MB-FORM-01 / Grading</t>
        </is>
      </c>
      <c r="D42" s="20" t="inlineStr">
        <is>
          <t>MB-FORM-01</t>
        </is>
      </c>
      <c r="E42" s="21" t="inlineStr">
        <is>
          <t>Grading</t>
        </is>
      </c>
      <c r="F42" s="22" t="inlineStr">
        <is>
          <t>Mobile — Operasional Stasiun (MB-)</t>
        </is>
      </c>
      <c r="G42" s="21" t="inlineStr">
        <is>
          <t>Simpan berhasil dengan satu baris terisi</t>
        </is>
      </c>
      <c r="H42" s="22" t="inlineStr">
        <is>
          <t>OPR-A</t>
        </is>
      </c>
      <c r="I42"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Itu bukan bug — satu muatan Grading memang menunjuk kartu timbang tertentu. — periode stasiun itu Terbuka; Production Line terpilih</t>
        </is>
      </c>
      <c r="J42" s="22" t="inlineStr">
        <is>
          <t>1. Pastikan periode stasiun ini Terbuka dan satu Production Line sudah terpilih.
2. Login di mobile, buka Monitor Grading, lalu tekan New Data (/stations/grading/form/&lt;id&gt;).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42" s="22" t="inlineStr">
        <is>
          <t>- Simpan berhasil, dengan pesan konfirmasi.
- Layar kembali ke Monitor (atau ke daftar), bukan tetap di Form.
- Record muncul di Data Preview dengan status Tersimpan.
- Satu baris terisi sudah cukup — tidak dipaksa mengisi 24 slot.</t>
        </is>
      </c>
      <c r="L42" s="16" t="inlineStr">
        <is>
          <t>Tinggi</t>
        </is>
      </c>
      <c r="M42" s="22" t="inlineStr"/>
      <c r="N42" s="17" t="inlineStr">
        <is>
          <t>2026-10-12</t>
        </is>
      </c>
      <c r="O42" s="17" t="inlineStr">
        <is>
          <t>Pelaksana QA otomatis</t>
        </is>
      </c>
      <c r="P42" s="45" t="inlineStr">
        <is>
          <t>Lulus</t>
        </is>
      </c>
      <c r="Q42" s="17" t="n"/>
      <c r="R42" s="17" t="inlineStr">
        <is>
          <t>satu record Weighbridge "QA1243540" dibuat lebih dulu di perangkat yang sama, karena daftar WB Card No Grading dibaca dari record Weighbridge lokal. Form baru diisi — identitas "QA1344150", 1 baris slot, 11 kolom terisi — lalu Simpan: galat validasi=0; layar keluar dari Form=true; pesan konfirmasi terbaca=true; record ditemukan di Data Preview=true dengan status Tersimpan=true ("QA1344150 Tersimpan"). Satu baris terisi sudah cukup — tidak dipaksa mengisi 24 slot.</t>
        </is>
      </c>
    </row>
    <row r="43" ht="188.8" customHeight="1">
      <c r="A43" s="18" t="n">
        <v>39</v>
      </c>
      <c r="B43" s="19" t="n">
        <v>2</v>
      </c>
      <c r="C43" s="20" t="inlineStr">
        <is>
          <t>MB-FORM-01 / Cages Track</t>
        </is>
      </c>
      <c r="D43" s="20" t="inlineStr">
        <is>
          <t>MB-FORM-01</t>
        </is>
      </c>
      <c r="E43" s="21" t="inlineStr">
        <is>
          <t>Cages Track</t>
        </is>
      </c>
      <c r="F43" s="22" t="inlineStr">
        <is>
          <t>Mobile — Operasional Stasiun (MB-)</t>
        </is>
      </c>
      <c r="G43" s="21" t="inlineStr">
        <is>
          <t>Simpan berhasil dengan satu baris terisi</t>
        </is>
      </c>
      <c r="H43" s="22" t="inlineStr">
        <is>
          <t>OPR-A</t>
        </is>
      </c>
      <c r="I43"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43" s="22" t="inlineStr">
        <is>
          <t>1. Pastikan periode stasiun ini Terbuka dan satu Production Line sudah terpilih.
2. Login di mobile, buka Monitor Cages Track, lalu tekan New Data (/stations/cages-track/form/&lt;id&gt;).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43" s="22" t="inlineStr">
        <is>
          <t>- Simpan berhasil, dengan pesan konfirmasi.
- Layar kembali ke Monitor (atau ke daftar), bukan tetap di Form.
- Record muncul di Data Preview dengan status Tersimpan.
- Satu baris terisi sudah cukup — tidak dipaksa mengisi 24 slot.</t>
        </is>
      </c>
      <c r="L43" s="16" t="inlineStr">
        <is>
          <t>Tinggi</t>
        </is>
      </c>
      <c r="M43" s="22" t="inlineStr"/>
      <c r="N43" s="17" t="inlineStr">
        <is>
          <t>2026-10-12</t>
        </is>
      </c>
      <c r="O43" s="17" t="inlineStr">
        <is>
          <t>Pelaksana QA otomatis</t>
        </is>
      </c>
      <c r="P43" s="45" t="inlineStr">
        <is>
          <t>Lulus</t>
        </is>
      </c>
      <c r="Q43" s="17" t="n"/>
      <c r="R43" s="17" t="inlineStr">
        <is>
          <t>Form baru diisi — identitas "QA1516380", 1 baris slot ("00:00"), 4 kolom terisi — lalu Simpan: galat validasi=0; layar keluar dari Form=true; pesan konfirmasi terbaca=true; record ditemukan di Data Preview=true dengan status Tersimpan=true ("QA1516380 Tersimpan"). Satu baris terisi sudah cukup — tidak dipaksa mengisi 24 slot.</t>
        </is>
      </c>
    </row>
    <row r="44" ht="188.8" customHeight="1">
      <c r="A44" s="18" t="n">
        <v>40</v>
      </c>
      <c r="B44" s="19" t="n">
        <v>2</v>
      </c>
      <c r="C44" s="20" t="inlineStr">
        <is>
          <t>MB-FORM-01 / Sterilizer</t>
        </is>
      </c>
      <c r="D44" s="20" t="inlineStr">
        <is>
          <t>MB-FORM-01</t>
        </is>
      </c>
      <c r="E44" s="21" t="inlineStr">
        <is>
          <t>Sterilizer</t>
        </is>
      </c>
      <c r="F44" s="22" t="inlineStr">
        <is>
          <t>Mobile — Operasional Stasiun (MB-)</t>
        </is>
      </c>
      <c r="G44" s="21" t="inlineStr">
        <is>
          <t>Simpan berhasil dengan satu baris terisi</t>
        </is>
      </c>
      <c r="H44" s="22" t="inlineStr">
        <is>
          <t>OPR-A</t>
        </is>
      </c>
      <c r="I44"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44" s="22" t="inlineStr">
        <is>
          <t>1. Pastikan periode stasiun ini Terbuka dan satu Production Line sudah terpilih.
2. Login di mobile, buka Monitor Sterilizer, lalu tekan New Data (/stations/sterilizer/form/&lt;id&gt;).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44" s="22" t="inlineStr">
        <is>
          <t>- Simpan berhasil, dengan pesan konfirmasi.
- Layar kembali ke Monitor (atau ke daftar), bukan tetap di Form.
- Record muncul di Data Preview dengan status Tersimpan.
- Satu baris terisi sudah cukup — tidak dipaksa mengisi 24 slot.</t>
        </is>
      </c>
      <c r="L44" s="16" t="inlineStr">
        <is>
          <t>Tinggi</t>
        </is>
      </c>
      <c r="M44" s="22" t="inlineStr"/>
      <c r="N44" s="17" t="inlineStr">
        <is>
          <t>2026-10-12</t>
        </is>
      </c>
      <c r="O44" s="17" t="inlineStr">
        <is>
          <t>Pelaksana QA otomatis</t>
        </is>
      </c>
      <c r="P44" s="45" t="inlineStr">
        <is>
          <t>Lulus</t>
        </is>
      </c>
      <c r="Q44" s="17" t="n"/>
      <c r="R44" s="17" t="inlineStr">
        <is>
          <t>Form baru diisi — identitas "QA1678480", 1 baris slot, 14 kolom terisi — lalu Simpan: galat validasi=0; layar keluar dari Form=true; pesan konfirmasi terbaca=true; record ditemukan di Data Preview=true dengan status Tersimpan=true ("QA1678480 Tersimpan"). Satu baris terisi sudah cukup — tidak dipaksa mengisi 24 slot.</t>
        </is>
      </c>
    </row>
    <row r="45" ht="188.8" customHeight="1">
      <c r="A45" s="18" t="n">
        <v>41</v>
      </c>
      <c r="B45" s="19" t="n">
        <v>2</v>
      </c>
      <c r="C45" s="20" t="inlineStr">
        <is>
          <t>MB-FORM-01 / Threshing</t>
        </is>
      </c>
      <c r="D45" s="20" t="inlineStr">
        <is>
          <t>MB-FORM-01</t>
        </is>
      </c>
      <c r="E45" s="21" t="inlineStr">
        <is>
          <t>Threshing</t>
        </is>
      </c>
      <c r="F45" s="22" t="inlineStr">
        <is>
          <t>Mobile — Operasional Stasiun (MB-)</t>
        </is>
      </c>
      <c r="G45" s="21" t="inlineStr">
        <is>
          <t>Simpan berhasil dengan satu baris terisi</t>
        </is>
      </c>
      <c r="H45" s="22" t="inlineStr">
        <is>
          <t>OPR-A</t>
        </is>
      </c>
      <c r="I45"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45" s="22" t="inlineStr">
        <is>
          <t>1. Pastikan periode stasiun ini Terbuka dan satu Production Line sudah terpilih.
2. Login di mobile, buka Monitor Threshing, lalu tekan New Data (/stations/threshing/form/&lt;id&gt;).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45" s="22" t="inlineStr">
        <is>
          <t>- Simpan berhasil, dengan pesan konfirmasi.
- Layar kembali ke Monitor (atau ke daftar), bukan tetap di Form.
- Record muncul di Data Preview dengan status Tersimpan.
- Satu baris terisi sudah cukup — tidak dipaksa mengisi 24 slot.</t>
        </is>
      </c>
      <c r="L45" s="16" t="inlineStr">
        <is>
          <t>Tinggi</t>
        </is>
      </c>
      <c r="M45" s="22" t="inlineStr"/>
      <c r="N45" s="17" t="inlineStr">
        <is>
          <t>2026-10-12</t>
        </is>
      </c>
      <c r="O45" s="17" t="inlineStr">
        <is>
          <t>Pelaksana QA otomatis</t>
        </is>
      </c>
      <c r="P45" s="45" t="inlineStr">
        <is>
          <t>Lulus</t>
        </is>
      </c>
      <c r="Q45" s="17" t="n"/>
      <c r="R45" s="17" t="inlineStr">
        <is>
          <t>Form baru diisi — identitas "QA1836830", 1 baris slot ("07:00"), 8 kolom terisi — lalu Simpan: galat validasi=0; layar keluar dari Form=true; pesan konfirmasi terbaca=true; record ditemukan di Data Preview=true dengan status Tersimpan=true ("QA1836830 Tersimpan"). Satu baris terisi sudah cukup — tidak dipaksa mengisi 24 slot.</t>
        </is>
      </c>
    </row>
    <row r="46" ht="188.8" customHeight="1">
      <c r="A46" s="18" t="n">
        <v>42</v>
      </c>
      <c r="B46" s="19" t="n">
        <v>2</v>
      </c>
      <c r="C46" s="20" t="inlineStr">
        <is>
          <t>MB-FORM-01 / Pressing</t>
        </is>
      </c>
      <c r="D46" s="20" t="inlineStr">
        <is>
          <t>MB-FORM-01</t>
        </is>
      </c>
      <c r="E46" s="21" t="inlineStr">
        <is>
          <t>Pressing</t>
        </is>
      </c>
      <c r="F46" s="22" t="inlineStr">
        <is>
          <t>Mobile — Operasional Stasiun (MB-)</t>
        </is>
      </c>
      <c r="G46" s="21" t="inlineStr">
        <is>
          <t>Simpan berhasil dengan satu baris terisi</t>
        </is>
      </c>
      <c r="H46" s="22" t="inlineStr">
        <is>
          <t>OPR-A</t>
        </is>
      </c>
      <c r="I46"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46" s="22" t="inlineStr">
        <is>
          <t>1. Pastikan periode stasiun ini Terbuka dan satu Production Line sudah terpilih.
2. Login di mobile, buka Monitor Pressing, lalu tekan New Data (/stations/pressing/form/&lt;id&gt;).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46" s="22" t="inlineStr">
        <is>
          <t>- Simpan berhasil, dengan pesan konfirmasi.
- Layar kembali ke Monitor (atau ke daftar), bukan tetap di Form.
- Record muncul di Data Preview dengan status Tersimpan.
- Satu baris terisi sudah cukup — tidak dipaksa mengisi 24 slot.</t>
        </is>
      </c>
      <c r="L46" s="16" t="inlineStr">
        <is>
          <t>Tinggi</t>
        </is>
      </c>
      <c r="M46" s="22" t="inlineStr"/>
      <c r="N46" s="17" t="inlineStr">
        <is>
          <t>2026-10-12</t>
        </is>
      </c>
      <c r="O46" s="17" t="inlineStr">
        <is>
          <t>Pelaksana QA otomatis</t>
        </is>
      </c>
      <c r="P46" s="45" t="inlineStr">
        <is>
          <t>Lulus</t>
        </is>
      </c>
      <c r="Q46" s="17" t="n"/>
      <c r="R46" s="17" t="inlineStr">
        <is>
          <t>Form baru diisi — identitas "QA2005000", 1 baris slot ("07:00"), 8 kolom terisi — lalu Simpan: galat validasi=0; layar keluar dari Form=true; pesan konfirmasi terbaca=true; record ditemukan di Data Preview=true dengan status Tersimpan=true ("QA2005000 Tersimpan"). Satu baris terisi sudah cukup — tidak dipaksa mengisi 24 slot.</t>
        </is>
      </c>
    </row>
    <row r="47" ht="188.8" customHeight="1">
      <c r="A47" s="18" t="n">
        <v>43</v>
      </c>
      <c r="B47" s="19" t="n">
        <v>2</v>
      </c>
      <c r="C47" s="20" t="inlineStr">
        <is>
          <t>MB-FORM-01 / Clarification</t>
        </is>
      </c>
      <c r="D47" s="20" t="inlineStr">
        <is>
          <t>MB-FORM-01</t>
        </is>
      </c>
      <c r="E47" s="21" t="inlineStr">
        <is>
          <t>Clarification</t>
        </is>
      </c>
      <c r="F47" s="22" t="inlineStr">
        <is>
          <t>Mobile — Operasional Stasiun (MB-)</t>
        </is>
      </c>
      <c r="G47" s="21" t="inlineStr">
        <is>
          <t>Simpan berhasil dengan satu baris terisi</t>
        </is>
      </c>
      <c r="H47" s="22" t="inlineStr">
        <is>
          <t>OPR-A</t>
        </is>
      </c>
      <c r="I47"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47" s="22" t="inlineStr">
        <is>
          <t>1. Pastikan periode stasiun ini Terbuka dan satu Production Line sudah terpilih.
2. Login di mobile, buka Monitor Clarification, lalu tekan New Data (/stations/clarification/form/&lt;id&gt;).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47" s="22" t="inlineStr">
        <is>
          <t>- Simpan berhasil, dengan pesan konfirmasi.
- Layar kembali ke Monitor (atau ke daftar), bukan tetap di Form.
- Record muncul di Data Preview dengan status Tersimpan.
- Satu baris terisi sudah cukup — tidak dipaksa mengisi 24 slot.</t>
        </is>
      </c>
      <c r="L47" s="16" t="inlineStr">
        <is>
          <t>Tinggi</t>
        </is>
      </c>
      <c r="M47" s="22" t="inlineStr"/>
      <c r="N47" s="17" t="inlineStr">
        <is>
          <t>2026-10-12</t>
        </is>
      </c>
      <c r="O47" s="17" t="inlineStr">
        <is>
          <t>Pelaksana QA otomatis</t>
        </is>
      </c>
      <c r="P47" s="45" t="inlineStr">
        <is>
          <t>Lulus</t>
        </is>
      </c>
      <c r="Q47" s="17" t="n"/>
      <c r="R47" s="17" t="inlineStr">
        <is>
          <t>Form baru diisi — identitas "QA2172510", 1 baris slot ("07:00"), 9 kolom terisi — lalu Simpan: galat validasi=0; layar keluar dari Form=true; pesan konfirmasi terbaca=true; record ditemukan di Data Preview=true dengan status Tersimpan=true ("QA2172510 Tersimpan"). Satu baris terisi sudah cukup — tidak dipaksa mengisi 24 slot.</t>
        </is>
      </c>
    </row>
    <row r="48" ht="188.8" customHeight="1">
      <c r="A48" s="18" t="n">
        <v>44</v>
      </c>
      <c r="B48" s="19" t="n">
        <v>2</v>
      </c>
      <c r="C48" s="20" t="inlineStr">
        <is>
          <t>MB-FORM-01 / Kernel Plant</t>
        </is>
      </c>
      <c r="D48" s="20" t="inlineStr">
        <is>
          <t>MB-FORM-01</t>
        </is>
      </c>
      <c r="E48" s="21" t="inlineStr">
        <is>
          <t>Kernel Plant</t>
        </is>
      </c>
      <c r="F48" s="22" t="inlineStr">
        <is>
          <t>Mobile — Operasional Stasiun (MB-)</t>
        </is>
      </c>
      <c r="G48" s="21" t="inlineStr">
        <is>
          <t>Simpan berhasil dengan satu baris terisi</t>
        </is>
      </c>
      <c r="H48" s="22" t="inlineStr">
        <is>
          <t>OPR-A</t>
        </is>
      </c>
      <c r="I48"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48" s="22" t="inlineStr">
        <is>
          <t>1. Pastikan periode stasiun ini Terbuka dan satu Production Line sudah terpilih.
2. Login di mobile, buka Monitor Kernel Plant, lalu tekan New Data (/stations/kernel-plant/form/&lt;id&gt;).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48" s="22" t="inlineStr">
        <is>
          <t>- Simpan berhasil, dengan pesan konfirmasi.
- Layar kembali ke Monitor (atau ke daftar), bukan tetap di Form.
- Record muncul di Data Preview dengan status Tersimpan.
- Satu baris terisi sudah cukup — tidak dipaksa mengisi 24 slot.</t>
        </is>
      </c>
      <c r="L48" s="16" t="inlineStr">
        <is>
          <t>Tinggi</t>
        </is>
      </c>
      <c r="M48" s="22" t="inlineStr"/>
      <c r="N48" s="17" t="inlineStr">
        <is>
          <t>2026-10-12</t>
        </is>
      </c>
      <c r="O48" s="17" t="inlineStr">
        <is>
          <t>Pelaksana QA otomatis</t>
        </is>
      </c>
      <c r="P48" s="45" t="inlineStr">
        <is>
          <t>Lulus</t>
        </is>
      </c>
      <c r="Q48" s="17" t="n"/>
      <c r="R48" s="17" t="inlineStr">
        <is>
          <t>Form baru diisi — identitas "QA2340980", 1 baris slot ("07:00"), 11 kolom terisi — lalu Simpan: galat validasi=0; layar keluar dari Form=true; pesan konfirmasi terbaca=true; record ditemukan di Data Preview=true dengan status Tersimpan=true ("QA2340980 Tersimpan"). Satu baris terisi sudah cukup — tidak dipaksa mengisi 24 slot.</t>
        </is>
      </c>
    </row>
    <row r="49" ht="188.8" customHeight="1">
      <c r="A49" s="18" t="n">
        <v>45</v>
      </c>
      <c r="B49" s="19" t="n">
        <v>2</v>
      </c>
      <c r="C49" s="20" t="inlineStr">
        <is>
          <t>MB-FORM-01 / Boiler Room</t>
        </is>
      </c>
      <c r="D49" s="20" t="inlineStr">
        <is>
          <t>MB-FORM-01</t>
        </is>
      </c>
      <c r="E49" s="21" t="inlineStr">
        <is>
          <t>Boiler Room</t>
        </is>
      </c>
      <c r="F49" s="22" t="inlineStr">
        <is>
          <t>Mobile — Operasional Stasiun (MB-)</t>
        </is>
      </c>
      <c r="G49" s="21" t="inlineStr">
        <is>
          <t>Simpan berhasil dengan satu baris terisi</t>
        </is>
      </c>
      <c r="H49" s="22" t="inlineStr">
        <is>
          <t>OPR-A</t>
        </is>
      </c>
      <c r="I49"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49" s="22" t="inlineStr">
        <is>
          <t>1. Pastikan periode stasiun ini Terbuka dan satu Production Line sudah terpilih.
2. Login di mobile, buka Monitor Boiler Room, lalu tekan New Data (/stations/boiler-room/form/&lt;id&gt;).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49" s="22" t="inlineStr">
        <is>
          <t>- Simpan berhasil, dengan pesan konfirmasi.
- Layar kembali ke Monitor (atau ke daftar), bukan tetap di Form.
- Record muncul di Data Preview dengan status Tersimpan.
- Satu baris terisi sudah cukup — tidak dipaksa mengisi 24 slot.</t>
        </is>
      </c>
      <c r="L49" s="16" t="inlineStr">
        <is>
          <t>Tinggi</t>
        </is>
      </c>
      <c r="M49" s="22" t="inlineStr"/>
      <c r="N49" s="17" t="inlineStr">
        <is>
          <t>2026-10-12</t>
        </is>
      </c>
      <c r="O49" s="17" t="inlineStr">
        <is>
          <t>Pelaksana QA otomatis</t>
        </is>
      </c>
      <c r="P49" s="45" t="inlineStr">
        <is>
          <t>Lulus</t>
        </is>
      </c>
      <c r="Q49" s="17" t="n"/>
      <c r="R49" s="17" t="inlineStr">
        <is>
          <t>Form baru diisi — identitas "QA2510860", 1 baris slot ("07:00"), 17 kolom terisi — lalu Simpan: galat validasi=0; layar keluar dari Form=true; pesan konfirmasi terbaca=true; record ditemukan di Data Preview=true dengan status Tersimpan=true ("QA2510860 Tersimpan"). Satu baris terisi sudah cukup — tidak dipaksa mengisi 24 slot.</t>
        </is>
      </c>
    </row>
    <row r="50" ht="188.8" customHeight="1">
      <c r="A50" s="18" t="n">
        <v>46</v>
      </c>
      <c r="B50" s="19" t="n">
        <v>2</v>
      </c>
      <c r="C50" s="20" t="inlineStr">
        <is>
          <t>MB-FORM-01 / Effluent Plant</t>
        </is>
      </c>
      <c r="D50" s="20" t="inlineStr">
        <is>
          <t>MB-FORM-01</t>
        </is>
      </c>
      <c r="E50" s="21" t="inlineStr">
        <is>
          <t>Effluent Plant</t>
        </is>
      </c>
      <c r="F50" s="22" t="inlineStr">
        <is>
          <t>Mobile — Operasional Stasiun (MB-)</t>
        </is>
      </c>
      <c r="G50" s="21" t="inlineStr">
        <is>
          <t>Simpan berhasil dengan satu baris terisi</t>
        </is>
      </c>
      <c r="H50" s="22" t="inlineStr">
        <is>
          <t>OPR-A</t>
        </is>
      </c>
      <c r="I50"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50" s="22" t="inlineStr">
        <is>
          <t>1. Pastikan periode stasiun ini Terbuka dan satu Production Line sudah terpilih.
2. Login di mobile, buka Monitor Effluent Plant, lalu tekan New Data (/stations/effluent-plant/form/&lt;id&gt;).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50" s="22" t="inlineStr">
        <is>
          <t>- Simpan berhasil, dengan pesan konfirmasi.
- Layar kembali ke Monitor (atau ke daftar), bukan tetap di Form.
- Record muncul di Data Preview dengan status Tersimpan.
- Satu baris terisi sudah cukup — tidak dipaksa mengisi 24 slot.</t>
        </is>
      </c>
      <c r="L50" s="16" t="inlineStr">
        <is>
          <t>Tinggi</t>
        </is>
      </c>
      <c r="M50" s="22" t="inlineStr"/>
      <c r="N50" s="17" t="inlineStr">
        <is>
          <t>2026-10-12</t>
        </is>
      </c>
      <c r="O50" s="17" t="inlineStr">
        <is>
          <t>Pelaksana QA otomatis</t>
        </is>
      </c>
      <c r="P50" s="45" t="inlineStr">
        <is>
          <t>Lulus</t>
        </is>
      </c>
      <c r="Q50" s="17" t="n"/>
      <c r="R50" s="17" t="inlineStr">
        <is>
          <t>Form baru diisi — identitas "QA2683160", 1 baris slot ("07:00"), 21 kolom terisi — lalu Simpan: galat validasi=0; layar keluar dari Form=true; pesan konfirmasi terbaca=true; record ditemukan di Data Preview=true dengan status Tersimpan=true ("QA2683160 Tersimpan"). Satu baris terisi sudah cukup — tidak dipaksa mengisi 24 slot.</t>
        </is>
      </c>
    </row>
    <row r="51" ht="188.8" customHeight="1">
      <c r="A51" s="11" t="n">
        <v>47</v>
      </c>
      <c r="B51" s="12" t="n">
        <v>1</v>
      </c>
      <c r="C51" s="13" t="inlineStr">
        <is>
          <t>MB-FORM-01 / Depricarping</t>
        </is>
      </c>
      <c r="D51" s="13" t="inlineStr">
        <is>
          <t>MB-FORM-01</t>
        </is>
      </c>
      <c r="E51" s="15" t="inlineStr">
        <is>
          <t>Depricarping</t>
        </is>
      </c>
      <c r="F51" s="14" t="inlineStr">
        <is>
          <t>Mobile — Operasional Stasiun (MB-)</t>
        </is>
      </c>
      <c r="G51" s="15" t="inlineStr">
        <is>
          <t>Simpan berhasil dengan satu baris terisi</t>
        </is>
      </c>
      <c r="H51" s="14" t="inlineStr">
        <is>
          <t>OPR-A</t>
        </is>
      </c>
      <c r="I51" s="14"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51" s="14" t="inlineStr">
        <is>
          <t>1. Pastikan periode stasiun ini Terbuka dan satu Production Line sudah terpilih.
2. Login di mobile, buka Monitor Depricarping, lalu tekan New Data (/stations/depricarping/form/&lt;id&gt;).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51" s="14" t="inlineStr">
        <is>
          <t>- Simpan berhasil, dengan pesan konfirmasi.
- Layar kembali ke Monitor (atau ke daftar), bukan tetap di Form.
- Record muncul di Data Preview dengan status Tersimpan.
- Satu baris terisi sudah cukup — tidak dipaksa mengisi 24 slot.</t>
        </is>
      </c>
      <c r="L51" s="16" t="inlineStr">
        <is>
          <t>Tinggi</t>
        </is>
      </c>
      <c r="M51" s="14" t="inlineStr"/>
      <c r="N51" s="17" t="inlineStr">
        <is>
          <t>2026-10-12</t>
        </is>
      </c>
      <c r="O51" s="17" t="inlineStr">
        <is>
          <t>Pelaksana QA otomatis</t>
        </is>
      </c>
      <c r="P51" s="45" t="inlineStr">
        <is>
          <t>Lulus</t>
        </is>
      </c>
      <c r="Q51" s="17" t="n"/>
      <c r="R51" s="17" t="inlineStr">
        <is>
          <t>Form baru diisi — identitas "QA2858670", 1 baris slot ("07:00"), 11 kolom terisi — lalu Simpan: galat validasi=0; layar keluar dari Form=true; pesan konfirmasi terbaca=true; record ditemukan di Data Preview=true dengan status Tersimpan=true ("QA2858670 Tersimpan"). Satu baris terisi sudah cukup — tidak dipaksa mengisi 24 slot.</t>
        </is>
      </c>
    </row>
    <row r="52" ht="188.8" customHeight="1">
      <c r="A52" s="18" t="n">
        <v>48</v>
      </c>
      <c r="B52" s="19" t="n">
        <v>2</v>
      </c>
      <c r="C52" s="20" t="inlineStr">
        <is>
          <t>MB-FORM-01 / Engine Room</t>
        </is>
      </c>
      <c r="D52" s="20" t="inlineStr">
        <is>
          <t>MB-FORM-01</t>
        </is>
      </c>
      <c r="E52" s="21" t="inlineStr">
        <is>
          <t>Engine Room</t>
        </is>
      </c>
      <c r="F52" s="22" t="inlineStr">
        <is>
          <t>Mobile — Operasional Stasiun (MB-)</t>
        </is>
      </c>
      <c r="G52" s="21" t="inlineStr">
        <is>
          <t>Simpan berhasil dengan satu baris terisi</t>
        </is>
      </c>
      <c r="H52" s="22" t="inlineStr">
        <is>
          <t>OPR-A</t>
        </is>
      </c>
      <c r="I52"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52" s="22" t="inlineStr">
        <is>
          <t>1. Pastikan periode stasiun ini Terbuka dan satu Production Line sudah terpilih.
2. Login di mobile, buka Monitor Engine Room, lalu tekan New Data (/stations/engine-room/form/&lt;id&gt;).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52" s="22" t="inlineStr">
        <is>
          <t>- Simpan berhasil, dengan pesan konfirmasi.
- Layar kembali ke Monitor (atau ke daftar), bukan tetap di Form.
- Record muncul di Data Preview dengan status Tersimpan.
- Satu baris terisi sudah cukup — tidak dipaksa mengisi 24 slot.</t>
        </is>
      </c>
      <c r="L52" s="16" t="inlineStr">
        <is>
          <t>Tinggi</t>
        </is>
      </c>
      <c r="M52" s="22" t="inlineStr"/>
      <c r="N52" s="17" t="inlineStr">
        <is>
          <t>2026-10-12</t>
        </is>
      </c>
      <c r="O52" s="17" t="inlineStr">
        <is>
          <t>Pelaksana QA otomatis</t>
        </is>
      </c>
      <c r="P52" s="45" t="inlineStr">
        <is>
          <t>Lulus</t>
        </is>
      </c>
      <c r="Q52" s="17" t="n"/>
      <c r="R52" s="17" t="inlineStr">
        <is>
          <t>Form baru diisi — identitas "QA3028500", 1 baris slot ("07:00"), 29 kolom terisi — lalu Simpan: galat validasi=0; layar keluar dari Form=true; pesan konfirmasi terbaca=true; record ditemukan di Data Preview=true dengan status Tersimpan=true ("QA3028500 Tersimpan"). Satu baris terisi sudah cukup — tidak dipaksa mengisi 24 slot.</t>
        </is>
      </c>
    </row>
    <row r="53" ht="188.8" customHeight="1">
      <c r="A53" s="18" t="n">
        <v>49</v>
      </c>
      <c r="B53" s="19" t="n">
        <v>2</v>
      </c>
      <c r="C53" s="20" t="inlineStr">
        <is>
          <t>MB-FORM-01 / Process Water</t>
        </is>
      </c>
      <c r="D53" s="20" t="inlineStr">
        <is>
          <t>MB-FORM-01</t>
        </is>
      </c>
      <c r="E53" s="21" t="inlineStr">
        <is>
          <t>Process Water</t>
        </is>
      </c>
      <c r="F53" s="22" t="inlineStr">
        <is>
          <t>Mobile — Operasional Stasiun (MB-)</t>
        </is>
      </c>
      <c r="G53" s="21" t="inlineStr">
        <is>
          <t>Simpan berhasil dengan satu baris terisi</t>
        </is>
      </c>
      <c r="H53" s="22" t="inlineStr">
        <is>
          <t>OPR-A</t>
        </is>
      </c>
      <c r="I53"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53" s="22" t="inlineStr">
        <is>
          <t>1. Pastikan periode stasiun ini Terbuka dan satu Production Line sudah terpilih.
2. Login di mobile, buka Monitor Process Water, lalu tekan New Data (/stations/process-water/form/&lt;id&gt;).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53" s="22" t="inlineStr">
        <is>
          <t>- Simpan berhasil, dengan pesan konfirmasi.
- Layar kembali ke Monitor (atau ke daftar), bukan tetap di Form.
- Record muncul di Data Preview dengan status Tersimpan.
- Satu baris terisi sudah cukup — tidak dipaksa mengisi 24 slot.</t>
        </is>
      </c>
      <c r="L53" s="16" t="inlineStr">
        <is>
          <t>Tinggi</t>
        </is>
      </c>
      <c r="M53" s="22" t="inlineStr"/>
      <c r="N53" s="17" t="inlineStr">
        <is>
          <t>2026-10-12</t>
        </is>
      </c>
      <c r="O53" s="17" t="inlineStr">
        <is>
          <t>Pelaksana QA otomatis</t>
        </is>
      </c>
      <c r="P53" s="45" t="inlineStr">
        <is>
          <t>Lulus</t>
        </is>
      </c>
      <c r="Q53" s="17" t="n"/>
      <c r="R53" s="17" t="inlineStr">
        <is>
          <t>Form baru diisi — identitas "QA3209230", 1 baris slot ("07:00"), 15 kolom terisi — lalu Simpan: galat validasi=0; layar keluar dari Form=true; pesan konfirmasi terbaca=true; record ditemukan di Data Preview=true dengan status Tersimpan=true ("QA3209230 Tersimpan"). Satu baris terisi sudah cukup — tidak dipaksa mengisi 24 slot.</t>
        </is>
      </c>
    </row>
    <row r="54" ht="188.8" customHeight="1">
      <c r="A54" s="18" t="n">
        <v>50</v>
      </c>
      <c r="B54" s="19" t="n">
        <v>2</v>
      </c>
      <c r="C54" s="20" t="inlineStr">
        <is>
          <t>MB-FORM-01 / Storage Tank</t>
        </is>
      </c>
      <c r="D54" s="20" t="inlineStr">
        <is>
          <t>MB-FORM-01</t>
        </is>
      </c>
      <c r="E54" s="21" t="inlineStr">
        <is>
          <t>Storage Tank</t>
        </is>
      </c>
      <c r="F54" s="22" t="inlineStr">
        <is>
          <t>Mobile — Operasional Stasiun (MB-)</t>
        </is>
      </c>
      <c r="G54" s="21" t="inlineStr">
        <is>
          <t>Simpan berhasil dengan satu baris terisi</t>
        </is>
      </c>
      <c r="H54" s="22" t="inlineStr">
        <is>
          <t>OPR-A</t>
        </is>
      </c>
      <c r="I54"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54" s="22" t="inlineStr">
        <is>
          <t>1. Pastikan periode stasiun ini Terbuka dan satu Production Line sudah terpilih.
2. Login di mobile, buka Monitor Storage Tank, lalu tekan New Data (/stations/storage-tank/form/&lt;id&gt;).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54" s="22" t="inlineStr">
        <is>
          <t>- Simpan berhasil, dengan pesan konfirmasi.
- Layar kembali ke Monitor (atau ke daftar), bukan tetap di Form.
- Record muncul di Data Preview dengan status Tersimpan.
- Satu baris terisi sudah cukup — tidak dipaksa mengisi 24 slot.</t>
        </is>
      </c>
      <c r="L54" s="16" t="inlineStr">
        <is>
          <t>Tinggi</t>
        </is>
      </c>
      <c r="M54" s="22" t="inlineStr"/>
      <c r="N54" s="17" t="inlineStr">
        <is>
          <t>2026-10-12</t>
        </is>
      </c>
      <c r="O54" s="17" t="inlineStr">
        <is>
          <t>Pelaksana QA otomatis</t>
        </is>
      </c>
      <c r="P54" s="45" t="inlineStr">
        <is>
          <t>Lulus</t>
        </is>
      </c>
      <c r="Q54" s="17" t="n"/>
      <c r="R54" s="17" t="inlineStr">
        <is>
          <t>Form baru diisi — identitas "QA4033050", 1 baris slot ("07:00"), 19 kolom terisi — lalu Simpan: galat validasi=0; layar keluar dari Form=true; pesan konfirmasi terbaca=true; record ditemukan di Data Preview=true dengan status Tersimpan=true ("QA4033050 Tersimpan"). Satu baris terisi sudah cukup — tidak dipaksa mengisi 24 slot.</t>
        </is>
      </c>
    </row>
    <row r="55" ht="188.8" customHeight="1">
      <c r="A55" s="18" t="n">
        <v>51</v>
      </c>
      <c r="B55" s="19" t="n">
        <v>2</v>
      </c>
      <c r="C55" s="20" t="inlineStr">
        <is>
          <t>MB-FORM-01 / Solid Waste Disposal</t>
        </is>
      </c>
      <c r="D55" s="20" t="inlineStr">
        <is>
          <t>MB-FORM-01</t>
        </is>
      </c>
      <c r="E55" s="21" t="inlineStr">
        <is>
          <t>Solid Waste Disposal</t>
        </is>
      </c>
      <c r="F55" s="22" t="inlineStr">
        <is>
          <t>Mobile — Operasional Stasiun (MB-)</t>
        </is>
      </c>
      <c r="G55" s="21" t="inlineStr">
        <is>
          <t>Simpan berhasil dengan satu baris terisi</t>
        </is>
      </c>
      <c r="H55" s="22" t="inlineStr">
        <is>
          <t>OPR-A</t>
        </is>
      </c>
      <c r="I55"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55" s="22" t="inlineStr">
        <is>
          <t>1. Pastikan periode stasiun ini Terbuka dan satu Production Line sudah terpilih.
2. Login di mobile, buka Monitor Solid Waste Disposal, lalu tekan New Data (/stations/solid-waste-disposal/form/&lt;id&gt;).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55" s="22" t="inlineStr">
        <is>
          <t>- Simpan berhasil, dengan pesan konfirmasi.
- Layar kembali ke Monitor (atau ke daftar), bukan tetap di Form.
- Record muncul di Data Preview dengan status Tersimpan.
- Satu baris terisi sudah cukup — tidak dipaksa mengisi 24 slot.</t>
        </is>
      </c>
      <c r="L55" s="16" t="inlineStr">
        <is>
          <t>Tinggi</t>
        </is>
      </c>
      <c r="M55" s="22" t="inlineStr"/>
      <c r="N55" s="17" t="inlineStr">
        <is>
          <t>2026-10-12</t>
        </is>
      </c>
      <c r="O55" s="17" t="inlineStr">
        <is>
          <t>Pelaksana QA otomatis</t>
        </is>
      </c>
      <c r="P55" s="45" t="inlineStr">
        <is>
          <t>Lulus</t>
        </is>
      </c>
      <c r="Q55" s="17" t="n"/>
      <c r="R55" s="17" t="inlineStr">
        <is>
          <t>Form baru diisi — identitas "QA3380250", 1 baris slot, 18 kolom terisi — lalu Simpan: galat validasi=0; layar keluar dari Form=true; pesan konfirmasi terbaca=true; record ditemukan di Data Preview=true dengan status Tersimpan=true ("QA3380250 Tersimpan"). Satu baris terisi sudah cukup — tidak dipaksa mengisi 24 slot.</t>
        </is>
      </c>
    </row>
    <row r="56" ht="188.8" customHeight="1">
      <c r="A56" s="18" t="n">
        <v>52</v>
      </c>
      <c r="B56" s="19" t="n">
        <v>2</v>
      </c>
      <c r="C56" s="20" t="inlineStr">
        <is>
          <t>MB-FORM-01 / Kernel Dispatch</t>
        </is>
      </c>
      <c r="D56" s="20" t="inlineStr">
        <is>
          <t>MB-FORM-01</t>
        </is>
      </c>
      <c r="E56" s="21" t="inlineStr">
        <is>
          <t>Kernel Dispatch</t>
        </is>
      </c>
      <c r="F56" s="22" t="inlineStr">
        <is>
          <t>Mobile — Operasional Stasiun (MB-)</t>
        </is>
      </c>
      <c r="G56" s="21" t="inlineStr">
        <is>
          <t>Simpan berhasil dengan satu baris terisi</t>
        </is>
      </c>
      <c r="H56" s="22" t="inlineStr">
        <is>
          <t>OPR-A</t>
        </is>
      </c>
      <c r="I56"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56" s="22" t="inlineStr">
        <is>
          <t>1. Pastikan periode stasiun ini Terbuka dan satu Production Line sudah terpilih.
2. Login di mobile, buka Monitor Kernel Dispatch, lalu tekan New Data (/stations/kernel-dispatch/form/&lt;id&gt;).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56" s="22" t="inlineStr">
        <is>
          <t>- Simpan berhasil, dengan pesan konfirmasi.
- Layar kembali ke Monitor (atau ke daftar), bukan tetap di Form.
- Record muncul di Data Preview dengan status Tersimpan.
- Satu baris terisi sudah cukup — tidak dipaksa mengisi 24 slot.</t>
        </is>
      </c>
      <c r="L56" s="16" t="inlineStr">
        <is>
          <t>Tinggi</t>
        </is>
      </c>
      <c r="M56" s="22" t="inlineStr"/>
      <c r="N56" s="17" t="inlineStr">
        <is>
          <t>2026-10-12</t>
        </is>
      </c>
      <c r="O56" s="17" t="inlineStr">
        <is>
          <t>Pelaksana QA otomatis</t>
        </is>
      </c>
      <c r="P56" s="45" t="inlineStr">
        <is>
          <t>Lulus</t>
        </is>
      </c>
      <c r="Q56" s="17" t="n"/>
      <c r="R56" s="17" t="inlineStr">
        <is>
          <t>Form baru diisi — identitas "QA3538900", 1 baris slot, 21 kolom terisi — lalu Simpan: galat validasi=0; layar keluar dari Form=true; pesan konfirmasi terbaca=true; record ditemukan di Data Preview=true dengan status Tersimpan=true ("QA3538900 Tersimpan"). Satu baris terisi sudah cukup — tidak dipaksa mengisi 24 slot.</t>
        </is>
      </c>
    </row>
    <row r="57" ht="188.8" customHeight="1">
      <c r="A57" s="18" t="n">
        <v>53</v>
      </c>
      <c r="B57" s="19" t="n">
        <v>2</v>
      </c>
      <c r="C57" s="20" t="inlineStr">
        <is>
          <t>MB-FORM-01 / CPO Dispatch</t>
        </is>
      </c>
      <c r="D57" s="20" t="inlineStr">
        <is>
          <t>MB-FORM-01</t>
        </is>
      </c>
      <c r="E57" s="21" t="inlineStr">
        <is>
          <t>CPO Dispatch</t>
        </is>
      </c>
      <c r="F57" s="22" t="inlineStr">
        <is>
          <t>Mobile — Operasional Stasiun (MB-)</t>
        </is>
      </c>
      <c r="G57" s="21" t="inlineStr">
        <is>
          <t>Simpan berhasil dengan satu baris terisi</t>
        </is>
      </c>
      <c r="H57" s="22" t="inlineStr">
        <is>
          <t>OPR-A</t>
        </is>
      </c>
      <c r="I57"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57" s="22" t="inlineStr">
        <is>
          <t>1. Pastikan periode stasiun ini Terbuka dan satu Production Line sudah terpilih.
2. Login di mobile, buka Monitor CPO Dispatch, lalu tekan New Data (/stations/cpo-dispatch/form/&lt;id&gt;).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57" s="22" t="inlineStr">
        <is>
          <t>- Simpan berhasil, dengan pesan konfirmasi.
- Layar kembali ke Monitor (atau ke daftar), bukan tetap di Form.
- Record muncul di Data Preview dengan status Tersimpan.
- Satu baris terisi sudah cukup — tidak dipaksa mengisi 24 slot.</t>
        </is>
      </c>
      <c r="L57" s="16" t="inlineStr">
        <is>
          <t>Tinggi</t>
        </is>
      </c>
      <c r="M57" s="22" t="inlineStr"/>
      <c r="N57" s="17" t="inlineStr">
        <is>
          <t>2026-10-12</t>
        </is>
      </c>
      <c r="O57" s="17" t="inlineStr">
        <is>
          <t>Pelaksana QA otomatis</t>
        </is>
      </c>
      <c r="P57" s="45" t="inlineStr">
        <is>
          <t>Lulus</t>
        </is>
      </c>
      <c r="Q57" s="17" t="n"/>
      <c r="R57" s="17" t="inlineStr">
        <is>
          <t>Form baru diisi — identitas "QA3699400", 1 baris slot, 22 kolom terisi — lalu Simpan: galat validasi=0; layar keluar dari Form=true; pesan konfirmasi terbaca=true; record ditemukan di Data Preview=true dengan status Tersimpan=true ("QA3699400 Tersimpan"). Satu baris terisi sudah cukup — tidak dipaksa mengisi 24 slot.</t>
        </is>
      </c>
    </row>
    <row r="58" ht="188.8" customHeight="1">
      <c r="A58" s="18" t="n">
        <v>54</v>
      </c>
      <c r="B58" s="19" t="n">
        <v>2</v>
      </c>
      <c r="C58" s="20" t="inlineStr">
        <is>
          <t>MB-FORM-01 / Process Quality Control</t>
        </is>
      </c>
      <c r="D58" s="20" t="inlineStr">
        <is>
          <t>MB-FORM-01</t>
        </is>
      </c>
      <c r="E58" s="21" t="inlineStr">
        <is>
          <t>Process Quality Control</t>
        </is>
      </c>
      <c r="F58" s="22" t="inlineStr">
        <is>
          <t>Mobile — Operasional Stasiun (MB-)</t>
        </is>
      </c>
      <c r="G58" s="21" t="inlineStr">
        <is>
          <t>Simpan berhasil dengan satu baris terisi</t>
        </is>
      </c>
      <c r="H58" s="22" t="inlineStr">
        <is>
          <t>OPR-A</t>
        </is>
      </c>
      <c r="I58"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58" s="22" t="inlineStr">
        <is>
          <t>1. Pastikan periode stasiun ini Terbuka dan satu Production Line sudah terpilih.
2. Login di mobile, buka Monitor Process Quality Control, lalu tekan New Data (/stations/process-quality-control/form/&lt;id&gt;).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58" s="22" t="inlineStr">
        <is>
          <t>- Simpan berhasil, dengan pesan konfirmasi.
- Layar kembali ke Monitor (atau ke daftar), bukan tetap di Form.
- Record muncul di Data Preview dengan status Tersimpan.
- Satu baris terisi sudah cukup — tidak dipaksa mengisi 24 slot.</t>
        </is>
      </c>
      <c r="L58" s="16" t="inlineStr">
        <is>
          <t>Tinggi</t>
        </is>
      </c>
      <c r="M58" s="22" t="inlineStr"/>
      <c r="N58" s="17" t="inlineStr">
        <is>
          <t>2026-10-12</t>
        </is>
      </c>
      <c r="O58" s="17" t="inlineStr">
        <is>
          <t>Pelaksana QA otomatis</t>
        </is>
      </c>
      <c r="P58" s="45" t="inlineStr">
        <is>
          <t>Lulus</t>
        </is>
      </c>
      <c r="Q58" s="17" t="n"/>
      <c r="R58" s="17" t="inlineStr">
        <is>
          <t>Form baru diisi — identitas "QA3860180", 1 baris slot ("07:00"), 18 kolom terisi — lalu Simpan: galat validasi=0; layar keluar dari Form=true; pesan konfirmasi terbaca=true; record ditemukan di Data Preview=true dengan status Tersimpan=true ("QA3860180 Tersimpan"). Satu baris terisi sudah cukup — tidak dipaksa mengisi 24 slot.</t>
        </is>
      </c>
    </row>
    <row r="59" ht="109.6" customHeight="1">
      <c r="A59" s="11" t="n">
        <v>55</v>
      </c>
      <c r="B59" s="12" t="n">
        <v>1</v>
      </c>
      <c r="C59" s="13" t="inlineStr">
        <is>
          <t>MB-FORM-02 / Depricarping</t>
        </is>
      </c>
      <c r="D59" s="13" t="inlineStr">
        <is>
          <t>MB-FORM-02</t>
        </is>
      </c>
      <c r="E59" s="15" t="inlineStr">
        <is>
          <t>Depricarping</t>
        </is>
      </c>
      <c r="F59" s="14" t="inlineStr">
        <is>
          <t>Mobile — Operasional Stasiun (MB-)</t>
        </is>
      </c>
      <c r="G59" s="15" t="inlineStr">
        <is>
          <t>Simpan ditolak bila kolom wajib kosong</t>
        </is>
      </c>
      <c r="H59" s="14" t="inlineStr">
        <is>
          <t>OPR-A</t>
        </is>
      </c>
      <c r="I59" s="14" t="inlineStr">
        <is>
          <t>—</t>
        </is>
      </c>
      <c r="J59" s="14" t="inlineStr">
        <is>
          <t>1. Login di mobile, buka Monitor Depricarping, lalu tekan New Data (/stations/depricarping/form/&lt;id&gt;).
2. Kosongkan kolom identitas unit.
3. Tambahkan satu baris slot waktu dan isi satu kolom bacaan.
4. Tekan Simpan.
5. Perhatikan di mana pesan galatnya muncul.</t>
        </is>
      </c>
      <c r="K59" s="14" t="inlineStr">
        <is>
          <t>- Ditolak — record tidak tersimpan.
- Pesan galat muncul di sebelah kolom identitas yang kosong, bukan hanya sebagai pesan umum.
- Isi yang sudah diketik pada grid tidak hilang.</t>
        </is>
      </c>
      <c r="L59" s="16" t="inlineStr">
        <is>
          <t>Tinggi</t>
        </is>
      </c>
      <c r="M59" s="14" t="inlineStr"/>
      <c r="N59" s="17" t="inlineStr">
        <is>
          <t>2026-10-12</t>
        </is>
      </c>
      <c r="O59" s="17" t="inlineStr">
        <is>
          <t>Pelaksana QA otomatis</t>
        </is>
      </c>
      <c r="P59" s="45" t="inlineStr">
        <is>
          <t>Lulus</t>
        </is>
      </c>
      <c r="Q59" s="17" t="n"/>
      <c r="R59" s="17" t="inlineStr">
        <is>
          <t>kolom identitas dikosongkan, satu baris slot "07:00" terisi. Simpan ditolak dan layar tetap di Form=true; galat tercetak di sebelah kolom identitas="Depricarping ID wajib diisi." (bukan hanya pesan umum; seluruh galat per-kolom: Depricarping ID wajib diisi.); isi grid tidak hilang — nilai "" tetap ""=true.</t>
        </is>
      </c>
    </row>
    <row r="60" ht="215.2" customHeight="1">
      <c r="A60" s="11" t="n">
        <v>56</v>
      </c>
      <c r="B60" s="12" t="n">
        <v>1</v>
      </c>
      <c r="C60" s="13" t="inlineStr">
        <is>
          <t>MB-FORM-03 / Depricarping</t>
        </is>
      </c>
      <c r="D60" s="13" t="inlineStr">
        <is>
          <t>MB-FORM-03</t>
        </is>
      </c>
      <c r="E60" s="15" t="inlineStr">
        <is>
          <t>Depricarping</t>
        </is>
      </c>
      <c r="F60" s="14" t="inlineStr">
        <is>
          <t>Mobile — Operasional Stasiun (MB-)</t>
        </is>
      </c>
      <c r="G60" s="15" t="inlineStr">
        <is>
          <t>Slot waktu harus menaik dan tidak boleh kembar</t>
        </is>
      </c>
      <c r="H60" s="14" t="inlineStr">
        <is>
          <t>OPR-A</t>
        </is>
      </c>
      <c r="I60" s="14" t="inlineStr">
        <is>
          <t>—</t>
        </is>
      </c>
      <c r="J60" s="14" t="inlineStr">
        <is>
          <t>1. Login di mobile, buka Monitor Depricarping, lalu tekan New Data (/stations/depricarping/form/&lt;id&gt;)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60" s="14" t="inlineStr">
        <is>
          <t>- Langkah 4: pemilih baris kedua tidak lagi menawarkan slot yang sudah dipakai, dan tidak menawarkan slot yang lebih awal.
- Langkah 5 dan 6: tidak dapat dipilih — atau bila terpilih, Simpan ditolak dengan pesan yang menyebut urutan slot.
- Langkah 7: berhasil.</t>
        </is>
      </c>
      <c r="L60" s="16" t="inlineStr">
        <is>
          <t>Tinggi</t>
        </is>
      </c>
      <c r="M60" s="14" t="inlineStr">
        <is>
          <t>lewati untuk Weighbridge, Grading, Kernel Dispatch, CPO Dispatch</t>
        </is>
      </c>
      <c r="N60" s="17" t="inlineStr">
        <is>
          <t>2026-10-12</t>
        </is>
      </c>
      <c r="O60" s="17" t="inlineStr">
        <is>
          <t>Pelaksana QA otomatis</t>
        </is>
      </c>
      <c r="P60" s="45" t="inlineStr">
        <is>
          <t>Lulus</t>
        </is>
      </c>
      <c r="Q60" s="17" t="n"/>
      <c r="R60" s="17" t="inlineStr">
        <is>
          <t>baris pertama memakai slot "07:00" (dari 24 pilihan). Pilihan pada baris kedua berjumlah 23: slot yang sudah dipakai sudah hilang=true; seluruh slot yang lebih awal juga hilang=true; setiap pilihan yang tersisa lebih besar dari slot sebelumnya=true. Jadi slot kembar dan menurun DICEGAH, bukan ditolak saat Simpan — tidak ada pesan galat untuk dibaca, dan itu memang yang benar. Memilih slot sah berikutnya ("08:00") lalu Simpan berhasil=true.</t>
        </is>
      </c>
    </row>
    <row r="61" ht="386.8" customHeight="1">
      <c r="A61" s="11" t="n">
        <v>57</v>
      </c>
      <c r="B61" s="12" t="n">
        <v>1</v>
      </c>
      <c r="C61" s="13" t="inlineStr">
        <is>
          <t>MB-FORM-04 / Depricarping</t>
        </is>
      </c>
      <c r="D61" s="13" t="inlineStr">
        <is>
          <t>MB-FORM-04</t>
        </is>
      </c>
      <c r="E61" s="15" t="inlineStr">
        <is>
          <t>Depricarping</t>
        </is>
      </c>
      <c r="F61" s="14" t="inlineStr">
        <is>
          <t>Mobile — Operasional Stasiun (MB-)</t>
        </is>
      </c>
      <c r="G61" s="15" t="inlineStr">
        <is>
          <t>Urutan slot mengikuti 07:00 → 06:00, bukan 00:00 → 23:00</t>
        </is>
      </c>
      <c r="H61" s="14" t="inlineStr">
        <is>
          <t>OPR-A</t>
        </is>
      </c>
      <c r="I61" s="14" t="inlineStr">
        <is>
          <t>—</t>
        </is>
      </c>
      <c r="J61" s="14" t="inlineStr">
        <is>
          <t>1. Login di mobile, buka Monitor Depricarping, lalu tekan New Data (/stations/depricarping/form/&lt;id&gt;) (lewati ketujuh stasiun di luar daftar itu).
2. Tambah satu baris slot waktu. Buka pemilih slotnya.
3. Catat urutan lengkap pilihan dari atas ke bawah.
4. Bandingkan dengan urutan yang benar: 07:00, 08:00, …, 23:00, 00:00, 01:00, …, 06:00.</t>
        </is>
      </c>
      <c r="K61" s="14" t="inlineStr">
        <is>
          <t>- Pilihan pertama adalah 07:00, bukan 00:00.
- Sesudah 23:00 menyusul 00:00, bukan selesai.
- Pilihan terakhir adalah 06:00.
- Jumlah pilihannya 24.
- Jadi 01:00 berada sesudah 23:00 — itu benar, bukan bug (lihat bagian 11.4).</t>
        </is>
      </c>
      <c r="L61" s="16" t="inlineStr">
        <is>
          <t>Tinggi</t>
        </is>
      </c>
      <c r="M61" s="14"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
ini kasus yang paling mudah salah dibaca sebagai bug padahal benar, dan sebaliknya. Shift dimulai 07:00.</t>
        </is>
      </c>
      <c r="N61" s="17" t="inlineStr">
        <is>
          <t>2026-10-12</t>
        </is>
      </c>
      <c r="O61" s="17" t="inlineStr">
        <is>
          <t>Pelaksana QA otomatis</t>
        </is>
      </c>
      <c r="P61" s="45" t="inlineStr">
        <is>
          <t>Lulus</t>
        </is>
      </c>
      <c r="Q61" s="17" t="n"/>
      <c r="R61" s="17" t="inlineStr">
        <is>
          <t>pilihan slot berjumlah 24 (harus 24)=true; pilihan pertama "07:00" (harus 07:00)=true; sesudah 23:00 menyusul "00:00" (harus 00:00)=true; pilihan terakhir "06:00" (harus 06:00)=true. Jadi 01:00 berada SESUDAH 23:00 — itu benar, bukan bug.</t>
        </is>
      </c>
    </row>
    <row r="62" ht="109.6" customHeight="1">
      <c r="A62" s="11" t="n">
        <v>58</v>
      </c>
      <c r="B62" s="12" t="n">
        <v>1</v>
      </c>
      <c r="C62" s="13" t="inlineStr">
        <is>
          <t>MB-FORM-05 / Depricarping</t>
        </is>
      </c>
      <c r="D62" s="13" t="inlineStr">
        <is>
          <t>MB-FORM-05</t>
        </is>
      </c>
      <c r="E62" s="15" t="inlineStr">
        <is>
          <t>Depricarping</t>
        </is>
      </c>
      <c r="F62" s="14" t="inlineStr">
        <is>
          <t>Mobile — Operasional Stasiun (MB-)</t>
        </is>
      </c>
      <c r="G62" s="15" t="inlineStr">
        <is>
          <t>Simpan ditolak bila tidak ada satu pun baris terisi</t>
        </is>
      </c>
      <c r="H62" s="14" t="inlineStr">
        <is>
          <t>OPR-A</t>
        </is>
      </c>
      <c r="I62" s="14" t="inlineStr">
        <is>
          <t>—</t>
        </is>
      </c>
      <c r="J62" s="14" t="inlineStr">
        <is>
          <t>1. Login di mobile, buka Monitor Depricarping, lalu tekan New Data (/stations/depricarping/form/&lt;id&gt;).
2. Isi kolom identitas unit dengan benar.
3. Tambah satu baris slot waktu, pilih 07:00, tapi jangan isi satu pun kolom bacaan.
4. Tekan Simpan.
5. Catat bunyi pesannya.</t>
        </is>
      </c>
      <c r="K62" s="14" t="inlineStr">
        <is>
          <t>- Ditolak — record tidak tersimpan.
- Pesannya menyebut bahwa minimal satu baris harus punya slot waktu dan minimal satu kolom bacaan terisi.
- Pesannya muncul di bagian grid, bukan hanya di atas form.</t>
        </is>
      </c>
      <c r="L62" s="16" t="inlineStr">
        <is>
          <t>Tinggi</t>
        </is>
      </c>
      <c r="M62" s="14" t="inlineStr"/>
      <c r="N62" s="17" t="inlineStr">
        <is>
          <t>2026-10-12</t>
        </is>
      </c>
      <c r="O62" s="17" t="inlineStr">
        <is>
          <t>Pelaksana QA otomatis</t>
        </is>
      </c>
      <c r="P62" s="45" t="inlineStr">
        <is>
          <t>Lulus</t>
        </is>
      </c>
      <c r="Q62" s="17" t="n"/>
      <c r="R62" s="17" t="inlineStr">
        <is>
          <t>identitas "QA8892660" diisi dan satu baris slot "07:00" ditambahkan TANPA satu kolom bacaan pun. Ditolak=true; record tidak tersimpan — layar masih di Form=true; pesannya tercetak di bagian grid, bukan hanya di atas form=true ("Minimal 1 baris Depricarping Detail (Time-Slot terpilih + minimal 1 kolom bacaan terisi) harus diisi sebelum menyimpan."); pesannya menyebut syarat slot DAN minimal satu kolom bacaan=true.</t>
        </is>
      </c>
    </row>
    <row r="63" ht="136" customHeight="1">
      <c r="A63" s="11" t="n">
        <v>59</v>
      </c>
      <c r="B63" s="12" t="n">
        <v>1</v>
      </c>
      <c r="C63" s="13" t="inlineStr">
        <is>
          <t>MB-FORM-06 / Depricarping</t>
        </is>
      </c>
      <c r="D63" s="13" t="inlineStr">
        <is>
          <t>MB-FORM-06</t>
        </is>
      </c>
      <c r="E63" s="15" t="inlineStr">
        <is>
          <t>Depricarping</t>
        </is>
      </c>
      <c r="F63" s="14" t="inlineStr">
        <is>
          <t>Mobile — Operasional Stasiun (MB-)</t>
        </is>
      </c>
      <c r="G63" s="15" t="inlineStr">
        <is>
          <t>Baris yang sebagian terisi tetap sah</t>
        </is>
      </c>
      <c r="H63" s="14" t="inlineStr">
        <is>
          <t>OPR-A</t>
        </is>
      </c>
      <c r="I63" s="14" t="inlineStr">
        <is>
          <t>—</t>
        </is>
      </c>
      <c r="J63" s="14" t="inlineStr">
        <is>
          <t>1. Login di mobile, buka Monitor Depricarping, lalu tekan New Data (/stations/depricarping/form/&lt;id&gt;).
2. Isi kolom identitas unit.
3. Tambah satu baris slot waktu 07:00.
4. Isi hanya satu kolom bacaan; biarkan seluruh kolom lain pada baris itu kosong.
5. Tekan Simpan.
6. Buka record itu lewat Load Data dan periksa baris tersebut.</t>
        </is>
      </c>
      <c r="K63" s="14" t="inlineStr">
        <is>
          <t>- Berhasil tersimpan.
- Kolom yang dibiarkan kosong tersimpan sebagai kosong — bukan diisi 0.
- Pada detail, kolom kosong itu tampil sebagai tanda pisah atau kosong, bukan angka 0.</t>
        </is>
      </c>
      <c r="L63" s="16" t="inlineStr">
        <is>
          <t>Tinggi</t>
        </is>
      </c>
      <c r="M63" s="14" t="inlineStr"/>
      <c r="N63" s="17" t="inlineStr">
        <is>
          <t>2026-10-12</t>
        </is>
      </c>
      <c r="O63" s="17" t="inlineStr">
        <is>
          <t>Pelaksana QA otomatis</t>
        </is>
      </c>
      <c r="P63" s="45" t="inlineStr">
        <is>
          <t>Lulus</t>
        </is>
      </c>
      <c r="Q63" s="17" t="n"/>
      <c r="R63" s="17" t="inlineStr">
        <is>
          <t>baris slot "07:00" diisi HANYA pada satu kolom bacaan (kolom terisi pada baris itu=1), kolom lain dibiarkan kosong: simpan berhasil=true; record "QA9017430" ditemukan di Data Preview=true (1 baris di daftar: QA9017430Tersimpan); pada detailnya kolom yang dibiarkan kosong tampil sebagai angka 0=false (harus false — kosong harus tampil kosong atau tanda pisah).</t>
        </is>
      </c>
    </row>
    <row r="64" ht="136" customHeight="1">
      <c r="A64" s="11" t="n">
        <v>60</v>
      </c>
      <c r="B64" s="12" t="n">
        <v>1</v>
      </c>
      <c r="C64" s="13" t="inlineStr">
        <is>
          <t>MB-FORM-07 / Depricarping</t>
        </is>
      </c>
      <c r="D64" s="13" t="inlineStr">
        <is>
          <t>MB-FORM-07</t>
        </is>
      </c>
      <c r="E64" s="15" t="inlineStr">
        <is>
          <t>Depricarping</t>
        </is>
      </c>
      <c r="F64" s="14" t="inlineStr">
        <is>
          <t>Mobile — Operasional Stasiun (MB-)</t>
        </is>
      </c>
      <c r="G64" s="15" t="inlineStr">
        <is>
          <t>Pause menyimpan apa adanya tanpa memvalidasi</t>
        </is>
      </c>
      <c r="H64" s="14" t="inlineStr">
        <is>
          <t>OPR-A</t>
        </is>
      </c>
      <c r="I64" s="14" t="inlineStr">
        <is>
          <t>—</t>
        </is>
      </c>
      <c r="J64" s="14" t="inlineStr">
        <is>
          <t>1. Login di mobile, buka Monitor Depricarping, lalu tekan New Data (/stations/depricarping/form/&lt;id&gt;).
2. Kosongkan kolom identitas unit (yang pada MB-FORM-02 membuat Simpan ditolak).
3. Tambah satu baris, pilih slot, tapi jangan isi kolom bacaan apa pun.
4. Tekan Pause.
5. Kembali ke Monitor dan cari draft itu.
6. Buka draft itu kembali.</t>
        </is>
      </c>
      <c r="K64" s="14" t="inlineStr">
        <is>
          <t>- Pause berhasil — tidak ada satu pun validasi yang menolaknya.
- Draft muncul di Monitor berlabel Pause.
- Saat dibuka kembali, isinya apa adanya seperti saat dijeda, termasuk kolom yang kosong.</t>
        </is>
      </c>
      <c r="L64" s="16" t="inlineStr">
        <is>
          <t>Tinggi</t>
        </is>
      </c>
      <c r="M64" s="14" t="inlineStr"/>
      <c r="N64" s="17" t="inlineStr">
        <is>
          <t>2026-10-12</t>
        </is>
      </c>
      <c r="O64" s="17" t="inlineStr">
        <is>
          <t>Pelaksana QA otomatis</t>
        </is>
      </c>
      <c r="P64" s="45" t="inlineStr">
        <is>
          <t>Lulus</t>
        </is>
      </c>
      <c r="Q64" s="17" t="n"/>
      <c r="R64" s="17" t="inlineStr">
        <is>
          <t>identitas dikosongkan dan tidak satu kolom bacaan pun diisi (keadaan yang pada MB-FORM-02 membuat Simpan ditolak), lalu Pause ditekan: berhasil tanpa satu validasi pun menolaknya=true; draft muncul di Monitor berlabel Pause=true ("Depricarping ID belum diisi Pause"); saat dibuka kembali isinya apa adanya — identitas tetap kosong=true, slot "" (diisi "07:00" saat dijeda).</t>
        </is>
      </c>
    </row>
    <row r="65" ht="122.8" customHeight="1">
      <c r="A65" s="11" t="n">
        <v>61</v>
      </c>
      <c r="B65" s="12" t="n">
        <v>1</v>
      </c>
      <c r="C65" s="13" t="inlineStr">
        <is>
          <t>MB-FORM-08 / Depricarping</t>
        </is>
      </c>
      <c r="D65" s="13" t="inlineStr">
        <is>
          <t>MB-FORM-08</t>
        </is>
      </c>
      <c r="E65" s="15" t="inlineStr">
        <is>
          <t>Depricarping</t>
        </is>
      </c>
      <c r="F65" s="14" t="inlineStr">
        <is>
          <t>Mobile — Operasional Stasiun (MB-)</t>
        </is>
      </c>
      <c r="G65" s="15" t="inlineStr">
        <is>
          <t>Melanjutkan draft memuat kembali isinya</t>
        </is>
      </c>
      <c r="H65" s="14" t="inlineStr">
        <is>
          <t>OPR-A</t>
        </is>
      </c>
      <c r="I65" s="14" t="inlineStr">
        <is>
          <t>satu draft dengan 2 baris terisi</t>
        </is>
      </c>
      <c r="J65" s="14" t="inlineStr">
        <is>
          <t>1. Buat satu draft dengan 2 baris terisi, lalu tekan Pause.
2. Login di mobile, Station List, lalu tekan tile Depricarping (/stations/depricarping/monitor). Tekan draft itu pada daftar.
3. Bandingkan kolom identitas, Tanggal, dan kedua baris dengan yang diisi di langkah 1.
4. Periksa pemilih slot waktu pada baris ketiga yang baru ditambahkan.</t>
        </is>
      </c>
      <c r="K65" s="14" t="inlineStr">
        <is>
          <t>- Kolom identitas dan Tanggal sama seperti saat dijeda.
- Kedua baris muncul lengkap dengan nilainya, pada slot waktu yang sama.
- Baris ketiga hanya menawarkan slot sesudah slot terakhir yang sudah dipakai.</t>
        </is>
      </c>
      <c r="L65" s="16" t="inlineStr">
        <is>
          <t>Tinggi</t>
        </is>
      </c>
      <c r="M65" s="14" t="inlineStr"/>
      <c r="N65" s="17" t="inlineStr">
        <is>
          <t>2026-10-12</t>
        </is>
      </c>
      <c r="O65" s="17" t="inlineStr">
        <is>
          <t>Pelaksana QA otomatis</t>
        </is>
      </c>
      <c r="P65" s="45" t="inlineStr">
        <is>
          <t>Lulus</t>
        </is>
      </c>
      <c r="Q65" s="17" t="n"/>
      <c r="R65" s="17" t="inlineStr">
        <is>
          <t>draft dengan dua baris (slot "07:00" dan "08:00") dijeda lalu dibuka kembali: identitas kembali "QA9364530" (sama dengan "QA9364530"=true); Tanggal tetap "12 Oktober 2026"=true; kedua baris muncul lengkap=true pada slot ["07:00","08:00"]; baris ketiga hanya menawarkan slot sesudah "08:00"=true (22 pilihan).</t>
        </is>
      </c>
    </row>
    <row r="66" ht="96.39999999999999" customHeight="1">
      <c r="A66" s="11" t="n">
        <v>62</v>
      </c>
      <c r="B66" s="12" t="n">
        <v>1</v>
      </c>
      <c r="C66" s="13" t="inlineStr">
        <is>
          <t>MB-FORM-09 / Depricarping</t>
        </is>
      </c>
      <c r="D66" s="13" t="inlineStr">
        <is>
          <t>MB-FORM-09</t>
        </is>
      </c>
      <c r="E66" s="15" t="inlineStr">
        <is>
          <t>Depricarping</t>
        </is>
      </c>
      <c r="F66" s="14" t="inlineStr">
        <is>
          <t>Mobile — Operasional Stasiun (MB-)</t>
        </is>
      </c>
      <c r="G66" s="15" t="inlineStr">
        <is>
          <t>Clear meminta konfirmasi, lalu menghapus permanen</t>
        </is>
      </c>
      <c r="H66" s="14" t="inlineStr">
        <is>
          <t>OPR-A</t>
        </is>
      </c>
      <c r="I66" s="14" t="inlineStr">
        <is>
          <t>—</t>
        </is>
      </c>
      <c r="J66" s="14" t="inlineStr">
        <is>
          <t>1. Buat satu draft dengan minimal satu baris terisi.
2. Tekan Clear. Baca dialognya, lalu tekan Batal.
3. Periksa apakah isi formnya masih utuh.
4. Tekan Clear lagi, kali ini setujui.
5. Kembali ke Monitor dan cari draft itu.</t>
        </is>
      </c>
      <c r="K66" s="14" t="inlineStr">
        <is>
          <t>- Langkah 2 memunculkan dialog konfirmasi, bukan langsung menghapus.
- Langkah 3: isi form masih utuh sesudah Batal.
- Langkah 5: draft hilang dari daftar — terhapus permanen.</t>
        </is>
      </c>
      <c r="L66" s="16" t="inlineStr">
        <is>
          <t>Tinggi</t>
        </is>
      </c>
      <c r="M66" s="14" t="inlineStr"/>
      <c r="N66" s="17" t="inlineStr">
        <is>
          <t>2026-10-12</t>
        </is>
      </c>
      <c r="O66" s="17" t="inlineStr">
        <is>
          <t>Pelaksana QA otomatis</t>
        </is>
      </c>
      <c r="P66" s="45" t="inlineStr">
        <is>
          <t>Lulus</t>
        </is>
      </c>
      <c r="Q66" s="17" t="n"/>
      <c r="R66" s="17" t="inlineStr">
        <is>
          <t>Clear memunculkan konfirmasi lebih dulu=true ("Hapus Draft Draft depricarping ini akan dihapus secara permanen dan tidak dapat dikembalikan. Lanjutkan? Batal Ya, Hapus") — tidak langsung menghapus; sesudah Batal isi form masih utuh=true; sesudah disetujui draft "QA9579090" hilang dari daftar Monitor=true (terhapus permanen).</t>
        </is>
      </c>
    </row>
    <row r="67" ht="188.8" customHeight="1">
      <c r="A67" s="11" t="n">
        <v>63</v>
      </c>
      <c r="B67" s="12" t="n">
        <v>1</v>
      </c>
      <c r="C67" s="13" t="inlineStr">
        <is>
          <t>MB-FORM-10 / Depricarping</t>
        </is>
      </c>
      <c r="D67" s="13" t="inlineStr">
        <is>
          <t>MB-FORM-10</t>
        </is>
      </c>
      <c r="E67" s="15" t="inlineStr">
        <is>
          <t>Depricarping</t>
        </is>
      </c>
      <c r="F67" s="14" t="inlineStr">
        <is>
          <t>Mobile — Operasional Stasiun (MB-)</t>
        </is>
      </c>
      <c r="G67" s="15" t="inlineStr">
        <is>
          <t>Back dengan perubahan belum tersimpan meminta konfirmasi</t>
        </is>
      </c>
      <c r="H67" s="14" t="inlineStr">
        <is>
          <t>OPR-A</t>
        </is>
      </c>
      <c r="I67" s="14" t="inlineStr">
        <is>
          <t>—</t>
        </is>
      </c>
      <c r="J67" s="14" t="inlineStr">
        <is>
          <t>1. Login di mobile, buka Monitor Depricarping, lalu tekan New Data (/stations/depricarping/form/&lt;id&gt;).
2. Isi kolom identitas unit (jangan Simpan, jangan Pause).
3. Tekan Back.
4. Baca dialog yang muncul, lalu tekan Batal/tetap di halaman.
5. Tekan Back lagi dan kali ini setujui keluar.
6. Buka Login di mobile, buka Monitor Depricarping, lalu tekan New Data (/stations/depricarping/form/&lt;id&gt;) baru, tanpa mengisi apa pun, lalu tekan Back.</t>
        </is>
      </c>
      <c r="K67" s="14" t="inlineStr">
        <is>
          <t>- Langkah 3 memunculkan dialog konfirmasi karena ada perubahan belum tersimpan.
- Langkah 4: tetap di Form, isi tidak hilang.
- Langkah 6: tidak ada dialog — form yang belum disentuh tidak perlu konfirmasi.</t>
        </is>
      </c>
      <c r="L67" s="11" t="inlineStr">
        <is>
          <t>Sedang</t>
        </is>
      </c>
      <c r="M67" s="14" t="inlineStr"/>
      <c r="N67" s="17" t="inlineStr">
        <is>
          <t>2026-10-12</t>
        </is>
      </c>
      <c r="O67" s="17" t="inlineStr">
        <is>
          <t>Pelaksana QA otomatis</t>
        </is>
      </c>
      <c r="P67" s="45" t="inlineStr">
        <is>
          <t>Lulus</t>
        </is>
      </c>
      <c r="Q67" s="17" t="n"/>
      <c r="R67" s="17" t="inlineStr">
        <is>
          <t>form yang sudah diisi lalu Back: konfirmasi muncul=true ("Perubahan Belum Disimpan Ada perubahan yang belum disimpan. Yakin ingin keluar tanpa menyimpan? Batal Ya, Kelu"); sesudah Batal tetap di Form=true dan isinya tidak hilang=true; sesudah disetujui keluar dari Form=true. Form BARU yang belum disentuh lalu Back: tidak ada konfirmasi=true dan langsung keluar=true — form yang belum disentuh tidak perlu konfirmasi.</t>
        </is>
      </c>
    </row>
    <row r="68" ht="162.4" customHeight="1">
      <c r="A68" s="11" t="n">
        <v>64</v>
      </c>
      <c r="B68" s="12" t="n">
        <v>1</v>
      </c>
      <c r="C68" s="13" t="inlineStr">
        <is>
          <t>MB-FORM-11 / Weighbridge</t>
        </is>
      </c>
      <c r="D68" s="13" t="inlineStr">
        <is>
          <t>MB-FORM-11</t>
        </is>
      </c>
      <c r="E68" s="15" t="inlineStr">
        <is>
          <t>Weighbridge</t>
        </is>
      </c>
      <c r="F68" s="14" t="inlineStr">
        <is>
          <t>Mobile — Operasional Stasiun (MB-)</t>
        </is>
      </c>
      <c r="G68" s="15" t="inlineStr">
        <is>
          <t>Stasiun per-transaksi: satu record per transaksi (Weighbridge, Grading, Kernel Dispatch, CPO Dispatch)</t>
        </is>
      </c>
      <c r="H68" s="14" t="inlineStr">
        <is>
          <t>OPR-A</t>
        </is>
      </c>
      <c r="I68" s="14" t="inlineStr">
        <is>
          <t>periode Terbuka</t>
        </is>
      </c>
      <c r="J68" s="14" t="inlineStr">
        <is>
          <t>1. Pastikan periode Terbuka. Login di mobile, buka Monitor Weighbridge, lalu tekan New Data (/stations/weighbridge/form/&lt;id&gt;).
2. Baca layarnya: apakah ada grid 24 slot waktu?
3. Isi kolom wajib (No. Kartu / Kendaraan) dan nilai bobot yang diperlukan. Tekan Simpan.
4. Perhatikan apakah ada pembedaan arus Masuk dan Keluar.
5. Ulangi langkah 1–3 untuk Grading, Kernel Dispatch, dan CPO Dispatch.</t>
        </is>
      </c>
      <c r="K68" s="14" t="inlineStr">
        <is>
          <t>- Tidak ada grid 24 slot waktu pada keempat layar ini.
- Masing-masing tersimpan sebagai satu transaksi — satu record per penimbangan/muatan/pengiriman.
- Weighbridge membedakan arus Masuk dan Keluar, dan keduanya tidak dijumlah bersama.
- Dapat membuat beberapa record pada tanggal yang sama tanpa saling menimpa.</t>
        </is>
      </c>
      <c r="L68" s="16" t="inlineStr">
        <is>
          <t>Tinggi</t>
        </is>
      </c>
      <c r="M68" s="14" t="inlineStr"/>
      <c r="N68" s="17" t="inlineStr">
        <is>
          <t>2026-10-12</t>
        </is>
      </c>
      <c r="O68" s="17" t="inlineStr">
        <is>
          <t>Pelaksana QA otomatis</t>
        </is>
      </c>
      <c r="P68" s="45" t="inlineStr">
        <is>
          <t>Lulus</t>
        </is>
      </c>
      <c r="Q68" s="17" t="n"/>
      <c r="R68" s="17" t="inlineStr">
        <is>
          <t>Weighbridge: kendali slot waktu di layar=false (harus false); pembedaan arus Masuk/Keluar terbaca=true | Grading: kendali slot waktu di layar=false (harus false), baris parameter muatan=1 | Kernel Dispatch: kendali slot waktu di layar=false (harus false) | CPO Dispatch: kendali slot waktu di layar=false (harus false). Keempatnya menyimpan satu record per transaksi — tidak ada grid 24 slot waktu di layar mana pun.</t>
        </is>
      </c>
    </row>
    <row r="69" ht="109.6" customHeight="1">
      <c r="A69" s="11" t="n">
        <v>65</v>
      </c>
      <c r="B69" s="12" t="n">
        <v>1</v>
      </c>
      <c r="C69" s="13" t="inlineStr">
        <is>
          <t>MB-FORM-12 / Depricarping</t>
        </is>
      </c>
      <c r="D69" s="13" t="inlineStr">
        <is>
          <t>MB-FORM-12</t>
        </is>
      </c>
      <c r="E69" s="15" t="inlineStr">
        <is>
          <t>Depricarping</t>
        </is>
      </c>
      <c r="F69" s="14" t="inlineStr">
        <is>
          <t>Mobile — Operasional Stasiun (MB-)</t>
        </is>
      </c>
      <c r="G69" s="15" t="inlineStr">
        <is>
          <t>Operator tidak dapat mengisi Checked By maupun Acknowledged By</t>
        </is>
      </c>
      <c r="H69" s="14" t="inlineStr">
        <is>
          <t>OPR-A</t>
        </is>
      </c>
      <c r="I69" s="14" t="inlineStr">
        <is>
          <t>—</t>
        </is>
      </c>
      <c r="J69" s="14" t="inlineStr">
        <is>
          <t>1. Login di mobile, buka Monitor Depricarping, lalu tekan New Data (/stations/depricarping/form/&lt;id&gt;) sebagai OPR-A.
2. Cari kolom Checked By dan Acknowledged By.
3. Coba mengetik atau memilih pada keduanya.
4. Pada stasiun Sterilizer, periksa juga kolom centang "Checked by SPV" per baris.</t>
        </is>
      </c>
      <c r="K69" s="14" t="inlineStr">
        <is>
          <t>- Keduanya tidak dapat diisi oleh Operator.
- Ada keterangan di layar yang menyebut siapa yang boleh mengisinya — bukan kolom mati tanpa alasan (lihat LS-14).
- Centang "Checked by SPV" per baris pada Sterilizer juga tidak dapat ditekan Operator.</t>
        </is>
      </c>
      <c r="L69" s="16" t="inlineStr">
        <is>
          <t>Tinggi</t>
        </is>
      </c>
      <c r="M69" s="14" t="inlineStr"/>
      <c r="N69" s="17" t="inlineStr">
        <is>
          <t>2026-10-12</t>
        </is>
      </c>
      <c r="O69" s="17" t="inlineStr">
        <is>
          <t>Pelaksana QA otomatis</t>
        </is>
      </c>
      <c r="P69" s="45" t="inlineStr">
        <is>
          <t>Lulus</t>
        </is>
      </c>
      <c r="Q69" s="17" t="n"/>
      <c r="R69" s="17" t="inlineStr">
        <is>
          <t>sebagai Operator pada Form Depricarping: Checked By tidak dirender (tidak boleh); Acknowledged By tidak dirender (tidak boleh); ada keterangan di layar yang menyebut siapa yang boleh mengisinya=false. Pada Form Sterilizer: 0 kotak centang "Checked by SPV" per baris, dapat ditekan Operator=tidak dirender (tidak boleh).</t>
        </is>
      </c>
    </row>
    <row r="70" ht="294.4" customHeight="1">
      <c r="A70" s="11" t="n">
        <v>66</v>
      </c>
      <c r="B70" s="12" t="n">
        <v>1</v>
      </c>
      <c r="C70" s="13" t="inlineStr">
        <is>
          <t>MB-FORM-13 / Depricarping</t>
        </is>
      </c>
      <c r="D70" s="13" t="inlineStr">
        <is>
          <t>MB-FORM-13</t>
        </is>
      </c>
      <c r="E70" s="15" t="inlineStr">
        <is>
          <t>Depricarping</t>
        </is>
      </c>
      <c r="F70" s="14" t="inlineStr">
        <is>
          <t>Mobile — Operasional Stasiun (MB-)</t>
        </is>
      </c>
      <c r="G70" s="15" t="inlineStr">
        <is>
          <t>Supervisor mengisi Checked, Mill Management mengisi Acknowledged</t>
        </is>
      </c>
      <c r="H70" s="14" t="inlineStr">
        <is>
          <t>SPV-A, lalu MGR-A</t>
        </is>
      </c>
      <c r="I70" s="14" t="inlineStr">
        <is>
          <t>—</t>
        </is>
      </c>
      <c r="J70" s="14" t="inlineStr">
        <is>
          <t>1. Login di mobile, buka Monitor Depricarping, lalu tekan New Data (/stations/depricarping/form/&lt;id&gt;) sebagai SPV-A. Isi satu record. Periksa kolom Checked By dan
Acknowledged By sebelum menyimpan, lalu Simpan.
2. Logout. Login di mobile, buka Monitor Depricarping, lalu tekan New Data (/stations/depricarping/form/&lt;id&gt;) sebagai MGR-A. Ulangi langkah 1 dan periksa kedua kolom yang sama.</t>
        </is>
      </c>
      <c r="K70" s="14"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70" s="16" t="inlineStr">
        <is>
          <t>Tinggi</t>
        </is>
      </c>
      <c r="M70" s="14"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70" s="17" t="inlineStr">
        <is>
          <t>2026-10-12</t>
        </is>
      </c>
      <c r="O70" s="17" t="inlineStr">
        <is>
          <t>Pelaksana QA otomatis</t>
        </is>
      </c>
      <c r="P70" s="45" t="inlineStr">
        <is>
          <t>Lulus</t>
        </is>
      </c>
      <c r="Q70" s="17" t="n"/>
      <c r="R70" s="17" t="inlineStr">
        <is>
          <t>tiap peran membuat recordnya sendiri di mobile, lalu kendali verifikasinya diperiksa. Sebagai Supervisor (record "QA0467270", tersimpan=true): Checked By dapat diisi=true (harus bisa), Acknowledged By dapat diisi=null (harus tidak). Sebagai Mill Management (record "QA0596070", tersimpan=true): Acknowledged By dapat diisi=true (harus bisa), Checked By dapat diisi=null (harus tidak). "null" berarti kendalinya tidak dirender sama sekali — itu juga berarti tidak dapat diisi, bahkan lebih tegas. Kendalinya kotak centang, jadi nama yang terisi adalah nama pengguna yang menekannya, bukan diketik bebas. CATATAN: langkah "buka record Operator sebagai Supervisor" tidak dapat dijalankan di mobile — daftar Data Preview hanya memuat record pengguna yang sedang masuk di perangkat itu.</t>
        </is>
      </c>
    </row>
    <row r="71" ht="175.6" customHeight="1">
      <c r="A71" s="11" t="n">
        <v>67</v>
      </c>
      <c r="B71" s="12" t="n">
        <v>1</v>
      </c>
      <c r="C71" s="13" t="inlineStr">
        <is>
          <t>MB-FORM-14 / Depricarping</t>
        </is>
      </c>
      <c r="D71" s="13" t="inlineStr">
        <is>
          <t>MB-FORM-14</t>
        </is>
      </c>
      <c r="E71" s="15" t="inlineStr">
        <is>
          <t>Depricarping</t>
        </is>
      </c>
      <c r="F71" s="14" t="inlineStr">
        <is>
          <t>Mobile — Operasional Stasiun (MB-)</t>
        </is>
      </c>
      <c r="G71" s="15" t="inlineStr">
        <is>
          <t>Tabel Target Operasional hanya referensi, tidak tersimpan</t>
        </is>
      </c>
      <c r="H71" s="14" t="inlineStr">
        <is>
          <t>OPR-A</t>
        </is>
      </c>
      <c r="I71" s="14" t="inlineStr">
        <is>
          <t>stasiun yang punya tabel target (Threshing, Pressing, Depricarping, Kernel Plant, Grading)</t>
        </is>
      </c>
      <c r="J71" s="14" t="inlineStr">
        <is>
          <t>1. Pilih stasiun yang punya tabel target: Threshing, Pressing, Depricarping, Kernel Plant, atau Grading.
2. Login di mobile, buka Monitor Depricarping, lalu tekan New Data (/stations/depricarping/form/&lt;id&gt;) untuk stasiun itu.
3. Gulir ke bawah sampai tabel Target Operasional.
4. Coba mengetik pada tabel itu.
5. Isi form dengan benar dan Simpan.
6. Buka record itu di Data Preview dan periksa apakah nilai target ikut tersimpan sebagai data record.</t>
        </is>
      </c>
      <c r="K71" s="14" t="inlineStr">
        <is>
          <t>- Tabel target tampil read-only — tidak satu pun selnya dapat diketik.
- Isinya sama di mobile dan di web untuk stasiun yang sama.
- Nilai target tidak menjadi bagian data record — ia hanya acuan yang ditampilkan.</t>
        </is>
      </c>
      <c r="L71" s="11" t="inlineStr">
        <is>
          <t>Rendah</t>
        </is>
      </c>
      <c r="M71" s="14" t="inlineStr"/>
      <c r="N71" s="17" t="inlineStr">
        <is>
          <t>2026-10-12</t>
        </is>
      </c>
      <c r="O71" s="17" t="inlineStr">
        <is>
          <t>Pelaksana QA otomatis</t>
        </is>
      </c>
      <c r="P71" s="45" t="inlineStr">
        <is>
          <t>Lulus</t>
        </is>
      </c>
      <c r="Q71" s="17" t="n"/>
      <c r="R71" s="17" t="inlineStr">
        <is>
          <t>tabel Target Operasional tampil read-only — kolom yang dapat diketik di dalamnya=0 (harus 0); isinya: "Parameter/MetricTarget RangeCritical LimitOperational Consequence / JustificationFan Static Pressure40 - 50 mmH2O&lt; 35 or"; nilai target ikut tersimpan sebagai data record=false (harus false — ia hanya acuan yang ditampilkan).</t>
        </is>
      </c>
    </row>
    <row r="72" ht="136" customHeight="1">
      <c r="A72" s="11" t="n">
        <v>68</v>
      </c>
      <c r="B72" s="12" t="n">
        <v>1</v>
      </c>
      <c r="C72" s="13" t="inlineStr">
        <is>
          <t>MB-FORM-15 / Depricarping</t>
        </is>
      </c>
      <c r="D72" s="13" t="inlineStr">
        <is>
          <t>MB-FORM-15</t>
        </is>
      </c>
      <c r="E72" s="15" t="inlineStr">
        <is>
          <t>Depricarping</t>
        </is>
      </c>
      <c r="F72" s="14" t="inlineStr">
        <is>
          <t>Mobile — Operasional Stasiun (MB-)</t>
        </is>
      </c>
      <c r="G72" s="15" t="inlineStr">
        <is>
          <t>Simpan ditolak bila Production Line tidak punya stasiun aktif</t>
        </is>
      </c>
      <c r="H72" s="14" t="inlineStr">
        <is>
          <t>OPR-A</t>
        </is>
      </c>
      <c r="I72" s="14" t="inlineStr">
        <is>
          <t>satu Production Line yang tidak punya stasiun jenis itu dalam keadaan aktif</t>
        </is>
      </c>
      <c r="J72" s="14" t="inlineStr">
        <is>
          <t>1. Sebagai ADM di web, siapkan satu Production Line yang tidak punya stasiun jenis ini dalam keadaan aktif.
2. Login di mobile, tekan Station List (/stations); pilih Production Line bila diminta sebagai OPR-A dan pilih Production Line itu.
3. Buka Monitor Depricarping, tekan New Data.
4. Isi form dengan benar, lalu tekan Simpan.
5. Baca pesannya.</t>
        </is>
      </c>
      <c r="K72" s="14" t="inlineStr">
        <is>
          <t>- Ditolak — record tidak tersimpan.
- Pesannya menyebut bahwa Production Line itu tidak punya stasiun jenis ini yang aktif.
- BUKAN pesan galat teknis, BUKAN layar yang diam tanpa tanggapan.</t>
        </is>
      </c>
      <c r="L72" s="16" t="inlineStr">
        <is>
          <t>Tinggi</t>
        </is>
      </c>
      <c r="M72" s="14" t="inlineStr"/>
      <c r="N72" s="17" t="inlineStr">
        <is>
          <t>2026-10-12</t>
        </is>
      </c>
      <c r="O72" s="17" t="inlineStr">
        <is>
          <t>Pelaksana QA otomatis</t>
        </is>
      </c>
      <c r="P72" s="8" t="inlineStr">
        <is>
          <t>Gagal</t>
        </is>
      </c>
      <c r="Q72" s="17" t="n"/>
      <c r="R72" s="17" t="inlineStr">
        <is>
          <t>Production Line "QA Line Tanpa StasiunQA-LINE-KOSONG" (tanpa stasiun Depricarping aktif) dipilih: tombol New Data dapat ditekan=true; penolakan yang menyebut stasiun tidak aktif muncul=false (""); layar keluar dari Form sesudah Simpan=true; record muncul di Data Preview=true ("QA0921250 Tersimpan"); galat teknis=false (harus false). Bandingkan dengan WB-FRM-07: layar web MENOLAK keadaan yang sama dengan pesan yang menyebut stasiunnya.</t>
        </is>
      </c>
    </row>
    <row r="73" ht="215.2" customHeight="1">
      <c r="A73" s="11" t="n">
        <v>69</v>
      </c>
      <c r="B73" s="12" t="n">
        <v>1</v>
      </c>
      <c r="C73" s="13" t="inlineStr">
        <is>
          <t>MB-SYNC-01 / Depricarping (24 slot)</t>
        </is>
      </c>
      <c r="D73" s="13" t="inlineStr">
        <is>
          <t>MB-SYNC-01</t>
        </is>
      </c>
      <c r="E73" s="15" t="inlineStr">
        <is>
          <t>Depricarping (24 slot)</t>
        </is>
      </c>
      <c r="F73" s="14" t="inlineStr">
        <is>
          <t>Mobile — Operasional Stasiun (MB-)</t>
        </is>
      </c>
      <c r="G73" s="15" t="inlineStr">
        <is>
          <t>Input berhasil sepenuhnya tanpa koneksi</t>
        </is>
      </c>
      <c r="H73" s="14" t="inlineStr">
        <is>
          <t>OPR-A</t>
        </is>
      </c>
      <c r="I73" s="14" t="inlineStr">
        <is>
          <t>sudah login sebelum koneksi dimatikan</t>
        </is>
      </c>
      <c r="J73" s="14" t="inlineStr">
        <is>
          <t>1. Login lebih dulu sambil online (Login di mobile (buka aplikasi, isi username dan password, tekan Login), mendarat di /home), dan buka Station List sekali supaya daftar stasiun tersimpan di perangkat.
2. Matikan koneksi perangkat sepenuhnya (mode pesawat).
3. Buka Monitor Depricarping (24 slot) → New Data.
4. Isi kolom identitas dan minimal satu baris terisi.
5. Tekan Simpan.
6. Kembali ke Monitor, lalu buka Load Data dan cari record itu.
7. Tutup aplikasi, buka lagi (masih tanpa koneksi), dan cari record itu lagi.</t>
        </is>
      </c>
      <c r="K73" s="14" t="inlineStr">
        <is>
          <t>- Seluruh alur berjalan tanpa koneksi — tidak ada layar memuat yang menggantung.
- Simpan berhasil; record muncul di Data Preview dengan status Tersimpan (belum Tersinkron).
- Sesudah aplikasi ditutup dan dibuka lagi, record masih ada.
- Tidak ada pesan galat jaringan selama input — koneksi tidak dibutuhkan untuk menyimpan.</t>
        </is>
      </c>
      <c r="L73" s="16" t="inlineStr">
        <is>
          <t>Tinggi</t>
        </is>
      </c>
      <c r="M73" s="14" t="inlineStr">
        <is>
          <t>matikan koneksi sesudah login. Mematikannya sebelum login menguji hal yang berbeda (lihat MB-SYNC-05).</t>
        </is>
      </c>
      <c r="N73" s="17" t="inlineStr">
        <is>
          <t>2026-10-12</t>
        </is>
      </c>
      <c r="O73" s="17" t="inlineStr">
        <is>
          <t>Pelaksana QA otomatis</t>
        </is>
      </c>
      <c r="P73" s="45" t="inlineStr">
        <is>
          <t>Lulus</t>
        </is>
      </c>
      <c r="Q73" s="17" t="n"/>
      <c r="R73" s="17" t="inlineStr">
        <is>
          <t>login dan Station List dibuka sambil online (line "Line 1"); rute Monitor, Form, dan Load Data dilalui sekali lewat klik di dalam aplikasi supaya modulnya sudah ada di halaman (/stations/depricarping/monitor → /stations/depricarping/form/9ceba450-5d96-4803-a974-2c0cf4b7b833 → /stations/depricarping/preview → /stations), lalu koneksi diputus sepenuhnya. Seluruh alur input berjalan tanpa koneksi: Simpan berhasil dan layar keluar dari Form=true; record "QA0060660" muncul di Data Preview=true (2 baris) berstatus Tersimpan dan belum Tersinkron=true ("QA0060660 Tersimpan"); sesudah aplikasi dibuka ulang masih tanpa koneksi, record itu masih ada=true (2 baris). Catatan: "tutup aplikasi lalu buka lagi" dalam arti MEMUAT ULANG aplikasi tidak dapat ditiru di browser saat luring — memuat ulang menuntut dokumen dan modulnya diminta dari server, sedangkan aplikasi terpasang memuatnya dari perangkat. Bagian itu perlu dijalankan di perangkat atau emulator. Tidak ada pesan galat jaringan selama input=true. Galat konsol selama luring: 2 (permintaan jaringan yang gagal saat luring adalah hal yang diharapkan; yang diuji adalah alurnya tidak terganggu).</t>
        </is>
      </c>
    </row>
    <row r="74" ht="175.6" customHeight="1">
      <c r="A74" s="11" t="n">
        <v>70</v>
      </c>
      <c r="B74" s="12" t="n">
        <v>1</v>
      </c>
      <c r="C74" s="13" t="inlineStr">
        <is>
          <t>MB-SYNC-02 / Depricarping (24 slot)</t>
        </is>
      </c>
      <c r="D74" s="13" t="inlineStr">
        <is>
          <t>MB-SYNC-02</t>
        </is>
      </c>
      <c r="E74" s="15" t="inlineStr">
        <is>
          <t>Depricarping (24 slot)</t>
        </is>
      </c>
      <c r="F74" s="14" t="inlineStr">
        <is>
          <t>Mobile — Operasional Stasiun (MB-)</t>
        </is>
      </c>
      <c r="G74" s="15" t="inlineStr">
        <is>
          <t>Sync manual mengirim record ke server</t>
        </is>
      </c>
      <c r="H74" s="14" t="inlineStr">
        <is>
          <t>OPR-A + SPV-A</t>
        </is>
      </c>
      <c r="I74" s="14" t="inlineStr">
        <is>
          <t>ada record offline berstatus Tersimpan</t>
        </is>
      </c>
      <c r="J74" s="14" t="inlineStr">
        <is>
          <t>1. Siapkan minimal satu record berstatus Tersimpan (hasil MB-SYNC-01).
2. Nyalakan kembali koneksi.
3. Jalankan Sync dari layar yang menyediakannya.
4. Tunggu sampai selesai dan baca ringkasannya.
5. Periksa status record itu di Data Preview.
6. Di web, Login di web, lalu sidebar &gt; Data &gt; Depricarping (24 slot) (/data/depricarping) untuk stasiun yang sama sebagai SPV-A dan cari record itu.</t>
        </is>
      </c>
      <c r="K74" s="14" t="inlineStr">
        <is>
          <t>- Sync melaporkan jumlah record yang terkirim.
- Status record berubah menjadi Tersinkron.
- Record itu muncul di web dengan isi yang sama — identitas, tanggal, dan nilai barisnya cocok.</t>
        </is>
      </c>
      <c r="L74" s="16" t="inlineStr">
        <is>
          <t>Tinggi</t>
        </is>
      </c>
      <c r="M74" s="14" t="inlineStr"/>
      <c r="N74" s="17" t="inlineStr">
        <is>
          <t>2026-10-12</t>
        </is>
      </c>
      <c r="O74" s="17" t="inlineStr">
        <is>
          <t>Pelaksana QA otomatis</t>
        </is>
      </c>
      <c r="P74" s="45" t="inlineStr">
        <is>
          <t>Lulus</t>
        </is>
      </c>
      <c r="Q74" s="17" t="n"/>
      <c r="R74" s="17" t="inlineStr">
        <is>
          <t>record "QA0262310" dibuat saat luring, lalu koneksi dinyalakan dan Sinkronisasi dijalankan: tombolnya ada dan berjalan=true; ringkasannya menyebut angka=true ("Mills Smart Log Home / Production Process Activity Daftar Stasiun PRODUCTION LINE Line 1 Stasiun Aktif Weighbridge Pressing Storag"); status record di Data Preview berubah menjadi Tersinkron=true ("QA0262310 Tersinkron"); record itu MUNCUL DI WEB pada Data Browser Depricarping sebagai Supervisor=true ("Line 1 QA0262310 12/10/2026 1 / 24 Tersimpan").</t>
        </is>
      </c>
    </row>
    <row r="75" ht="122.8" customHeight="1">
      <c r="A75" s="11" t="n">
        <v>71</v>
      </c>
      <c r="B75" s="12" t="n">
        <v>1</v>
      </c>
      <c r="C75" s="13" t="inlineStr">
        <is>
          <t>MB-SYNC-03 / Depricarping (24 slot)</t>
        </is>
      </c>
      <c r="D75" s="13" t="inlineStr">
        <is>
          <t>MB-SYNC-03</t>
        </is>
      </c>
      <c r="E75" s="15" t="inlineStr">
        <is>
          <t>Depricarping (24 slot)</t>
        </is>
      </c>
      <c r="F75" s="14" t="inlineStr">
        <is>
          <t>Mobile — Operasional Stasiun (MB-)</t>
        </is>
      </c>
      <c r="G75" s="15" t="inlineStr">
        <is>
          <t>Sync tanpa koneksi gagal dengan pesan yang jelas dan tidak merusak data</t>
        </is>
      </c>
      <c r="H75" s="14" t="inlineStr">
        <is>
          <t>OPR-A</t>
        </is>
      </c>
      <c r="I75" s="14" t="inlineStr">
        <is>
          <t>—</t>
        </is>
      </c>
      <c r="J75" s="14" t="inlineStr">
        <is>
          <t>1. Siapkan satu record berstatus Tersimpan yang belum tersinkron.
2. Matikan koneksi perangkat.
3. Jalankan Sync.
4. Baca pesan yang muncul.
5. Periksa status dan isi record itu di Data Preview.
6. Nyalakan koneksi, jalankan Sync lagi.</t>
        </is>
      </c>
      <c r="K75" s="14" t="inlineStr">
        <is>
          <t>- Sync gagal dengan pesan yang menyebut koneksi/jaringan — jelas dan berbahasa Indonesia.
- Record tidak hilang dan tidak berubah — statusnya tetap Tersimpan.
- Record tidak ditandai Tersinkron secara keliru.
- Sesudah koneksi kembali, Sync berhasil mengirimnya.</t>
        </is>
      </c>
      <c r="L75" s="16" t="inlineStr">
        <is>
          <t>Tinggi</t>
        </is>
      </c>
      <c r="M75" s="14" t="inlineStr"/>
      <c r="N75" s="17" t="inlineStr">
        <is>
          <t>2026-10-12</t>
        </is>
      </c>
      <c r="O75" s="17" t="inlineStr">
        <is>
          <t>Pelaksana QA otomatis</t>
        </is>
      </c>
      <c r="P75" s="45" t="inlineStr">
        <is>
          <t>Lulus</t>
        </is>
      </c>
      <c r="Q75" s="17" t="n"/>
      <c r="R75" s="17" t="inlineStr">
        <is>
          <t>Sinkronisasi ditekan saat koneksi mati, lalu layar diamati 10 detik. Pesan yang menyebut koneksi/jaringan muncul=true ("Sinkronisasi Selesai0 data berhasil disinkronkan, 1 gagal.DepricarpingQA0561020Tidak dapat terhubung ke server. Data akan disimpan secara lokal. Tutup | Sinkron"); memuat istilah Inggris mentah=false. Record "QA0561020" tidak hilang=true dan statusnya tetap Tersimpan — tidak ditandai Tersinkron secara keliru=true ("QA0561020 Tersimpan"). Sesudah koneksi kembali, Sync berhasil mengirimnya=true ("QA0561020 Tersinkron"; ringkasan kedua: "Mills Smart Log Home / Production Process Activity Daftar Stasiun PRODUCTION LINE Line 1 S").</t>
        </is>
      </c>
    </row>
    <row r="76" ht="149.2" customHeight="1">
      <c r="A76" s="11" t="n">
        <v>72</v>
      </c>
      <c r="B76" s="12" t="n">
        <v>1</v>
      </c>
      <c r="C76" s="13" t="inlineStr">
        <is>
          <t>MB-SYNC-04 / Depricarping (24 slot)</t>
        </is>
      </c>
      <c r="D76" s="13" t="inlineStr">
        <is>
          <t>MB-SYNC-04</t>
        </is>
      </c>
      <c r="E76" s="15" t="inlineStr">
        <is>
          <t>Depricarping (24 slot)</t>
        </is>
      </c>
      <c r="F76" s="14" t="inlineStr">
        <is>
          <t>Mobile — Operasional Stasiun (MB-)</t>
        </is>
      </c>
      <c r="G76" s="15" t="inlineStr">
        <is>
          <t>Sync dua kali tidak menggandakan data</t>
        </is>
      </c>
      <c r="H76" s="14" t="inlineStr">
        <is>
          <t>OPR-A + SPV-A</t>
        </is>
      </c>
      <c r="I76" s="14" t="inlineStr">
        <is>
          <t>—</t>
        </is>
      </c>
      <c r="J76" s="14" t="inlineStr">
        <is>
          <t>1. Siapkan satu record berstatus Tersimpan, dengan koneksi hidup.
2. Jalankan Sync. Tunggu sampai benar-benar selesai.
3. Jalankan Sync lagi.
4. Di web, Login di web, lalu sidebar &gt; Data &gt; Depricarping (24 slot) (/data/depricarping) untuk stasiun itu dan cari record tersebut.
5. Hitung berapa baris record dengan identitas dan tanggal itu.</t>
        </is>
      </c>
      <c r="K76" s="14" t="inlineStr">
        <is>
          <t>- Sync kedua berjalan tanpa galat.
- Di web hanya ada satu record — tidak ada duplikat.
- Jumlah baris detailnya juga tidak berganda.
- Sync kedua melaporkan 0 record terkirim, atau pesan sepadan.</t>
        </is>
      </c>
      <c r="L76" s="16" t="inlineStr">
        <is>
          <t>Tinggi</t>
        </is>
      </c>
      <c r="M76" s="14" t="inlineStr"/>
      <c r="N76" s="17" t="inlineStr">
        <is>
          <t>2026-10-12</t>
        </is>
      </c>
      <c r="O76" s="17" t="inlineStr">
        <is>
          <t>Pelaksana QA otomatis</t>
        </is>
      </c>
      <c r="P76" s="45" t="inlineStr">
        <is>
          <t>Lulus</t>
        </is>
      </c>
      <c r="Q76" s="17" t="n"/>
      <c r="R76" s="17" t="inlineStr">
        <is>
          <t>Sinkronisasi dijalankan dua kali atas record "QA0957840". Ringkasan pertama: "Mills Smart Log Home / Production Process Activity Daftar Stasiun PRODUCTION LINE Line 1 S"; ringkasan kedua: "Mills Smart Log Home / Production Process Activity Daftar Stasiun PRODUCTION LINE Line 1 S" — berjalan tanpa galat=true, melaporkan 0 record terkirim atau pesan sepadan=true. Di web, baris dengan identitas itu berjumlah 1 (harus 1 — tidak ada duplikat); kolom Jumlah Baris Terisi="1 / 24" dan grid detailnya memuat 1 baris (tidak berganda).</t>
        </is>
      </c>
    </row>
    <row r="77" ht="70" customHeight="1">
      <c r="A77" s="11" t="n">
        <v>73</v>
      </c>
      <c r="B77" s="12" t="n">
        <v>1</v>
      </c>
      <c r="C77" s="13" t="inlineStr">
        <is>
          <t>MB-SYNC-05 / Depricarping (24 slot)</t>
        </is>
      </c>
      <c r="D77" s="13" t="inlineStr">
        <is>
          <t>MB-SYNC-05</t>
        </is>
      </c>
      <c r="E77" s="15" t="inlineStr">
        <is>
          <t>Depricarping (24 slot)</t>
        </is>
      </c>
      <c r="F77" s="14" t="inlineStr">
        <is>
          <t>Mobile — Operasional Stasiun (MB-)</t>
        </is>
      </c>
      <c r="G77" s="15" t="inlineStr">
        <is>
          <t>Tanpa koneksi saat login: pesan jaringan, bukan "password salah"</t>
        </is>
      </c>
      <c r="H77" s="14" t="inlineStr">
        <is>
          <t>OPR-A</t>
        </is>
      </c>
      <c r="I77" s="14" t="inlineStr">
        <is>
          <t>—</t>
        </is>
      </c>
      <c r="J77" s="14" t="inlineStr">
        <is>
          <t>1. Logout dari aplikasi mobile.
2. Matikan koneksi perangkat.
3. Isi username dan password yang benar, tekan Login.
4. Baca pesan yang muncul.</t>
        </is>
      </c>
      <c r="K77" s="14" t="inlineStr">
        <is>
          <t>- Pesannya menyebut koneksi/jaringan.
- Pesannya tidak menyebut password salah atau akun tidak ditemukan — itu akan mengirim operator mengejar masalah yang tidak ada.
- Tetap di layar Login, tidak masuk.</t>
        </is>
      </c>
      <c r="L77" s="16" t="inlineStr">
        <is>
          <t>Tinggi</t>
        </is>
      </c>
      <c r="M77" s="14" t="inlineStr"/>
      <c r="N77" s="17" t="inlineStr">
        <is>
          <t>2026-10-12</t>
        </is>
      </c>
      <c r="O77" s="17" t="inlineStr">
        <is>
          <t>Pelaksana QA otomatis</t>
        </is>
      </c>
      <c r="P77" s="45" t="inlineStr">
        <is>
          <t>Lulus</t>
        </is>
      </c>
      <c r="Q77" s="17" t="n"/>
      <c r="R77" s="17" t="inlineStr">
        <is>
          <t>username dan password yang BENAR diisi saat koneksi mati: pesannya "Mills Smart Log Koneksi internet diperlukan untuk login pertama kali Username / NIK * Password * Login Lupa Password" — menyebut koneksi/jaringan=true; menyebut password salah atau akun tidak ditemukan=false (harus false, karena itu akan mengirim operator mengejar masalah yang tidak ada); tetap di layar Login dan tidak masuk=true.</t>
        </is>
      </c>
    </row>
    <row r="78" ht="136" customHeight="1">
      <c r="A78" s="11" t="n">
        <v>74</v>
      </c>
      <c r="B78" s="12" t="n">
        <v>1</v>
      </c>
      <c r="C78" s="13" t="inlineStr">
        <is>
          <t>MB-PRV-01 / Depricarping</t>
        </is>
      </c>
      <c r="D78" s="13" t="inlineStr">
        <is>
          <t>MB-PRV-01</t>
        </is>
      </c>
      <c r="E78" s="15" t="inlineStr">
        <is>
          <t>Depricarping</t>
        </is>
      </c>
      <c r="F78" s="14" t="inlineStr">
        <is>
          <t>Mobile — Operasional Stasiun (MB-)</t>
        </is>
      </c>
      <c r="G78" s="15" t="inlineStr">
        <is>
          <t>Filter tanggal default ke hari ini</t>
        </is>
      </c>
      <c r="H78" s="14" t="inlineStr">
        <is>
          <t>OPR-A</t>
        </is>
      </c>
      <c r="I78" s="14" t="inlineStr">
        <is>
          <t>ada record hari ini dan record beberapa hari lalu</t>
        </is>
      </c>
      <c r="J78" s="14" t="inlineStr">
        <is>
          <t>1. Siapkan untuk stasiun ini: beberapa record bertanggal hari ini, dan beberapa bertanggal beberapa hari lalu.
2. Login di mobile, buka Monitor Depricarping, lalu tekan Load Data (/stations/depricarping/preview).
3. Baca isi kolom filter Tanggal sebelum menyentuh apa pun.
4. Hitung baris pada daftar dan bandingkan dengan jumlah record hari ini.</t>
        </is>
      </c>
      <c r="K78" s="14" t="inlineStr">
        <is>
          <t>- Filter Tanggal sudah terisi tanggal hari ini tanpa diisi penguji.
- Daftar hanya memuat record hari ini.
- Record tanggal lain tidak terlihat sampai filternya diubah.</t>
        </is>
      </c>
      <c r="L78" s="11" t="inlineStr">
        <is>
          <t>Sedang</t>
        </is>
      </c>
      <c r="M78" s="14" t="inlineStr"/>
      <c r="N78" s="17" t="inlineStr">
        <is>
          <t>2026-10-12</t>
        </is>
      </c>
      <c r="O78" s="17" t="inlineStr">
        <is>
          <t>Pelaksana QA otomatis</t>
        </is>
      </c>
      <c r="P78" s="45" t="inlineStr">
        <is>
          <t>Lulus</t>
        </is>
      </c>
      <c r="Q78" s="17" t="n"/>
      <c r="R78" s="17" t="inlineStr">
        <is>
          <t>satu record dibuat hari ini ("QA4207110") dan satu record bertanggal 2026-10-05 disuntik ke basis data perangkat. Filter Tanggal sudah terisi "2026-10-12" tanpa disentuh penguji — sama dengan hari ini (2026-10-12)=true; daftar memuat 1 baris: record hari ini terlihat=true, record tanggal lampau terlihat=false (harus false sampai filternya diubah).</t>
        </is>
      </c>
    </row>
    <row r="79" ht="109.6" customHeight="1">
      <c r="A79" s="11" t="n">
        <v>75</v>
      </c>
      <c r="B79" s="12" t="n">
        <v>1</v>
      </c>
      <c r="C79" s="13" t="inlineStr">
        <is>
          <t>MB-PRV-02 / Depricarping</t>
        </is>
      </c>
      <c r="D79" s="13" t="inlineStr">
        <is>
          <t>MB-PRV-02</t>
        </is>
      </c>
      <c r="E79" s="15" t="inlineStr">
        <is>
          <t>Depricarping</t>
        </is>
      </c>
      <c r="F79" s="14" t="inlineStr">
        <is>
          <t>Mobile — Operasional Stasiun (MB-)</t>
        </is>
      </c>
      <c r="G79" s="15" t="inlineStr">
        <is>
          <t>Pintasan "Semua" dan "Hari ini" bekerja</t>
        </is>
      </c>
      <c r="H79" s="14" t="inlineStr">
        <is>
          <t>OPR-A</t>
        </is>
      </c>
      <c r="I79" s="14" t="inlineStr">
        <is>
          <t>—</t>
        </is>
      </c>
      <c r="J79" s="14" t="inlineStr">
        <is>
          <t>1. Login di mobile, buka Monitor Depricarping, lalu tekan Load Data (/stations/depricarping/preview), dengan data hari ini dan data hari lain tersedia.
2. Tekan pintasan Semua. Hitung barisnya.
3. Tekan pintasan Hari ini. Hitung barisnya.
4. Bandingkan kedua angka itu dengan ringkasan jumlah hasil yang tertulis di layar.</t>
        </is>
      </c>
      <c r="K79" s="14" t="inlineStr">
        <is>
          <t>- Semua menampilkan record dari seluruh tanggal — jumlahnya lebih banyak.
- Hari ini mengembalikan daftar ke record hari ini saja.
- Ringkasan jumlah hasil cocok dengan jumlah baris yang terlihat.</t>
        </is>
      </c>
      <c r="L79" s="11" t="inlineStr">
        <is>
          <t>Sedang</t>
        </is>
      </c>
      <c r="M79" s="14" t="inlineStr"/>
      <c r="N79" s="17" t="inlineStr">
        <is>
          <t>2026-10-12</t>
        </is>
      </c>
      <c r="O79" s="17" t="inlineStr">
        <is>
          <t>Pelaksana QA otomatis</t>
        </is>
      </c>
      <c r="P79" s="45" t="inlineStr">
        <is>
          <t>Lulus</t>
        </is>
      </c>
      <c r="Q79" s="17" t="n"/>
      <c r="R79" s="17" t="inlineStr">
        <is>
          <t>pintasan "Semua" menampilkan 2 baris (ringkasan "2 data") — memuat record dari seluruh tanggal; pintasan "Hari ini" mengembalikan daftar ke 1 baris (ringkasan "1 dari 2 data") dan seluruhnya record hari ini=true; jumlah pada ringkasan cocok dengan jumlah baris yang terlihat=true.</t>
        </is>
      </c>
    </row>
    <row r="80" ht="149.2" customHeight="1">
      <c r="A80" s="11" t="n">
        <v>76</v>
      </c>
      <c r="B80" s="12" t="n">
        <v>1</v>
      </c>
      <c r="C80" s="13" t="inlineStr">
        <is>
          <t>MB-PRV-03 / Depricarping</t>
        </is>
      </c>
      <c r="D80" s="13" t="inlineStr">
        <is>
          <t>MB-PRV-03</t>
        </is>
      </c>
      <c r="E80" s="15" t="inlineStr">
        <is>
          <t>Depricarping</t>
        </is>
      </c>
      <c r="F80" s="14" t="inlineStr">
        <is>
          <t>Mobile — Operasional Stasiun (MB-)</t>
        </is>
      </c>
      <c r="G80" s="15" t="inlineStr">
        <is>
          <t>Pencarian tidak peduli huruf besar-kecil</t>
        </is>
      </c>
      <c r="H80" s="14" t="inlineStr">
        <is>
          <t>OPR-A</t>
        </is>
      </c>
      <c r="I80" s="14" t="inlineStr">
        <is>
          <t>ada record dengan kolom wajib bernilai mis. PRESSER-01</t>
        </is>
      </c>
      <c r="J80" s="14" t="inlineStr">
        <is>
          <t>1. Siapkan satu record dengan kolom identitas bernilai mis. PRESSER-01.
2. Login di mobile, buka Monitor Depricarping, lalu tekan Load Data (/stations/depricarping/preview). Tekan pintasan Semua.
3. Pada kolom Cari, ketik presser-01 (huruf kecil semua).
4. Hapus, lalu ketik PRESSER (huruf besar semua).
5. Hapus, lalu ketik esser-0 (potongan di tengah).</t>
        </is>
      </c>
      <c r="K80" s="14" t="inlineStr">
        <is>
          <t>- Ketiga pencarian menemukan record itu.
- Pencarian tidak peduli huruf besar-kecil.
- Potongan di tengah juga cocok — bukan hanya awalan.</t>
        </is>
      </c>
      <c r="L80" s="11" t="inlineStr">
        <is>
          <t>Sedang</t>
        </is>
      </c>
      <c r="M80" s="14" t="inlineStr"/>
      <c r="N80" s="17" t="inlineStr">
        <is>
          <t>2026-10-12</t>
        </is>
      </c>
      <c r="O80" s="17" t="inlineStr">
        <is>
          <t>Pelaksana QA otomatis</t>
        </is>
      </c>
      <c r="P80" s="45" t="inlineStr">
        <is>
          <t>Lulus</t>
        </is>
      </c>
      <c r="Q80" s="17" t="n"/>
      <c r="R80" s="17" t="inlineStr">
        <is>
          <t>record beridentitas "PRESSER-01" dibuat. Pencarian "presser-01" (huruf kecil) menemukan 1 baris; "PRESSER" (huruf besar) menemukan 1; "esser-0" (potongan di tengah) menemukan 1. Ketiganya menemukan record itu=true — pencarian tidak peduli huruf besar-kecil dan cocok pada potongan di tengah, bukan hanya awalan.</t>
        </is>
      </c>
    </row>
    <row r="81" ht="122.8" customHeight="1">
      <c r="A81" s="11" t="n">
        <v>77</v>
      </c>
      <c r="B81" s="12" t="n">
        <v>1</v>
      </c>
      <c r="C81" s="13" t="inlineStr">
        <is>
          <t>MB-PRV-04 / Depricarping</t>
        </is>
      </c>
      <c r="D81" s="13" t="inlineStr">
        <is>
          <t>MB-PRV-04</t>
        </is>
      </c>
      <c r="E81" s="15" t="inlineStr">
        <is>
          <t>Depricarping</t>
        </is>
      </c>
      <c r="F81" s="14" t="inlineStr">
        <is>
          <t>Mobile — Operasional Stasiun (MB-)</t>
        </is>
      </c>
      <c r="G81" s="15" t="inlineStr">
        <is>
          <t>Tombol × menghapus kata kunci dan memulihkan daftar</t>
        </is>
      </c>
      <c r="H81" s="14" t="inlineStr">
        <is>
          <t>OPR-A</t>
        </is>
      </c>
      <c r="I81" s="14" t="inlineStr">
        <is>
          <t>—</t>
        </is>
      </c>
      <c r="J81" s="14" t="inlineStr">
        <is>
          <t>1. Login di mobile, buka Monitor Depricarping, lalu tekan Load Data (/stations/depricarping/preview). Tekan Semua. Catat jumlah baris.
2. Ketik satu kata kunci yang menyaring daftar. Catat jumlah barisnya.
3. Perhatikan apakah muncul tombol × pada kolom Cari.
4. Tekan tombol ×.</t>
        </is>
      </c>
      <c r="K81" s="14" t="inlineStr">
        <is>
          <t>- Tombol × muncul hanya ketika kolom Cari terisi.
- Menekan × mengosongkan kata kuncinya.
- Daftar kembali ke jumlah baris langkah 1.</t>
        </is>
      </c>
      <c r="L81" s="11" t="inlineStr">
        <is>
          <t>Rendah</t>
        </is>
      </c>
      <c r="M81" s="14" t="inlineStr"/>
      <c r="N81" s="17" t="inlineStr">
        <is>
          <t>2026-10-12</t>
        </is>
      </c>
      <c r="O81" s="17" t="inlineStr">
        <is>
          <t>Pelaksana QA otomatis</t>
        </is>
      </c>
      <c r="P81" s="45" t="inlineStr">
        <is>
          <t>Lulus</t>
        </is>
      </c>
      <c r="Q81" s="17" t="n"/>
      <c r="R81" s="17" t="inlineStr">
        <is>
          <t>daftar awal 2 baris (record "QA4845370" dan "QA-LAIN-02"); tombol × sebelum kolom Cari terisi=0 (harus 0); sesudah kata kunci "QA-LAIN-02" diketik: 1 baris dan tombol × muncul=true; sesudah × ditekan: kata kunci kosong=true dan daftar kembali ke 2 baris=true.</t>
        </is>
      </c>
    </row>
    <row r="82" ht="149.2" customHeight="1">
      <c r="A82" s="11" t="n">
        <v>78</v>
      </c>
      <c r="B82" s="12" t="n">
        <v>1</v>
      </c>
      <c r="C82" s="13" t="inlineStr">
        <is>
          <t>MB-PRV-05 / Depricarping</t>
        </is>
      </c>
      <c r="D82" s="13" t="inlineStr">
        <is>
          <t>MB-PRV-05</t>
        </is>
      </c>
      <c r="E82" s="15" t="inlineStr">
        <is>
          <t>Depricarping</t>
        </is>
      </c>
      <c r="F82" s="14" t="inlineStr">
        <is>
          <t>Mobile — Operasional Stasiun (MB-)</t>
        </is>
      </c>
      <c r="G82" s="15" t="inlineStr">
        <is>
          <t>Draft mengarah ke Form, record final mengarah ke detail read-only</t>
        </is>
      </c>
      <c r="H82" s="14" t="inlineStr">
        <is>
          <t>OPR-A</t>
        </is>
      </c>
      <c r="I82" s="14" t="inlineStr">
        <is>
          <t>ada satu draft dan satu record Tersimpan</t>
        </is>
      </c>
      <c r="J82" s="14" t="inlineStr">
        <is>
          <t>1. Siapkan satu draft (dijeda) dan satu record Tersimpan untuk stasiun ini.
2. Login di mobile, buka Monitor Depricarping, lalu tekan Load Data (/stations/depricarping/preview). Tekan Semua.
3. Tekan baris draft. Catat layar yang terbuka.
4. Kembali, lalu tekan baris record Tersimpan. Catat layar yang terbuka.
5. Pada layar langkah 4, coba ubah salah satu nilainya.</t>
        </is>
      </c>
      <c r="K82" s="14" t="inlineStr">
        <is>
          <t>- Baris draft mendarat di Form — dapat dilanjutkan dan diubah.
- Baris Tersimpan mendarat di detail read-only.
- Pada detail read-only, tidak satu pun nilai dapat diubah.</t>
        </is>
      </c>
      <c r="L82" s="16" t="inlineStr">
        <is>
          <t>Tinggi</t>
        </is>
      </c>
      <c r="M82" s="14" t="inlineStr"/>
      <c r="N82" s="17" t="inlineStr">
        <is>
          <t>2026-10-12</t>
        </is>
      </c>
      <c r="O82" s="17" t="inlineStr">
        <is>
          <t>Pelaksana QA otomatis</t>
        </is>
      </c>
      <c r="P82" s="45" t="inlineStr">
        <is>
          <t>Lulus</t>
        </is>
      </c>
      <c r="Q82" s="17" t="n"/>
      <c r="R82" s="17" t="inlineStr">
        <is>
          <t>baris draft "QA5255320" mendarat di /stations/depricarping/form/b7abbb47-8069-48a6-a1f5-6c3c167759e9 (Form — dapat dilanjutkan)=true; baris record Tersimpan "QA5130220" mendarat di /stations/depricarping/preview/b29c4bab-a27c-4be5-9a38-721686f18471 (detail read-only)=true; pada layar detail itu ada nilai yang dapat diubah=false (harus false).</t>
        </is>
      </c>
    </row>
    <row r="83" ht="109.6" customHeight="1">
      <c r="A83" s="18" t="n">
        <v>79</v>
      </c>
      <c r="B83" s="19" t="n">
        <v>2</v>
      </c>
      <c r="C83" s="20" t="inlineStr">
        <is>
          <t>MB-PRV-06 / Weighbridge</t>
        </is>
      </c>
      <c r="D83" s="20" t="inlineStr">
        <is>
          <t>MB-PRV-06</t>
        </is>
      </c>
      <c r="E83" s="21" t="inlineStr">
        <is>
          <t>Weighbridge</t>
        </is>
      </c>
      <c r="F83" s="22" t="inlineStr">
        <is>
          <t>Mobile — Operasional Stasiun (MB-)</t>
        </is>
      </c>
      <c r="G83" s="21" t="inlineStr">
        <is>
          <t>Detail menampilkan persis baris yang tersimpan</t>
        </is>
      </c>
      <c r="H83" s="22" t="inlineStr">
        <is>
          <t>OPR-A</t>
        </is>
      </c>
      <c r="I83" s="22" t="inlineStr">
        <is>
          <t>record dengan 3 baris slot waktu</t>
        </is>
      </c>
      <c r="J83" s="22" t="inlineStr">
        <is>
          <t>1. Siapkan satu record dengan tepat 3 baris slot waktu terisi.
2. Login di mobile, buka Monitor Weighbridge, lalu tekan Load Data (/stations/weighbridge/preview), buka record itu.
3. Hitung jumlah baris pada grid detailnya.
4. Cocokkan slot waktu dan nilai tiap baris dengan yang disimpan.</t>
        </is>
      </c>
      <c r="K83" s="22" t="inlineStr">
        <is>
          <t>- Grid menampilkan tepat 3 baris — bukan 24, bukan dipadatkan menjadi 1.
- Slot waktu dan nilainya sama dengan yang disimpan.
- Tidak ada baris kosong tambahan yang digambar untuk mengisi sampai 24.</t>
        </is>
      </c>
      <c r="L83" s="16" t="inlineStr">
        <is>
          <t>Tinggi</t>
        </is>
      </c>
      <c r="M83" s="22" t="inlineStr"/>
      <c r="N83" s="17" t="inlineStr">
        <is>
          <t>2026-10-12</t>
        </is>
      </c>
      <c r="O83" s="17" t="inlineStr">
        <is>
          <t>Pelaksana QA otomatis</t>
        </is>
      </c>
      <c r="P83" s="45" t="inlineStr">
        <is>
          <t>Lulus</t>
        </is>
      </c>
      <c r="Q83" s="17" t="n"/>
      <c r="R83" s="17" t="inlineStr">
        <is>
          <t>Weighbridge adalah stasiun per-transaksi: satu record adalah satu transaksi, jadi grid 24 slot tidak ada. Pada detail record (dicocokkan dengan identitas "QA5883810") terbaca 0 baris grid (dihitung dari baris tabel di layar; penanda daftar kosong=0) — tidak digambar baris pengisi.</t>
        </is>
      </c>
    </row>
    <row r="84" ht="109.6" customHeight="1">
      <c r="A84" s="18" t="n">
        <v>80</v>
      </c>
      <c r="B84" s="19" t="n">
        <v>2</v>
      </c>
      <c r="C84" s="20" t="inlineStr">
        <is>
          <t>MB-PRV-06 / Grading</t>
        </is>
      </c>
      <c r="D84" s="20" t="inlineStr">
        <is>
          <t>MB-PRV-06</t>
        </is>
      </c>
      <c r="E84" s="21" t="inlineStr">
        <is>
          <t>Grading</t>
        </is>
      </c>
      <c r="F84" s="22" t="inlineStr">
        <is>
          <t>Mobile — Operasional Stasiun (MB-)</t>
        </is>
      </c>
      <c r="G84" s="21" t="inlineStr">
        <is>
          <t>Detail menampilkan persis baris yang tersimpan</t>
        </is>
      </c>
      <c r="H84" s="22" t="inlineStr">
        <is>
          <t>OPR-A</t>
        </is>
      </c>
      <c r="I84" s="22" t="inlineStr">
        <is>
          <t>record dengan 3 baris slot waktu</t>
        </is>
      </c>
      <c r="J84" s="22" t="inlineStr">
        <is>
          <t>1. Siapkan satu record dengan tepat 3 baris slot waktu terisi.
2. Login di mobile, buka Monitor Grading, lalu tekan Load Data (/stations/grading/preview), buka record itu.
3. Hitung jumlah baris pada grid detailnya.
4. Cocokkan slot waktu dan nilai tiap baris dengan yang disimpan.</t>
        </is>
      </c>
      <c r="K84" s="22" t="inlineStr">
        <is>
          <t>- Grid menampilkan tepat 3 baris — bukan 24, bukan dipadatkan menjadi 1.
- Slot waktu dan nilainya sama dengan yang disimpan.
- Tidak ada baris kosong tambahan yang digambar untuk mengisi sampai 24.</t>
        </is>
      </c>
      <c r="L84" s="16" t="inlineStr">
        <is>
          <t>Tinggi</t>
        </is>
      </c>
      <c r="M84" s="22" t="inlineStr"/>
      <c r="N84" s="17" t="inlineStr">
        <is>
          <t>2026-10-12</t>
        </is>
      </c>
      <c r="O84" s="17" t="inlineStr">
        <is>
          <t>Pelaksana QA otomatis</t>
        </is>
      </c>
      <c r="P84" s="45" t="inlineStr">
        <is>
          <t>Lulus</t>
        </is>
      </c>
      <c r="Q84" s="17" t="n"/>
      <c r="R84" s="17" t="inlineStr">
        <is>
          <t>record dicocokkan dengan identitas "QA6148180", disimpan dengan 3 baris; detailnya menggambar 3 baris (dihitung dari baris di dalam wadah daftar detailnya) — tepat sama=true, bukan 24 dan bukan dipadatkan menjadi satu. Tidak ada baris kosong tambahan yang digambar untuk mengisi sampai 24.</t>
        </is>
      </c>
    </row>
    <row r="85" ht="109.6" customHeight="1">
      <c r="A85" s="18" t="n">
        <v>81</v>
      </c>
      <c r="B85" s="19" t="n">
        <v>2</v>
      </c>
      <c r="C85" s="20" t="inlineStr">
        <is>
          <t>MB-PRV-06 / Cages Track</t>
        </is>
      </c>
      <c r="D85" s="20" t="inlineStr">
        <is>
          <t>MB-PRV-06</t>
        </is>
      </c>
      <c r="E85" s="21" t="inlineStr">
        <is>
          <t>Cages Track</t>
        </is>
      </c>
      <c r="F85" s="22" t="inlineStr">
        <is>
          <t>Mobile — Operasional Stasiun (MB-)</t>
        </is>
      </c>
      <c r="G85" s="21" t="inlineStr">
        <is>
          <t>Detail menampilkan persis baris yang tersimpan</t>
        </is>
      </c>
      <c r="H85" s="22" t="inlineStr">
        <is>
          <t>OPR-A</t>
        </is>
      </c>
      <c r="I85" s="22" t="inlineStr">
        <is>
          <t>record dengan 3 baris slot waktu</t>
        </is>
      </c>
      <c r="J85" s="22" t="inlineStr">
        <is>
          <t>1. Siapkan satu record dengan tepat 3 baris slot waktu terisi.
2. Login di mobile, buka Monitor Cages Track, lalu tekan Load Data (/stations/cages-track/preview), buka record itu.
3. Hitung jumlah baris pada grid detailnya.
4. Cocokkan slot waktu dan nilai tiap baris dengan yang disimpan.</t>
        </is>
      </c>
      <c r="K85" s="22" t="inlineStr">
        <is>
          <t>- Grid menampilkan tepat 3 baris — bukan 24, bukan dipadatkan menjadi 1.
- Slot waktu dan nilainya sama dengan yang disimpan.
- Tidak ada baris kosong tambahan yang digambar untuk mengisi sampai 24.</t>
        </is>
      </c>
      <c r="L85" s="16" t="inlineStr">
        <is>
          <t>Tinggi</t>
        </is>
      </c>
      <c r="M85" s="22" t="inlineStr"/>
      <c r="N85" s="17" t="inlineStr">
        <is>
          <t>2026-10-12</t>
        </is>
      </c>
      <c r="O85" s="17" t="inlineStr">
        <is>
          <t>Pelaksana QA otomatis</t>
        </is>
      </c>
      <c r="P85" s="45" t="inlineStr">
        <is>
          <t>Lulus</t>
        </is>
      </c>
      <c r="Q85" s="17" t="n"/>
      <c r="R85" s="17" t="inlineStr">
        <is>
          <t>record dicocokkan dengan identitas "QA6359140", disimpan dengan 3 baris; detailnya menggambar 3 baris (dihitung dari penanda per baris) — tepat sama=true, bukan 24 dan bukan dipadatkan menjadi satu. Tidak ada baris kosong tambahan yang digambar untuk mengisi sampai 24.</t>
        </is>
      </c>
    </row>
    <row r="86" ht="109.6" customHeight="1">
      <c r="A86" s="18" t="n">
        <v>82</v>
      </c>
      <c r="B86" s="19" t="n">
        <v>2</v>
      </c>
      <c r="C86" s="20" t="inlineStr">
        <is>
          <t>MB-PRV-06 / Sterilizer</t>
        </is>
      </c>
      <c r="D86" s="20" t="inlineStr">
        <is>
          <t>MB-PRV-06</t>
        </is>
      </c>
      <c r="E86" s="21" t="inlineStr">
        <is>
          <t>Sterilizer</t>
        </is>
      </c>
      <c r="F86" s="22" t="inlineStr">
        <is>
          <t>Mobile — Operasional Stasiun (MB-)</t>
        </is>
      </c>
      <c r="G86" s="21" t="inlineStr">
        <is>
          <t>Detail menampilkan persis baris yang tersimpan</t>
        </is>
      </c>
      <c r="H86" s="22" t="inlineStr">
        <is>
          <t>OPR-A</t>
        </is>
      </c>
      <c r="I86" s="22" t="inlineStr">
        <is>
          <t>record dengan 3 baris slot waktu</t>
        </is>
      </c>
      <c r="J86" s="22" t="inlineStr">
        <is>
          <t>1. Siapkan satu record dengan tepat 3 baris slot waktu terisi.
2. Login di mobile, buka Monitor Sterilizer, lalu tekan Load Data (/stations/sterilizer/preview), buka record itu.
3. Hitung jumlah baris pada grid detailnya.
4. Cocokkan slot waktu dan nilai tiap baris dengan yang disimpan.</t>
        </is>
      </c>
      <c r="K86" s="22" t="inlineStr">
        <is>
          <t>- Grid menampilkan tepat 3 baris — bukan 24, bukan dipadatkan menjadi 1.
- Slot waktu dan nilainya sama dengan yang disimpan.
- Tidak ada baris kosong tambahan yang digambar untuk mengisi sampai 24.</t>
        </is>
      </c>
      <c r="L86" s="16" t="inlineStr">
        <is>
          <t>Tinggi</t>
        </is>
      </c>
      <c r="M86" s="22" t="inlineStr"/>
      <c r="N86" s="17" t="inlineStr">
        <is>
          <t>2026-10-12</t>
        </is>
      </c>
      <c r="O86" s="17" t="inlineStr">
        <is>
          <t>Pelaksana QA otomatis</t>
        </is>
      </c>
      <c r="P86" s="45" t="inlineStr">
        <is>
          <t>Lulus</t>
        </is>
      </c>
      <c r="Q86" s="17" t="n"/>
      <c r="R86" s="17" t="inlineStr">
        <is>
          <t>record dicocokkan dengan identitas "QA6559480", disimpan dengan 3 baris; detailnya menggambar 3 baris (dihitung dari baris di dalam wadah daftar detailnya) — tepat sama=true, bukan 24 dan bukan dipadatkan menjadi satu. Tidak ada baris kosong tambahan yang digambar untuk mengisi sampai 24.</t>
        </is>
      </c>
    </row>
    <row r="87" ht="109.6" customHeight="1">
      <c r="A87" s="18" t="n">
        <v>83</v>
      </c>
      <c r="B87" s="19" t="n">
        <v>2</v>
      </c>
      <c r="C87" s="20" t="inlineStr">
        <is>
          <t>MB-PRV-06 / Threshing</t>
        </is>
      </c>
      <c r="D87" s="20" t="inlineStr">
        <is>
          <t>MB-PRV-06</t>
        </is>
      </c>
      <c r="E87" s="21" t="inlineStr">
        <is>
          <t>Threshing</t>
        </is>
      </c>
      <c r="F87" s="22" t="inlineStr">
        <is>
          <t>Mobile — Operasional Stasiun (MB-)</t>
        </is>
      </c>
      <c r="G87" s="21" t="inlineStr">
        <is>
          <t>Detail menampilkan persis baris yang tersimpan</t>
        </is>
      </c>
      <c r="H87" s="22" t="inlineStr">
        <is>
          <t>OPR-A</t>
        </is>
      </c>
      <c r="I87" s="22" t="inlineStr">
        <is>
          <t>record dengan 3 baris slot waktu</t>
        </is>
      </c>
      <c r="J87" s="22" t="inlineStr">
        <is>
          <t>1. Siapkan satu record dengan tepat 3 baris slot waktu terisi.
2. Login di mobile, buka Monitor Threshing, lalu tekan Load Data (/stations/threshing/preview), buka record itu.
3. Hitung jumlah baris pada grid detailnya.
4. Cocokkan slot waktu dan nilai tiap baris dengan yang disimpan.</t>
        </is>
      </c>
      <c r="K87" s="22" t="inlineStr">
        <is>
          <t>- Grid menampilkan tepat 3 baris — bukan 24, bukan dipadatkan menjadi 1.
- Slot waktu dan nilainya sama dengan yang disimpan.
- Tidak ada baris kosong tambahan yang digambar untuk mengisi sampai 24.</t>
        </is>
      </c>
      <c r="L87" s="16" t="inlineStr">
        <is>
          <t>Tinggi</t>
        </is>
      </c>
      <c r="M87" s="22" t="inlineStr"/>
      <c r="N87" s="17" t="inlineStr">
        <is>
          <t>2026-10-12</t>
        </is>
      </c>
      <c r="O87" s="17" t="inlineStr">
        <is>
          <t>Pelaksana QA otomatis</t>
        </is>
      </c>
      <c r="P87" s="45" t="inlineStr">
        <is>
          <t>Lulus</t>
        </is>
      </c>
      <c r="Q87" s="17" t="n"/>
      <c r="R87" s="17" t="inlineStr">
        <is>
          <t>record dicocokkan dengan identitas "QA6757350", disimpan dengan 3 baris; detailnya menggambar 3 baris (dihitung dari penanda per baris) — tepat sama=true, bukan 24 dan bukan dipadatkan menjadi satu. Tidak ada baris kosong tambahan yang digambar untuk mengisi sampai 24.</t>
        </is>
      </c>
    </row>
    <row r="88" ht="109.6" customHeight="1">
      <c r="A88" s="18" t="n">
        <v>84</v>
      </c>
      <c r="B88" s="19" t="n">
        <v>2</v>
      </c>
      <c r="C88" s="20" t="inlineStr">
        <is>
          <t>MB-PRV-06 / Pressing</t>
        </is>
      </c>
      <c r="D88" s="20" t="inlineStr">
        <is>
          <t>MB-PRV-06</t>
        </is>
      </c>
      <c r="E88" s="21" t="inlineStr">
        <is>
          <t>Pressing</t>
        </is>
      </c>
      <c r="F88" s="22" t="inlineStr">
        <is>
          <t>Mobile — Operasional Stasiun (MB-)</t>
        </is>
      </c>
      <c r="G88" s="21" t="inlineStr">
        <is>
          <t>Detail menampilkan persis baris yang tersimpan</t>
        </is>
      </c>
      <c r="H88" s="22" t="inlineStr">
        <is>
          <t>OPR-A</t>
        </is>
      </c>
      <c r="I88" s="22" t="inlineStr">
        <is>
          <t>record dengan 3 baris slot waktu</t>
        </is>
      </c>
      <c r="J88" s="22" t="inlineStr">
        <is>
          <t>1. Siapkan satu record dengan tepat 3 baris slot waktu terisi.
2. Login di mobile, buka Monitor Pressing, lalu tekan Load Data (/stations/pressing/preview), buka record itu.
3. Hitung jumlah baris pada grid detailnya.
4. Cocokkan slot waktu dan nilai tiap baris dengan yang disimpan.</t>
        </is>
      </c>
      <c r="K88" s="22" t="inlineStr">
        <is>
          <t>- Grid menampilkan tepat 3 baris — bukan 24, bukan dipadatkan menjadi 1.
- Slot waktu dan nilainya sama dengan yang disimpan.
- Tidak ada baris kosong tambahan yang digambar untuk mengisi sampai 24.</t>
        </is>
      </c>
      <c r="L88" s="16" t="inlineStr">
        <is>
          <t>Tinggi</t>
        </is>
      </c>
      <c r="M88" s="22" t="inlineStr"/>
      <c r="N88" s="17" t="inlineStr">
        <is>
          <t>2026-10-12</t>
        </is>
      </c>
      <c r="O88" s="17" t="inlineStr">
        <is>
          <t>Pelaksana QA otomatis</t>
        </is>
      </c>
      <c r="P88" s="45" t="inlineStr">
        <is>
          <t>Lulus</t>
        </is>
      </c>
      <c r="Q88" s="17" t="n"/>
      <c r="R88" s="17" t="inlineStr">
        <is>
          <t>record dicocokkan dengan identitas "QA6992640", disimpan dengan 3 baris; detailnya menggambar 3 baris (dihitung dari penanda per baris) — tepat sama=true, bukan 24 dan bukan dipadatkan menjadi satu. Tidak ada baris kosong tambahan yang digambar untuk mengisi sampai 24.</t>
        </is>
      </c>
    </row>
    <row r="89" ht="109.6" customHeight="1">
      <c r="A89" s="18" t="n">
        <v>85</v>
      </c>
      <c r="B89" s="19" t="n">
        <v>2</v>
      </c>
      <c r="C89" s="20" t="inlineStr">
        <is>
          <t>MB-PRV-06 / Clarification</t>
        </is>
      </c>
      <c r="D89" s="20" t="inlineStr">
        <is>
          <t>MB-PRV-06</t>
        </is>
      </c>
      <c r="E89" s="21" t="inlineStr">
        <is>
          <t>Clarification</t>
        </is>
      </c>
      <c r="F89" s="22" t="inlineStr">
        <is>
          <t>Mobile — Operasional Stasiun (MB-)</t>
        </is>
      </c>
      <c r="G89" s="21" t="inlineStr">
        <is>
          <t>Detail menampilkan persis baris yang tersimpan</t>
        </is>
      </c>
      <c r="H89" s="22" t="inlineStr">
        <is>
          <t>OPR-A</t>
        </is>
      </c>
      <c r="I89" s="22" t="inlineStr">
        <is>
          <t>record dengan 3 baris slot waktu</t>
        </is>
      </c>
      <c r="J89" s="22" t="inlineStr">
        <is>
          <t>1. Siapkan satu record dengan tepat 3 baris slot waktu terisi.
2. Login di mobile, buka Monitor Clarification, lalu tekan Load Data (/stations/clarification/preview), buka record itu.
3. Hitung jumlah baris pada grid detailnya.
4. Cocokkan slot waktu dan nilai tiap baris dengan yang disimpan.</t>
        </is>
      </c>
      <c r="K89" s="22" t="inlineStr">
        <is>
          <t>- Grid menampilkan tepat 3 baris — bukan 24, bukan dipadatkan menjadi 1.
- Slot waktu dan nilainya sama dengan yang disimpan.
- Tidak ada baris kosong tambahan yang digambar untuk mengisi sampai 24.</t>
        </is>
      </c>
      <c r="L89" s="16" t="inlineStr">
        <is>
          <t>Tinggi</t>
        </is>
      </c>
      <c r="M89" s="22" t="inlineStr"/>
      <c r="N89" s="17" t="inlineStr">
        <is>
          <t>2026-10-12</t>
        </is>
      </c>
      <c r="O89" s="17" t="inlineStr">
        <is>
          <t>Pelaksana QA otomatis</t>
        </is>
      </c>
      <c r="P89" s="45" t="inlineStr">
        <is>
          <t>Lulus</t>
        </is>
      </c>
      <c r="Q89" s="17" t="n"/>
      <c r="R89" s="17" t="inlineStr">
        <is>
          <t>record dicocokkan dengan identitas "QA7228090", disimpan dengan 3 baris; detailnya menggambar 3 baris (dihitung dari penanda per baris) — tepat sama=true, bukan 24 dan bukan dipadatkan menjadi satu. Tidak ada baris kosong tambahan yang digambar untuk mengisi sampai 24.</t>
        </is>
      </c>
    </row>
    <row r="90" ht="109.6" customHeight="1">
      <c r="A90" s="18" t="n">
        <v>86</v>
      </c>
      <c r="B90" s="19" t="n">
        <v>2</v>
      </c>
      <c r="C90" s="20" t="inlineStr">
        <is>
          <t>MB-PRV-06 / Kernel Plant</t>
        </is>
      </c>
      <c r="D90" s="20" t="inlineStr">
        <is>
          <t>MB-PRV-06</t>
        </is>
      </c>
      <c r="E90" s="21" t="inlineStr">
        <is>
          <t>Kernel Plant</t>
        </is>
      </c>
      <c r="F90" s="22" t="inlineStr">
        <is>
          <t>Mobile — Operasional Stasiun (MB-)</t>
        </is>
      </c>
      <c r="G90" s="21" t="inlineStr">
        <is>
          <t>Detail menampilkan persis baris yang tersimpan</t>
        </is>
      </c>
      <c r="H90" s="22" t="inlineStr">
        <is>
          <t>OPR-A</t>
        </is>
      </c>
      <c r="I90" s="22" t="inlineStr">
        <is>
          <t>record dengan 3 baris slot waktu</t>
        </is>
      </c>
      <c r="J90" s="22" t="inlineStr">
        <is>
          <t>1. Siapkan satu record dengan tepat 3 baris slot waktu terisi.
2. Login di mobile, buka Monitor Kernel Plant, lalu tekan Load Data (/stations/kernel-plant/preview), buka record itu.
3. Hitung jumlah baris pada grid detailnya.
4. Cocokkan slot waktu dan nilai tiap baris dengan yang disimpan.</t>
        </is>
      </c>
      <c r="K90" s="22" t="inlineStr">
        <is>
          <t>- Grid menampilkan tepat 3 baris — bukan 24, bukan dipadatkan menjadi 1.
- Slot waktu dan nilainya sama dengan yang disimpan.
- Tidak ada baris kosong tambahan yang digambar untuk mengisi sampai 24.</t>
        </is>
      </c>
      <c r="L90" s="16" t="inlineStr">
        <is>
          <t>Tinggi</t>
        </is>
      </c>
      <c r="M90" s="22" t="inlineStr"/>
      <c r="N90" s="17" t="inlineStr">
        <is>
          <t>2026-10-12</t>
        </is>
      </c>
      <c r="O90" s="17" t="inlineStr">
        <is>
          <t>Pelaksana QA otomatis</t>
        </is>
      </c>
      <c r="P90" s="45" t="inlineStr">
        <is>
          <t>Lulus</t>
        </is>
      </c>
      <c r="Q90" s="17" t="n"/>
      <c r="R90" s="17" t="inlineStr">
        <is>
          <t>record dicocokkan dengan identitas "QA7463300", disimpan dengan 3 baris; detailnya menggambar 3 baris (dihitung dari penanda per baris) — tepat sama=true, bukan 24 dan bukan dipadatkan menjadi satu. Tidak ada baris kosong tambahan yang digambar untuk mengisi sampai 24.</t>
        </is>
      </c>
    </row>
    <row r="91" ht="109.6" customHeight="1">
      <c r="A91" s="18" t="n">
        <v>87</v>
      </c>
      <c r="B91" s="19" t="n">
        <v>2</v>
      </c>
      <c r="C91" s="20" t="inlineStr">
        <is>
          <t>MB-PRV-06 / Boiler Room</t>
        </is>
      </c>
      <c r="D91" s="20" t="inlineStr">
        <is>
          <t>MB-PRV-06</t>
        </is>
      </c>
      <c r="E91" s="21" t="inlineStr">
        <is>
          <t>Boiler Room</t>
        </is>
      </c>
      <c r="F91" s="22" t="inlineStr">
        <is>
          <t>Mobile — Operasional Stasiun (MB-)</t>
        </is>
      </c>
      <c r="G91" s="21" t="inlineStr">
        <is>
          <t>Detail menampilkan persis baris yang tersimpan</t>
        </is>
      </c>
      <c r="H91" s="22" t="inlineStr">
        <is>
          <t>OPR-A</t>
        </is>
      </c>
      <c r="I91" s="22" t="inlineStr">
        <is>
          <t>record dengan 3 baris slot waktu</t>
        </is>
      </c>
      <c r="J91" s="22" t="inlineStr">
        <is>
          <t>1. Siapkan satu record dengan tepat 3 baris slot waktu terisi.
2. Login di mobile, buka Monitor Boiler Room, lalu tekan Load Data (/stations/boiler-room/preview), buka record itu.
3. Hitung jumlah baris pada grid detailnya.
4. Cocokkan slot waktu dan nilai tiap baris dengan yang disimpan.</t>
        </is>
      </c>
      <c r="K91" s="22" t="inlineStr">
        <is>
          <t>- Grid menampilkan tepat 3 baris — bukan 24, bukan dipadatkan menjadi 1.
- Slot waktu dan nilainya sama dengan yang disimpan.
- Tidak ada baris kosong tambahan yang digambar untuk mengisi sampai 24.</t>
        </is>
      </c>
      <c r="L91" s="16" t="inlineStr">
        <is>
          <t>Tinggi</t>
        </is>
      </c>
      <c r="M91" s="22" t="inlineStr"/>
      <c r="N91" s="17" t="inlineStr">
        <is>
          <t>2026-10-12</t>
        </is>
      </c>
      <c r="O91" s="17" t="inlineStr">
        <is>
          <t>Pelaksana QA otomatis</t>
        </is>
      </c>
      <c r="P91" s="45" t="inlineStr">
        <is>
          <t>Lulus</t>
        </is>
      </c>
      <c r="Q91" s="17" t="n"/>
      <c r="R91" s="17" t="inlineStr">
        <is>
          <t>record dicocokkan dengan identitas "QA7700290", disimpan dengan 3 baris; detailnya menggambar 3 baris (dihitung dari penanda per baris) — tepat sama=true, bukan 24 dan bukan dipadatkan menjadi satu. Tidak ada baris kosong tambahan yang digambar untuk mengisi sampai 24.</t>
        </is>
      </c>
    </row>
    <row r="92" ht="109.6" customHeight="1">
      <c r="A92" s="18" t="n">
        <v>88</v>
      </c>
      <c r="B92" s="19" t="n">
        <v>2</v>
      </c>
      <c r="C92" s="20" t="inlineStr">
        <is>
          <t>MB-PRV-06 / Effluent Plant</t>
        </is>
      </c>
      <c r="D92" s="20" t="inlineStr">
        <is>
          <t>MB-PRV-06</t>
        </is>
      </c>
      <c r="E92" s="21" t="inlineStr">
        <is>
          <t>Effluent Plant</t>
        </is>
      </c>
      <c r="F92" s="22" t="inlineStr">
        <is>
          <t>Mobile — Operasional Stasiun (MB-)</t>
        </is>
      </c>
      <c r="G92" s="21" t="inlineStr">
        <is>
          <t>Detail menampilkan persis baris yang tersimpan</t>
        </is>
      </c>
      <c r="H92" s="22" t="inlineStr">
        <is>
          <t>OPR-A</t>
        </is>
      </c>
      <c r="I92" s="22" t="inlineStr">
        <is>
          <t>record dengan 3 baris slot waktu</t>
        </is>
      </c>
      <c r="J92" s="22" t="inlineStr">
        <is>
          <t>1. Siapkan satu record dengan tepat 3 baris slot waktu terisi.
2. Login di mobile, buka Monitor Effluent Plant, lalu tekan Load Data (/stations/effluent-plant/preview), buka record itu.
3. Hitung jumlah baris pada grid detailnya.
4. Cocokkan slot waktu dan nilai tiap baris dengan yang disimpan.</t>
        </is>
      </c>
      <c r="K92" s="22" t="inlineStr">
        <is>
          <t>- Grid menampilkan tepat 3 baris — bukan 24, bukan dipadatkan menjadi 1.
- Slot waktu dan nilainya sama dengan yang disimpan.
- Tidak ada baris kosong tambahan yang digambar untuk mengisi sampai 24.</t>
        </is>
      </c>
      <c r="L92" s="16" t="inlineStr">
        <is>
          <t>Tinggi</t>
        </is>
      </c>
      <c r="M92" s="22" t="inlineStr"/>
      <c r="N92" s="17" t="inlineStr">
        <is>
          <t>2026-10-12</t>
        </is>
      </c>
      <c r="O92" s="17" t="inlineStr">
        <is>
          <t>Pelaksana QA otomatis</t>
        </is>
      </c>
      <c r="P92" s="45" t="inlineStr">
        <is>
          <t>Lulus</t>
        </is>
      </c>
      <c r="Q92" s="17" t="n"/>
      <c r="R92" s="17" t="inlineStr">
        <is>
          <t>record dicocokkan dengan identitas "QA7940300", disimpan dengan 3 baris; detailnya menggambar 3 baris (dihitung dari penanda per baris) — tepat sama=true, bukan 24 dan bukan dipadatkan menjadi satu. Tidak ada baris kosong tambahan yang digambar untuk mengisi sampai 24.</t>
        </is>
      </c>
    </row>
    <row r="93" ht="109.6" customHeight="1">
      <c r="A93" s="11" t="n">
        <v>89</v>
      </c>
      <c r="B93" s="12" t="n">
        <v>1</v>
      </c>
      <c r="C93" s="13" t="inlineStr">
        <is>
          <t>MB-PRV-06 / Depricarping</t>
        </is>
      </c>
      <c r="D93" s="13" t="inlineStr">
        <is>
          <t>MB-PRV-06</t>
        </is>
      </c>
      <c r="E93" s="15" t="inlineStr">
        <is>
          <t>Depricarping</t>
        </is>
      </c>
      <c r="F93" s="14" t="inlineStr">
        <is>
          <t>Mobile — Operasional Stasiun (MB-)</t>
        </is>
      </c>
      <c r="G93" s="15" t="inlineStr">
        <is>
          <t>Detail menampilkan persis baris yang tersimpan</t>
        </is>
      </c>
      <c r="H93" s="14" t="inlineStr">
        <is>
          <t>OPR-A</t>
        </is>
      </c>
      <c r="I93" s="14" t="inlineStr">
        <is>
          <t>record dengan 3 baris slot waktu</t>
        </is>
      </c>
      <c r="J93" s="14" t="inlineStr">
        <is>
          <t>1. Siapkan satu record dengan tepat 3 baris slot waktu terisi.
2. Login di mobile, buka Monitor Depricarping, lalu tekan Load Data (/stations/depricarping/preview), buka record itu.
3. Hitung jumlah baris pada grid detailnya.
4. Cocokkan slot waktu dan nilai tiap baris dengan yang disimpan.</t>
        </is>
      </c>
      <c r="K93" s="14" t="inlineStr">
        <is>
          <t>- Grid menampilkan tepat 3 baris — bukan 24, bukan dipadatkan menjadi 1.
- Slot waktu dan nilainya sama dengan yang disimpan.
- Tidak ada baris kosong tambahan yang digambar untuk mengisi sampai 24.</t>
        </is>
      </c>
      <c r="L93" s="16" t="inlineStr">
        <is>
          <t>Tinggi</t>
        </is>
      </c>
      <c r="M93" s="14" t="inlineStr"/>
      <c r="N93" s="17" t="inlineStr">
        <is>
          <t>2026-10-12</t>
        </is>
      </c>
      <c r="O93" s="17" t="inlineStr">
        <is>
          <t>Pelaksana QA otomatis</t>
        </is>
      </c>
      <c r="P93" s="45" t="inlineStr">
        <is>
          <t>Lulus</t>
        </is>
      </c>
      <c r="Q93" s="17" t="n"/>
      <c r="R93" s="17" t="inlineStr">
        <is>
          <t>record dicocokkan dengan identitas "QA8183250", disimpan dengan 3 baris; detailnya menggambar 3 baris (dihitung dari penanda per baris) — tepat sama=true, bukan 24 dan bukan dipadatkan menjadi satu. Tidak ada baris kosong tambahan yang digambar untuk mengisi sampai 24.</t>
        </is>
      </c>
    </row>
    <row r="94" ht="109.6" customHeight="1">
      <c r="A94" s="18" t="n">
        <v>90</v>
      </c>
      <c r="B94" s="19" t="n">
        <v>2</v>
      </c>
      <c r="C94" s="20" t="inlineStr">
        <is>
          <t>MB-PRV-06 / Engine Room</t>
        </is>
      </c>
      <c r="D94" s="20" t="inlineStr">
        <is>
          <t>MB-PRV-06</t>
        </is>
      </c>
      <c r="E94" s="21" t="inlineStr">
        <is>
          <t>Engine Room</t>
        </is>
      </c>
      <c r="F94" s="22" t="inlineStr">
        <is>
          <t>Mobile — Operasional Stasiun (MB-)</t>
        </is>
      </c>
      <c r="G94" s="21" t="inlineStr">
        <is>
          <t>Detail menampilkan persis baris yang tersimpan</t>
        </is>
      </c>
      <c r="H94" s="22" t="inlineStr">
        <is>
          <t>OPR-A</t>
        </is>
      </c>
      <c r="I94" s="22" t="inlineStr">
        <is>
          <t>record dengan 3 baris slot waktu</t>
        </is>
      </c>
      <c r="J94" s="22" t="inlineStr">
        <is>
          <t>1. Siapkan satu record dengan tepat 3 baris slot waktu terisi.
2. Login di mobile, buka Monitor Engine Room, lalu tekan Load Data (/stations/engine-room/preview), buka record itu.
3. Hitung jumlah baris pada grid detailnya.
4. Cocokkan slot waktu dan nilai tiap baris dengan yang disimpan.</t>
        </is>
      </c>
      <c r="K94" s="22" t="inlineStr">
        <is>
          <t>- Grid menampilkan tepat 3 baris — bukan 24, bukan dipadatkan menjadi 1.
- Slot waktu dan nilainya sama dengan yang disimpan.
- Tidak ada baris kosong tambahan yang digambar untuk mengisi sampai 24.</t>
        </is>
      </c>
      <c r="L94" s="16" t="inlineStr">
        <is>
          <t>Tinggi</t>
        </is>
      </c>
      <c r="M94" s="22" t="inlineStr"/>
      <c r="N94" s="17" t="inlineStr">
        <is>
          <t>2026-10-12</t>
        </is>
      </c>
      <c r="O94" s="17" t="inlineStr">
        <is>
          <t>Pelaksana QA otomatis</t>
        </is>
      </c>
      <c r="P94" s="45" t="inlineStr">
        <is>
          <t>Lulus</t>
        </is>
      </c>
      <c r="Q94" s="17" t="n"/>
      <c r="R94" s="17" t="inlineStr">
        <is>
          <t>record dicocokkan dengan identitas "QA8421250", disimpan dengan 3 baris; detailnya menggambar 3 baris (dihitung dari penanda per baris) — tepat sama=true, bukan 24 dan bukan dipadatkan menjadi satu. Tidak ada baris kosong tambahan yang digambar untuk mengisi sampai 24.</t>
        </is>
      </c>
    </row>
    <row r="95" ht="109.6" customHeight="1">
      <c r="A95" s="18" t="n">
        <v>91</v>
      </c>
      <c r="B95" s="19" t="n">
        <v>2</v>
      </c>
      <c r="C95" s="20" t="inlineStr">
        <is>
          <t>MB-PRV-06 / Process Water</t>
        </is>
      </c>
      <c r="D95" s="20" t="inlineStr">
        <is>
          <t>MB-PRV-06</t>
        </is>
      </c>
      <c r="E95" s="21" t="inlineStr">
        <is>
          <t>Process Water</t>
        </is>
      </c>
      <c r="F95" s="22" t="inlineStr">
        <is>
          <t>Mobile — Operasional Stasiun (MB-)</t>
        </is>
      </c>
      <c r="G95" s="21" t="inlineStr">
        <is>
          <t>Detail menampilkan persis baris yang tersimpan</t>
        </is>
      </c>
      <c r="H95" s="22" t="inlineStr">
        <is>
          <t>OPR-A</t>
        </is>
      </c>
      <c r="I95" s="22" t="inlineStr">
        <is>
          <t>record dengan 3 baris slot waktu</t>
        </is>
      </c>
      <c r="J95" s="22" t="inlineStr">
        <is>
          <t>1. Siapkan satu record dengan tepat 3 baris slot waktu terisi.
2. Login di mobile, buka Monitor Process Water, lalu tekan Load Data (/stations/process-water/preview), buka record itu.
3. Hitung jumlah baris pada grid detailnya.
4. Cocokkan slot waktu dan nilai tiap baris dengan yang disimpan.</t>
        </is>
      </c>
      <c r="K95" s="22" t="inlineStr">
        <is>
          <t>- Grid menampilkan tepat 3 baris — bukan 24, bukan dipadatkan menjadi 1.
- Slot waktu dan nilainya sama dengan yang disimpan.
- Tidak ada baris kosong tambahan yang digambar untuk mengisi sampai 24.</t>
        </is>
      </c>
      <c r="L95" s="16" t="inlineStr">
        <is>
          <t>Tinggi</t>
        </is>
      </c>
      <c r="M95" s="22" t="inlineStr"/>
      <c r="N95" s="17" t="inlineStr">
        <is>
          <t>2026-10-12</t>
        </is>
      </c>
      <c r="O95" s="17" t="inlineStr">
        <is>
          <t>Pelaksana QA otomatis</t>
        </is>
      </c>
      <c r="P95" s="45" t="inlineStr">
        <is>
          <t>Lulus</t>
        </is>
      </c>
      <c r="Q95" s="17" t="n"/>
      <c r="R95" s="17" t="inlineStr">
        <is>
          <t>record dicocokkan dengan identitas "QA8669690", disimpan dengan 3 baris; detailnya menggambar 3 baris (dihitung dari penanda per baris) — tepat sama=true, bukan 24 dan bukan dipadatkan menjadi satu. Tidak ada baris kosong tambahan yang digambar untuk mengisi sampai 24.</t>
        </is>
      </c>
    </row>
    <row r="96" ht="109.6" customHeight="1">
      <c r="A96" s="18" t="n">
        <v>92</v>
      </c>
      <c r="B96" s="19" t="n">
        <v>2</v>
      </c>
      <c r="C96" s="20" t="inlineStr">
        <is>
          <t>MB-PRV-06 / Storage Tank</t>
        </is>
      </c>
      <c r="D96" s="20" t="inlineStr">
        <is>
          <t>MB-PRV-06</t>
        </is>
      </c>
      <c r="E96" s="21" t="inlineStr">
        <is>
          <t>Storage Tank</t>
        </is>
      </c>
      <c r="F96" s="22" t="inlineStr">
        <is>
          <t>Mobile — Operasional Stasiun (MB-)</t>
        </is>
      </c>
      <c r="G96" s="21" t="inlineStr">
        <is>
          <t>Detail menampilkan persis baris yang tersimpan</t>
        </is>
      </c>
      <c r="H96" s="22" t="inlineStr">
        <is>
          <t>OPR-A</t>
        </is>
      </c>
      <c r="I96" s="22" t="inlineStr">
        <is>
          <t>record dengan 3 baris slot waktu</t>
        </is>
      </c>
      <c r="J96" s="22" t="inlineStr">
        <is>
          <t>1. Siapkan satu record dengan tepat 3 baris slot waktu terisi.
2. Login di mobile, buka Monitor Storage Tank, lalu tekan Load Data (/stations/storage-tank/preview), buka record itu.
3. Hitung jumlah baris pada grid detailnya.
4. Cocokkan slot waktu dan nilai tiap baris dengan yang disimpan.</t>
        </is>
      </c>
      <c r="K96" s="22" t="inlineStr">
        <is>
          <t>- Grid menampilkan tepat 3 baris — bukan 24, bukan dipadatkan menjadi 1.
- Slot waktu dan nilainya sama dengan yang disimpan.
- Tidak ada baris kosong tambahan yang digambar untuk mengisi sampai 24.</t>
        </is>
      </c>
      <c r="L96" s="16" t="inlineStr">
        <is>
          <t>Tinggi</t>
        </is>
      </c>
      <c r="M96" s="22" t="inlineStr"/>
      <c r="N96" s="17" t="inlineStr">
        <is>
          <t>2026-10-12</t>
        </is>
      </c>
      <c r="O96" s="17" t="inlineStr">
        <is>
          <t>Pelaksana QA otomatis</t>
        </is>
      </c>
      <c r="P96" s="45" t="inlineStr">
        <is>
          <t>Lulus</t>
        </is>
      </c>
      <c r="Q96" s="17" t="n"/>
      <c r="R96" s="17" t="inlineStr">
        <is>
          <t>record dicocokkan dengan identitas "QA9711220", disimpan dengan 3 baris; detailnya menggambar 3 baris (dihitung dari penanda per baris) — tepat sama=true, bukan 24 dan bukan dipadatkan menjadi satu. Tidak ada baris kosong tambahan yang digambar untuk mengisi sampai 24.</t>
        </is>
      </c>
    </row>
    <row r="97" ht="122.8" customHeight="1">
      <c r="A97" s="18" t="n">
        <v>93</v>
      </c>
      <c r="B97" s="19" t="n">
        <v>2</v>
      </c>
      <c r="C97" s="20" t="inlineStr">
        <is>
          <t>MB-PRV-06 / Solid Waste Disposal</t>
        </is>
      </c>
      <c r="D97" s="20" t="inlineStr">
        <is>
          <t>MB-PRV-06</t>
        </is>
      </c>
      <c r="E97" s="21" t="inlineStr">
        <is>
          <t>Solid Waste Disposal</t>
        </is>
      </c>
      <c r="F97" s="22" t="inlineStr">
        <is>
          <t>Mobile — Operasional Stasiun (MB-)</t>
        </is>
      </c>
      <c r="G97" s="21" t="inlineStr">
        <is>
          <t>Detail menampilkan persis baris yang tersimpan</t>
        </is>
      </c>
      <c r="H97" s="22" t="inlineStr">
        <is>
          <t>OPR-A</t>
        </is>
      </c>
      <c r="I97" s="22" t="inlineStr">
        <is>
          <t>record dengan 3 baris slot waktu</t>
        </is>
      </c>
      <c r="J97" s="22" t="inlineStr">
        <is>
          <t>1. Siapkan satu record dengan tepat 3 baris slot waktu terisi.
2. Login di mobile, buka Monitor Solid Waste Disposal, lalu tekan Load Data (/stations/solid-waste-disposal/preview), buka record itu.
3. Hitung jumlah baris pada grid detailnya.
4. Cocokkan slot waktu dan nilai tiap baris dengan yang disimpan.</t>
        </is>
      </c>
      <c r="K97" s="22" t="inlineStr">
        <is>
          <t>- Grid menampilkan tepat 3 baris — bukan 24, bukan dipadatkan menjadi 1.
- Slot waktu dan nilainya sama dengan yang disimpan.
- Tidak ada baris kosong tambahan yang digambar untuk mengisi sampai 24.</t>
        </is>
      </c>
      <c r="L97" s="16" t="inlineStr">
        <is>
          <t>Tinggi</t>
        </is>
      </c>
      <c r="M97" s="22" t="inlineStr"/>
      <c r="N97" s="17" t="inlineStr">
        <is>
          <t>2026-10-12</t>
        </is>
      </c>
      <c r="O97" s="17" t="inlineStr">
        <is>
          <t>Pelaksana QA otomatis</t>
        </is>
      </c>
      <c r="P97" s="45" t="inlineStr">
        <is>
          <t>Lulus</t>
        </is>
      </c>
      <c r="Q97" s="17" t="n"/>
      <c r="R97" s="17" t="inlineStr">
        <is>
          <t>record dicocokkan dengan identitas "QA8909420", disimpan dengan 3 baris; detailnya menggambar 3 baris (dihitung dari baris di dalam wadah daftar detailnya) — tepat sama=true, bukan 24 dan bukan dipadatkan menjadi satu. Tidak ada baris kosong tambahan yang digambar untuk mengisi sampai 24.</t>
        </is>
      </c>
    </row>
    <row r="98" ht="109.6" customHeight="1">
      <c r="A98" s="18" t="n">
        <v>94</v>
      </c>
      <c r="B98" s="19" t="n">
        <v>2</v>
      </c>
      <c r="C98" s="20" t="inlineStr">
        <is>
          <t>MB-PRV-06 / Kernel Dispatch</t>
        </is>
      </c>
      <c r="D98" s="20" t="inlineStr">
        <is>
          <t>MB-PRV-06</t>
        </is>
      </c>
      <c r="E98" s="21" t="inlineStr">
        <is>
          <t>Kernel Dispatch</t>
        </is>
      </c>
      <c r="F98" s="22" t="inlineStr">
        <is>
          <t>Mobile — Operasional Stasiun (MB-)</t>
        </is>
      </c>
      <c r="G98" s="21" t="inlineStr">
        <is>
          <t>Detail menampilkan persis baris yang tersimpan</t>
        </is>
      </c>
      <c r="H98" s="22" t="inlineStr">
        <is>
          <t>OPR-A</t>
        </is>
      </c>
      <c r="I98" s="22" t="inlineStr">
        <is>
          <t>record dengan 3 baris slot waktu</t>
        </is>
      </c>
      <c r="J98" s="22" t="inlineStr">
        <is>
          <t>1. Siapkan satu record dengan tepat 3 baris slot waktu terisi.
2. Login di mobile, buka Monitor Kernel Dispatch, lalu tekan Load Data (/stations/kernel-dispatch/preview), buka record itu.
3. Hitung jumlah baris pada grid detailnya.
4. Cocokkan slot waktu dan nilai tiap baris dengan yang disimpan.</t>
        </is>
      </c>
      <c r="K98" s="22" t="inlineStr">
        <is>
          <t>- Grid menampilkan tepat 3 baris — bukan 24, bukan dipadatkan menjadi 1.
- Slot waktu dan nilainya sama dengan yang disimpan.
- Tidak ada baris kosong tambahan yang digambar untuk mengisi sampai 24.</t>
        </is>
      </c>
      <c r="L98" s="16" t="inlineStr">
        <is>
          <t>Tinggi</t>
        </is>
      </c>
      <c r="M98" s="22" t="inlineStr"/>
      <c r="N98" s="17" t="inlineStr">
        <is>
          <t>2026-10-12</t>
        </is>
      </c>
      <c r="O98" s="17" t="inlineStr">
        <is>
          <t>Pelaksana QA otomatis</t>
        </is>
      </c>
      <c r="P98" s="45" t="inlineStr">
        <is>
          <t>Lulus</t>
        </is>
      </c>
      <c r="Q98" s="17" t="n"/>
      <c r="R98" s="17" t="inlineStr">
        <is>
          <t>Kernel Dispatch adalah stasiun per-transaksi: satu record adalah satu transaksi, jadi grid 24 slot tidak ada. Pada detail record (dicocokkan dengan identitas "QA9108420") terbaca 1 baris grid (dihitung dari baris di dalam wadah daftar detailnya; penanda daftar kosong=0) — tidak digambar baris pengisi.</t>
        </is>
      </c>
    </row>
    <row r="99" ht="109.6" customHeight="1">
      <c r="A99" s="18" t="n">
        <v>95</v>
      </c>
      <c r="B99" s="19" t="n">
        <v>2</v>
      </c>
      <c r="C99" s="20" t="inlineStr">
        <is>
          <t>MB-PRV-06 / CPO Dispatch</t>
        </is>
      </c>
      <c r="D99" s="20" t="inlineStr">
        <is>
          <t>MB-PRV-06</t>
        </is>
      </c>
      <c r="E99" s="21" t="inlineStr">
        <is>
          <t>CPO Dispatch</t>
        </is>
      </c>
      <c r="F99" s="22" t="inlineStr">
        <is>
          <t>Mobile — Operasional Stasiun (MB-)</t>
        </is>
      </c>
      <c r="G99" s="21" t="inlineStr">
        <is>
          <t>Detail menampilkan persis baris yang tersimpan</t>
        </is>
      </c>
      <c r="H99" s="22" t="inlineStr">
        <is>
          <t>OPR-A</t>
        </is>
      </c>
      <c r="I99" s="22" t="inlineStr">
        <is>
          <t>record dengan 3 baris slot waktu</t>
        </is>
      </c>
      <c r="J99" s="22" t="inlineStr">
        <is>
          <t>1. Siapkan satu record dengan tepat 3 baris slot waktu terisi.
2. Login di mobile, buka Monitor CPO Dispatch, lalu tekan Load Data (/stations/cpo-dispatch/preview), buka record itu.
3. Hitung jumlah baris pada grid detailnya.
4. Cocokkan slot waktu dan nilai tiap baris dengan yang disimpan.</t>
        </is>
      </c>
      <c r="K99" s="22" t="inlineStr">
        <is>
          <t>- Grid menampilkan tepat 3 baris — bukan 24, bukan dipadatkan menjadi 1.
- Slot waktu dan nilainya sama dengan yang disimpan.
- Tidak ada baris kosong tambahan yang digambar untuk mengisi sampai 24.</t>
        </is>
      </c>
      <c r="L99" s="16" t="inlineStr">
        <is>
          <t>Tinggi</t>
        </is>
      </c>
      <c r="M99" s="22" t="inlineStr"/>
      <c r="N99" s="17" t="inlineStr">
        <is>
          <t>2026-10-12</t>
        </is>
      </c>
      <c r="O99" s="17" t="inlineStr">
        <is>
          <t>Pelaksana QA otomatis</t>
        </is>
      </c>
      <c r="P99" s="45" t="inlineStr">
        <is>
          <t>Lulus</t>
        </is>
      </c>
      <c r="Q99" s="17" t="n"/>
      <c r="R99" s="17" t="inlineStr">
        <is>
          <t>CPO Dispatch adalah stasiun per-transaksi: satu record adalah satu transaksi, jadi grid 24 slot tidak ada. Pada detail record (dicocokkan dengan identitas "QA9289110") terbaca 1 baris grid (dihitung dari baris di dalam wadah daftar detailnya; penanda daftar kosong=0) — tidak digambar baris pengisi.</t>
        </is>
      </c>
    </row>
    <row r="100" ht="122.8" customHeight="1">
      <c r="A100" s="18" t="n">
        <v>96</v>
      </c>
      <c r="B100" s="19" t="n">
        <v>2</v>
      </c>
      <c r="C100" s="20" t="inlineStr">
        <is>
          <t>MB-PRV-06 / Process Quality Control</t>
        </is>
      </c>
      <c r="D100" s="20" t="inlineStr">
        <is>
          <t>MB-PRV-06</t>
        </is>
      </c>
      <c r="E100" s="21" t="inlineStr">
        <is>
          <t>Process Quality Control</t>
        </is>
      </c>
      <c r="F100" s="22" t="inlineStr">
        <is>
          <t>Mobile — Operasional Stasiun (MB-)</t>
        </is>
      </c>
      <c r="G100" s="21" t="inlineStr">
        <is>
          <t>Detail menampilkan persis baris yang tersimpan</t>
        </is>
      </c>
      <c r="H100" s="22" t="inlineStr">
        <is>
          <t>OPR-A</t>
        </is>
      </c>
      <c r="I100" s="22" t="inlineStr">
        <is>
          <t>record dengan 3 baris slot waktu</t>
        </is>
      </c>
      <c r="J100" s="22" t="inlineStr">
        <is>
          <t>1. Siapkan satu record dengan tepat 3 baris slot waktu terisi.
2. Login di mobile, buka Monitor Process Quality Control, lalu tekan Load Data (/stations/process-quality-control/preview), buka record itu.
3. Hitung jumlah baris pada grid detailnya.
4. Cocokkan slot waktu dan nilai tiap baris dengan yang disimpan.</t>
        </is>
      </c>
      <c r="K100" s="22" t="inlineStr">
        <is>
          <t>- Grid menampilkan tepat 3 baris — bukan 24, bukan dipadatkan menjadi 1.
- Slot waktu dan nilainya sama dengan yang disimpan.
- Tidak ada baris kosong tambahan yang digambar untuk mengisi sampai 24.</t>
        </is>
      </c>
      <c r="L100" s="16" t="inlineStr">
        <is>
          <t>Tinggi</t>
        </is>
      </c>
      <c r="M100" s="22" t="inlineStr"/>
      <c r="N100" s="17" t="inlineStr">
        <is>
          <t>2026-10-12</t>
        </is>
      </c>
      <c r="O100" s="17" t="inlineStr">
        <is>
          <t>Pelaksana QA otomatis</t>
        </is>
      </c>
      <c r="P100" s="45" t="inlineStr">
        <is>
          <t>Lulus</t>
        </is>
      </c>
      <c r="Q100" s="17" t="n"/>
      <c r="R100" s="17" t="inlineStr">
        <is>
          <t>record dicocokkan dengan identitas "QA9470250", disimpan dengan 3 baris; detailnya menggambar 3 baris (dihitung dari penanda per baris) — tepat sama=true, bukan 24 dan bukan dipadatkan menjadi satu. Tidak ada baris kosong tambahan yang digambar untuk mengisi sampai 24.</t>
        </is>
      </c>
    </row>
    <row r="101" ht="109.6" customHeight="1">
      <c r="A101" s="11" t="n">
        <v>97</v>
      </c>
      <c r="B101" s="12" t="n">
        <v>1</v>
      </c>
      <c r="C101" s="13" t="inlineStr">
        <is>
          <t>MB-PRV-07 / Depricarping</t>
        </is>
      </c>
      <c r="D101" s="13" t="inlineStr">
        <is>
          <t>MB-PRV-07</t>
        </is>
      </c>
      <c r="E101" s="15" t="inlineStr">
        <is>
          <t>Depricarping</t>
        </is>
      </c>
      <c r="F101" s="14" t="inlineStr">
        <is>
          <t>Mobile — Operasional Stasiun (MB-)</t>
        </is>
      </c>
      <c r="G101" s="15" t="inlineStr">
        <is>
          <t>Checked By / Acknowledged By terlihat oleh semua peran</t>
        </is>
      </c>
      <c r="H101" s="14" t="inlineStr">
        <is>
          <t>OPR-A</t>
        </is>
      </c>
      <c r="I101" s="14" t="inlineStr">
        <is>
          <t>record yang sudah di-Checked Supervisor</t>
        </is>
      </c>
      <c r="J101" s="14" t="inlineStr">
        <is>
          <t>1. Siapkan satu record yang sudah di-Checked oleh SPV-A.
2. Login di mobile, buka Monitor Depricarping, lalu tekan Load Data (/stations/depricarping/preview) sebagai OPR-A, buka record itu.
3. Cari baris Checked By dan Acknowledged By pada header detail.
4. Ulangi sebagai SPV-A, lalu MGR-A.</t>
        </is>
      </c>
      <c r="K101" s="14" t="inlineStr">
        <is>
          <t>- Ketiga peran melihat nama pada Checked By.
- Acknowledged By yang belum terisi tampil sebagai tanda pisah atau keterangan, bukan angka 0 dan bukan kosong tanpa label.
- Melihat tidak sama dengan mengisi: Operator tetap tidak dapat mengubahnya.</t>
        </is>
      </c>
      <c r="L101" s="11" t="inlineStr">
        <is>
          <t>Sedang</t>
        </is>
      </c>
      <c r="M101" s="14" t="inlineStr"/>
      <c r="N101" s="17" t="inlineStr">
        <is>
          <t>2026-10-12</t>
        </is>
      </c>
      <c r="O101" s="17" t="inlineStr">
        <is>
          <t>Pelaksana QA otomatis</t>
        </is>
      </c>
      <c r="P101" s="45" t="inlineStr">
        <is>
          <t>Lulus</t>
        </is>
      </c>
      <c r="Q101" s="17" t="n"/>
      <c r="R101" s="17" t="inlineStr">
        <is>
          <t>record "QA5491550" dibuat Supervisor dan ditandai Checked olehnya (kendalinya dapat dipakai=true). Pada detail Data Preview: baris Checked By terlihat=true; baris Acknowledged By terlihat=true; Acknowledged yang belum terisi tampil sebagai tanda pisah atau keterangan=true; tampil sebagai angka 0=false (harus false). Catatan: di mobile tiap peran hanya melihat recordnya sendiri, jadi "ketiga peran melihat record yang sama" tidak dapat dijalankan di sini — bagian itu diuji di web.</t>
        </is>
      </c>
    </row>
    <row r="102" ht="122.8" customHeight="1">
      <c r="A102" s="11" t="n">
        <v>98</v>
      </c>
      <c r="B102" s="12" t="n">
        <v>1</v>
      </c>
      <c r="C102" s="13" t="inlineStr">
        <is>
          <t>MB-PRV-08 / Depricarping</t>
        </is>
      </c>
      <c r="D102" s="13" t="inlineStr">
        <is>
          <t>MB-PRV-08</t>
        </is>
      </c>
      <c r="E102" s="15" t="inlineStr">
        <is>
          <t>Depricarping</t>
        </is>
      </c>
      <c r="F102" s="14" t="inlineStr">
        <is>
          <t>Mobile — Operasional Stasiun (MB-)</t>
        </is>
      </c>
      <c r="G102" s="15" t="inlineStr">
        <is>
          <t>Reset Filter memulihkan keadaan awal</t>
        </is>
      </c>
      <c r="H102" s="14" t="inlineStr">
        <is>
          <t>OPR-A</t>
        </is>
      </c>
      <c r="I102" s="14" t="inlineStr">
        <is>
          <t>—</t>
        </is>
      </c>
      <c r="J102" s="14" t="inlineStr">
        <is>
          <t>1. Login di mobile, buka Monitor Depricarping, lalu tekan Load Data (/stations/depricarping/preview). Catat keadaan awal: isi filter Tanggal dan jumlah baris.
2. Ubah filter Tanggal, dan ketik satu kata kunci pada kolom Cari.
3. Perhatikan apakah tombol Reset Filter muncul.
4. Tekan Reset Filter.</t>
        </is>
      </c>
      <c r="K102" s="14" t="inlineStr">
        <is>
          <t>- Tombol Reset Filter muncul hanya ketika ada filter aktif.
- Sesudah ditekan: filter Tanggal kembali ke hari ini, kolom Cari kosong.
- Jumlah baris kembali sama dengan keadaan awal langkah 1.</t>
        </is>
      </c>
      <c r="L102" s="11" t="inlineStr">
        <is>
          <t>Rendah</t>
        </is>
      </c>
      <c r="M102" s="14" t="inlineStr"/>
      <c r="N102" s="17" t="inlineStr">
        <is>
          <t>2026-10-12</t>
        </is>
      </c>
      <c r="O102" s="17" t="inlineStr">
        <is>
          <t>Pelaksana QA otomatis</t>
        </is>
      </c>
      <c r="P102" s="8" t="inlineStr">
        <is>
          <t>Gagal</t>
        </is>
      </c>
      <c r="Q102" s="17" t="n"/>
      <c r="R102" s="17" t="inlineStr">
        <is>
          <t>Keadaan awal tanpa disentuh: filter Tanggal "2026-10-12" dengan 1 baris, dan tombol Reset Filter SUDAH TERLIHAT=true — padahal belum ada filter yang diubah penguji; tanggal bawaan hari ini sendiri sudah dihitung sebagai filter aktif, sehingga tombolnya praktis selalu ada dan tidak lagi menandakan apa pun. Sesudah Tanggal diubah ke 01/01/2026 dan kata kunci diketik: 0 baris, tombol Reset Filter ada=true. Sesudah Reset ditekan: kolom Cari kosong=true (benar); filter Tanggal menjadi "(kosong)" — bukan kembali ke hari ini "2026-10-12"=false. Akibatnya daftar sesudah Reset menampilkan record SELURUH tanggal, bukan hari ini seperti keadaan awal; jumlah baris di sini sama (1) hanya karena perangkat ini memang baru punya satu record.</t>
        </is>
      </c>
    </row>
    <row r="103" ht="122.8" customHeight="1">
      <c r="A103" s="11" t="n">
        <v>99</v>
      </c>
      <c r="B103" s="12" t="n">
        <v>1</v>
      </c>
      <c r="C103" s="13" t="inlineStr">
        <is>
          <t>WB-BRW-01 / Depricarping</t>
        </is>
      </c>
      <c r="D103" s="13" t="inlineStr">
        <is>
          <t>WB-BRW-01</t>
        </is>
      </c>
      <c r="E103" s="15" t="inlineStr">
        <is>
          <t>Depricarping</t>
        </is>
      </c>
      <c r="F103" s="14" t="inlineStr">
        <is>
          <t>Web — Data Stasiun (WB-)</t>
        </is>
      </c>
      <c r="G103" s="15" t="inlineStr">
        <is>
          <t>Daftar tampil dengan filter tanggal dan kolom status berbahasa Indonesia</t>
        </is>
      </c>
      <c r="H103" s="14" t="inlineStr">
        <is>
          <t>SPV-A</t>
        </is>
      </c>
      <c r="I103" s="14" t="inlineStr">
        <is>
          <t>ada record dengan status berbeda-beda</t>
        </is>
      </c>
      <c r="J103" s="14" t="inlineStr">
        <is>
          <t>1. Siapkan untuk stasiun ini record dengan status berbeda-beda: Draft, Dijeda, Tersimpan, Tersinkron.
2. Login di web, lalu sidebar &gt; Data &gt; Depricarping (/data/depricarping) sebagai SPV-A.
3. Baca judul setiap kolom tabel.
4. Baca isi kolom Status pada setiap baris.
5. Periksa panel filter: apakah ada kolom tanggal dari dan sampai?</t>
        </is>
      </c>
      <c r="K103" s="14"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103" s="16" t="inlineStr">
        <is>
          <t>Tinggi</t>
        </is>
      </c>
      <c r="M103" s="14" t="inlineStr"/>
      <c r="N103" s="17" t="inlineStr">
        <is>
          <t>2026-10-12</t>
        </is>
      </c>
      <c r="O103" s="17" t="inlineStr">
        <is>
          <t>Pelaksana QA otomatis</t>
        </is>
      </c>
      <c r="P103" s="45" t="inlineStr">
        <is>
          <t>Lulus</t>
        </is>
      </c>
      <c r="Q103" s="17" t="n"/>
      <c r="R103" s="17" t="inlineStr">
        <is>
          <t>judul kolom: Production Line | Depricarping ID | Tanggal | Jumlah Baris Terisi | Status; kolom identitas, Tanggal, Jumlah Baris Terisi, dan Status ada=true; nilai Status yang terbaca: Tersinkron — tidak ada yang berbentuk teknis (draft_ongoing/synced)=true; panel filter menyediakan rentang tanggal (dari=true, sampai=true).</t>
        </is>
      </c>
    </row>
    <row r="104" ht="83.19999999999999" customHeight="1">
      <c r="A104" s="11" t="n">
        <v>100</v>
      </c>
      <c r="B104" s="12" t="n">
        <v>1</v>
      </c>
      <c r="C104" s="13" t="inlineStr">
        <is>
          <t>WB-BRW-02 / Depricarping</t>
        </is>
      </c>
      <c r="D104" s="13" t="inlineStr">
        <is>
          <t>WB-BRW-02</t>
        </is>
      </c>
      <c r="E104" s="15" t="inlineStr">
        <is>
          <t>Depricarping</t>
        </is>
      </c>
      <c r="F104" s="14" t="inlineStr">
        <is>
          <t>Web — Data Stasiun (WB-)</t>
        </is>
      </c>
      <c r="G104" s="15" t="inlineStr">
        <is>
          <t>Rentang tanggal terbalik ditolak</t>
        </is>
      </c>
      <c r="H104" s="14" t="inlineStr">
        <is>
          <t>SPV-A</t>
        </is>
      </c>
      <c r="I104" s="14" t="inlineStr">
        <is>
          <t>—</t>
        </is>
      </c>
      <c r="J104" s="14" t="inlineStr">
        <is>
          <t>1. Login di web, lalu sidebar &gt; Data &gt; Depricarping (/data/depricarping).
2. Isi tanggal dari = hari ini.
3. Isi tanggal sampai = tanggal 7 hari sebelum hari ini.
4. Terapkan filter.</t>
        </is>
      </c>
      <c r="K104" s="14" t="inlineStr">
        <is>
          <t>- Ditolak dengan pesan yang menyebut rentang tanggalnya.
- BUKAN tabel kosong tanpa penjelasan — tabel kosong akan terbaca "tidak ada data", padahal filternya yang mustahil.
- BUKAN pesan galat teknis.</t>
        </is>
      </c>
      <c r="L104" s="16" t="inlineStr">
        <is>
          <t>Tinggi</t>
        </is>
      </c>
      <c r="M104" s="14" t="inlineStr"/>
      <c r="N104" s="17" t="inlineStr">
        <is>
          <t>2026-10-12</t>
        </is>
      </c>
      <c r="O104" s="17" t="inlineStr">
        <is>
          <t>Pelaksana QA otomatis</t>
        </is>
      </c>
      <c r="P104" s="45" t="inlineStr">
        <is>
          <t>Lulus</t>
        </is>
      </c>
      <c r="Q104" s="17" t="n"/>
      <c r="R104" s="17" t="inlineStr">
        <is>
          <t>pesan tentang rentang tanggal terbaca=true; hanya tabel kosong tanpa penjelasan=false (harus false); galat teknis=false.</t>
        </is>
      </c>
    </row>
    <row r="105" ht="334" customHeight="1">
      <c r="A105" s="18" t="n">
        <v>101</v>
      </c>
      <c r="B105" s="19" t="n">
        <v>2</v>
      </c>
      <c r="C105" s="20" t="inlineStr">
        <is>
          <t>WB-BRW-03 / Weighbridge</t>
        </is>
      </c>
      <c r="D105" s="20" t="inlineStr">
        <is>
          <t>WB-BRW-03</t>
        </is>
      </c>
      <c r="E105" s="21" t="inlineStr">
        <is>
          <t>Weighbridge</t>
        </is>
      </c>
      <c r="F105" s="22" t="inlineStr">
        <is>
          <t>Web — Data Stasiun (WB-)</t>
        </is>
      </c>
      <c r="G105" s="21" t="inlineStr">
        <is>
          <t>"Jumlah Baris Terisi" tampil sebagai pecahan dari 24</t>
        </is>
      </c>
      <c r="H105" s="22" t="inlineStr">
        <is>
          <t>SPV-A</t>
        </is>
      </c>
      <c r="I105" s="22" t="inlineStr">
        <is>
          <t>satu record dengan 3 baris terisi</t>
        </is>
      </c>
      <c r="J105" s="23" t="inlineStr">
        <is>
          <t>Tidak berlaku — grid stasiun ini bukan 24 slot waktu; ia menghitung satuannya sendiri (siklus / cage-lori / kejadian / nomor kendaraan / satu transaksi per record)</t>
        </is>
      </c>
      <c r="K105" s="23" t="inlineStr">
        <is>
          <t>Tidak berlaku — grid stasiun ini bukan 24 slot waktu; ia menghitung satuannya sendiri (siklus / cage-lori / kejadian / nomor kendaraan / satu transaksi per record)</t>
        </is>
      </c>
      <c r="L105" s="18" t="inlineStr">
        <is>
          <t>Sedang</t>
        </is>
      </c>
      <c r="M105" s="22"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105" s="24" t="inlineStr">
        <is>
          <t>2026-10-12</t>
        </is>
      </c>
      <c r="O105" s="24" t="inlineStr">
        <is>
          <t>Pelaksana QA otomatis</t>
        </is>
      </c>
      <c r="P105" s="46" t="inlineStr">
        <is>
          <t>Tidak berlaku</t>
        </is>
      </c>
      <c r="Q105" s="24" t="n"/>
      <c r="R105" s="24" t="inlineStr">
        <is>
          <t>Tidak berlaku — grid stasiun ini bukan 24 slot waktu; ia menghitung satuannya sendiri (siklus / cage-lori / kejadian / nomor kendaraan / satu transaksi per record) — diperiksa pelaksana: Tidak berlaku di Weighbridge: Data Browser stasiun ini tidak memakai penyebut 24 karena gridnya bukan 24 slot waktu — ia menghitung satuannya sendiri (siklus, cage/lori, kejadian, atau satu transaksi per record). Kasus ini hanya berlaku di 11 stasiun bergrid slot waktu.</t>
        </is>
      </c>
    </row>
    <row r="106" ht="334" customHeight="1">
      <c r="A106" s="18" t="n">
        <v>102</v>
      </c>
      <c r="B106" s="19" t="n">
        <v>2</v>
      </c>
      <c r="C106" s="20" t="inlineStr">
        <is>
          <t>WB-BRW-03 / Grading</t>
        </is>
      </c>
      <c r="D106" s="20" t="inlineStr">
        <is>
          <t>WB-BRW-03</t>
        </is>
      </c>
      <c r="E106" s="21" t="inlineStr">
        <is>
          <t>Grading</t>
        </is>
      </c>
      <c r="F106" s="22" t="inlineStr">
        <is>
          <t>Web — Data Stasiun (WB-)</t>
        </is>
      </c>
      <c r="G106" s="21" t="inlineStr">
        <is>
          <t>"Jumlah Baris Terisi" tampil sebagai pecahan dari 24</t>
        </is>
      </c>
      <c r="H106" s="22" t="inlineStr">
        <is>
          <t>SPV-A</t>
        </is>
      </c>
      <c r="I106" s="22" t="inlineStr">
        <is>
          <t>satu record dengan 3 baris terisi</t>
        </is>
      </c>
      <c r="J106" s="23" t="inlineStr">
        <is>
          <t>Tidak berlaku — grid stasiun ini bukan 24 slot waktu; ia menghitung satuannya sendiri (siklus / cage-lori / kejadian / nomor kendaraan / satu transaksi per record)</t>
        </is>
      </c>
      <c r="K106" s="23" t="inlineStr">
        <is>
          <t>Tidak berlaku — grid stasiun ini bukan 24 slot waktu; ia menghitung satuannya sendiri (siklus / cage-lori / kejadian / nomor kendaraan / satu transaksi per record)</t>
        </is>
      </c>
      <c r="L106" s="18" t="inlineStr">
        <is>
          <t>Sedang</t>
        </is>
      </c>
      <c r="M106" s="22"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106" s="24" t="inlineStr">
        <is>
          <t>2026-10-12</t>
        </is>
      </c>
      <c r="O106" s="24" t="inlineStr">
        <is>
          <t>Pelaksana QA otomatis</t>
        </is>
      </c>
      <c r="P106" s="46" t="inlineStr">
        <is>
          <t>Tidak berlaku</t>
        </is>
      </c>
      <c r="Q106" s="24" t="n"/>
      <c r="R106" s="24" t="inlineStr">
        <is>
          <t>Tidak berlaku — grid stasiun ini bukan 24 slot waktu; ia menghitung satuannya sendiri (siklus / cage-lori / kejadian / nomor kendaraan / satu transaksi per record) — diperiksa pelaksana: Tidak berlaku di Grading: Data Browser stasiun ini tidak memakai penyebut 24 karena gridnya bukan 24 slot waktu — ia menghitung satuannya sendiri (siklus, cage/lori, kejadian, atau satu transaksi per record). Kasus ini hanya berlaku di 11 stasiun bergrid slot waktu.</t>
        </is>
      </c>
    </row>
    <row r="107" ht="334" customHeight="1">
      <c r="A107" s="18" t="n">
        <v>103</v>
      </c>
      <c r="B107" s="19" t="n">
        <v>2</v>
      </c>
      <c r="C107" s="20" t="inlineStr">
        <is>
          <t>WB-BRW-03 / Cages Track</t>
        </is>
      </c>
      <c r="D107" s="20" t="inlineStr">
        <is>
          <t>WB-BRW-03</t>
        </is>
      </c>
      <c r="E107" s="21" t="inlineStr">
        <is>
          <t>Cages Track</t>
        </is>
      </c>
      <c r="F107" s="22" t="inlineStr">
        <is>
          <t>Web — Data Stasiun (WB-)</t>
        </is>
      </c>
      <c r="G107" s="21" t="inlineStr">
        <is>
          <t>"Jumlah Baris Terisi" tampil sebagai pecahan dari 24</t>
        </is>
      </c>
      <c r="H107" s="22" t="inlineStr">
        <is>
          <t>SPV-A</t>
        </is>
      </c>
      <c r="I107" s="22" t="inlineStr">
        <is>
          <t>satu record dengan 3 baris terisi</t>
        </is>
      </c>
      <c r="J107" s="23" t="inlineStr">
        <is>
          <t>Tidak berlaku — grid stasiun ini bukan 24 slot waktu; ia menghitung satuannya sendiri (siklus / cage-lori / kejadian / nomor kendaraan / satu transaksi per record)</t>
        </is>
      </c>
      <c r="K107" s="23" t="inlineStr">
        <is>
          <t>Tidak berlaku — grid stasiun ini bukan 24 slot waktu; ia menghitung satuannya sendiri (siklus / cage-lori / kejadian / nomor kendaraan / satu transaksi per record)</t>
        </is>
      </c>
      <c r="L107" s="18" t="inlineStr">
        <is>
          <t>Sedang</t>
        </is>
      </c>
      <c r="M107" s="22"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107" s="24" t="inlineStr">
        <is>
          <t>2026-10-12</t>
        </is>
      </c>
      <c r="O107" s="24" t="inlineStr">
        <is>
          <t>Pelaksana QA otomatis</t>
        </is>
      </c>
      <c r="P107" s="46" t="inlineStr">
        <is>
          <t>Tidak berlaku</t>
        </is>
      </c>
      <c r="Q107" s="24" t="n"/>
      <c r="R107" s="24" t="inlineStr">
        <is>
          <t>Tidak berlaku — grid stasiun ini bukan 24 slot waktu; ia menghitung satuannya sendiri (siklus / cage-lori / kejadian / nomor kendaraan / satu transaksi per record) — diperiksa pelaksana: Tidak berlaku di Cages Track: Data Browser stasiun ini tidak memakai penyebut 24 karena gridnya bukan 24 slot waktu — ia menghitung satuannya sendiri (siklus, cage/lori, kejadian, atau satu transaksi per record). Kasus ini hanya berlaku di 11 stasiun bergrid slot waktu.</t>
        </is>
      </c>
    </row>
    <row r="108" ht="334" customHeight="1">
      <c r="A108" s="18" t="n">
        <v>104</v>
      </c>
      <c r="B108" s="19" t="n">
        <v>2</v>
      </c>
      <c r="C108" s="20" t="inlineStr">
        <is>
          <t>WB-BRW-03 / Sterilizer</t>
        </is>
      </c>
      <c r="D108" s="20" t="inlineStr">
        <is>
          <t>WB-BRW-03</t>
        </is>
      </c>
      <c r="E108" s="21" t="inlineStr">
        <is>
          <t>Sterilizer</t>
        </is>
      </c>
      <c r="F108" s="22" t="inlineStr">
        <is>
          <t>Web — Data Stasiun (WB-)</t>
        </is>
      </c>
      <c r="G108" s="21" t="inlineStr">
        <is>
          <t>"Jumlah Baris Terisi" tampil sebagai pecahan dari 24</t>
        </is>
      </c>
      <c r="H108" s="22" t="inlineStr">
        <is>
          <t>SPV-A</t>
        </is>
      </c>
      <c r="I108" s="22" t="inlineStr">
        <is>
          <t>satu record dengan 3 baris terisi</t>
        </is>
      </c>
      <c r="J108" s="23" t="inlineStr">
        <is>
          <t>Tidak berlaku — grid stasiun ini bukan 24 slot waktu; ia menghitung satuannya sendiri (siklus / cage-lori / kejadian / nomor kendaraan / satu transaksi per record)</t>
        </is>
      </c>
      <c r="K108" s="23" t="inlineStr">
        <is>
          <t>Tidak berlaku — grid stasiun ini bukan 24 slot waktu; ia menghitung satuannya sendiri (siklus / cage-lori / kejadian / nomor kendaraan / satu transaksi per record)</t>
        </is>
      </c>
      <c r="L108" s="18" t="inlineStr">
        <is>
          <t>Sedang</t>
        </is>
      </c>
      <c r="M108" s="22"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108" s="24" t="inlineStr">
        <is>
          <t>2026-10-12</t>
        </is>
      </c>
      <c r="O108" s="24" t="inlineStr">
        <is>
          <t>Pelaksana QA otomatis</t>
        </is>
      </c>
      <c r="P108" s="46" t="inlineStr">
        <is>
          <t>Tidak berlaku</t>
        </is>
      </c>
      <c r="Q108" s="24" t="n"/>
      <c r="R108" s="24" t="inlineStr">
        <is>
          <t>Tidak berlaku — grid stasiun ini bukan 24 slot waktu; ia menghitung satuannya sendiri (siklus / cage-lori / kejadian / nomor kendaraan / satu transaksi per record) — diperiksa pelaksana: Tidak berlaku di Sterilizer: Data Browser stasiun ini tidak memakai penyebut 24 karena gridnya bukan 24 slot waktu — ia menghitung satuannya sendiri (siklus, cage/lori, kejadian, atau satu transaksi per record). Kasus ini hanya berlaku di 11 stasiun bergrid slot waktu.</t>
        </is>
      </c>
    </row>
    <row r="109" ht="334" customHeight="1">
      <c r="A109" s="18" t="n">
        <v>105</v>
      </c>
      <c r="B109" s="19" t="n">
        <v>2</v>
      </c>
      <c r="C109" s="20" t="inlineStr">
        <is>
          <t>WB-BRW-03 / Threshing</t>
        </is>
      </c>
      <c r="D109" s="20" t="inlineStr">
        <is>
          <t>WB-BRW-03</t>
        </is>
      </c>
      <c r="E109" s="21" t="inlineStr">
        <is>
          <t>Threshing</t>
        </is>
      </c>
      <c r="F109" s="22" t="inlineStr">
        <is>
          <t>Web — Data Stasiun (WB-)</t>
        </is>
      </c>
      <c r="G109" s="21" t="inlineStr">
        <is>
          <t>"Jumlah Baris Terisi" tampil sebagai pecahan dari 24</t>
        </is>
      </c>
      <c r="H109" s="22" t="inlineStr">
        <is>
          <t>SPV-A</t>
        </is>
      </c>
      <c r="I109" s="22" t="inlineStr">
        <is>
          <t>satu record dengan 3 baris terisi</t>
        </is>
      </c>
      <c r="J109" s="22" t="inlineStr">
        <is>
          <t>1. Siapkan satu record dengan tepat 3 baris slot waktu terisi.
2. Login di web, lalu sidebar &gt; Data &gt; Threshing (/data/threshing), cari record itu.
3. Baca kolom Jumlah Baris Terisi pada baris itu.
4. Bandingkan dengan jumlah baris sebenarnya pada Detail record tersebut.</t>
        </is>
      </c>
      <c r="K109"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09" s="18" t="inlineStr">
        <is>
          <t>Sedang</t>
        </is>
      </c>
      <c r="M109" s="22"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109" s="17" t="inlineStr">
        <is>
          <t>2026-10-12</t>
        </is>
      </c>
      <c r="O109" s="17" t="inlineStr">
        <is>
          <t>Pelaksana QA otomatis</t>
        </is>
      </c>
      <c r="P109" s="45" t="inlineStr">
        <is>
          <t>Lulus</t>
        </is>
      </c>
      <c r="Q109" s="17" t="n"/>
      <c r="R109" s="17" t="inlineStr">
        <is>
          <t>kolom Jumlah Baris Terisi tertulis "3 / 24" — berbentuk pecahan dari 24, bukan angka tanpa penyebut=true; angka pertamanya 3, dan Detail record itu memuat 3 baris grid (dihitung dari penanda baris grid) — cocok=true.</t>
        </is>
      </c>
    </row>
    <row r="110" ht="334" customHeight="1">
      <c r="A110" s="18" t="n">
        <v>106</v>
      </c>
      <c r="B110" s="19" t="n">
        <v>2</v>
      </c>
      <c r="C110" s="20" t="inlineStr">
        <is>
          <t>WB-BRW-03 / Pressing</t>
        </is>
      </c>
      <c r="D110" s="20" t="inlineStr">
        <is>
          <t>WB-BRW-03</t>
        </is>
      </c>
      <c r="E110" s="21" t="inlineStr">
        <is>
          <t>Pressing</t>
        </is>
      </c>
      <c r="F110" s="22" t="inlineStr">
        <is>
          <t>Web — Data Stasiun (WB-)</t>
        </is>
      </c>
      <c r="G110" s="21" t="inlineStr">
        <is>
          <t>"Jumlah Baris Terisi" tampil sebagai pecahan dari 24</t>
        </is>
      </c>
      <c r="H110" s="22" t="inlineStr">
        <is>
          <t>SPV-A</t>
        </is>
      </c>
      <c r="I110" s="22" t="inlineStr">
        <is>
          <t>satu record dengan 3 baris terisi</t>
        </is>
      </c>
      <c r="J110" s="22" t="inlineStr">
        <is>
          <t>1. Siapkan satu record dengan tepat 3 baris slot waktu terisi.
2. Login di web, lalu sidebar &gt; Data &gt; Pressing (/data/pressing), cari record itu.
3. Baca kolom Jumlah Baris Terisi pada baris itu.
4. Bandingkan dengan jumlah baris sebenarnya pada Detail record tersebut.</t>
        </is>
      </c>
      <c r="K110"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10" s="18" t="inlineStr">
        <is>
          <t>Sedang</t>
        </is>
      </c>
      <c r="M110" s="22"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110" s="17" t="inlineStr">
        <is>
          <t>2026-10-12</t>
        </is>
      </c>
      <c r="O110" s="17" t="inlineStr">
        <is>
          <t>Pelaksana QA otomatis</t>
        </is>
      </c>
      <c r="P110" s="45" t="inlineStr">
        <is>
          <t>Lulus</t>
        </is>
      </c>
      <c r="Q110" s="17" t="n"/>
      <c r="R110" s="17" t="inlineStr">
        <is>
          <t>kolom Jumlah Baris Terisi tertulis "3 / 24" — berbentuk pecahan dari 24, bukan angka tanpa penyebut=true; angka pertamanya 3, dan Detail record itu memuat 3 baris grid (dihitung dari penanda baris grid) — cocok=true.</t>
        </is>
      </c>
    </row>
    <row r="111" ht="334" customHeight="1">
      <c r="A111" s="18" t="n">
        <v>107</v>
      </c>
      <c r="B111" s="19" t="n">
        <v>2</v>
      </c>
      <c r="C111" s="20" t="inlineStr">
        <is>
          <t>WB-BRW-03 / Clarification</t>
        </is>
      </c>
      <c r="D111" s="20" t="inlineStr">
        <is>
          <t>WB-BRW-03</t>
        </is>
      </c>
      <c r="E111" s="21" t="inlineStr">
        <is>
          <t>Clarification</t>
        </is>
      </c>
      <c r="F111" s="22" t="inlineStr">
        <is>
          <t>Web — Data Stasiun (WB-)</t>
        </is>
      </c>
      <c r="G111" s="21" t="inlineStr">
        <is>
          <t>"Jumlah Baris Terisi" tampil sebagai pecahan dari 24</t>
        </is>
      </c>
      <c r="H111" s="22" t="inlineStr">
        <is>
          <t>SPV-A</t>
        </is>
      </c>
      <c r="I111" s="22" t="inlineStr">
        <is>
          <t>satu record dengan 3 baris terisi</t>
        </is>
      </c>
      <c r="J111" s="22" t="inlineStr">
        <is>
          <t>1. Siapkan satu record dengan tepat 3 baris slot waktu terisi.
2. Login di web, lalu sidebar &gt; Data &gt; Clarification (/data/clarification), cari record itu.
3. Baca kolom Jumlah Baris Terisi pada baris itu.
4. Bandingkan dengan jumlah baris sebenarnya pada Detail record tersebut.</t>
        </is>
      </c>
      <c r="K111"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11" s="18" t="inlineStr">
        <is>
          <t>Sedang</t>
        </is>
      </c>
      <c r="M111" s="22"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111" s="17" t="inlineStr">
        <is>
          <t>2026-10-12</t>
        </is>
      </c>
      <c r="O111" s="17" t="inlineStr">
        <is>
          <t>Pelaksana QA otomatis</t>
        </is>
      </c>
      <c r="P111" s="45" t="inlineStr">
        <is>
          <t>Lulus</t>
        </is>
      </c>
      <c r="Q111" s="17" t="n"/>
      <c r="R111" s="17" t="inlineStr">
        <is>
          <t>kolom Jumlah Baris Terisi tertulis "23 / 24" — berbentuk pecahan dari 24, bukan angka tanpa penyebut=true; angka pertamanya 23, dan Detail record itu memuat 23 baris grid (dihitung dari penanda baris grid) — cocok=true.</t>
        </is>
      </c>
    </row>
    <row r="112" ht="334" customHeight="1">
      <c r="A112" s="18" t="n">
        <v>108</v>
      </c>
      <c r="B112" s="19" t="n">
        <v>2</v>
      </c>
      <c r="C112" s="20" t="inlineStr">
        <is>
          <t>WB-BRW-03 / Kernel Plant</t>
        </is>
      </c>
      <c r="D112" s="20" t="inlineStr">
        <is>
          <t>WB-BRW-03</t>
        </is>
      </c>
      <c r="E112" s="21" t="inlineStr">
        <is>
          <t>Kernel Plant</t>
        </is>
      </c>
      <c r="F112" s="22" t="inlineStr">
        <is>
          <t>Web — Data Stasiun (WB-)</t>
        </is>
      </c>
      <c r="G112" s="21" t="inlineStr">
        <is>
          <t>"Jumlah Baris Terisi" tampil sebagai pecahan dari 24</t>
        </is>
      </c>
      <c r="H112" s="22" t="inlineStr">
        <is>
          <t>SPV-A</t>
        </is>
      </c>
      <c r="I112" s="22" t="inlineStr">
        <is>
          <t>satu record dengan 3 baris terisi</t>
        </is>
      </c>
      <c r="J112" s="22" t="inlineStr">
        <is>
          <t>1. Siapkan satu record dengan tepat 3 baris slot waktu terisi.
2. Login di web, lalu sidebar &gt; Data &gt; Kernel Plant (/data/kernel-plant), cari record itu.
3. Baca kolom Jumlah Baris Terisi pada baris itu.
4. Bandingkan dengan jumlah baris sebenarnya pada Detail record tersebut.</t>
        </is>
      </c>
      <c r="K112"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12" s="18" t="inlineStr">
        <is>
          <t>Sedang</t>
        </is>
      </c>
      <c r="M112" s="22"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112" s="17" t="inlineStr">
        <is>
          <t>2026-10-12</t>
        </is>
      </c>
      <c r="O112" s="17" t="inlineStr">
        <is>
          <t>Pelaksana QA otomatis</t>
        </is>
      </c>
      <c r="P112" s="45" t="inlineStr">
        <is>
          <t>Lulus</t>
        </is>
      </c>
      <c r="Q112" s="17" t="n"/>
      <c r="R112" s="17" t="inlineStr">
        <is>
          <t>kolom Jumlah Baris Terisi tertulis "3 / 24" — berbentuk pecahan dari 24, bukan angka tanpa penyebut=true; angka pertamanya 3, dan Detail record itu memuat 3 baris grid (dihitung dari penanda baris grid) — cocok=true.</t>
        </is>
      </c>
    </row>
    <row r="113" ht="334" customHeight="1">
      <c r="A113" s="18" t="n">
        <v>109</v>
      </c>
      <c r="B113" s="19" t="n">
        <v>2</v>
      </c>
      <c r="C113" s="20" t="inlineStr">
        <is>
          <t>WB-BRW-03 / Boiler Room</t>
        </is>
      </c>
      <c r="D113" s="20" t="inlineStr">
        <is>
          <t>WB-BRW-03</t>
        </is>
      </c>
      <c r="E113" s="21" t="inlineStr">
        <is>
          <t>Boiler Room</t>
        </is>
      </c>
      <c r="F113" s="22" t="inlineStr">
        <is>
          <t>Web — Data Stasiun (WB-)</t>
        </is>
      </c>
      <c r="G113" s="21" t="inlineStr">
        <is>
          <t>"Jumlah Baris Terisi" tampil sebagai pecahan dari 24</t>
        </is>
      </c>
      <c r="H113" s="22" t="inlineStr">
        <is>
          <t>SPV-A</t>
        </is>
      </c>
      <c r="I113" s="22" t="inlineStr">
        <is>
          <t>satu record dengan 3 baris terisi</t>
        </is>
      </c>
      <c r="J113" s="22" t="inlineStr">
        <is>
          <t>1. Siapkan satu record dengan tepat 3 baris slot waktu terisi.
2. Login di web, lalu sidebar &gt; Data &gt; Boiler Room (/data/boiler-room), cari record itu.
3. Baca kolom Jumlah Baris Terisi pada baris itu.
4. Bandingkan dengan jumlah baris sebenarnya pada Detail record tersebut.</t>
        </is>
      </c>
      <c r="K113"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13" s="18" t="inlineStr">
        <is>
          <t>Sedang</t>
        </is>
      </c>
      <c r="M113" s="22"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113" s="17" t="inlineStr">
        <is>
          <t>2026-10-12</t>
        </is>
      </c>
      <c r="O113" s="17" t="inlineStr">
        <is>
          <t>Pelaksana QA otomatis</t>
        </is>
      </c>
      <c r="P113" s="45" t="inlineStr">
        <is>
          <t>Lulus</t>
        </is>
      </c>
      <c r="Q113" s="17" t="n"/>
      <c r="R113" s="17" t="inlineStr">
        <is>
          <t>kolom Jumlah Baris Terisi tertulis "24 / 24" — berbentuk pecahan dari 24, bukan angka tanpa penyebut=true; angka pertamanya 24, dan Detail record itu memuat 24 baris grid (dihitung dari penanda baris grid) — cocok=true.</t>
        </is>
      </c>
    </row>
    <row r="114" ht="334" customHeight="1">
      <c r="A114" s="18" t="n">
        <v>110</v>
      </c>
      <c r="B114" s="19" t="n">
        <v>2</v>
      </c>
      <c r="C114" s="20" t="inlineStr">
        <is>
          <t>WB-BRW-03 / Effluent Plant</t>
        </is>
      </c>
      <c r="D114" s="20" t="inlineStr">
        <is>
          <t>WB-BRW-03</t>
        </is>
      </c>
      <c r="E114" s="21" t="inlineStr">
        <is>
          <t>Effluent Plant</t>
        </is>
      </c>
      <c r="F114" s="22" t="inlineStr">
        <is>
          <t>Web — Data Stasiun (WB-)</t>
        </is>
      </c>
      <c r="G114" s="21" t="inlineStr">
        <is>
          <t>"Jumlah Baris Terisi" tampil sebagai pecahan dari 24</t>
        </is>
      </c>
      <c r="H114" s="22" t="inlineStr">
        <is>
          <t>SPV-A</t>
        </is>
      </c>
      <c r="I114" s="22" t="inlineStr">
        <is>
          <t>satu record dengan 3 baris terisi</t>
        </is>
      </c>
      <c r="J114" s="22" t="inlineStr">
        <is>
          <t>1. Siapkan satu record dengan tepat 3 baris slot waktu terisi.
2. Login di web, lalu sidebar &gt; Data &gt; Effluent Plant (/data/effluent-plant), cari record itu.
3. Baca kolom Jumlah Baris Terisi pada baris itu.
4. Bandingkan dengan jumlah baris sebenarnya pada Detail record tersebut.</t>
        </is>
      </c>
      <c r="K114"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14" s="18" t="inlineStr">
        <is>
          <t>Sedang</t>
        </is>
      </c>
      <c r="M114" s="22"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114" s="17" t="inlineStr">
        <is>
          <t>2026-10-12</t>
        </is>
      </c>
      <c r="O114" s="17" t="inlineStr">
        <is>
          <t>Pelaksana QA otomatis</t>
        </is>
      </c>
      <c r="P114" s="45" t="inlineStr">
        <is>
          <t>Lulus</t>
        </is>
      </c>
      <c r="Q114" s="17" t="n"/>
      <c r="R114" s="17" t="inlineStr">
        <is>
          <t>kolom Jumlah Baris Terisi tertulis "3 / 24" — berbentuk pecahan dari 24, bukan angka tanpa penyebut=true; angka pertamanya 3, dan Detail record itu memuat 3 baris grid (dihitung dari penanda baris grid) — cocok=true.</t>
        </is>
      </c>
    </row>
    <row r="115" ht="334" customHeight="1">
      <c r="A115" s="11" t="n">
        <v>111</v>
      </c>
      <c r="B115" s="12" t="n">
        <v>1</v>
      </c>
      <c r="C115" s="13" t="inlineStr">
        <is>
          <t>WB-BRW-03 / Depricarping</t>
        </is>
      </c>
      <c r="D115" s="13" t="inlineStr">
        <is>
          <t>WB-BRW-03</t>
        </is>
      </c>
      <c r="E115" s="15" t="inlineStr">
        <is>
          <t>Depricarping</t>
        </is>
      </c>
      <c r="F115" s="14" t="inlineStr">
        <is>
          <t>Web — Data Stasiun (WB-)</t>
        </is>
      </c>
      <c r="G115" s="15" t="inlineStr">
        <is>
          <t>"Jumlah Baris Terisi" tampil sebagai pecahan dari 24</t>
        </is>
      </c>
      <c r="H115" s="14" t="inlineStr">
        <is>
          <t>SPV-A</t>
        </is>
      </c>
      <c r="I115" s="14" t="inlineStr">
        <is>
          <t>satu record dengan 3 baris terisi</t>
        </is>
      </c>
      <c r="J115" s="14" t="inlineStr">
        <is>
          <t>1. Siapkan satu record dengan tepat 3 baris slot waktu terisi.
2. Login di web, lalu sidebar &gt; Data &gt; Depricarping (/data/depricarping), cari record itu.
3. Baca kolom Jumlah Baris Terisi pada baris itu.
4. Bandingkan dengan jumlah baris sebenarnya pada Detail record tersebut.</t>
        </is>
      </c>
      <c r="K115" s="14"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15" s="11" t="inlineStr">
        <is>
          <t>Sedang</t>
        </is>
      </c>
      <c r="M115" s="14"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115" s="17" t="inlineStr">
        <is>
          <t>2026-10-12</t>
        </is>
      </c>
      <c r="O115" s="17" t="inlineStr">
        <is>
          <t>Pelaksana QA otomatis</t>
        </is>
      </c>
      <c r="P115" s="45" t="inlineStr">
        <is>
          <t>Lulus</t>
        </is>
      </c>
      <c r="Q115" s="17" t="n"/>
      <c r="R115" s="17" t="inlineStr">
        <is>
          <t>kolom Jumlah Baris Terisi tertulis "3 / 24" — berbentuk pecahan dari 24, bukan angka tanpa penyebut=true; angka pertamanya 3, dan Detail record itu memuat 3 baris grid (dihitung dari penanda baris grid) — cocok=true.</t>
        </is>
      </c>
    </row>
    <row r="116" ht="334" customHeight="1">
      <c r="A116" s="18" t="n">
        <v>112</v>
      </c>
      <c r="B116" s="19" t="n">
        <v>2</v>
      </c>
      <c r="C116" s="20" t="inlineStr">
        <is>
          <t>WB-BRW-03 / Engine Room</t>
        </is>
      </c>
      <c r="D116" s="20" t="inlineStr">
        <is>
          <t>WB-BRW-03</t>
        </is>
      </c>
      <c r="E116" s="21" t="inlineStr">
        <is>
          <t>Engine Room</t>
        </is>
      </c>
      <c r="F116" s="22" t="inlineStr">
        <is>
          <t>Web — Data Stasiun (WB-)</t>
        </is>
      </c>
      <c r="G116" s="21" t="inlineStr">
        <is>
          <t>"Jumlah Baris Terisi" tampil sebagai pecahan dari 24</t>
        </is>
      </c>
      <c r="H116" s="22" t="inlineStr">
        <is>
          <t>SPV-A</t>
        </is>
      </c>
      <c r="I116" s="22" t="inlineStr">
        <is>
          <t>satu record dengan 3 baris terisi</t>
        </is>
      </c>
      <c r="J116" s="22" t="inlineStr">
        <is>
          <t>1. Siapkan satu record dengan tepat 3 baris slot waktu terisi.
2. Login di web, lalu sidebar &gt; Data &gt; Engine Room (/data/engine-room), cari record itu.
3. Baca kolom Jumlah Baris Terisi pada baris itu.
4. Bandingkan dengan jumlah baris sebenarnya pada Detail record tersebut.</t>
        </is>
      </c>
      <c r="K116"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16" s="18" t="inlineStr">
        <is>
          <t>Sedang</t>
        </is>
      </c>
      <c r="M116" s="22"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116" s="17" t="inlineStr">
        <is>
          <t>2026-10-12</t>
        </is>
      </c>
      <c r="O116" s="17" t="inlineStr">
        <is>
          <t>Pelaksana QA otomatis</t>
        </is>
      </c>
      <c r="P116" s="45" t="inlineStr">
        <is>
          <t>Lulus</t>
        </is>
      </c>
      <c r="Q116" s="17" t="n"/>
      <c r="R116" s="17" t="inlineStr">
        <is>
          <t>kolom Jumlah Baris Terisi tertulis "3 / 24" — berbentuk pecahan dari 24, bukan angka tanpa penyebut=true; angka pertamanya 3, dan Detail record itu memuat 3 baris grid (dihitung dari penanda baris grid) — cocok=true.</t>
        </is>
      </c>
    </row>
    <row r="117" ht="334" customHeight="1">
      <c r="A117" s="18" t="n">
        <v>113</v>
      </c>
      <c r="B117" s="19" t="n">
        <v>2</v>
      </c>
      <c r="C117" s="20" t="inlineStr">
        <is>
          <t>WB-BRW-03 / Process Water</t>
        </is>
      </c>
      <c r="D117" s="20" t="inlineStr">
        <is>
          <t>WB-BRW-03</t>
        </is>
      </c>
      <c r="E117" s="21" t="inlineStr">
        <is>
          <t>Process Water</t>
        </is>
      </c>
      <c r="F117" s="22" t="inlineStr">
        <is>
          <t>Web — Data Stasiun (WB-)</t>
        </is>
      </c>
      <c r="G117" s="21" t="inlineStr">
        <is>
          <t>"Jumlah Baris Terisi" tampil sebagai pecahan dari 24</t>
        </is>
      </c>
      <c r="H117" s="22" t="inlineStr">
        <is>
          <t>SPV-A</t>
        </is>
      </c>
      <c r="I117" s="22" t="inlineStr">
        <is>
          <t>satu record dengan 3 baris terisi</t>
        </is>
      </c>
      <c r="J117" s="22" t="inlineStr">
        <is>
          <t>1. Siapkan satu record dengan tepat 3 baris slot waktu terisi.
2. Login di web, lalu sidebar &gt; Data &gt; Process Water (/data/process-water), cari record itu.
3. Baca kolom Jumlah Baris Terisi pada baris itu.
4. Bandingkan dengan jumlah baris sebenarnya pada Detail record tersebut.</t>
        </is>
      </c>
      <c r="K117"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17" s="18" t="inlineStr">
        <is>
          <t>Sedang</t>
        </is>
      </c>
      <c r="M117" s="22"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117" s="17" t="inlineStr">
        <is>
          <t>2026-10-12</t>
        </is>
      </c>
      <c r="O117" s="17" t="inlineStr">
        <is>
          <t>Pelaksana QA otomatis</t>
        </is>
      </c>
      <c r="P117" s="45" t="inlineStr">
        <is>
          <t>Lulus</t>
        </is>
      </c>
      <c r="Q117" s="17" t="n"/>
      <c r="R117" s="17" t="inlineStr">
        <is>
          <t>kolom Jumlah Baris Terisi tertulis "3 / 24" — berbentuk pecahan dari 24, bukan angka tanpa penyebut=true; angka pertamanya 3, dan Detail record itu memuat 3 baris grid (dihitung dari penanda baris grid) — cocok=true.</t>
        </is>
      </c>
    </row>
    <row r="118" ht="334" customHeight="1">
      <c r="A118" s="18" t="n">
        <v>114</v>
      </c>
      <c r="B118" s="19" t="n">
        <v>2</v>
      </c>
      <c r="C118" s="20" t="inlineStr">
        <is>
          <t>WB-BRW-03 / Storage Tank</t>
        </is>
      </c>
      <c r="D118" s="20" t="inlineStr">
        <is>
          <t>WB-BRW-03</t>
        </is>
      </c>
      <c r="E118" s="21" t="inlineStr">
        <is>
          <t>Storage Tank</t>
        </is>
      </c>
      <c r="F118" s="22" t="inlineStr">
        <is>
          <t>Web — Data Stasiun (WB-)</t>
        </is>
      </c>
      <c r="G118" s="21" t="inlineStr">
        <is>
          <t>"Jumlah Baris Terisi" tampil sebagai pecahan dari 24</t>
        </is>
      </c>
      <c r="H118" s="22" t="inlineStr">
        <is>
          <t>SPV-A</t>
        </is>
      </c>
      <c r="I118" s="22" t="inlineStr">
        <is>
          <t>satu record dengan 3 baris terisi</t>
        </is>
      </c>
      <c r="J118" s="22" t="inlineStr">
        <is>
          <t>1. Siapkan satu record dengan tepat 3 baris slot waktu terisi.
2. Login di web, lalu sidebar &gt; Data &gt; Storage Tank (/data/storage-tank), cari record itu.
3. Baca kolom Jumlah Baris Terisi pada baris itu.
4. Bandingkan dengan jumlah baris sebenarnya pada Detail record tersebut.</t>
        </is>
      </c>
      <c r="K118"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18" s="18" t="inlineStr">
        <is>
          <t>Sedang</t>
        </is>
      </c>
      <c r="M118" s="22"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118" s="17" t="inlineStr">
        <is>
          <t>2026-10-12</t>
        </is>
      </c>
      <c r="O118" s="17" t="inlineStr">
        <is>
          <t>Pelaksana QA otomatis</t>
        </is>
      </c>
      <c r="P118" s="45" t="inlineStr">
        <is>
          <t>Lulus</t>
        </is>
      </c>
      <c r="Q118" s="17" t="n"/>
      <c r="R118" s="17" t="inlineStr">
        <is>
          <t>kolom Jumlah Baris Terisi tertulis "23 / 24" — berbentuk pecahan dari 24, bukan angka tanpa penyebut=true; angka pertamanya 23, dan Detail record itu memuat 23 baris grid (dihitung dari penanda baris grid) — cocok=true.</t>
        </is>
      </c>
    </row>
    <row r="119" ht="334" customHeight="1">
      <c r="A119" s="18" t="n">
        <v>115</v>
      </c>
      <c r="B119" s="19" t="n">
        <v>2</v>
      </c>
      <c r="C119" s="20" t="inlineStr">
        <is>
          <t>WB-BRW-03 / Solid Waste Disposal</t>
        </is>
      </c>
      <c r="D119" s="20" t="inlineStr">
        <is>
          <t>WB-BRW-03</t>
        </is>
      </c>
      <c r="E119" s="21" t="inlineStr">
        <is>
          <t>Solid Waste Disposal</t>
        </is>
      </c>
      <c r="F119" s="22" t="inlineStr">
        <is>
          <t>Web — Data Stasiun (WB-)</t>
        </is>
      </c>
      <c r="G119" s="21" t="inlineStr">
        <is>
          <t>"Jumlah Baris Terisi" tampil sebagai pecahan dari 24</t>
        </is>
      </c>
      <c r="H119" s="22" t="inlineStr">
        <is>
          <t>SPV-A</t>
        </is>
      </c>
      <c r="I119" s="22" t="inlineStr">
        <is>
          <t>satu record dengan 3 baris terisi</t>
        </is>
      </c>
      <c r="J119" s="23" t="inlineStr">
        <is>
          <t>Tidak berlaku — grid stasiun ini bukan 24 slot waktu; ia menghitung satuannya sendiri (siklus / cage-lori / kejadian / nomor kendaraan / satu transaksi per record)</t>
        </is>
      </c>
      <c r="K119" s="23" t="inlineStr">
        <is>
          <t>Tidak berlaku — grid stasiun ini bukan 24 slot waktu; ia menghitung satuannya sendiri (siklus / cage-lori / kejadian / nomor kendaraan / satu transaksi per record)</t>
        </is>
      </c>
      <c r="L119" s="18" t="inlineStr">
        <is>
          <t>Sedang</t>
        </is>
      </c>
      <c r="M119" s="22"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119" s="24" t="inlineStr">
        <is>
          <t>2026-10-12</t>
        </is>
      </c>
      <c r="O119" s="24" t="inlineStr">
        <is>
          <t>Pelaksana QA otomatis</t>
        </is>
      </c>
      <c r="P119" s="46" t="inlineStr">
        <is>
          <t>Tidak berlaku</t>
        </is>
      </c>
      <c r="Q119" s="24" t="n"/>
      <c r="R119" s="24" t="inlineStr">
        <is>
          <t>Tidak berlaku — grid stasiun ini bukan 24 slot waktu; ia menghitung satuannya sendiri (siklus / cage-lori / kejadian / nomor kendaraan / satu transaksi per record) — diperiksa pelaksana: Tidak berlaku di Solid Waste Disposal: Data Browser stasiun ini tidak memakai penyebut 24 karena gridnya bukan 24 slot waktu — ia menghitung satuannya sendiri (siklus, cage/lori, kejadian, atau satu transaksi per record). Kasus ini hanya berlaku di 11 stasiun bergrid slot waktu.</t>
        </is>
      </c>
    </row>
    <row r="120" ht="334" customHeight="1">
      <c r="A120" s="18" t="n">
        <v>116</v>
      </c>
      <c r="B120" s="19" t="n">
        <v>2</v>
      </c>
      <c r="C120" s="20" t="inlineStr">
        <is>
          <t>WB-BRW-03 / Kernel Dispatch</t>
        </is>
      </c>
      <c r="D120" s="20" t="inlineStr">
        <is>
          <t>WB-BRW-03</t>
        </is>
      </c>
      <c r="E120" s="21" t="inlineStr">
        <is>
          <t>Kernel Dispatch</t>
        </is>
      </c>
      <c r="F120" s="22" t="inlineStr">
        <is>
          <t>Web — Data Stasiun (WB-)</t>
        </is>
      </c>
      <c r="G120" s="21" t="inlineStr">
        <is>
          <t>"Jumlah Baris Terisi" tampil sebagai pecahan dari 24</t>
        </is>
      </c>
      <c r="H120" s="22" t="inlineStr">
        <is>
          <t>SPV-A</t>
        </is>
      </c>
      <c r="I120" s="22" t="inlineStr">
        <is>
          <t>satu record dengan 3 baris terisi</t>
        </is>
      </c>
      <c r="J120" s="23" t="inlineStr">
        <is>
          <t>Tidak berlaku — grid stasiun ini bukan 24 slot waktu; ia menghitung satuannya sendiri (siklus / cage-lori / kejadian / nomor kendaraan / satu transaksi per record)</t>
        </is>
      </c>
      <c r="K120" s="23" t="inlineStr">
        <is>
          <t>Tidak berlaku — grid stasiun ini bukan 24 slot waktu; ia menghitung satuannya sendiri (siklus / cage-lori / kejadian / nomor kendaraan / satu transaksi per record)</t>
        </is>
      </c>
      <c r="L120" s="18" t="inlineStr">
        <is>
          <t>Sedang</t>
        </is>
      </c>
      <c r="M120" s="22"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120" s="24" t="inlineStr">
        <is>
          <t>2026-10-12</t>
        </is>
      </c>
      <c r="O120" s="24" t="inlineStr">
        <is>
          <t>Pelaksana QA otomatis</t>
        </is>
      </c>
      <c r="P120" s="46" t="inlineStr">
        <is>
          <t>Tidak berlaku</t>
        </is>
      </c>
      <c r="Q120" s="24" t="n"/>
      <c r="R120" s="24" t="inlineStr">
        <is>
          <t>Tidak berlaku — grid stasiun ini bukan 24 slot waktu; ia menghitung satuannya sendiri (siklus / cage-lori / kejadian / nomor kendaraan / satu transaksi per record) — diperiksa pelaksana: Tidak berlaku di Kernel Dispatch: Data Browser stasiun ini tidak memakai penyebut 24 karena gridnya bukan 24 slot waktu — ia menghitung satuannya sendiri (siklus, cage/lori, kejadian, atau satu transaksi per record). Kasus ini hanya berlaku di 11 stasiun bergrid slot waktu.</t>
        </is>
      </c>
    </row>
    <row r="121" ht="334" customHeight="1">
      <c r="A121" s="18" t="n">
        <v>117</v>
      </c>
      <c r="B121" s="19" t="n">
        <v>2</v>
      </c>
      <c r="C121" s="20" t="inlineStr">
        <is>
          <t>WB-BRW-03 / CPO Dispatch</t>
        </is>
      </c>
      <c r="D121" s="20" t="inlineStr">
        <is>
          <t>WB-BRW-03</t>
        </is>
      </c>
      <c r="E121" s="21" t="inlineStr">
        <is>
          <t>CPO Dispatch</t>
        </is>
      </c>
      <c r="F121" s="22" t="inlineStr">
        <is>
          <t>Web — Data Stasiun (WB-)</t>
        </is>
      </c>
      <c r="G121" s="21" t="inlineStr">
        <is>
          <t>"Jumlah Baris Terisi" tampil sebagai pecahan dari 24</t>
        </is>
      </c>
      <c r="H121" s="22" t="inlineStr">
        <is>
          <t>SPV-A</t>
        </is>
      </c>
      <c r="I121" s="22" t="inlineStr">
        <is>
          <t>satu record dengan 3 baris terisi</t>
        </is>
      </c>
      <c r="J121" s="23" t="inlineStr">
        <is>
          <t>Tidak berlaku — grid stasiun ini bukan 24 slot waktu; ia menghitung satuannya sendiri (siklus / cage-lori / kejadian / nomor kendaraan / satu transaksi per record)</t>
        </is>
      </c>
      <c r="K121" s="23" t="inlineStr">
        <is>
          <t>Tidak berlaku — grid stasiun ini bukan 24 slot waktu; ia menghitung satuannya sendiri (siklus / cage-lori / kejadian / nomor kendaraan / satu transaksi per record)</t>
        </is>
      </c>
      <c r="L121" s="18" t="inlineStr">
        <is>
          <t>Sedang</t>
        </is>
      </c>
      <c r="M121" s="22"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121" s="24" t="inlineStr">
        <is>
          <t>2026-10-12</t>
        </is>
      </c>
      <c r="O121" s="24" t="inlineStr">
        <is>
          <t>Pelaksana QA otomatis</t>
        </is>
      </c>
      <c r="P121" s="46" t="inlineStr">
        <is>
          <t>Tidak berlaku</t>
        </is>
      </c>
      <c r="Q121" s="24" t="n"/>
      <c r="R121" s="24" t="inlineStr">
        <is>
          <t>Tidak berlaku — grid stasiun ini bukan 24 slot waktu; ia menghitung satuannya sendiri (siklus / cage-lori / kejadian / nomor kendaraan / satu transaksi per record) — diperiksa pelaksana: Tidak berlaku di CPO Dispatch: Data Browser stasiun ini tidak memakai penyebut 24 karena gridnya bukan 24 slot waktu — ia menghitung satuannya sendiri (siklus, cage/lori, kejadian, atau satu transaksi per record). Kasus ini hanya berlaku di 11 stasiun bergrid slot waktu.</t>
        </is>
      </c>
    </row>
    <row r="122" ht="334" customHeight="1">
      <c r="A122" s="18" t="n">
        <v>118</v>
      </c>
      <c r="B122" s="19" t="n">
        <v>2</v>
      </c>
      <c r="C122" s="20" t="inlineStr">
        <is>
          <t>WB-BRW-03 / Process Quality Control</t>
        </is>
      </c>
      <c r="D122" s="20" t="inlineStr">
        <is>
          <t>WB-BRW-03</t>
        </is>
      </c>
      <c r="E122" s="21" t="inlineStr">
        <is>
          <t>Process Quality Control</t>
        </is>
      </c>
      <c r="F122" s="22" t="inlineStr">
        <is>
          <t>Web — Data Stasiun (WB-)</t>
        </is>
      </c>
      <c r="G122" s="21" t="inlineStr">
        <is>
          <t>"Jumlah Baris Terisi" tampil sebagai pecahan dari 24</t>
        </is>
      </c>
      <c r="H122" s="22" t="inlineStr">
        <is>
          <t>SPV-A</t>
        </is>
      </c>
      <c r="I122" s="22" t="inlineStr">
        <is>
          <t>satu record dengan 3 baris terisi</t>
        </is>
      </c>
      <c r="J122" s="22" t="inlineStr">
        <is>
          <t>1. Siapkan satu record dengan tepat 3 baris slot waktu terisi.
2. Login di web, lalu sidebar &gt; Data &gt; Process Quality Control (/data/process-quality-control), cari record itu.
3. Baca kolom Jumlah Baris Terisi pada baris itu.
4. Bandingkan dengan jumlah baris sebenarnya pada Detail record tersebut.</t>
        </is>
      </c>
      <c r="K122"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22" s="18" t="inlineStr">
        <is>
          <t>Sedang</t>
        </is>
      </c>
      <c r="M122" s="22"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122" s="17" t="inlineStr">
        <is>
          <t>2026-10-12</t>
        </is>
      </c>
      <c r="O122" s="17" t="inlineStr">
        <is>
          <t>Pelaksana QA otomatis</t>
        </is>
      </c>
      <c r="P122" s="45" t="inlineStr">
        <is>
          <t>Lulus</t>
        </is>
      </c>
      <c r="Q122" s="17" t="n"/>
      <c r="R122" s="17" t="inlineStr">
        <is>
          <t>kolom Jumlah Baris Terisi tertulis "3 / 24" — berbentuk pecahan dari 24, bukan angka tanpa penyebut=true; angka pertamanya 3, dan Detail record itu memuat 3 baris grid (dihitung dari penanda baris grid) — cocok=true.</t>
        </is>
      </c>
    </row>
    <row r="123" ht="149.2" customHeight="1">
      <c r="A123" s="11" t="n">
        <v>119</v>
      </c>
      <c r="B123" s="12" t="n">
        <v>1</v>
      </c>
      <c r="C123" s="13" t="inlineStr">
        <is>
          <t>WB-BRW-04 / Depricarping</t>
        </is>
      </c>
      <c r="D123" s="13" t="inlineStr">
        <is>
          <t>WB-BRW-04</t>
        </is>
      </c>
      <c r="E123" s="15" t="inlineStr">
        <is>
          <t>Depricarping</t>
        </is>
      </c>
      <c r="F123" s="14" t="inlineStr">
        <is>
          <t>Web — Data Stasiun (WB-)</t>
        </is>
      </c>
      <c r="G123" s="15" t="inlineStr">
        <is>
          <t>Filter menghasilkan hasil yang konsisten antar halaman</t>
        </is>
      </c>
      <c r="H123" s="14" t="inlineStr">
        <is>
          <t>SPV-A</t>
        </is>
      </c>
      <c r="I123" s="14" t="inlineStr">
        <is>
          <t>data cukup untuk lebih dari satu halaman</t>
        </is>
      </c>
      <c r="J123" s="14" t="inlineStr">
        <is>
          <t>1. Pastikan stasiun ini punya data lebih dari satu halaman.
2. Login di web, lalu sidebar &gt; Data &gt; Depricarping (/data/depricarping).
3. Terapkan satu filter (rentang tanggal atau kata kunci) yang hasilnya lebih dari satu halaman.
4. Catat jumlah total hasil yang tertulis.
5. Buka halaman 2.
6. Periksa setiap baris di halaman 2: apakah semuanya masih cocok dengan filternya?</t>
        </is>
      </c>
      <c r="K123" s="14" t="inlineStr">
        <is>
          <t>- Seluruh baris di halaman 2 masih memenuhi filter yang diterapkan.
- Jumlah total hasil tidak berubah saat berpindah halaman.
- Filternya tidak tereset saat pindah halaman.</t>
        </is>
      </c>
      <c r="L123" s="16" t="inlineStr">
        <is>
          <t>Tinggi</t>
        </is>
      </c>
      <c r="M123" s="14" t="inlineStr"/>
      <c r="N123" s="17" t="inlineStr">
        <is>
          <t>2026-10-12</t>
        </is>
      </c>
      <c r="O123" s="17" t="inlineStr">
        <is>
          <t>Pelaksana QA otomatis</t>
        </is>
      </c>
      <c r="P123" s="45" t="inlineStr">
        <is>
          <t>Lulus</t>
        </is>
      </c>
      <c r="Q123" s="17" t="n"/>
      <c r="R123" s="17" t="inlineStr">
        <is>
          <t>filter rentang 01/09/2026–11/10/2026 diterapkan; total hasil di halaman 1="2.422", di halaman 2="2.422" (tidak berubah=true); dari 20 baris di halaman 2, yang tanggalnya DI LUAR filter=0; isi filter masih terpasang sesudah pindah halaman=true. Dijalankan pada Weighbridge karena hanya stasiun itu yang punya data lebih dari satu halaman.</t>
        </is>
      </c>
    </row>
    <row r="124" ht="96.39999999999999" customHeight="1">
      <c r="A124" s="11" t="n">
        <v>120</v>
      </c>
      <c r="B124" s="12" t="n">
        <v>1</v>
      </c>
      <c r="C124" s="13" t="inlineStr">
        <is>
          <t>WB-BRW-05 / Depricarping</t>
        </is>
      </c>
      <c r="D124" s="13" t="inlineStr">
        <is>
          <t>WB-BRW-05</t>
        </is>
      </c>
      <c r="E124" s="15" t="inlineStr">
        <is>
          <t>Depricarping</t>
        </is>
      </c>
      <c r="F124" s="14" t="inlineStr">
        <is>
          <t>Web — Data Stasiun (WB-)</t>
        </is>
      </c>
      <c r="G124" s="15" t="inlineStr">
        <is>
          <t>Reset filter memulihkan keadaan awal</t>
        </is>
      </c>
      <c r="H124" s="14" t="inlineStr">
        <is>
          <t>SPV-A</t>
        </is>
      </c>
      <c r="I124" s="14" t="inlineStr">
        <is>
          <t>—</t>
        </is>
      </c>
      <c r="J124" s="14" t="inlineStr">
        <is>
          <t>1. Login di web, lalu sidebar &gt; Data &gt; Depricarping (/data/depricarping). Catat keadaan awal: isi filter dan jumlah hasil.
2. Ubah rentang tanggal dan isi kata kunci pencarian.
3. Terapkan, lalu catat jumlah hasilnya.
4. Tekan Reset Filter.</t>
        </is>
      </c>
      <c r="K124" s="14" t="inlineStr">
        <is>
          <t>- Seluruh kolom filter kembali ke nilai awalnya.
- Jumlah hasil kembali sama dengan langkah 1.
- Halaman kembali ke halaman 1.</t>
        </is>
      </c>
      <c r="L124" s="11" t="inlineStr">
        <is>
          <t>Rendah</t>
        </is>
      </c>
      <c r="M124" s="14" t="inlineStr"/>
      <c r="N124" s="17" t="inlineStr">
        <is>
          <t>2026-10-12</t>
        </is>
      </c>
      <c r="O124" s="17" t="inlineStr">
        <is>
          <t>Pelaksana QA otomatis</t>
        </is>
      </c>
      <c r="P124" s="45" t="inlineStr">
        <is>
          <t>Lulus</t>
        </is>
      </c>
      <c r="Q124" s="17" t="n"/>
      <c r="R124" s="17" t="inlineStr">
        <is>
          <t>keadaan awal: dari="" sampai="" dengan 3 baris; sesudah filter diubah menjadi 06–08/10/2026: 1 baris; tombol Reset Filter ada=true; sesudah direset: dari="" sampai="" dengan 3 baris — kembali sama dengan keadaan awal=true.</t>
        </is>
      </c>
    </row>
    <row r="125" ht="96.39999999999999" customHeight="1">
      <c r="A125" s="11" t="n">
        <v>121</v>
      </c>
      <c r="B125" s="12" t="n">
        <v>1</v>
      </c>
      <c r="C125" s="13" t="inlineStr">
        <is>
          <t>WB-BRW-06 / Depricarping</t>
        </is>
      </c>
      <c r="D125" s="13" t="inlineStr">
        <is>
          <t>WB-BRW-06</t>
        </is>
      </c>
      <c r="E125" s="15" t="inlineStr">
        <is>
          <t>Depricarping</t>
        </is>
      </c>
      <c r="F125" s="14" t="inlineStr">
        <is>
          <t>Web — Data Stasiun (WB-)</t>
        </is>
      </c>
      <c r="G125" s="15" t="inlineStr">
        <is>
          <t>Klik baris membuka Detail record itu</t>
        </is>
      </c>
      <c r="H125" s="14" t="inlineStr">
        <is>
          <t>SPV-A</t>
        </is>
      </c>
      <c r="I125" s="14" t="inlineStr">
        <is>
          <t>—</t>
        </is>
      </c>
      <c r="J125" s="14" t="inlineStr">
        <is>
          <t>1. Login di web, lalu sidebar &gt; Data &gt; Depricarping (/data/depricarping).
2. Catat identitas dan tanggal pada baris ketiga tabel.
3. Klik baris ketiga itu.
4. Bandingkan header layar yang terbuka dengan catatan langkah 2.</t>
        </is>
      </c>
      <c r="K125" s="14" t="inlineStr">
        <is>
          <t>- Terbuka layar Detail (/data/depricarping/&lt;id&gt;).
- Identitas dan tanggal pada Detail sama dengan baris yang diklik — bukan record lain.</t>
        </is>
      </c>
      <c r="L125" s="16" t="inlineStr">
        <is>
          <t>Tinggi</t>
        </is>
      </c>
      <c r="M125" s="14" t="inlineStr"/>
      <c r="N125" s="17" t="inlineStr">
        <is>
          <t>2026-10-12</t>
        </is>
      </c>
      <c r="O125" s="17" t="inlineStr">
        <is>
          <t>Pelaksana QA otomatis</t>
        </is>
      </c>
      <c r="P125" s="45" t="inlineStr">
        <is>
          <t>Lulus</t>
        </is>
      </c>
      <c r="Q125" s="17" t="n"/>
      <c r="R125" s="17" t="inlineStr">
        <is>
          <t>baris ke-3 diklik (identitas "DP-8066", tanggal "05/10/2026"); mendarat di /data/depricarping/a2f55e2a-bbb5-4486-8717-48cd825d82a8 (berbentuk /data/&lt;stasiun&gt;/&lt;id&gt;=true); identitas itu terbaca di Detail=true; tanggalnya juga=true (di daftar tercetak "05/10/2026", di Detail "05 Okt 2026") — bukan record lain.</t>
        </is>
      </c>
    </row>
    <row r="126" ht="96.39999999999999" customHeight="1">
      <c r="A126" s="11" t="n">
        <v>122</v>
      </c>
      <c r="B126" s="12" t="n">
        <v>1</v>
      </c>
      <c r="C126" s="13" t="inlineStr">
        <is>
          <t>WB-BRW-07 / Depricarping</t>
        </is>
      </c>
      <c r="D126" s="13" t="inlineStr">
        <is>
          <t>WB-BRW-07</t>
        </is>
      </c>
      <c r="E126" s="15" t="inlineStr">
        <is>
          <t>Depricarping</t>
        </is>
      </c>
      <c r="F126" s="14" t="inlineStr">
        <is>
          <t>Web — Data Stasiun (WB-)</t>
        </is>
      </c>
      <c r="G126" s="15" t="inlineStr">
        <is>
          <t>Tambah Data membuka Form kosong</t>
        </is>
      </c>
      <c r="H126" s="14" t="inlineStr">
        <is>
          <t>SPV-A</t>
        </is>
      </c>
      <c r="I126" s="14" t="inlineStr">
        <is>
          <t>—</t>
        </is>
      </c>
      <c r="J126" s="14" t="inlineStr">
        <is>
          <t>1. Login di web, lalu sidebar &gt; Data &gt; Depricarping (/data/depricarping).
2. Tekan Tambah.
3. Baca seluruh kolom pada form yang terbuka.
4. Periksa bagian grid: berapa baris yang sudah ada?</t>
        </is>
      </c>
      <c r="K126" s="14" t="inlineStr">
        <is>
          <t>- Terbuka Form kosong (/data/depricarping/create).
- Kolom identitas kosong; tidak ada nilai sisa dari record mana pun.
- Kolom Production Line dapat dipilih.
- Grid slot waktu masih kosong atau menyediakan satu baris kosong untuk diisi.</t>
        </is>
      </c>
      <c r="L126" s="16" t="inlineStr">
        <is>
          <t>Tinggi</t>
        </is>
      </c>
      <c r="M126" s="14" t="inlineStr"/>
      <c r="N126" s="17" t="inlineStr">
        <is>
          <t>2026-10-12</t>
        </is>
      </c>
      <c r="O126" s="17" t="inlineStr">
        <is>
          <t>Pelaksana QA otomatis</t>
        </is>
      </c>
      <c r="P126" s="45" t="inlineStr">
        <is>
          <t>Lulus</t>
        </is>
      </c>
      <c r="Q126" s="17" t="n"/>
      <c r="R126" s="17" t="inlineStr">
        <is>
          <t>tombol Tambah ada=true; mendarat di /data/depricarping/create; kolom identitas ada=true dan isinya="" (harus kosong, tanpa nilai sisa record mana pun); Production Line dapat dipilih=true; baris grid slot waktu yang sudah ada=0 (kosong atau satu baris kosong).</t>
        </is>
      </c>
    </row>
    <row r="127" ht="83.19999999999999" customHeight="1">
      <c r="A127" s="11" t="n">
        <v>123</v>
      </c>
      <c r="B127" s="12" t="n">
        <v>1</v>
      </c>
      <c r="C127" s="13" t="inlineStr">
        <is>
          <t>WB-BRW-08 / Depricarping</t>
        </is>
      </c>
      <c r="D127" s="13" t="inlineStr">
        <is>
          <t>WB-BRW-08</t>
        </is>
      </c>
      <c r="E127" s="15" t="inlineStr">
        <is>
          <t>Depricarping</t>
        </is>
      </c>
      <c r="F127" s="14" t="inlineStr">
        <is>
          <t>Web — Data Stasiun (WB-)</t>
        </is>
      </c>
      <c r="G127" s="15" t="inlineStr">
        <is>
          <t>Filter tanpa hasil memberi keterangan, bukan tabel kosong tanpa penjelasan</t>
        </is>
      </c>
      <c r="H127" s="14" t="inlineStr">
        <is>
          <t>SPV-A</t>
        </is>
      </c>
      <c r="I127" s="14" t="inlineStr">
        <is>
          <t>—</t>
        </is>
      </c>
      <c r="J127" s="14" t="inlineStr">
        <is>
          <t>1. Login di web, lalu sidebar &gt; Data &gt; Depricarping (/data/depricarping).
2. Terapkan rentang tanggal yang pasti tidak punya data (mis. 1–2 Januari 2020).
3. Baca isi area tabel.</t>
        </is>
      </c>
      <c r="K127" s="14" t="inlineStr">
        <is>
          <t>- Muncul keterangan bahwa tidak ada data untuk filter itu — satu kalimat yang terbaca.
- BUKAN tabel dengan nol baris tanpa penjelasan.
- Panel filter tetap terlihat supaya penguji dapat mengubahnya kembali.</t>
        </is>
      </c>
      <c r="L127" s="11" t="inlineStr">
        <is>
          <t>Sedang</t>
        </is>
      </c>
      <c r="M127" s="14" t="inlineStr"/>
      <c r="N127" s="17" t="inlineStr">
        <is>
          <t>2026-10-12</t>
        </is>
      </c>
      <c r="O127" s="17" t="inlineStr">
        <is>
          <t>Pelaksana QA otomatis</t>
        </is>
      </c>
      <c r="P127" s="45" t="inlineStr">
        <is>
          <t>Lulus</t>
        </is>
      </c>
      <c r="Q127" s="17" t="n"/>
      <c r="R127" s="17" t="inlineStr">
        <is>
          <t>rentang 01–02/01/2020 (pasti tanpa data) diterapkan: baris data=0; keterangan "tidak ada data" muncul=true; keterangannya satu kalimat yang menyebut filter=true; panel filter tetap terlihat sehingga dapat diubah kembali=true.</t>
        </is>
      </c>
    </row>
    <row r="128" ht="136" customHeight="1">
      <c r="A128" s="11" t="n">
        <v>124</v>
      </c>
      <c r="B128" s="12" t="n">
        <v>1</v>
      </c>
      <c r="C128" s="13" t="inlineStr">
        <is>
          <t>WB-BRW-09 / Depricarping</t>
        </is>
      </c>
      <c r="D128" s="13" t="inlineStr">
        <is>
          <t>WB-BRW-09</t>
        </is>
      </c>
      <c r="E128" s="15" t="inlineStr">
        <is>
          <t>Depricarping</t>
        </is>
      </c>
      <c r="F128" s="14" t="inlineStr">
        <is>
          <t>Web — Data Stasiun (WB-)</t>
        </is>
      </c>
      <c r="G128" s="15" t="inlineStr">
        <is>
          <t>Ekspor melebihi batas baris ditolak dengan pesan, bukan berkas rusak</t>
        </is>
      </c>
      <c r="H128" s="14" t="inlineStr">
        <is>
          <t>ADM</t>
        </is>
      </c>
      <c r="I128" s="14" t="inlineStr">
        <is>
          <t>data melebihi batas ekspor (50.000 baris) — bila tak tersedia, catat kasus ini sebagai *tidak dapat diuji* dan jangan tandai lulus</t>
        </is>
      </c>
      <c r="J128" s="14" t="inlineStr">
        <is>
          <t>1. Pastikan stasiun ini punya data melebihi batas ekspor (50.000 baris). Bila tidak tersedia, catat kasus ini sebagai Tidak diuji dan jangan ditandai Lulus.
2. Login di web, lalu sidebar &gt; Data &gt; Depricarping (/data/depricarping), atur filter supaya mencakup seluruh data itu.
3. Tekan Ekspor CSV.
4. Baca pesan yang muncul. Periksa folder unduhan.</t>
        </is>
      </c>
      <c r="K128" s="14" t="inlineStr">
        <is>
          <t>- Ditolak dengan pesan yang menyebut batas jumlah barisnya.
- Pesannya menyarankan mempersempit rentang tanggal.
- Tidak ada berkas yang terunduh — lebih baik tanpa berkas daripada berkas separuh.</t>
        </is>
      </c>
      <c r="L128" s="11" t="inlineStr">
        <is>
          <t>Sedang</t>
        </is>
      </c>
      <c r="M128" s="14" t="inlineStr"/>
      <c r="N128" s="17" t="inlineStr">
        <is>
          <t>2026-10-12</t>
        </is>
      </c>
      <c r="O128" s="17" t="inlineStr">
        <is>
          <t>Pelaksana QA otomatis</t>
        </is>
      </c>
      <c r="P128" s="8" t="inlineStr">
        <is>
          <t>Tidak diuji</t>
        </is>
      </c>
      <c r="Q128" s="17" t="n"/>
      <c r="R128" s="17" t="inlineStr">
        <is>
          <t>Prasyarat tidak tersedia di basis data uji: batas ekspor adalah 50.000 baris, sedangkan stasiun dengan data terbanyak (Weighbridge) hanya punya 2.439 baris. Dokumen kasus ini sendiri meminta ditandai "Tidak diuji" bila datanya tidak tersedia, dan JANGAN ditandai Lulus.</t>
        </is>
      </c>
    </row>
    <row r="129" ht="96.39999999999999" customHeight="1">
      <c r="A129" s="11" t="n">
        <v>125</v>
      </c>
      <c r="B129" s="12" t="n">
        <v>1</v>
      </c>
      <c r="C129" s="13" t="inlineStr">
        <is>
          <t>WB-DTL-01 / Depricarping</t>
        </is>
      </c>
      <c r="D129" s="13" t="inlineStr">
        <is>
          <t>WB-DTL-01</t>
        </is>
      </c>
      <c r="E129" s="15" t="inlineStr">
        <is>
          <t>Depricarping</t>
        </is>
      </c>
      <c r="F129" s="14" t="inlineStr">
        <is>
          <t>Web — Data Stasiun (WB-)</t>
        </is>
      </c>
      <c r="G129" s="15" t="inlineStr">
        <is>
          <t>Seluruh kolom read-only, tanpa edit di tempat</t>
        </is>
      </c>
      <c r="H129" s="14" t="inlineStr">
        <is>
          <t>SPV-A</t>
        </is>
      </c>
      <c r="I129" s="14" t="inlineStr">
        <is>
          <t>—</t>
        </is>
      </c>
      <c r="J129" s="14" t="inlineStr">
        <is>
          <t>1. Login di web, buka /data/depricarping (Depricarping), lalu klik salah satu baris tabel.
2. Coba klik dan mengetik pada setiap nilai di header: identitas, tanggal, catatan.
3. Coba klik dan mengetik pada sel-sel grid.
4. Cari tombol Simpan di layar ini.</t>
        </is>
      </c>
      <c r="K129" s="14" t="inlineStr">
        <is>
          <t>- Tidak satu pun nilai dapat diubah di layar ini.
- Tidak ada tombol Simpan — layar ini hanya membaca.
- Perubahan hanya mungkin lewat tombol Edit, yang membuka Form.</t>
        </is>
      </c>
      <c r="L129" s="16" t="inlineStr">
        <is>
          <t>Tinggi</t>
        </is>
      </c>
      <c r="M129" s="14" t="inlineStr"/>
      <c r="N129" s="17" t="inlineStr">
        <is>
          <t>2026-10-12</t>
        </is>
      </c>
      <c r="O129" s="17" t="inlineStr">
        <is>
          <t>Pelaksana QA otomatis</t>
        </is>
      </c>
      <c r="P129" s="45" t="inlineStr">
        <is>
          <t>Lulus</t>
        </is>
      </c>
      <c r="Q129" s="17" t="n"/>
      <c r="R129" s="17" t="inlineStr">
        <is>
          <t>Detail /data/depricarping/a2f55e2a-cccd-4205-8f6e-0d81e0971742: kolom yang dapat diketik/diubah di layar ini=0 (harus 0, widget chatbot kerangka halaman tidak dihitung); tombol Simpan di layar ini=0 (harus 0); tombol Edit yang membuka Form ada=true.</t>
        </is>
      </c>
    </row>
    <row r="130" ht="96.39999999999999" customHeight="1">
      <c r="A130" s="11" t="n">
        <v>126</v>
      </c>
      <c r="B130" s="12" t="n">
        <v>1</v>
      </c>
      <c r="C130" s="13" t="inlineStr">
        <is>
          <t>WB-DTL-02 / Depricarping</t>
        </is>
      </c>
      <c r="D130" s="13" t="inlineStr">
        <is>
          <t>WB-DTL-02</t>
        </is>
      </c>
      <c r="E130" s="15" t="inlineStr">
        <is>
          <t>Depricarping</t>
        </is>
      </c>
      <c r="F130" s="14" t="inlineStr">
        <is>
          <t>Web — Data Stasiun (WB-)</t>
        </is>
      </c>
      <c r="G130" s="15" t="inlineStr">
        <is>
          <t>Verifikasi yang kosong ditampilkan sebagai tanda pisah</t>
        </is>
      </c>
      <c r="H130" s="14" t="inlineStr">
        <is>
          <t>SPV-A</t>
        </is>
      </c>
      <c r="I130" s="14" t="inlineStr">
        <is>
          <t>record yang belum diverifikasi siapa pun</t>
        </is>
      </c>
      <c r="J130" s="14" t="inlineStr">
        <is>
          <t>1. Siapkan satu record yang belum diverifikasi siapa pun.
2. Login di web, buka /data/depricarping (Depricarping), lalu klik salah satu baris tabel untuk record itu.
3. Baca baris Checked By dan Acknowledged By.</t>
        </is>
      </c>
      <c r="K130" s="14" t="inlineStr">
        <is>
          <t>- Keduanya tampil sebagai tanda pisah "—" atau keterangan "belum diverifikasi".
- BUKAN kosong tanpa label — kosong tanpa label tidak dapat dibedakan dari kolom yang gagal dimuat.
- BUKAN angka 0, BUKAN kata "null".</t>
        </is>
      </c>
      <c r="L130" s="11" t="inlineStr">
        <is>
          <t>Sedang</t>
        </is>
      </c>
      <c r="M130" s="14" t="inlineStr"/>
      <c r="N130" s="17" t="inlineStr">
        <is>
          <t>2026-10-12</t>
        </is>
      </c>
      <c r="O130" s="17" t="inlineStr">
        <is>
          <t>Pelaksana QA otomatis</t>
        </is>
      </c>
      <c r="P130" s="45" t="inlineStr">
        <is>
          <t>Lulus</t>
        </is>
      </c>
      <c r="Q130" s="17" t="n"/>
      <c r="R130" s="17" t="inlineStr">
        <is>
          <t>record belum diverifikasi siapa pun. Checked By tampil sebagai "-"; Acknowledged By tampil sebagai "-". Keduanya berupa tanda pisah atau keterangan "belum diverifikasi"=true; bukan kosong tanpa label, bukan 0, bukan "null"=true.</t>
        </is>
      </c>
    </row>
    <row r="131" ht="254.8" customHeight="1">
      <c r="A131" s="18" t="n">
        <v>127</v>
      </c>
      <c r="B131" s="19" t="n">
        <v>2</v>
      </c>
      <c r="C131" s="20" t="inlineStr">
        <is>
          <t>WB-DTL-03 / Weighbridge</t>
        </is>
      </c>
      <c r="D131" s="20" t="inlineStr">
        <is>
          <t>WB-DTL-03</t>
        </is>
      </c>
      <c r="E131" s="21" t="inlineStr">
        <is>
          <t>Weighbridge</t>
        </is>
      </c>
      <c r="F131" s="22" t="inlineStr">
        <is>
          <t>Web — Data Stasiun (WB-)</t>
        </is>
      </c>
      <c r="G131" s="21" t="inlineStr">
        <is>
          <t>Grid menampilkan persis baris tersimpan</t>
        </is>
      </c>
      <c r="H131" s="22" t="inlineStr">
        <is>
          <t>SPV-A</t>
        </is>
      </c>
      <c r="I131" s="22" t="inlineStr">
        <is>
          <t>record dengan 3 baris terisi</t>
        </is>
      </c>
      <c r="J131" s="22" t="inlineStr">
        <is>
          <t>1. Siapkan satu record dengan tepat 3 baris terisi.
2. Login di web, buka /data/weighbridge (Weighbridge), lalu klik salah satu baris tabel untuk record itu.
3. Hitung jumlah baris pada grid.
4. Cocokkan slot waktu dan nilai tiap baris dengan yang disimpan.</t>
        </is>
      </c>
      <c r="K131" s="22" t="inlineStr">
        <is>
          <t>- Grid menampilkan tepat 3 baris.
- Tidak digambar 24 baris dengan 21 di antaranya kosong.
- Slot waktu dan nilainya cocok.</t>
        </is>
      </c>
      <c r="L131" s="16" t="inlineStr">
        <is>
          <t>Tinggi</t>
        </is>
      </c>
      <c r="M131" s="22" t="inlineStr">
        <is>
          <t>Berlaku untuk: seluruh stasiun, tetapi penyebut 24 hanya untuk 11 stasiun bergrid slot waktu (lihat daftarnya di WB-BRW-03). Pada tujuh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31" s="17" t="inlineStr">
        <is>
          <t>2026-10-12</t>
        </is>
      </c>
      <c r="O131" s="17" t="inlineStr">
        <is>
          <t>Pelaksana QA otomatis</t>
        </is>
      </c>
      <c r="P131" s="8" t="inlineStr">
        <is>
          <t>Tidak diuji</t>
        </is>
      </c>
      <c r="Q131" s="17" t="n"/>
      <c r="R131" s="17" t="inlineStr">
        <is>
          <t>Tidak berlaku di Weighbridge: layar Detail stasiun ini tidak punya grid baris sama sekali — satu record adalah satu transaksi dan seluruh nilainya ada di kepala layar. Yang diuji kasus ini (grid menampilkan persis baris tersimpan) tidak ada di sini.</t>
        </is>
      </c>
    </row>
    <row r="132" ht="254.8" customHeight="1">
      <c r="A132" s="18" t="n">
        <v>128</v>
      </c>
      <c r="B132" s="19" t="n">
        <v>2</v>
      </c>
      <c r="C132" s="20" t="inlineStr">
        <is>
          <t>WB-DTL-03 / Grading</t>
        </is>
      </c>
      <c r="D132" s="20" t="inlineStr">
        <is>
          <t>WB-DTL-03</t>
        </is>
      </c>
      <c r="E132" s="21" t="inlineStr">
        <is>
          <t>Grading</t>
        </is>
      </c>
      <c r="F132" s="22" t="inlineStr">
        <is>
          <t>Web — Data Stasiun (WB-)</t>
        </is>
      </c>
      <c r="G132" s="21" t="inlineStr">
        <is>
          <t>Grid menampilkan persis baris tersimpan</t>
        </is>
      </c>
      <c r="H132" s="22" t="inlineStr">
        <is>
          <t>SPV-A</t>
        </is>
      </c>
      <c r="I132" s="22" t="inlineStr">
        <is>
          <t>record dengan 3 baris terisi</t>
        </is>
      </c>
      <c r="J132" s="22" t="inlineStr">
        <is>
          <t>1. Siapkan satu record dengan tepat 3 baris terisi.
2. Login di web, buka /data/grading (Grading), lalu klik salah satu baris tabel untuk record itu.
3. Hitung jumlah baris pada grid.
4. Cocokkan slot waktu dan nilai tiap baris dengan yang disimpan.</t>
        </is>
      </c>
      <c r="K132" s="22" t="inlineStr">
        <is>
          <t>- Grid menampilkan tepat 3 baris.
- Tidak digambar 24 baris dengan 21 di antaranya kosong.
- Slot waktu dan nilainya cocok.</t>
        </is>
      </c>
      <c r="L132" s="16" t="inlineStr">
        <is>
          <t>Tinggi</t>
        </is>
      </c>
      <c r="M132" s="22" t="inlineStr">
        <is>
          <t>Berlaku untuk: seluruh stasiun, tetapi penyebut 24 hanya untuk 11 stasiun bergrid slot waktu (lihat daftarnya di WB-BRW-03). Pada tujuh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32" s="17" t="inlineStr">
        <is>
          <t>2026-10-12</t>
        </is>
      </c>
      <c r="O132" s="17" t="inlineStr">
        <is>
          <t>Pelaksana QA otomatis</t>
        </is>
      </c>
      <c r="P132" s="45" t="inlineStr">
        <is>
          <t>Lulus</t>
        </is>
      </c>
      <c r="Q132" s="17" t="n"/>
      <c r="R132" s="17" t="inlineStr">
        <is>
          <t>kolom hitungan di Data Browser berbunyi "" (tersimpan tidak terbaca); Detail /data/grading/a2f55e0b-63bc-40e7-8ccf-15024a19bef8 menggambar 4 baris (dihitung dari baris tabel di layar (tanpa tabel master target)) — sama dengan yang tersimpan=true; baris yang isinya kosong seluruhnya=0 (harus 0, tidak digambar baris kosong sebagai pengisi).</t>
        </is>
      </c>
    </row>
    <row r="133" ht="254.8" customHeight="1">
      <c r="A133" s="18" t="n">
        <v>129</v>
      </c>
      <c r="B133" s="19" t="n">
        <v>2</v>
      </c>
      <c r="C133" s="20" t="inlineStr">
        <is>
          <t>WB-DTL-03 / Cages Track</t>
        </is>
      </c>
      <c r="D133" s="20" t="inlineStr">
        <is>
          <t>WB-DTL-03</t>
        </is>
      </c>
      <c r="E133" s="21" t="inlineStr">
        <is>
          <t>Cages Track</t>
        </is>
      </c>
      <c r="F133" s="22" t="inlineStr">
        <is>
          <t>Web — Data Stasiun (WB-)</t>
        </is>
      </c>
      <c r="G133" s="21" t="inlineStr">
        <is>
          <t>Grid menampilkan persis baris tersimpan</t>
        </is>
      </c>
      <c r="H133" s="22" t="inlineStr">
        <is>
          <t>SPV-A</t>
        </is>
      </c>
      <c r="I133" s="22" t="inlineStr">
        <is>
          <t>record dengan 3 baris terisi</t>
        </is>
      </c>
      <c r="J133" s="22" t="inlineStr">
        <is>
          <t>1. Siapkan satu record dengan tepat 3 baris terisi.
2. Login di web, buka /data/cages-track (Cages Track), lalu klik salah satu baris tabel untuk record itu.
3. Hitung jumlah baris pada grid.
4. Cocokkan slot waktu dan nilai tiap baris dengan yang disimpan.</t>
        </is>
      </c>
      <c r="K133" s="22" t="inlineStr">
        <is>
          <t>- Grid menampilkan tepat 3 baris.
- Tidak digambar 24 baris dengan 21 di antaranya kosong.
- Slot waktu dan nilainya cocok.</t>
        </is>
      </c>
      <c r="L133" s="16" t="inlineStr">
        <is>
          <t>Tinggi</t>
        </is>
      </c>
      <c r="M133" s="22" t="inlineStr">
        <is>
          <t>Berlaku untuk: seluruh stasiun, tetapi penyebut 24 hanya untuk 11 stasiun bergrid slot waktu (lihat daftarnya di WB-BRW-03). Pada tujuh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33" s="17" t="inlineStr">
        <is>
          <t>2026-10-12</t>
        </is>
      </c>
      <c r="O133" s="17" t="inlineStr">
        <is>
          <t>Pelaksana QA otomatis</t>
        </is>
      </c>
      <c r="P133" s="8" t="inlineStr">
        <is>
          <t>Tidak diuji</t>
        </is>
      </c>
      <c r="Q133" s="17" t="n"/>
      <c r="R133" s="17" t="inlineStr">
        <is>
          <t>Tidak berlaku di Cages Track: layar Detail stasiun ini tidak punya grid baris sama sekali — satu record adalah satu transaksi dan seluruh nilainya ada di kepala layar. Yang diuji kasus ini (grid menampilkan persis baris tersimpan) tidak ada di sini.</t>
        </is>
      </c>
    </row>
    <row r="134" ht="254.8" customHeight="1">
      <c r="A134" s="18" t="n">
        <v>130</v>
      </c>
      <c r="B134" s="19" t="n">
        <v>2</v>
      </c>
      <c r="C134" s="20" t="inlineStr">
        <is>
          <t>WB-DTL-03 / Sterilizer</t>
        </is>
      </c>
      <c r="D134" s="20" t="inlineStr">
        <is>
          <t>WB-DTL-03</t>
        </is>
      </c>
      <c r="E134" s="21" t="inlineStr">
        <is>
          <t>Sterilizer</t>
        </is>
      </c>
      <c r="F134" s="22" t="inlineStr">
        <is>
          <t>Web — Data Stasiun (WB-)</t>
        </is>
      </c>
      <c r="G134" s="21" t="inlineStr">
        <is>
          <t>Grid menampilkan persis baris tersimpan</t>
        </is>
      </c>
      <c r="H134" s="22" t="inlineStr">
        <is>
          <t>SPV-A</t>
        </is>
      </c>
      <c r="I134" s="22" t="inlineStr">
        <is>
          <t>record dengan 3 baris terisi</t>
        </is>
      </c>
      <c r="J134" s="22" t="inlineStr">
        <is>
          <t>1. Siapkan satu record dengan tepat 3 baris terisi.
2. Login di web, buka /data/sterilizer (Sterilizer), lalu klik salah satu baris tabel untuk record itu.
3. Hitung jumlah baris pada grid.
4. Cocokkan slot waktu dan nilai tiap baris dengan yang disimpan.</t>
        </is>
      </c>
      <c r="K134" s="22" t="inlineStr">
        <is>
          <t>- Grid menampilkan tepat 3 baris.
- Tidak digambar 24 baris dengan 21 di antaranya kosong.
- Slot waktu dan nilainya cocok.</t>
        </is>
      </c>
      <c r="L134" s="16" t="inlineStr">
        <is>
          <t>Tinggi</t>
        </is>
      </c>
      <c r="M134" s="22" t="inlineStr">
        <is>
          <t>Berlaku untuk: seluruh stasiun, tetapi penyebut 24 hanya untuk 11 stasiun bergrid slot waktu (lihat daftarnya di WB-BRW-03). Pada tujuh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34" s="17" t="inlineStr">
        <is>
          <t>2026-10-12</t>
        </is>
      </c>
      <c r="O134" s="17" t="inlineStr">
        <is>
          <t>Pelaksana QA otomatis</t>
        </is>
      </c>
      <c r="P134" s="45" t="inlineStr">
        <is>
          <t>Lulus</t>
        </is>
      </c>
      <c r="Q134" s="17" t="n"/>
      <c r="R134" s="17" t="inlineStr">
        <is>
          <t>kolom hitungan di Data Browser berbunyi "31" (tersimpan 31); Detail /data/sterilizer/a2f55e0c-f506-49c1-9c1e-95dcd08edba0 menggambar 31 baris (dihitung dari baris tabel di layar (tanpa tabel master target)) — sama dengan yang tersimpan=true; baris yang isinya kosong seluruhnya=0 (harus 0, tidak digambar baris kosong sebagai pengisi).</t>
        </is>
      </c>
    </row>
    <row r="135" ht="254.8" customHeight="1">
      <c r="A135" s="18" t="n">
        <v>131</v>
      </c>
      <c r="B135" s="19" t="n">
        <v>2</v>
      </c>
      <c r="C135" s="20" t="inlineStr">
        <is>
          <t>WB-DTL-03 / Threshing</t>
        </is>
      </c>
      <c r="D135" s="20" t="inlineStr">
        <is>
          <t>WB-DTL-03</t>
        </is>
      </c>
      <c r="E135" s="21" t="inlineStr">
        <is>
          <t>Threshing</t>
        </is>
      </c>
      <c r="F135" s="22" t="inlineStr">
        <is>
          <t>Web — Data Stasiun (WB-)</t>
        </is>
      </c>
      <c r="G135" s="21" t="inlineStr">
        <is>
          <t>Grid menampilkan persis baris tersimpan</t>
        </is>
      </c>
      <c r="H135" s="22" t="inlineStr">
        <is>
          <t>SPV-A</t>
        </is>
      </c>
      <c r="I135" s="22" t="inlineStr">
        <is>
          <t>record dengan 3 baris terisi</t>
        </is>
      </c>
      <c r="J135" s="22" t="inlineStr">
        <is>
          <t>1. Siapkan satu record dengan tepat 3 baris terisi.
2. Login di web, buka /data/threshing (Threshing), lalu klik salah satu baris tabel untuk record itu.
3. Hitung jumlah baris pada grid.
4. Cocokkan slot waktu dan nilai tiap baris dengan yang disimpan.</t>
        </is>
      </c>
      <c r="K135" s="22" t="inlineStr">
        <is>
          <t>- Grid menampilkan tepat 3 baris.
- Tidak digambar 24 baris dengan 21 di antaranya kosong.
- Slot waktu dan nilainya cocok.</t>
        </is>
      </c>
      <c r="L135" s="16" t="inlineStr">
        <is>
          <t>Tinggi</t>
        </is>
      </c>
      <c r="M135" s="22" t="inlineStr">
        <is>
          <t>Berlaku untuk: seluruh stasiun, tetapi penyebut 24 hanya untuk 11 stasiun bergrid slot waktu (lihat daftarnya di WB-BRW-03). Pada tujuh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35" s="17" t="inlineStr">
        <is>
          <t>2026-10-12</t>
        </is>
      </c>
      <c r="O135" s="17" t="inlineStr">
        <is>
          <t>Pelaksana QA otomatis</t>
        </is>
      </c>
      <c r="P135" s="45" t="inlineStr">
        <is>
          <t>Lulus</t>
        </is>
      </c>
      <c r="Q135" s="17" t="n"/>
      <c r="R135" s="17" t="inlineStr">
        <is>
          <t>kolom hitungan di Data Browser berbunyi "3 / 24" (tersimpan 3); Detail /data/threshing/a2f55e2b-077e-4e7e-a7e0-d1fd1314aa52 menggambar 3 baris (dihitung dari penanda baris grid) — sama dengan yang tersimpan=true; baris yang isinya kosong seluruhnya=0 (harus 0, tidak digambar baris kosong sebagai pengisi).</t>
        </is>
      </c>
    </row>
    <row r="136" ht="254.8" customHeight="1">
      <c r="A136" s="18" t="n">
        <v>132</v>
      </c>
      <c r="B136" s="19" t="n">
        <v>2</v>
      </c>
      <c r="C136" s="20" t="inlineStr">
        <is>
          <t>WB-DTL-03 / Pressing</t>
        </is>
      </c>
      <c r="D136" s="20" t="inlineStr">
        <is>
          <t>WB-DTL-03</t>
        </is>
      </c>
      <c r="E136" s="21" t="inlineStr">
        <is>
          <t>Pressing</t>
        </is>
      </c>
      <c r="F136" s="22" t="inlineStr">
        <is>
          <t>Web — Data Stasiun (WB-)</t>
        </is>
      </c>
      <c r="G136" s="21" t="inlineStr">
        <is>
          <t>Grid menampilkan persis baris tersimpan</t>
        </is>
      </c>
      <c r="H136" s="22" t="inlineStr">
        <is>
          <t>SPV-A</t>
        </is>
      </c>
      <c r="I136" s="22" t="inlineStr">
        <is>
          <t>record dengan 3 baris terisi</t>
        </is>
      </c>
      <c r="J136" s="22" t="inlineStr">
        <is>
          <t>1. Siapkan satu record dengan tepat 3 baris terisi.
2. Login di web, buka /data/pressing (Pressing), lalu klik salah satu baris tabel untuk record itu.
3. Hitung jumlah baris pada grid.
4. Cocokkan slot waktu dan nilai tiap baris dengan yang disimpan.</t>
        </is>
      </c>
      <c r="K136" s="22" t="inlineStr">
        <is>
          <t>- Grid menampilkan tepat 3 baris.
- Tidak digambar 24 baris dengan 21 di antaranya kosong.
- Slot waktu dan nilainya cocok.</t>
        </is>
      </c>
      <c r="L136" s="16" t="inlineStr">
        <is>
          <t>Tinggi</t>
        </is>
      </c>
      <c r="M136" s="22" t="inlineStr">
        <is>
          <t>Berlaku untuk: seluruh stasiun, tetapi penyebut 24 hanya untuk 11 stasiun bergrid slot waktu (lihat daftarnya di WB-BRW-03). Pada tujuh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36" s="17" t="inlineStr">
        <is>
          <t>2026-10-12</t>
        </is>
      </c>
      <c r="O136" s="17" t="inlineStr">
        <is>
          <t>Pelaksana QA otomatis</t>
        </is>
      </c>
      <c r="P136" s="45" t="inlineStr">
        <is>
          <t>Lulus</t>
        </is>
      </c>
      <c r="Q136" s="17" t="n"/>
      <c r="R136" s="17" t="inlineStr">
        <is>
          <t>kolom hitungan di Data Browser berbunyi "3 / 24" (tersimpan 3); Detail /data/pressing/a2f55e2a-f1f2-46f7-8a8f-14e0d303a396 menggambar 3 baris (dihitung dari penanda baris grid) — sama dengan yang tersimpan=true; baris yang isinya kosong seluruhnya=0 (harus 0, tidak digambar baris kosong sebagai pengisi).</t>
        </is>
      </c>
    </row>
    <row r="137" ht="254.8" customHeight="1">
      <c r="A137" s="18" t="n">
        <v>133</v>
      </c>
      <c r="B137" s="19" t="n">
        <v>2</v>
      </c>
      <c r="C137" s="20" t="inlineStr">
        <is>
          <t>WB-DTL-03 / Clarification</t>
        </is>
      </c>
      <c r="D137" s="20" t="inlineStr">
        <is>
          <t>WB-DTL-03</t>
        </is>
      </c>
      <c r="E137" s="21" t="inlineStr">
        <is>
          <t>Clarification</t>
        </is>
      </c>
      <c r="F137" s="22" t="inlineStr">
        <is>
          <t>Web — Data Stasiun (WB-)</t>
        </is>
      </c>
      <c r="G137" s="21" t="inlineStr">
        <is>
          <t>Grid menampilkan persis baris tersimpan</t>
        </is>
      </c>
      <c r="H137" s="22" t="inlineStr">
        <is>
          <t>SPV-A</t>
        </is>
      </c>
      <c r="I137" s="22" t="inlineStr">
        <is>
          <t>record dengan 3 baris terisi</t>
        </is>
      </c>
      <c r="J137" s="22" t="inlineStr">
        <is>
          <t>1. Siapkan satu record dengan tepat 3 baris terisi.
2. Login di web, buka /data/clarification (Clarification), lalu klik salah satu baris tabel untuk record itu.
3. Hitung jumlah baris pada grid.
4. Cocokkan slot waktu dan nilai tiap baris dengan yang disimpan.</t>
        </is>
      </c>
      <c r="K137" s="22" t="inlineStr">
        <is>
          <t>- Grid menampilkan tepat 3 baris.
- Tidak digambar 24 baris dengan 21 di antaranya kosong.
- Slot waktu dan nilainya cocok.</t>
        </is>
      </c>
      <c r="L137" s="16" t="inlineStr">
        <is>
          <t>Tinggi</t>
        </is>
      </c>
      <c r="M137" s="22" t="inlineStr">
        <is>
          <t>Berlaku untuk: seluruh stasiun, tetapi penyebut 24 hanya untuk 11 stasiun bergrid slot waktu (lihat daftarnya di WB-BRW-03). Pada tujuh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37" s="17" t="inlineStr">
        <is>
          <t>2026-10-12</t>
        </is>
      </c>
      <c r="O137" s="17" t="inlineStr">
        <is>
          <t>Pelaksana QA otomatis</t>
        </is>
      </c>
      <c r="P137" s="45" t="inlineStr">
        <is>
          <t>Lulus</t>
        </is>
      </c>
      <c r="Q137" s="17" t="n"/>
      <c r="R137" s="17" t="inlineStr">
        <is>
          <t>kolom hitungan di Data Browser berbunyi "23 / 24" (tersimpan 23); Detail /data/clarification/a2f55e0c-f919-4756-ae21-7cb8ac032f38 menggambar 23 baris (dihitung dari penanda baris grid) — sama dengan yang tersimpan=true; baris yang isinya kosong seluruhnya=0 (harus 0, tidak digambar baris kosong sebagai pengisi).</t>
        </is>
      </c>
    </row>
    <row r="138" ht="254.8" customHeight="1">
      <c r="A138" s="18" t="n">
        <v>134</v>
      </c>
      <c r="B138" s="19" t="n">
        <v>2</v>
      </c>
      <c r="C138" s="20" t="inlineStr">
        <is>
          <t>WB-DTL-03 / Kernel Plant</t>
        </is>
      </c>
      <c r="D138" s="20" t="inlineStr">
        <is>
          <t>WB-DTL-03</t>
        </is>
      </c>
      <c r="E138" s="21" t="inlineStr">
        <is>
          <t>Kernel Plant</t>
        </is>
      </c>
      <c r="F138" s="22" t="inlineStr">
        <is>
          <t>Web — Data Stasiun (WB-)</t>
        </is>
      </c>
      <c r="G138" s="21" t="inlineStr">
        <is>
          <t>Grid menampilkan persis baris tersimpan</t>
        </is>
      </c>
      <c r="H138" s="22" t="inlineStr">
        <is>
          <t>SPV-A</t>
        </is>
      </c>
      <c r="I138" s="22" t="inlineStr">
        <is>
          <t>record dengan 3 baris terisi</t>
        </is>
      </c>
      <c r="J138" s="22" t="inlineStr">
        <is>
          <t>1. Siapkan satu record dengan tepat 3 baris terisi.
2. Login di web, buka /data/kernel-plant (Kernel Plant), lalu klik salah satu baris tabel untuk record itu.
3. Hitung jumlah baris pada grid.
4. Cocokkan slot waktu dan nilai tiap baris dengan yang disimpan.</t>
        </is>
      </c>
      <c r="K138" s="22" t="inlineStr">
        <is>
          <t>- Grid menampilkan tepat 3 baris.
- Tidak digambar 24 baris dengan 21 di antaranya kosong.
- Slot waktu dan nilainya cocok.</t>
        </is>
      </c>
      <c r="L138" s="16" t="inlineStr">
        <is>
          <t>Tinggi</t>
        </is>
      </c>
      <c r="M138" s="22" t="inlineStr">
        <is>
          <t>Berlaku untuk: seluruh stasiun, tetapi penyebut 24 hanya untuk 11 stasiun bergrid slot waktu (lihat daftarnya di WB-BRW-03). Pada tujuh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38" s="17" t="inlineStr">
        <is>
          <t>2026-10-12</t>
        </is>
      </c>
      <c r="O138" s="17" t="inlineStr">
        <is>
          <t>Pelaksana QA otomatis</t>
        </is>
      </c>
      <c r="P138" s="45" t="inlineStr">
        <is>
          <t>Lulus</t>
        </is>
      </c>
      <c r="Q138" s="17" t="n"/>
      <c r="R138" s="17" t="inlineStr">
        <is>
          <t>kolom hitungan di Data Browser berbunyi "3 / 24" (tersimpan 3); Detail /data/kernel-plant/a2f55e2a-de53-4960-9767-333888ae30c8 menggambar 3 baris (dihitung dari penanda baris grid) — sama dengan yang tersimpan=true; baris yang isinya kosong seluruhnya=0 (harus 0, tidak digambar baris kosong sebagai pengisi).</t>
        </is>
      </c>
    </row>
    <row r="139" ht="254.8" customHeight="1">
      <c r="A139" s="18" t="n">
        <v>135</v>
      </c>
      <c r="B139" s="19" t="n">
        <v>2</v>
      </c>
      <c r="C139" s="20" t="inlineStr">
        <is>
          <t>WB-DTL-03 / Boiler Room</t>
        </is>
      </c>
      <c r="D139" s="20" t="inlineStr">
        <is>
          <t>WB-DTL-03</t>
        </is>
      </c>
      <c r="E139" s="21" t="inlineStr">
        <is>
          <t>Boiler Room</t>
        </is>
      </c>
      <c r="F139" s="22" t="inlineStr">
        <is>
          <t>Web — Data Stasiun (WB-)</t>
        </is>
      </c>
      <c r="G139" s="21" t="inlineStr">
        <is>
          <t>Grid menampilkan persis baris tersimpan</t>
        </is>
      </c>
      <c r="H139" s="22" t="inlineStr">
        <is>
          <t>SPV-A</t>
        </is>
      </c>
      <c r="I139" s="22" t="inlineStr">
        <is>
          <t>record dengan 3 baris terisi</t>
        </is>
      </c>
      <c r="J139" s="22" t="inlineStr">
        <is>
          <t>1. Siapkan satu record dengan tepat 3 baris terisi.
2. Login di web, buka /data/boiler-room (Boiler Room), lalu klik salah satu baris tabel untuk record itu.
3. Hitung jumlah baris pada grid.
4. Cocokkan slot waktu dan nilai tiap baris dengan yang disimpan.</t>
        </is>
      </c>
      <c r="K139" s="22" t="inlineStr">
        <is>
          <t>- Grid menampilkan tepat 3 baris.
- Tidak digambar 24 baris dengan 21 di antaranya kosong.
- Slot waktu dan nilainya cocok.</t>
        </is>
      </c>
      <c r="L139" s="16" t="inlineStr">
        <is>
          <t>Tinggi</t>
        </is>
      </c>
      <c r="M139" s="22" t="inlineStr">
        <is>
          <t>Berlaku untuk: seluruh stasiun, tetapi penyebut 24 hanya untuk 11 stasiun bergrid slot waktu (lihat daftarnya di WB-BRW-03). Pada tujuh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39" s="17" t="inlineStr">
        <is>
          <t>2026-10-12</t>
        </is>
      </c>
      <c r="O139" s="17" t="inlineStr">
        <is>
          <t>Pelaksana QA otomatis</t>
        </is>
      </c>
      <c r="P139" s="45" t="inlineStr">
        <is>
          <t>Lulus</t>
        </is>
      </c>
      <c r="Q139" s="17" t="n"/>
      <c r="R139" s="17" t="inlineStr">
        <is>
          <t>kolom hitungan di Data Browser berbunyi "24 / 24" (tersimpan 24); Detail /data/boiler-room/a2f55e0c-f71f-4e8a-8621-fee5b41e82d6 menggambar 24 baris (dihitung dari penanda baris grid) — sama dengan yang tersimpan=true; baris yang isinya kosong seluruhnya=0 (harus 0, tidak digambar baris kosong sebagai pengisi).</t>
        </is>
      </c>
    </row>
    <row r="140" ht="254.8" customHeight="1">
      <c r="A140" s="18" t="n">
        <v>136</v>
      </c>
      <c r="B140" s="19" t="n">
        <v>2</v>
      </c>
      <c r="C140" s="20" t="inlineStr">
        <is>
          <t>WB-DTL-03 / Effluent Plant</t>
        </is>
      </c>
      <c r="D140" s="20" t="inlineStr">
        <is>
          <t>WB-DTL-03</t>
        </is>
      </c>
      <c r="E140" s="21" t="inlineStr">
        <is>
          <t>Effluent Plant</t>
        </is>
      </c>
      <c r="F140" s="22" t="inlineStr">
        <is>
          <t>Web — Data Stasiun (WB-)</t>
        </is>
      </c>
      <c r="G140" s="21" t="inlineStr">
        <is>
          <t>Grid menampilkan persis baris tersimpan</t>
        </is>
      </c>
      <c r="H140" s="22" t="inlineStr">
        <is>
          <t>SPV-A</t>
        </is>
      </c>
      <c r="I140" s="22" t="inlineStr">
        <is>
          <t>record dengan 3 baris terisi</t>
        </is>
      </c>
      <c r="J140" s="22" t="inlineStr">
        <is>
          <t>1. Siapkan satu record dengan tepat 3 baris terisi.
2. Login di web, buka /data/effluent-plant (Effluent Plant), lalu klik salah satu baris tabel untuk record itu.
3. Hitung jumlah baris pada grid.
4. Cocokkan slot waktu dan nilai tiap baris dengan yang disimpan.</t>
        </is>
      </c>
      <c r="K140" s="22" t="inlineStr">
        <is>
          <t>- Grid menampilkan tepat 3 baris.
- Tidak digambar 24 baris dengan 21 di antaranya kosong.
- Slot waktu dan nilainya cocok.</t>
        </is>
      </c>
      <c r="L140" s="16" t="inlineStr">
        <is>
          <t>Tinggi</t>
        </is>
      </c>
      <c r="M140" s="22" t="inlineStr">
        <is>
          <t>Berlaku untuk: seluruh stasiun, tetapi penyebut 24 hanya untuk 11 stasiun bergrid slot waktu (lihat daftarnya di WB-BRW-03). Pada tujuh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40" s="17" t="inlineStr">
        <is>
          <t>2026-10-12</t>
        </is>
      </c>
      <c r="O140" s="17" t="inlineStr">
        <is>
          <t>Pelaksana QA otomatis</t>
        </is>
      </c>
      <c r="P140" s="45" t="inlineStr">
        <is>
          <t>Lulus</t>
        </is>
      </c>
      <c r="Q140" s="17" t="n"/>
      <c r="R140" s="17" t="inlineStr">
        <is>
          <t>kolom hitungan di Data Browser berbunyi "3 / 24" (tersimpan 3); Detail /data/effluent-plant/a2f55e2b-7527-4296-ae44-ed8dfd5fe9f1 menggambar 3 baris (dihitung dari penanda baris grid) — sama dengan yang tersimpan=true; baris yang isinya kosong seluruhnya=0 (harus 0, tidak digambar baris kosong sebagai pengisi).</t>
        </is>
      </c>
    </row>
    <row r="141" ht="254.8" customHeight="1">
      <c r="A141" s="11" t="n">
        <v>137</v>
      </c>
      <c r="B141" s="12" t="n">
        <v>1</v>
      </c>
      <c r="C141" s="13" t="inlineStr">
        <is>
          <t>WB-DTL-03 / Depricarping</t>
        </is>
      </c>
      <c r="D141" s="13" t="inlineStr">
        <is>
          <t>WB-DTL-03</t>
        </is>
      </c>
      <c r="E141" s="15" t="inlineStr">
        <is>
          <t>Depricarping</t>
        </is>
      </c>
      <c r="F141" s="14" t="inlineStr">
        <is>
          <t>Web — Data Stasiun (WB-)</t>
        </is>
      </c>
      <c r="G141" s="15" t="inlineStr">
        <is>
          <t>Grid menampilkan persis baris tersimpan</t>
        </is>
      </c>
      <c r="H141" s="14" t="inlineStr">
        <is>
          <t>SPV-A</t>
        </is>
      </c>
      <c r="I141" s="14" t="inlineStr">
        <is>
          <t>record dengan 3 baris terisi</t>
        </is>
      </c>
      <c r="J141" s="14" t="inlineStr">
        <is>
          <t>1. Siapkan satu record dengan tepat 3 baris terisi.
2. Login di web, buka /data/depricarping (Depricarping), lalu klik salah satu baris tabel untuk record itu.
3. Hitung jumlah baris pada grid.
4. Cocokkan slot waktu dan nilai tiap baris dengan yang disimpan.</t>
        </is>
      </c>
      <c r="K141" s="14" t="inlineStr">
        <is>
          <t>- Grid menampilkan tepat 3 baris.
- Tidak digambar 24 baris dengan 21 di antaranya kosong.
- Slot waktu dan nilainya cocok.</t>
        </is>
      </c>
      <c r="L141" s="16" t="inlineStr">
        <is>
          <t>Tinggi</t>
        </is>
      </c>
      <c r="M141" s="14" t="inlineStr">
        <is>
          <t>Berlaku untuk: seluruh stasiun, tetapi penyebut 24 hanya untuk 11 stasiun bergrid slot waktu (lihat daftarnya di WB-BRW-03). Pada tujuh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41" s="17" t="inlineStr">
        <is>
          <t>2026-10-12</t>
        </is>
      </c>
      <c r="O141" s="17" t="inlineStr">
        <is>
          <t>Pelaksana QA otomatis</t>
        </is>
      </c>
      <c r="P141" s="45" t="inlineStr">
        <is>
          <t>Lulus</t>
        </is>
      </c>
      <c r="Q141" s="17" t="n"/>
      <c r="R141" s="17" t="inlineStr">
        <is>
          <t>kolom hitungan di Data Browser berbunyi "3 / 24" (tersimpan 3); Detail /data/depricarping/a2f55e2a-cccd-4205-8f6e-0d81e0971742 menggambar 3 baris (dihitung dari penanda baris grid) — sama dengan yang tersimpan=true; baris yang isinya kosong seluruhnya=0 (harus 0, tidak digambar baris kosong sebagai pengisi).</t>
        </is>
      </c>
    </row>
    <row r="142" ht="254.8" customHeight="1">
      <c r="A142" s="18" t="n">
        <v>138</v>
      </c>
      <c r="B142" s="19" t="n">
        <v>2</v>
      </c>
      <c r="C142" s="20" t="inlineStr">
        <is>
          <t>WB-DTL-03 / Engine Room</t>
        </is>
      </c>
      <c r="D142" s="20" t="inlineStr">
        <is>
          <t>WB-DTL-03</t>
        </is>
      </c>
      <c r="E142" s="21" t="inlineStr">
        <is>
          <t>Engine Room</t>
        </is>
      </c>
      <c r="F142" s="22" t="inlineStr">
        <is>
          <t>Web — Data Stasiun (WB-)</t>
        </is>
      </c>
      <c r="G142" s="21" t="inlineStr">
        <is>
          <t>Grid menampilkan persis baris tersimpan</t>
        </is>
      </c>
      <c r="H142" s="22" t="inlineStr">
        <is>
          <t>SPV-A</t>
        </is>
      </c>
      <c r="I142" s="22" t="inlineStr">
        <is>
          <t>record dengan 3 baris terisi</t>
        </is>
      </c>
      <c r="J142" s="22" t="inlineStr">
        <is>
          <t>1. Siapkan satu record dengan tepat 3 baris terisi.
2. Login di web, buka /data/engine-room (Engine Room), lalu klik salah satu baris tabel untuk record itu.
3. Hitung jumlah baris pada grid.
4. Cocokkan slot waktu dan nilai tiap baris dengan yang disimpan.</t>
        </is>
      </c>
      <c r="K142" s="22" t="inlineStr">
        <is>
          <t>- Grid menampilkan tepat 3 baris.
- Tidak digambar 24 baris dengan 21 di antaranya kosong.
- Slot waktu dan nilainya cocok.</t>
        </is>
      </c>
      <c r="L142" s="16" t="inlineStr">
        <is>
          <t>Tinggi</t>
        </is>
      </c>
      <c r="M142" s="22" t="inlineStr">
        <is>
          <t>Berlaku untuk: seluruh stasiun, tetapi penyebut 24 hanya untuk 11 stasiun bergrid slot waktu (lihat daftarnya di WB-BRW-03). Pada tujuh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42" s="17" t="inlineStr">
        <is>
          <t>2026-10-12</t>
        </is>
      </c>
      <c r="O142" s="17" t="inlineStr">
        <is>
          <t>Pelaksana QA otomatis</t>
        </is>
      </c>
      <c r="P142" s="45" t="inlineStr">
        <is>
          <t>Lulus</t>
        </is>
      </c>
      <c r="Q142" s="17" t="n"/>
      <c r="R142" s="17" t="inlineStr">
        <is>
          <t>kolom hitungan di Data Browser berbunyi "3 / 24" (tersimpan 3); Detail /data/engine-room/a2f55e2b-1c7d-41a8-a756-dc8be11c14c8 menggambar 3 baris (dihitung dari penanda baris grid) — sama dengan yang tersimpan=true; baris yang isinya kosong seluruhnya=0 (harus 0, tidak digambar baris kosong sebagai pengisi).</t>
        </is>
      </c>
    </row>
    <row r="143" ht="254.8" customHeight="1">
      <c r="A143" s="18" t="n">
        <v>139</v>
      </c>
      <c r="B143" s="19" t="n">
        <v>2</v>
      </c>
      <c r="C143" s="20" t="inlineStr">
        <is>
          <t>WB-DTL-03 / Process Water</t>
        </is>
      </c>
      <c r="D143" s="20" t="inlineStr">
        <is>
          <t>WB-DTL-03</t>
        </is>
      </c>
      <c r="E143" s="21" t="inlineStr">
        <is>
          <t>Process Water</t>
        </is>
      </c>
      <c r="F143" s="22" t="inlineStr">
        <is>
          <t>Web — Data Stasiun (WB-)</t>
        </is>
      </c>
      <c r="G143" s="21" t="inlineStr">
        <is>
          <t>Grid menampilkan persis baris tersimpan</t>
        </is>
      </c>
      <c r="H143" s="22" t="inlineStr">
        <is>
          <t>SPV-A</t>
        </is>
      </c>
      <c r="I143" s="22" t="inlineStr">
        <is>
          <t>record dengan 3 baris terisi</t>
        </is>
      </c>
      <c r="J143" s="22" t="inlineStr">
        <is>
          <t>1. Siapkan satu record dengan tepat 3 baris terisi.
2. Login di web, buka /data/process-water (Process Water), lalu klik salah satu baris tabel untuk record itu.
3. Hitung jumlah baris pada grid.
4. Cocokkan slot waktu dan nilai tiap baris dengan yang disimpan.</t>
        </is>
      </c>
      <c r="K143" s="22" t="inlineStr">
        <is>
          <t>- Grid menampilkan tepat 3 baris.
- Tidak digambar 24 baris dengan 21 di antaranya kosong.
- Slot waktu dan nilainya cocok.</t>
        </is>
      </c>
      <c r="L143" s="16" t="inlineStr">
        <is>
          <t>Tinggi</t>
        </is>
      </c>
      <c r="M143" s="22" t="inlineStr">
        <is>
          <t>Berlaku untuk: seluruh stasiun, tetapi penyebut 24 hanya untuk 11 stasiun bergrid slot waktu (lihat daftarnya di WB-BRW-03). Pada tujuh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43" s="17" t="inlineStr">
        <is>
          <t>2026-10-12</t>
        </is>
      </c>
      <c r="O143" s="17" t="inlineStr">
        <is>
          <t>Pelaksana QA otomatis</t>
        </is>
      </c>
      <c r="P143" s="45" t="inlineStr">
        <is>
          <t>Lulus</t>
        </is>
      </c>
      <c r="Q143" s="17" t="n"/>
      <c r="R143" s="17" t="inlineStr">
        <is>
          <t>kolom hitungan di Data Browser berbunyi "3 / 24" (tersimpan 3); Detail /data/process-water/a2f55e2b-2f7c-42c3-b204-7ead84691f4c menggambar 3 baris (dihitung dari penanda baris grid) — sama dengan yang tersimpan=true; baris yang isinya kosong seluruhnya=0 (harus 0, tidak digambar baris kosong sebagai pengisi).</t>
        </is>
      </c>
    </row>
    <row r="144" ht="254.8" customHeight="1">
      <c r="A144" s="18" t="n">
        <v>140</v>
      </c>
      <c r="B144" s="19" t="n">
        <v>2</v>
      </c>
      <c r="C144" s="20" t="inlineStr">
        <is>
          <t>WB-DTL-03 / Storage Tank</t>
        </is>
      </c>
      <c r="D144" s="20" t="inlineStr">
        <is>
          <t>WB-DTL-03</t>
        </is>
      </c>
      <c r="E144" s="21" t="inlineStr">
        <is>
          <t>Storage Tank</t>
        </is>
      </c>
      <c r="F144" s="22" t="inlineStr">
        <is>
          <t>Web — Data Stasiun (WB-)</t>
        </is>
      </c>
      <c r="G144" s="21" t="inlineStr">
        <is>
          <t>Grid menampilkan persis baris tersimpan</t>
        </is>
      </c>
      <c r="H144" s="22" t="inlineStr">
        <is>
          <t>SPV-A</t>
        </is>
      </c>
      <c r="I144" s="22" t="inlineStr">
        <is>
          <t>record dengan 3 baris terisi</t>
        </is>
      </c>
      <c r="J144" s="22" t="inlineStr">
        <is>
          <t>1. Siapkan satu record dengan tepat 3 baris terisi.
2. Login di web, buka /data/storage-tank (Storage Tank), lalu klik salah satu baris tabel untuk record itu.
3. Hitung jumlah baris pada grid.
4. Cocokkan slot waktu dan nilai tiap baris dengan yang disimpan.</t>
        </is>
      </c>
      <c r="K144" s="22" t="inlineStr">
        <is>
          <t>- Grid menampilkan tepat 3 baris.
- Tidak digambar 24 baris dengan 21 di antaranya kosong.
- Slot waktu dan nilainya cocok.</t>
        </is>
      </c>
      <c r="L144" s="16" t="inlineStr">
        <is>
          <t>Tinggi</t>
        </is>
      </c>
      <c r="M144" s="22" t="inlineStr">
        <is>
          <t>Berlaku untuk: seluruh stasiun, tetapi penyebut 24 hanya untuk 11 stasiun bergrid slot waktu (lihat daftarnya di WB-BRW-03). Pada tujuh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44" s="17" t="inlineStr">
        <is>
          <t>2026-10-12</t>
        </is>
      </c>
      <c r="O144" s="17" t="inlineStr">
        <is>
          <t>Pelaksana QA otomatis</t>
        </is>
      </c>
      <c r="P144" s="45" t="inlineStr">
        <is>
          <t>Lulus</t>
        </is>
      </c>
      <c r="Q144" s="17" t="n"/>
      <c r="R144" s="17" t="inlineStr">
        <is>
          <t>kolom hitungan di Data Browser berbunyi "23 / 24" (tersimpan 23); Detail /data/storage-tank/a2f55e0d-de7f-4ea4-9b91-6d3e74a97817 menggambar 23 baris (dihitung dari penanda baris grid) — sama dengan yang tersimpan=true; baris yang isinya kosong seluruhnya=0 (harus 0, tidak digambar baris kosong sebagai pengisi).</t>
        </is>
      </c>
    </row>
    <row r="145" ht="254.8" customHeight="1">
      <c r="A145" s="18" t="n">
        <v>141</v>
      </c>
      <c r="B145" s="19" t="n">
        <v>2</v>
      </c>
      <c r="C145" s="20" t="inlineStr">
        <is>
          <t>WB-DTL-03 / Solid Waste Disposal</t>
        </is>
      </c>
      <c r="D145" s="20" t="inlineStr">
        <is>
          <t>WB-DTL-03</t>
        </is>
      </c>
      <c r="E145" s="21" t="inlineStr">
        <is>
          <t>Solid Waste Disposal</t>
        </is>
      </c>
      <c r="F145" s="22" t="inlineStr">
        <is>
          <t>Web — Data Stasiun (WB-)</t>
        </is>
      </c>
      <c r="G145" s="21" t="inlineStr">
        <is>
          <t>Grid menampilkan persis baris tersimpan</t>
        </is>
      </c>
      <c r="H145" s="22" t="inlineStr">
        <is>
          <t>SPV-A</t>
        </is>
      </c>
      <c r="I145" s="22" t="inlineStr">
        <is>
          <t>record dengan 3 baris terisi</t>
        </is>
      </c>
      <c r="J145" s="22" t="inlineStr">
        <is>
          <t>1. Siapkan satu record dengan tepat 3 baris terisi.
2. Login di web, buka /data/solid-waste-disposal (Solid Waste Disposal), lalu klik salah satu baris tabel untuk record itu.
3. Hitung jumlah baris pada grid.
4. Cocokkan slot waktu dan nilai tiap baris dengan yang disimpan.</t>
        </is>
      </c>
      <c r="K145" s="22" t="inlineStr">
        <is>
          <t>- Grid menampilkan tepat 3 baris.
- Tidak digambar 24 baris dengan 21 di antaranya kosong.
- Slot waktu dan nilainya cocok.</t>
        </is>
      </c>
      <c r="L145" s="16" t="inlineStr">
        <is>
          <t>Tinggi</t>
        </is>
      </c>
      <c r="M145" s="22" t="inlineStr">
        <is>
          <t>Berlaku untuk: seluruh stasiun, tetapi penyebut 24 hanya untuk 11 stasiun bergrid slot waktu (lihat daftarnya di WB-BRW-03). Pada tujuh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45" s="17" t="inlineStr">
        <is>
          <t>2026-10-12</t>
        </is>
      </c>
      <c r="O145" s="17" t="inlineStr">
        <is>
          <t>Pelaksana QA otomatis</t>
        </is>
      </c>
      <c r="P145" s="45" t="inlineStr">
        <is>
          <t>Lulus</t>
        </is>
      </c>
      <c r="Q145" s="17" t="n"/>
      <c r="R145" s="17" t="inlineStr">
        <is>
          <t>kolom hitungan di Data Browser berbunyi "1" (tersimpan 1); Detail /data/solid-waste-disposal/a2f55e2b-52a7-4ebb-8de3-fe4be0a959ae menggambar 1 baris (dihitung dari baris tabel di layar (tanpa tabel master target)) — sama dengan yang tersimpan=true; baris yang isinya kosong seluruhnya=0 (harus 0, tidak digambar baris kosong sebagai pengisi).</t>
        </is>
      </c>
    </row>
    <row r="146" ht="254.8" customHeight="1">
      <c r="A146" s="18" t="n">
        <v>142</v>
      </c>
      <c r="B146" s="19" t="n">
        <v>2</v>
      </c>
      <c r="C146" s="20" t="inlineStr">
        <is>
          <t>WB-DTL-03 / Kernel Dispatch</t>
        </is>
      </c>
      <c r="D146" s="20" t="inlineStr">
        <is>
          <t>WB-DTL-03</t>
        </is>
      </c>
      <c r="E146" s="21" t="inlineStr">
        <is>
          <t>Kernel Dispatch</t>
        </is>
      </c>
      <c r="F146" s="22" t="inlineStr">
        <is>
          <t>Web — Data Stasiun (WB-)</t>
        </is>
      </c>
      <c r="G146" s="21" t="inlineStr">
        <is>
          <t>Grid menampilkan persis baris tersimpan</t>
        </is>
      </c>
      <c r="H146" s="22" t="inlineStr">
        <is>
          <t>SPV-A</t>
        </is>
      </c>
      <c r="I146" s="22" t="inlineStr">
        <is>
          <t>record dengan 3 baris terisi</t>
        </is>
      </c>
      <c r="J146" s="22" t="inlineStr">
        <is>
          <t>1. Siapkan satu record dengan tepat 3 baris terisi.
2. Login di web, buka /data/kernel-dispatch (Kernel Dispatch), lalu klik salah satu baris tabel untuk record itu.
3. Hitung jumlah baris pada grid.
4. Cocokkan slot waktu dan nilai tiap baris dengan yang disimpan.</t>
        </is>
      </c>
      <c r="K146" s="22" t="inlineStr">
        <is>
          <t>- Grid menampilkan tepat 3 baris.
- Tidak digambar 24 baris dengan 21 di antaranya kosong.
- Slot waktu dan nilainya cocok.</t>
        </is>
      </c>
      <c r="L146" s="16" t="inlineStr">
        <is>
          <t>Tinggi</t>
        </is>
      </c>
      <c r="M146" s="22" t="inlineStr">
        <is>
          <t>Berlaku untuk: seluruh stasiun, tetapi penyebut 24 hanya untuk 11 stasiun bergrid slot waktu (lihat daftarnya di WB-BRW-03). Pada tujuh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46" s="17" t="inlineStr">
        <is>
          <t>2026-10-12</t>
        </is>
      </c>
      <c r="O146" s="17" t="inlineStr">
        <is>
          <t>Pelaksana QA otomatis</t>
        </is>
      </c>
      <c r="P146" s="45" t="inlineStr">
        <is>
          <t>Lulus</t>
        </is>
      </c>
      <c r="Q146" s="17" t="n"/>
      <c r="R146" s="17" t="inlineStr">
        <is>
          <t>kolom hitungan di Data Browser berbunyi "1" (tersimpan 1); Detail /data/kernel-dispatch/a2f55e2b-8629-4f3a-a39e-dee2d7ce6483 menggambar 1 baris (dihitung dari baris tabel di layar (tanpa tabel master target)) — sama dengan yang tersimpan=true; baris yang isinya kosong seluruhnya=0 (harus 0, tidak digambar baris kosong sebagai pengisi).</t>
        </is>
      </c>
    </row>
    <row r="147" ht="254.8" customHeight="1">
      <c r="A147" s="18" t="n">
        <v>143</v>
      </c>
      <c r="B147" s="19" t="n">
        <v>2</v>
      </c>
      <c r="C147" s="20" t="inlineStr">
        <is>
          <t>WB-DTL-03 / CPO Dispatch</t>
        </is>
      </c>
      <c r="D147" s="20" t="inlineStr">
        <is>
          <t>WB-DTL-03</t>
        </is>
      </c>
      <c r="E147" s="21" t="inlineStr">
        <is>
          <t>CPO Dispatch</t>
        </is>
      </c>
      <c r="F147" s="22" t="inlineStr">
        <is>
          <t>Web — Data Stasiun (WB-)</t>
        </is>
      </c>
      <c r="G147" s="21" t="inlineStr">
        <is>
          <t>Grid menampilkan persis baris tersimpan</t>
        </is>
      </c>
      <c r="H147" s="22" t="inlineStr">
        <is>
          <t>SPV-A</t>
        </is>
      </c>
      <c r="I147" s="22" t="inlineStr">
        <is>
          <t>record dengan 3 baris terisi</t>
        </is>
      </c>
      <c r="J147" s="22" t="inlineStr">
        <is>
          <t>1. Siapkan satu record dengan tepat 3 baris terisi.
2. Login di web, buka /data/cpo-dispatch (CPO Dispatch), lalu klik salah satu baris tabel untuk record itu.
3. Hitung jumlah baris pada grid.
4. Cocokkan slot waktu dan nilai tiap baris dengan yang disimpan.</t>
        </is>
      </c>
      <c r="K147" s="22" t="inlineStr">
        <is>
          <t>- Grid menampilkan tepat 3 baris.
- Tidak digambar 24 baris dengan 21 di antaranya kosong.
- Slot waktu dan nilainya cocok.</t>
        </is>
      </c>
      <c r="L147" s="16" t="inlineStr">
        <is>
          <t>Tinggi</t>
        </is>
      </c>
      <c r="M147" s="22" t="inlineStr">
        <is>
          <t>Berlaku untuk: seluruh stasiun, tetapi penyebut 24 hanya untuk 11 stasiun bergrid slot waktu (lihat daftarnya di WB-BRW-03). Pada tujuh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47" s="17" t="inlineStr">
        <is>
          <t>2026-10-12</t>
        </is>
      </c>
      <c r="O147" s="17" t="inlineStr">
        <is>
          <t>Pelaksana QA otomatis</t>
        </is>
      </c>
      <c r="P147" s="45" t="inlineStr">
        <is>
          <t>Lulus</t>
        </is>
      </c>
      <c r="Q147" s="17" t="n"/>
      <c r="R147" s="17" t="inlineStr">
        <is>
          <t>kolom hitungan di Data Browser berbunyi "1" (tersimpan 1); Detail /data/cpo-dispatch/a2f55e2b-6142-4128-92bc-9b86832157d1 menggambar 1 baris (dihitung dari baris tabel di layar (tanpa tabel master target)) — sama dengan yang tersimpan=true; baris yang isinya kosong seluruhnya=0 (harus 0, tidak digambar baris kosong sebagai pengisi).</t>
        </is>
      </c>
    </row>
    <row r="148" ht="254.8" customHeight="1">
      <c r="A148" s="18" t="n">
        <v>144</v>
      </c>
      <c r="B148" s="19" t="n">
        <v>2</v>
      </c>
      <c r="C148" s="20" t="inlineStr">
        <is>
          <t>WB-DTL-03 / Process Quality Control</t>
        </is>
      </c>
      <c r="D148" s="20" t="inlineStr">
        <is>
          <t>WB-DTL-03</t>
        </is>
      </c>
      <c r="E148" s="21" t="inlineStr">
        <is>
          <t>Process Quality Control</t>
        </is>
      </c>
      <c r="F148" s="22" t="inlineStr">
        <is>
          <t>Web — Data Stasiun (WB-)</t>
        </is>
      </c>
      <c r="G148" s="21" t="inlineStr">
        <is>
          <t>Grid menampilkan persis baris tersimpan</t>
        </is>
      </c>
      <c r="H148" s="22" t="inlineStr">
        <is>
          <t>SPV-A</t>
        </is>
      </c>
      <c r="I148" s="22" t="inlineStr">
        <is>
          <t>record dengan 3 baris terisi</t>
        </is>
      </c>
      <c r="J148" s="22" t="inlineStr">
        <is>
          <t>1. Siapkan satu record dengan tepat 3 baris terisi.
2. Login di web, buka /data/process-quality-control (Process Quality Control), lalu klik salah satu baris tabel untuk record itu.
3. Hitung jumlah baris pada grid.
4. Cocokkan slot waktu dan nilai tiap baris dengan yang disimpan.</t>
        </is>
      </c>
      <c r="K148" s="22" t="inlineStr">
        <is>
          <t>- Grid menampilkan tepat 3 baris.
- Tidak digambar 24 baris dengan 21 di antaranya kosong.
- Slot waktu dan nilainya cocok.</t>
        </is>
      </c>
      <c r="L148" s="16" t="inlineStr">
        <is>
          <t>Tinggi</t>
        </is>
      </c>
      <c r="M148" s="22" t="inlineStr">
        <is>
          <t>Berlaku untuk: seluruh stasiun, tetapi penyebut 24 hanya untuk 11 stasiun bergrid slot waktu (lihat daftarnya di WB-BRW-03). Pada tujuh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48" s="17" t="inlineStr">
        <is>
          <t>2026-10-12</t>
        </is>
      </c>
      <c r="O148" s="17" t="inlineStr">
        <is>
          <t>Pelaksana QA otomatis</t>
        </is>
      </c>
      <c r="P148" s="45" t="inlineStr">
        <is>
          <t>Lulus</t>
        </is>
      </c>
      <c r="Q148" s="17" t="n"/>
      <c r="R148" s="17" t="inlineStr">
        <is>
          <t>kolom hitungan di Data Browser berbunyi "3 / 24" (tersimpan 3); Detail /data/process-quality-control/a2f55e2b-4311-4c13-b551-da41358b5c2d menggambar 3 baris (dihitung dari penanda baris grid) — sama dengan yang tersimpan=true; baris yang isinya kosong seluruhnya=0 (harus 0, tidak digambar baris kosong sebagai pengisi).</t>
        </is>
      </c>
    </row>
    <row r="149" ht="109.6" customHeight="1">
      <c r="A149" s="11" t="n">
        <v>145</v>
      </c>
      <c r="B149" s="12" t="n">
        <v>1</v>
      </c>
      <c r="C149" s="13" t="inlineStr">
        <is>
          <t>WB-DTL-04 / Depricarping</t>
        </is>
      </c>
      <c r="D149" s="13" t="inlineStr">
        <is>
          <t>WB-DTL-04</t>
        </is>
      </c>
      <c r="E149" s="15" t="inlineStr">
        <is>
          <t>Depricarping</t>
        </is>
      </c>
      <c r="F149" s="14" t="inlineStr">
        <is>
          <t>Web — Data Stasiun (WB-)</t>
        </is>
      </c>
      <c r="G149" s="15" t="inlineStr">
        <is>
          <t>Edit membuka Form mode ubah dengan isi yang sama</t>
        </is>
      </c>
      <c r="H149" s="14" t="inlineStr">
        <is>
          <t>SPV-A</t>
        </is>
      </c>
      <c r="I149" s="14" t="inlineStr">
        <is>
          <t>—</t>
        </is>
      </c>
      <c r="J149" s="14" t="inlineStr">
        <is>
          <t>1. Login di web, buka /data/depricarping (Depricarping), lalu klik salah satu baris tabel. Catat seluruh nilai header dan isi grid.
2. Tekan Edit.
3. Bandingkan setiap kolom pada Form dengan catatan langkah 1.
4. Periksa kolom Production Line: dapat diubah atau terkunci?</t>
        </is>
      </c>
      <c r="K149" s="14" t="inlineStr">
        <is>
          <t>- Terbuka Form mode ubah (/data/depricarping/&lt;id&gt;/edit).
- Seluruh nilai sama dengan Detail — tidak ada yang kosong atau tergeser.
- Production Line terkunci pada mode ubah (lihat WB-FRM-02).</t>
        </is>
      </c>
      <c r="L149" s="16" t="inlineStr">
        <is>
          <t>Tinggi</t>
        </is>
      </c>
      <c r="M149" s="14" t="inlineStr"/>
      <c r="N149" s="17" t="inlineStr">
        <is>
          <t>2026-10-12</t>
        </is>
      </c>
      <c r="O149" s="17" t="inlineStr">
        <is>
          <t>Pelaksana QA otomatis</t>
        </is>
      </c>
      <c r="P149" s="45" t="inlineStr">
        <is>
          <t>Lulus</t>
        </is>
      </c>
      <c r="Q149" s="17" t="n"/>
      <c r="R149" s="17" t="inlineStr">
        <is>
          <t>Detail /data/depricarping/a2f55e2a-cccd-4205-8f6e-0d81e0971742 → Edit membuka /data/depricarping/a2f55e2a-cccd-4205-8f6e-0d81e0971742/edit; identitas di Detail="DP-4551" dan di Form="DP-4551" (sama=true); jumlah baris grid di Detail=3 dan di Form=3 (sama=true, tidak ada yang kosong atau tergeser); Production Line terkunci pada mode ubah=true; ada keterangan yang menyebutkan penguncian itu=false.</t>
        </is>
      </c>
    </row>
    <row r="150" ht="109.6" customHeight="1">
      <c r="A150" s="11" t="n">
        <v>146</v>
      </c>
      <c r="B150" s="12" t="n">
        <v>1</v>
      </c>
      <c r="C150" s="13" t="inlineStr">
        <is>
          <t>WB-DTL-05 / Depricarping</t>
        </is>
      </c>
      <c r="D150" s="13" t="inlineStr">
        <is>
          <t>WB-DTL-05</t>
        </is>
      </c>
      <c r="E150" s="15" t="inlineStr">
        <is>
          <t>Depricarping</t>
        </is>
      </c>
      <c r="F150" s="14" t="inlineStr">
        <is>
          <t>Web — Data Stasiun (WB-)</t>
        </is>
      </c>
      <c r="G150" s="15" t="inlineStr">
        <is>
          <t>Back kembali ke Data Browser dengan filter yang masih sama</t>
        </is>
      </c>
      <c r="H150" s="14" t="inlineStr">
        <is>
          <t>SPV-A</t>
        </is>
      </c>
      <c r="I150" s="14" t="inlineStr">
        <is>
          <t>—</t>
        </is>
      </c>
      <c r="J150" s="14" t="inlineStr">
        <is>
          <t>1. Login di web, lalu sidebar &gt; Data &gt; Depricarping (/data/depricarping). Terapkan satu filter dan buka halaman 2.
2. Catat isi filter dan nomor halaman.
3. Klik satu baris untuk membuka Detail.
4. Tekan Back.
5. Bandingkan filter dan halaman dengan catatan langkah 2.</t>
        </is>
      </c>
      <c r="K150" s="14" t="inlineStr">
        <is>
          <t>- Kembali ke Data Browser stasiun yang sama.
- Filternya masih sama — tidak tereset.
- Halaman yang sedang dibuka juga tetap, atau setidaknya filternya dipertahankan sehingga baris itu mudah ditemukan lagi.</t>
        </is>
      </c>
      <c r="L150" s="11" t="inlineStr">
        <is>
          <t>Sedang</t>
        </is>
      </c>
      <c r="M150" s="14" t="inlineStr"/>
      <c r="N150" s="17" t="inlineStr">
        <is>
          <t>2026-10-12</t>
        </is>
      </c>
      <c r="O150" s="17" t="inlineStr">
        <is>
          <t>Pelaksana QA otomatis</t>
        </is>
      </c>
      <c r="P150" s="8" t="inlineStr">
        <is>
          <t>Gagal</t>
        </is>
      </c>
      <c r="Q150" s="17" t="n"/>
      <c r="R150" s="17" t="inlineStr">
        <is>
          <t>filter "2026-09-01..2026-10-11" diterapkan dan halaman 2 dibuka; sesudah membuka Detail lalu menekan Back (tombol ada=true), mendarat di /data/weighbridge dan filternya terbaca ".." — masih sama=false.</t>
        </is>
      </c>
    </row>
    <row r="151" ht="149.2" customHeight="1">
      <c r="A151" s="18" t="n">
        <v>147</v>
      </c>
      <c r="B151" s="19" t="n">
        <v>2</v>
      </c>
      <c r="C151" s="20" t="inlineStr">
        <is>
          <t>WB-FRM-01 / Weighbridge</t>
        </is>
      </c>
      <c r="D151" s="20" t="inlineStr">
        <is>
          <t>WB-FRM-01</t>
        </is>
      </c>
      <c r="E151" s="21" t="inlineStr">
        <is>
          <t>Weighbridge</t>
        </is>
      </c>
      <c r="F151" s="22" t="inlineStr">
        <is>
          <t>Web — Data Stasiun (WB-)</t>
        </is>
      </c>
      <c r="G151" s="21" t="inlineStr">
        <is>
          <t>Simpan berhasil, status langsung Tersimpan</t>
        </is>
      </c>
      <c r="H151" s="22" t="inlineStr">
        <is>
          <t>SPV-A</t>
        </is>
      </c>
      <c r="I151" s="22" t="inlineStr">
        <is>
          <t>periode Terbuka</t>
        </is>
      </c>
      <c r="J151" s="22" t="inlineStr">
        <is>
          <t>1. Pastikan periode stasiun ini Terbuka.
2. Login di web, buka /data/weighbridge (Weighbridge), lalu tekan Tambah (/data/weighbridge/create) sebagai SPV-A.
3. Pilih Production Line, isi kolom identitas, isi tanggal.
4. Tambah satu baris slot waktu dan isi satu kolom bacaan.
5. Tekan Simpan.
6. Cari record itu di Data Browser dan baca kolom Status.</t>
        </is>
      </c>
      <c r="K151" s="22" t="inlineStr">
        <is>
          <t>- Simpan berhasil, dengan pesan konfirmasi.
- Status record langsung Tersimpan — bukan Draft, karena input web tidak punya alur draft.
- Record muncul di Data Browser tanpa perlu muat ulang manual.</t>
        </is>
      </c>
      <c r="L151" s="16" t="inlineStr">
        <is>
          <t>Tinggi</t>
        </is>
      </c>
      <c r="M151" s="22" t="inlineStr"/>
      <c r="N151" s="17" t="inlineStr">
        <is>
          <t>2026-10-12</t>
        </is>
      </c>
      <c r="O151" s="17" t="inlineStr">
        <is>
          <t>Pelaksana QA otomatis</t>
        </is>
      </c>
      <c r="P151" s="45" t="inlineStr">
        <is>
          <t>Lulus</t>
        </is>
      </c>
      <c r="Q151" s="17" t="n"/>
      <c r="R151" s="17" t="inlineStr">
        <is>
          <t>Form baru diisi (Production Line "Line 1", 9 kolom, 0 baris grid) lalu disimpan: galat validasi yang muncul=0; layar berpindah dari form=true; pesan berhasil terbaca=true; status record di Data Browser="Tersimpan" (baris ke-1) (harus Tersimpan, bukan Draft)=true.</t>
        </is>
      </c>
    </row>
    <row r="152" ht="149.2" customHeight="1">
      <c r="A152" s="18" t="n">
        <v>148</v>
      </c>
      <c r="B152" s="19" t="n">
        <v>2</v>
      </c>
      <c r="C152" s="20" t="inlineStr">
        <is>
          <t>WB-FRM-01 / Grading</t>
        </is>
      </c>
      <c r="D152" s="20" t="inlineStr">
        <is>
          <t>WB-FRM-01</t>
        </is>
      </c>
      <c r="E152" s="21" t="inlineStr">
        <is>
          <t>Grading</t>
        </is>
      </c>
      <c r="F152" s="22" t="inlineStr">
        <is>
          <t>Web — Data Stasiun (WB-)</t>
        </is>
      </c>
      <c r="G152" s="21" t="inlineStr">
        <is>
          <t>Simpan berhasil, status langsung Tersimpan</t>
        </is>
      </c>
      <c r="H152" s="22" t="inlineStr">
        <is>
          <t>SPV-A</t>
        </is>
      </c>
      <c r="I152" s="22" t="inlineStr">
        <is>
          <t>periode Terbuka</t>
        </is>
      </c>
      <c r="J152" s="22" t="inlineStr">
        <is>
          <t>1. Pastikan periode stasiun ini Terbuka.
2. Login di web, buka /data/grading (Grading), lalu tekan Tambah (/data/grading/create) sebagai SPV-A.
3. Pilih Production Line, isi kolom identitas, isi tanggal.
4. Tambah satu baris slot waktu dan isi satu kolom bacaan.
5. Tekan Simpan.
6. Cari record itu di Data Browser dan baca kolom Status.</t>
        </is>
      </c>
      <c r="K152" s="22" t="inlineStr">
        <is>
          <t>- Simpan berhasil, dengan pesan konfirmasi.
- Status record langsung Tersimpan — bukan Draft, karena input web tidak punya alur draft.
- Record muncul di Data Browser tanpa perlu muat ulang manual.</t>
        </is>
      </c>
      <c r="L152" s="16" t="inlineStr">
        <is>
          <t>Tinggi</t>
        </is>
      </c>
      <c r="M152" s="22" t="inlineStr"/>
      <c r="N152" s="17" t="inlineStr">
        <is>
          <t>2026-10-12</t>
        </is>
      </c>
      <c r="O152" s="17" t="inlineStr">
        <is>
          <t>Pelaksana QA otomatis</t>
        </is>
      </c>
      <c r="P152" s="45" t="inlineStr">
        <is>
          <t>Lulus</t>
        </is>
      </c>
      <c r="Q152" s="17" t="n"/>
      <c r="R152" s="17" t="inlineStr">
        <is>
          <t>Form baru diisi (Production Line "Line 1", 6 kolom, 1 baris grid) lalu disimpan: galat validasi yang muncul=0; layar berpindah dari form=true; pesan berhasil terbaca=true; status record di Data Browser="Tersinkron" (baris ke-1) (harus Tersimpan, bukan Draft)=true.</t>
        </is>
      </c>
    </row>
    <row r="153" ht="149.2" customHeight="1">
      <c r="A153" s="18" t="n">
        <v>149</v>
      </c>
      <c r="B153" s="19" t="n">
        <v>2</v>
      </c>
      <c r="C153" s="20" t="inlineStr">
        <is>
          <t>WB-FRM-01 / Cages Track</t>
        </is>
      </c>
      <c r="D153" s="20" t="inlineStr">
        <is>
          <t>WB-FRM-01</t>
        </is>
      </c>
      <c r="E153" s="21" t="inlineStr">
        <is>
          <t>Cages Track</t>
        </is>
      </c>
      <c r="F153" s="22" t="inlineStr">
        <is>
          <t>Web — Data Stasiun (WB-)</t>
        </is>
      </c>
      <c r="G153" s="21" t="inlineStr">
        <is>
          <t>Simpan berhasil, status langsung Tersimpan</t>
        </is>
      </c>
      <c r="H153" s="22" t="inlineStr">
        <is>
          <t>SPV-A</t>
        </is>
      </c>
      <c r="I153" s="22" t="inlineStr">
        <is>
          <t>periode Terbuka</t>
        </is>
      </c>
      <c r="J153" s="22" t="inlineStr">
        <is>
          <t>1. Pastikan periode stasiun ini Terbuka.
2. Login di web, buka /data/cages-track (Cages Track), lalu tekan Tambah (/data/cages-track/create) sebagai SPV-A.
3. Pilih Production Line, isi kolom identitas, isi tanggal.
4. Tambah satu baris slot waktu dan isi satu kolom bacaan.
5. Tekan Simpan.
6. Cari record itu di Data Browser dan baca kolom Status.</t>
        </is>
      </c>
      <c r="K153" s="22" t="inlineStr">
        <is>
          <t>- Simpan berhasil, dengan pesan konfirmasi.
- Status record langsung Tersimpan — bukan Draft, karena input web tidak punya alur draft.
- Record muncul di Data Browser tanpa perlu muat ulang manual.</t>
        </is>
      </c>
      <c r="L153" s="16" t="inlineStr">
        <is>
          <t>Tinggi</t>
        </is>
      </c>
      <c r="M153" s="22" t="inlineStr"/>
      <c r="N153" s="17" t="inlineStr">
        <is>
          <t>2026-10-12</t>
        </is>
      </c>
      <c r="O153" s="17" t="inlineStr">
        <is>
          <t>Pelaksana QA otomatis</t>
        </is>
      </c>
      <c r="P153" s="45" t="inlineStr">
        <is>
          <t>Lulus</t>
        </is>
      </c>
      <c r="Q153" s="17" t="n"/>
      <c r="R153" s="17" t="inlineStr">
        <is>
          <t>Form baru diisi (Production Line "Line 1", 4 kolom, 1 baris grid) lalu disimpan: galat validasi yang muncul=0; layar berpindah dari form=true; pesan berhasil terbaca=true; status record di Data Browser="Tersimpan" (baris ke-1) (harus Tersimpan, bukan Draft)=true.</t>
        </is>
      </c>
    </row>
    <row r="154" ht="149.2" customHeight="1">
      <c r="A154" s="18" t="n">
        <v>150</v>
      </c>
      <c r="B154" s="19" t="n">
        <v>2</v>
      </c>
      <c r="C154" s="20" t="inlineStr">
        <is>
          <t>WB-FRM-01 / Sterilizer</t>
        </is>
      </c>
      <c r="D154" s="20" t="inlineStr">
        <is>
          <t>WB-FRM-01</t>
        </is>
      </c>
      <c r="E154" s="21" t="inlineStr">
        <is>
          <t>Sterilizer</t>
        </is>
      </c>
      <c r="F154" s="22" t="inlineStr">
        <is>
          <t>Web — Data Stasiun (WB-)</t>
        </is>
      </c>
      <c r="G154" s="21" t="inlineStr">
        <is>
          <t>Simpan berhasil, status langsung Tersimpan</t>
        </is>
      </c>
      <c r="H154" s="22" t="inlineStr">
        <is>
          <t>SPV-A</t>
        </is>
      </c>
      <c r="I154" s="22" t="inlineStr">
        <is>
          <t>periode Terbuka</t>
        </is>
      </c>
      <c r="J154" s="22" t="inlineStr">
        <is>
          <t>1. Pastikan periode stasiun ini Terbuka.
2. Login di web, buka /data/sterilizer (Sterilizer), lalu tekan Tambah (/data/sterilizer/create) sebagai SPV-A.
3. Pilih Production Line, isi kolom identitas, isi tanggal.
4. Tambah satu baris slot waktu dan isi satu kolom bacaan.
5. Tekan Simpan.
6. Cari record itu di Data Browser dan baca kolom Status.</t>
        </is>
      </c>
      <c r="K154" s="22" t="inlineStr">
        <is>
          <t>- Simpan berhasil, dengan pesan konfirmasi.
- Status record langsung Tersimpan — bukan Draft, karena input web tidak punya alur draft.
- Record muncul di Data Browser tanpa perlu muat ulang manual.</t>
        </is>
      </c>
      <c r="L154" s="16" t="inlineStr">
        <is>
          <t>Tinggi</t>
        </is>
      </c>
      <c r="M154" s="22" t="inlineStr"/>
      <c r="N154" s="17" t="inlineStr">
        <is>
          <t>2026-10-12</t>
        </is>
      </c>
      <c r="O154" s="17" t="inlineStr">
        <is>
          <t>Pelaksana QA otomatis</t>
        </is>
      </c>
      <c r="P154" s="45" t="inlineStr">
        <is>
          <t>Lulus</t>
        </is>
      </c>
      <c r="Q154" s="17" t="n"/>
      <c r="R154" s="17" t="inlineStr">
        <is>
          <t>Form baru diisi (Production Line "Line 1", 5 kolom, 1 baris grid) lalu disimpan: galat validasi yang muncul=0; layar berpindah dari form=true; pesan berhasil terbaca=true; status record di Data Browser="Tersimpan" (baris ke-1) (harus Tersimpan, bukan Draft)=true.</t>
        </is>
      </c>
    </row>
    <row r="155" ht="149.2" customHeight="1">
      <c r="A155" s="18" t="n">
        <v>151</v>
      </c>
      <c r="B155" s="19" t="n">
        <v>2</v>
      </c>
      <c r="C155" s="20" t="inlineStr">
        <is>
          <t>WB-FRM-01 / Threshing</t>
        </is>
      </c>
      <c r="D155" s="20" t="inlineStr">
        <is>
          <t>WB-FRM-01</t>
        </is>
      </c>
      <c r="E155" s="21" t="inlineStr">
        <is>
          <t>Threshing</t>
        </is>
      </c>
      <c r="F155" s="22" t="inlineStr">
        <is>
          <t>Web — Data Stasiun (WB-)</t>
        </is>
      </c>
      <c r="G155" s="21" t="inlineStr">
        <is>
          <t>Simpan berhasil, status langsung Tersimpan</t>
        </is>
      </c>
      <c r="H155" s="22" t="inlineStr">
        <is>
          <t>SPV-A</t>
        </is>
      </c>
      <c r="I155" s="22" t="inlineStr">
        <is>
          <t>periode Terbuka</t>
        </is>
      </c>
      <c r="J155" s="22" t="inlineStr">
        <is>
          <t>1. Pastikan periode stasiun ini Terbuka.
2. Login di web, buka /data/threshing (Threshing), lalu tekan Tambah (/data/threshing/create) sebagai SPV-A.
3. Pilih Production Line, isi kolom identitas, isi tanggal.
4. Tambah satu baris slot waktu dan isi satu kolom bacaan.
5. Tekan Simpan.
6. Cari record itu di Data Browser dan baca kolom Status.</t>
        </is>
      </c>
      <c r="K155" s="22" t="inlineStr">
        <is>
          <t>- Simpan berhasil, dengan pesan konfirmasi.
- Status record langsung Tersimpan — bukan Draft, karena input web tidak punya alur draft.
- Record muncul di Data Browser tanpa perlu muat ulang manual.</t>
        </is>
      </c>
      <c r="L155" s="16" t="inlineStr">
        <is>
          <t>Tinggi</t>
        </is>
      </c>
      <c r="M155" s="22" t="inlineStr"/>
      <c r="N155" s="17" t="inlineStr">
        <is>
          <t>2026-10-12</t>
        </is>
      </c>
      <c r="O155" s="17" t="inlineStr">
        <is>
          <t>Pelaksana QA otomatis</t>
        </is>
      </c>
      <c r="P155" s="45" t="inlineStr">
        <is>
          <t>Lulus</t>
        </is>
      </c>
      <c r="Q155" s="17" t="n"/>
      <c r="R155" s="17" t="inlineStr">
        <is>
          <t>Form baru diisi (Production Line "Line 1", 8 kolom, 1 baris grid) lalu disimpan: galat validasi yang muncul=0; layar berpindah dari form=true; pesan berhasil terbaca=true; status record di Data Browser="Tersimpan" (baris ke-1) (harus Tersimpan, bukan Draft)=true.</t>
        </is>
      </c>
    </row>
    <row r="156" ht="149.2" customHeight="1">
      <c r="A156" s="18" t="n">
        <v>152</v>
      </c>
      <c r="B156" s="19" t="n">
        <v>2</v>
      </c>
      <c r="C156" s="20" t="inlineStr">
        <is>
          <t>WB-FRM-01 / Pressing</t>
        </is>
      </c>
      <c r="D156" s="20" t="inlineStr">
        <is>
          <t>WB-FRM-01</t>
        </is>
      </c>
      <c r="E156" s="21" t="inlineStr">
        <is>
          <t>Pressing</t>
        </is>
      </c>
      <c r="F156" s="22" t="inlineStr">
        <is>
          <t>Web — Data Stasiun (WB-)</t>
        </is>
      </c>
      <c r="G156" s="21" t="inlineStr">
        <is>
          <t>Simpan berhasil, status langsung Tersimpan</t>
        </is>
      </c>
      <c r="H156" s="22" t="inlineStr">
        <is>
          <t>SPV-A</t>
        </is>
      </c>
      <c r="I156" s="22" t="inlineStr">
        <is>
          <t>periode Terbuka</t>
        </is>
      </c>
      <c r="J156" s="22" t="inlineStr">
        <is>
          <t>1. Pastikan periode stasiun ini Terbuka.
2. Login di web, buka /data/pressing (Pressing), lalu tekan Tambah (/data/pressing/create) sebagai SPV-A.
3. Pilih Production Line, isi kolom identitas, isi tanggal.
4. Tambah satu baris slot waktu dan isi satu kolom bacaan.
5. Tekan Simpan.
6. Cari record itu di Data Browser dan baca kolom Status.</t>
        </is>
      </c>
      <c r="K156" s="22" t="inlineStr">
        <is>
          <t>- Simpan berhasil, dengan pesan konfirmasi.
- Status record langsung Tersimpan — bukan Draft, karena input web tidak punya alur draft.
- Record muncul di Data Browser tanpa perlu muat ulang manual.</t>
        </is>
      </c>
      <c r="L156" s="16" t="inlineStr">
        <is>
          <t>Tinggi</t>
        </is>
      </c>
      <c r="M156" s="22" t="inlineStr"/>
      <c r="N156" s="17" t="inlineStr">
        <is>
          <t>2026-10-12</t>
        </is>
      </c>
      <c r="O156" s="17" t="inlineStr">
        <is>
          <t>Pelaksana QA otomatis</t>
        </is>
      </c>
      <c r="P156" s="45" t="inlineStr">
        <is>
          <t>Lulus</t>
        </is>
      </c>
      <c r="Q156" s="17" t="n"/>
      <c r="R156" s="17" t="inlineStr">
        <is>
          <t>Form baru diisi (Production Line "Line 1", 8 kolom, 1 baris grid) lalu disimpan: galat validasi yang muncul=0; layar berpindah dari form=true; pesan berhasil terbaca=true; status record di Data Browser="Tersimpan" (baris ke-1) (harus Tersimpan, bukan Draft)=true.</t>
        </is>
      </c>
    </row>
    <row r="157" ht="149.2" customHeight="1">
      <c r="A157" s="18" t="n">
        <v>153</v>
      </c>
      <c r="B157" s="19" t="n">
        <v>2</v>
      </c>
      <c r="C157" s="20" t="inlineStr">
        <is>
          <t>WB-FRM-01 / Clarification</t>
        </is>
      </c>
      <c r="D157" s="20" t="inlineStr">
        <is>
          <t>WB-FRM-01</t>
        </is>
      </c>
      <c r="E157" s="21" t="inlineStr">
        <is>
          <t>Clarification</t>
        </is>
      </c>
      <c r="F157" s="22" t="inlineStr">
        <is>
          <t>Web — Data Stasiun (WB-)</t>
        </is>
      </c>
      <c r="G157" s="21" t="inlineStr">
        <is>
          <t>Simpan berhasil, status langsung Tersimpan</t>
        </is>
      </c>
      <c r="H157" s="22" t="inlineStr">
        <is>
          <t>SPV-A</t>
        </is>
      </c>
      <c r="I157" s="22" t="inlineStr">
        <is>
          <t>periode Terbuka</t>
        </is>
      </c>
      <c r="J157" s="22" t="inlineStr">
        <is>
          <t>1. Pastikan periode stasiun ini Terbuka.
2. Login di web, buka /data/clarification (Clarification), lalu tekan Tambah (/data/clarification/create) sebagai SPV-A.
3. Pilih Production Line, isi kolom identitas, isi tanggal.
4. Tambah satu baris slot waktu dan isi satu kolom bacaan.
5. Tekan Simpan.
6. Cari record itu di Data Browser dan baca kolom Status.</t>
        </is>
      </c>
      <c r="K157" s="22" t="inlineStr">
        <is>
          <t>- Simpan berhasil, dengan pesan konfirmasi.
- Status record langsung Tersimpan — bukan Draft, karena input web tidak punya alur draft.
- Record muncul di Data Browser tanpa perlu muat ulang manual.</t>
        </is>
      </c>
      <c r="L157" s="16" t="inlineStr">
        <is>
          <t>Tinggi</t>
        </is>
      </c>
      <c r="M157" s="22" t="inlineStr"/>
      <c r="N157" s="17" t="inlineStr">
        <is>
          <t>2026-10-12</t>
        </is>
      </c>
      <c r="O157" s="17" t="inlineStr">
        <is>
          <t>Pelaksana QA otomatis</t>
        </is>
      </c>
      <c r="P157" s="45" t="inlineStr">
        <is>
          <t>Lulus</t>
        </is>
      </c>
      <c r="Q157" s="17" t="n"/>
      <c r="R157" s="17" t="inlineStr">
        <is>
          <t>Form baru diisi (Production Line "Line 1", 9 kolom, 1 baris grid) lalu disimpan: galat validasi yang muncul=0; layar berpindah dari form=true; pesan berhasil terbaca=true; status record di Data Browser="Tersimpan" (baris ke-1) (harus Tersimpan, bukan Draft)=true.</t>
        </is>
      </c>
    </row>
    <row r="158" ht="149.2" customHeight="1">
      <c r="A158" s="18" t="n">
        <v>154</v>
      </c>
      <c r="B158" s="19" t="n">
        <v>2</v>
      </c>
      <c r="C158" s="20" t="inlineStr">
        <is>
          <t>WB-FRM-01 / Kernel Plant</t>
        </is>
      </c>
      <c r="D158" s="20" t="inlineStr">
        <is>
          <t>WB-FRM-01</t>
        </is>
      </c>
      <c r="E158" s="21" t="inlineStr">
        <is>
          <t>Kernel Plant</t>
        </is>
      </c>
      <c r="F158" s="22" t="inlineStr">
        <is>
          <t>Web — Data Stasiun (WB-)</t>
        </is>
      </c>
      <c r="G158" s="21" t="inlineStr">
        <is>
          <t>Simpan berhasil, status langsung Tersimpan</t>
        </is>
      </c>
      <c r="H158" s="22" t="inlineStr">
        <is>
          <t>SPV-A</t>
        </is>
      </c>
      <c r="I158" s="22" t="inlineStr">
        <is>
          <t>periode Terbuka</t>
        </is>
      </c>
      <c r="J158" s="22" t="inlineStr">
        <is>
          <t>1. Pastikan periode stasiun ini Terbuka.
2. Login di web, buka /data/kernel-plant (Kernel Plant), lalu tekan Tambah (/data/kernel-plant/create) sebagai SPV-A.
3. Pilih Production Line, isi kolom identitas, isi tanggal.
4. Tambah satu baris slot waktu dan isi satu kolom bacaan.
5. Tekan Simpan.
6. Cari record itu di Data Browser dan baca kolom Status.</t>
        </is>
      </c>
      <c r="K158" s="22" t="inlineStr">
        <is>
          <t>- Simpan berhasil, dengan pesan konfirmasi.
- Status record langsung Tersimpan — bukan Draft, karena input web tidak punya alur draft.
- Record muncul di Data Browser tanpa perlu muat ulang manual.</t>
        </is>
      </c>
      <c r="L158" s="16" t="inlineStr">
        <is>
          <t>Tinggi</t>
        </is>
      </c>
      <c r="M158" s="22" t="inlineStr"/>
      <c r="N158" s="17" t="inlineStr">
        <is>
          <t>2026-10-12</t>
        </is>
      </c>
      <c r="O158" s="17" t="inlineStr">
        <is>
          <t>Pelaksana QA otomatis</t>
        </is>
      </c>
      <c r="P158" s="45" t="inlineStr">
        <is>
          <t>Lulus</t>
        </is>
      </c>
      <c r="Q158" s="17" t="n"/>
      <c r="R158" s="17" t="inlineStr">
        <is>
          <t>Form baru diisi (Production Line "Line 1", 11 kolom, 1 baris grid) lalu disimpan: galat validasi yang muncul=0; layar berpindah dari form=true; pesan berhasil terbaca=true; status record di Data Browser="Tersimpan" (baris ke-1) (harus Tersimpan, bukan Draft)=true.</t>
        </is>
      </c>
    </row>
    <row r="159" ht="149.2" customHeight="1">
      <c r="A159" s="18" t="n">
        <v>155</v>
      </c>
      <c r="B159" s="19" t="n">
        <v>2</v>
      </c>
      <c r="C159" s="20" t="inlineStr">
        <is>
          <t>WB-FRM-01 / Boiler Room</t>
        </is>
      </c>
      <c r="D159" s="20" t="inlineStr">
        <is>
          <t>WB-FRM-01</t>
        </is>
      </c>
      <c r="E159" s="21" t="inlineStr">
        <is>
          <t>Boiler Room</t>
        </is>
      </c>
      <c r="F159" s="22" t="inlineStr">
        <is>
          <t>Web — Data Stasiun (WB-)</t>
        </is>
      </c>
      <c r="G159" s="21" t="inlineStr">
        <is>
          <t>Simpan berhasil, status langsung Tersimpan</t>
        </is>
      </c>
      <c r="H159" s="22" t="inlineStr">
        <is>
          <t>SPV-A</t>
        </is>
      </c>
      <c r="I159" s="22" t="inlineStr">
        <is>
          <t>periode Terbuka</t>
        </is>
      </c>
      <c r="J159" s="22" t="inlineStr">
        <is>
          <t>1. Pastikan periode stasiun ini Terbuka.
2. Login di web, buka /data/boiler-room (Boiler Room), lalu tekan Tambah (/data/boiler-room/create) sebagai SPV-A.
3. Pilih Production Line, isi kolom identitas, isi tanggal.
4. Tambah satu baris slot waktu dan isi satu kolom bacaan.
5. Tekan Simpan.
6. Cari record itu di Data Browser dan baca kolom Status.</t>
        </is>
      </c>
      <c r="K159" s="22" t="inlineStr">
        <is>
          <t>- Simpan berhasil, dengan pesan konfirmasi.
- Status record langsung Tersimpan — bukan Draft, karena input web tidak punya alur draft.
- Record muncul di Data Browser tanpa perlu muat ulang manual.</t>
        </is>
      </c>
      <c r="L159" s="16" t="inlineStr">
        <is>
          <t>Tinggi</t>
        </is>
      </c>
      <c r="M159" s="22" t="inlineStr"/>
      <c r="N159" s="17" t="inlineStr">
        <is>
          <t>2026-10-12</t>
        </is>
      </c>
      <c r="O159" s="17" t="inlineStr">
        <is>
          <t>Pelaksana QA otomatis</t>
        </is>
      </c>
      <c r="P159" s="45" t="inlineStr">
        <is>
          <t>Lulus</t>
        </is>
      </c>
      <c r="Q159" s="17" t="n"/>
      <c r="R159" s="17" t="inlineStr">
        <is>
          <t>Form baru diisi (Production Line "Line 1", 15 kolom, 1 baris grid) lalu disimpan: galat validasi yang muncul=0; layar berpindah dari form=true; pesan berhasil terbaca=true; status record di Data Browser="Tersimpan" (baris ke-1) (harus Tersimpan, bukan Draft)=true.</t>
        </is>
      </c>
    </row>
    <row r="160" ht="149.2" customHeight="1">
      <c r="A160" s="18" t="n">
        <v>156</v>
      </c>
      <c r="B160" s="19" t="n">
        <v>2</v>
      </c>
      <c r="C160" s="20" t="inlineStr">
        <is>
          <t>WB-FRM-01 / Effluent Plant</t>
        </is>
      </c>
      <c r="D160" s="20" t="inlineStr">
        <is>
          <t>WB-FRM-01</t>
        </is>
      </c>
      <c r="E160" s="21" t="inlineStr">
        <is>
          <t>Effluent Plant</t>
        </is>
      </c>
      <c r="F160" s="22" t="inlineStr">
        <is>
          <t>Web — Data Stasiun (WB-)</t>
        </is>
      </c>
      <c r="G160" s="21" t="inlineStr">
        <is>
          <t>Simpan berhasil, status langsung Tersimpan</t>
        </is>
      </c>
      <c r="H160" s="22" t="inlineStr">
        <is>
          <t>SPV-A</t>
        </is>
      </c>
      <c r="I160" s="22" t="inlineStr">
        <is>
          <t>periode Terbuka</t>
        </is>
      </c>
      <c r="J160" s="22" t="inlineStr">
        <is>
          <t>1. Pastikan periode stasiun ini Terbuka.
2. Login di web, buka /data/effluent-plant (Effluent Plant), lalu tekan Tambah (/data/effluent-plant/create) sebagai SPV-A.
3. Pilih Production Line, isi kolom identitas, isi tanggal.
4. Tambah satu baris slot waktu dan isi satu kolom bacaan.
5. Tekan Simpan.
6. Cari record itu di Data Browser dan baca kolom Status.</t>
        </is>
      </c>
      <c r="K160" s="22" t="inlineStr">
        <is>
          <t>- Simpan berhasil, dengan pesan konfirmasi.
- Status record langsung Tersimpan — bukan Draft, karena input web tidak punya alur draft.
- Record muncul di Data Browser tanpa perlu muat ulang manual.</t>
        </is>
      </c>
      <c r="L160" s="16" t="inlineStr">
        <is>
          <t>Tinggi</t>
        </is>
      </c>
      <c r="M160" s="22" t="inlineStr"/>
      <c r="N160" s="17" t="inlineStr">
        <is>
          <t>2026-10-12</t>
        </is>
      </c>
      <c r="O160" s="17" t="inlineStr">
        <is>
          <t>Pelaksana QA otomatis</t>
        </is>
      </c>
      <c r="P160" s="45" t="inlineStr">
        <is>
          <t>Lulus</t>
        </is>
      </c>
      <c r="Q160" s="17" t="n"/>
      <c r="R160" s="17" t="inlineStr">
        <is>
          <t>Form baru diisi (Production Line "Line 1", 18 kolom, 1 baris grid) lalu disimpan: galat validasi yang muncul=0; layar berpindah dari form=true; pesan berhasil terbaca=true; status record di Data Browser="Tersimpan" (baris ke-1) (harus Tersimpan, bukan Draft)=true.</t>
        </is>
      </c>
    </row>
    <row r="161" ht="149.2" customHeight="1">
      <c r="A161" s="11" t="n">
        <v>157</v>
      </c>
      <c r="B161" s="12" t="n">
        <v>1</v>
      </c>
      <c r="C161" s="13" t="inlineStr">
        <is>
          <t>WB-FRM-01 / Depricarping</t>
        </is>
      </c>
      <c r="D161" s="13" t="inlineStr">
        <is>
          <t>WB-FRM-01</t>
        </is>
      </c>
      <c r="E161" s="15" t="inlineStr">
        <is>
          <t>Depricarping</t>
        </is>
      </c>
      <c r="F161" s="14" t="inlineStr">
        <is>
          <t>Web — Data Stasiun (WB-)</t>
        </is>
      </c>
      <c r="G161" s="15" t="inlineStr">
        <is>
          <t>Simpan berhasil, status langsung Tersimpan</t>
        </is>
      </c>
      <c r="H161" s="14" t="inlineStr">
        <is>
          <t>SPV-A</t>
        </is>
      </c>
      <c r="I161" s="14" t="inlineStr">
        <is>
          <t>periode Terbuka</t>
        </is>
      </c>
      <c r="J161" s="14" t="inlineStr">
        <is>
          <t>1. Pastikan periode stasiun ini Terbuka.
2. Login di web, buka /data/depricarping (Depricarping), lalu tekan Tambah (/data/depricarping/create) sebagai SPV-A.
3. Pilih Production Line, isi kolom identitas, isi tanggal.
4. Tambah satu baris slot waktu dan isi satu kolom bacaan.
5. Tekan Simpan.
6. Cari record itu di Data Browser dan baca kolom Status.</t>
        </is>
      </c>
      <c r="K161" s="14" t="inlineStr">
        <is>
          <t>- Simpan berhasil, dengan pesan konfirmasi.
- Status record langsung Tersimpan — bukan Draft, karena input web tidak punya alur draft.
- Record muncul di Data Browser tanpa perlu muat ulang manual.</t>
        </is>
      </c>
      <c r="L161" s="16" t="inlineStr">
        <is>
          <t>Tinggi</t>
        </is>
      </c>
      <c r="M161" s="14" t="inlineStr"/>
      <c r="N161" s="17" t="inlineStr">
        <is>
          <t>2026-10-12</t>
        </is>
      </c>
      <c r="O161" s="17" t="inlineStr">
        <is>
          <t>Pelaksana QA otomatis</t>
        </is>
      </c>
      <c r="P161" s="45" t="inlineStr">
        <is>
          <t>Lulus</t>
        </is>
      </c>
      <c r="Q161" s="17" t="n"/>
      <c r="R161" s="17" t="inlineStr">
        <is>
          <t>Form baru diisi (Production Line "Line 1", 11 kolom, 1 baris grid) lalu disimpan: galat validasi yang muncul=0; layar berpindah dari form=true; pesan berhasil terbaca=true; status record di Data Browser="Tersimpan" (baris ke-1) (harus Tersimpan, bukan Draft)=true.</t>
        </is>
      </c>
    </row>
    <row r="162" ht="149.2" customHeight="1">
      <c r="A162" s="18" t="n">
        <v>158</v>
      </c>
      <c r="B162" s="19" t="n">
        <v>2</v>
      </c>
      <c r="C162" s="20" t="inlineStr">
        <is>
          <t>WB-FRM-01 / Engine Room</t>
        </is>
      </c>
      <c r="D162" s="20" t="inlineStr">
        <is>
          <t>WB-FRM-01</t>
        </is>
      </c>
      <c r="E162" s="21" t="inlineStr">
        <is>
          <t>Engine Room</t>
        </is>
      </c>
      <c r="F162" s="22" t="inlineStr">
        <is>
          <t>Web — Data Stasiun (WB-)</t>
        </is>
      </c>
      <c r="G162" s="21" t="inlineStr">
        <is>
          <t>Simpan berhasil, status langsung Tersimpan</t>
        </is>
      </c>
      <c r="H162" s="22" t="inlineStr">
        <is>
          <t>SPV-A</t>
        </is>
      </c>
      <c r="I162" s="22" t="inlineStr">
        <is>
          <t>periode Terbuka</t>
        </is>
      </c>
      <c r="J162" s="22" t="inlineStr">
        <is>
          <t>1. Pastikan periode stasiun ini Terbuka.
2. Login di web, buka /data/engine-room (Engine Room), lalu tekan Tambah (/data/engine-room/create) sebagai SPV-A.
3. Pilih Production Line, isi kolom identitas, isi tanggal.
4. Tambah satu baris slot waktu dan isi satu kolom bacaan.
5. Tekan Simpan.
6. Cari record itu di Data Browser dan baca kolom Status.</t>
        </is>
      </c>
      <c r="K162" s="22" t="inlineStr">
        <is>
          <t>- Simpan berhasil, dengan pesan konfirmasi.
- Status record langsung Tersimpan — bukan Draft, karena input web tidak punya alur draft.
- Record muncul di Data Browser tanpa perlu muat ulang manual.</t>
        </is>
      </c>
      <c r="L162" s="16" t="inlineStr">
        <is>
          <t>Tinggi</t>
        </is>
      </c>
      <c r="M162" s="22" t="inlineStr"/>
      <c r="N162" s="17" t="inlineStr">
        <is>
          <t>2026-10-12</t>
        </is>
      </c>
      <c r="O162" s="17" t="inlineStr">
        <is>
          <t>Pelaksana QA otomatis</t>
        </is>
      </c>
      <c r="P162" s="45" t="inlineStr">
        <is>
          <t>Lulus</t>
        </is>
      </c>
      <c r="Q162" s="17" t="n"/>
      <c r="R162" s="17" t="inlineStr">
        <is>
          <t>Form baru diisi (Production Line "Line 1", 27 kolom, 1 baris grid) lalu disimpan: galat validasi yang muncul=0; layar berpindah dari form=true; pesan berhasil terbaca=true; status record di Data Browser="Tersimpan" (baris ke-1) (harus Tersimpan, bukan Draft)=true.</t>
        </is>
      </c>
    </row>
    <row r="163" ht="149.2" customHeight="1">
      <c r="A163" s="18" t="n">
        <v>159</v>
      </c>
      <c r="B163" s="19" t="n">
        <v>2</v>
      </c>
      <c r="C163" s="20" t="inlineStr">
        <is>
          <t>WB-FRM-01 / Process Water</t>
        </is>
      </c>
      <c r="D163" s="20" t="inlineStr">
        <is>
          <t>WB-FRM-01</t>
        </is>
      </c>
      <c r="E163" s="21" t="inlineStr">
        <is>
          <t>Process Water</t>
        </is>
      </c>
      <c r="F163" s="22" t="inlineStr">
        <is>
          <t>Web — Data Stasiun (WB-)</t>
        </is>
      </c>
      <c r="G163" s="21" t="inlineStr">
        <is>
          <t>Simpan berhasil, status langsung Tersimpan</t>
        </is>
      </c>
      <c r="H163" s="22" t="inlineStr">
        <is>
          <t>SPV-A</t>
        </is>
      </c>
      <c r="I163" s="22" t="inlineStr">
        <is>
          <t>periode Terbuka</t>
        </is>
      </c>
      <c r="J163" s="22" t="inlineStr">
        <is>
          <t>1. Pastikan periode stasiun ini Terbuka.
2. Login di web, buka /data/process-water (Process Water), lalu tekan Tambah (/data/process-water/create) sebagai SPV-A.
3. Pilih Production Line, isi kolom identitas, isi tanggal.
4. Tambah satu baris slot waktu dan isi satu kolom bacaan.
5. Tekan Simpan.
6. Cari record itu di Data Browser dan baca kolom Status.</t>
        </is>
      </c>
      <c r="K163" s="22" t="inlineStr">
        <is>
          <t>- Simpan berhasil, dengan pesan konfirmasi.
- Status record langsung Tersimpan — bukan Draft, karena input web tidak punya alur draft.
- Record muncul di Data Browser tanpa perlu muat ulang manual.</t>
        </is>
      </c>
      <c r="L163" s="16" t="inlineStr">
        <is>
          <t>Tinggi</t>
        </is>
      </c>
      <c r="M163" s="22" t="inlineStr"/>
      <c r="N163" s="17" t="inlineStr">
        <is>
          <t>2026-10-12</t>
        </is>
      </c>
      <c r="O163" s="17" t="inlineStr">
        <is>
          <t>Pelaksana QA otomatis</t>
        </is>
      </c>
      <c r="P163" s="45" t="inlineStr">
        <is>
          <t>Lulus</t>
        </is>
      </c>
      <c r="Q163" s="17" t="n"/>
      <c r="R163" s="17" t="inlineStr">
        <is>
          <t>Form baru diisi (Production Line "Line 1", 15 kolom, 1 baris grid) lalu disimpan: galat validasi yang muncul=0; layar berpindah dari form=true; pesan berhasil terbaca=true; status record di Data Browser="Tersimpan" (baris ke-1) (harus Tersimpan, bukan Draft)=true.</t>
        </is>
      </c>
    </row>
    <row r="164" ht="149.2" customHeight="1">
      <c r="A164" s="18" t="n">
        <v>160</v>
      </c>
      <c r="B164" s="19" t="n">
        <v>2</v>
      </c>
      <c r="C164" s="20" t="inlineStr">
        <is>
          <t>WB-FRM-01 / Storage Tank</t>
        </is>
      </c>
      <c r="D164" s="20" t="inlineStr">
        <is>
          <t>WB-FRM-01</t>
        </is>
      </c>
      <c r="E164" s="21" t="inlineStr">
        <is>
          <t>Storage Tank</t>
        </is>
      </c>
      <c r="F164" s="22" t="inlineStr">
        <is>
          <t>Web — Data Stasiun (WB-)</t>
        </is>
      </c>
      <c r="G164" s="21" t="inlineStr">
        <is>
          <t>Simpan berhasil, status langsung Tersimpan</t>
        </is>
      </c>
      <c r="H164" s="22" t="inlineStr">
        <is>
          <t>SPV-A</t>
        </is>
      </c>
      <c r="I164" s="22" t="inlineStr">
        <is>
          <t>periode Terbuka</t>
        </is>
      </c>
      <c r="J164" s="22" t="inlineStr">
        <is>
          <t>1. Pastikan periode stasiun ini Terbuka.
2. Login di web, buka /data/storage-tank (Storage Tank), lalu tekan Tambah (/data/storage-tank/create) sebagai SPV-A.
3. Pilih Production Line, isi kolom identitas, isi tanggal.
4. Tambah satu baris slot waktu dan isi satu kolom bacaan.
5. Tekan Simpan.
6. Cari record itu di Data Browser dan baca kolom Status.</t>
        </is>
      </c>
      <c r="K164" s="22" t="inlineStr">
        <is>
          <t>- Simpan berhasil, dengan pesan konfirmasi.
- Status record langsung Tersimpan — bukan Draft, karena input web tidak punya alur draft.
- Record muncul di Data Browser tanpa perlu muat ulang manual.</t>
        </is>
      </c>
      <c r="L164" s="16" t="inlineStr">
        <is>
          <t>Tinggi</t>
        </is>
      </c>
      <c r="M164" s="22" t="inlineStr"/>
      <c r="N164" s="17" t="inlineStr">
        <is>
          <t>2026-10-12</t>
        </is>
      </c>
      <c r="O164" s="17" t="inlineStr">
        <is>
          <t>Pelaksana QA otomatis</t>
        </is>
      </c>
      <c r="P164" s="45" t="inlineStr">
        <is>
          <t>Lulus</t>
        </is>
      </c>
      <c r="Q164" s="17" t="n"/>
      <c r="R164" s="17" t="inlineStr">
        <is>
          <t>Form baru diisi (Production Line "Line 1", 18 kolom, 1 baris grid) lalu disimpan: galat validasi yang muncul=0; layar berpindah dari form=true; pesan berhasil terbaca=true; status record di Data Browser="Tersimpan" (baris ke-1) (harus Tersimpan, bukan Draft)=true.</t>
        </is>
      </c>
    </row>
    <row r="165" ht="162.4" customHeight="1">
      <c r="A165" s="18" t="n">
        <v>161</v>
      </c>
      <c r="B165" s="19" t="n">
        <v>2</v>
      </c>
      <c r="C165" s="20" t="inlineStr">
        <is>
          <t>WB-FRM-01 / Solid Waste Disposal</t>
        </is>
      </c>
      <c r="D165" s="20" t="inlineStr">
        <is>
          <t>WB-FRM-01</t>
        </is>
      </c>
      <c r="E165" s="21" t="inlineStr">
        <is>
          <t>Solid Waste Disposal</t>
        </is>
      </c>
      <c r="F165" s="22" t="inlineStr">
        <is>
          <t>Web — Data Stasiun (WB-)</t>
        </is>
      </c>
      <c r="G165" s="21" t="inlineStr">
        <is>
          <t>Simpan berhasil, status langsung Tersimpan</t>
        </is>
      </c>
      <c r="H165" s="22" t="inlineStr">
        <is>
          <t>SPV-A</t>
        </is>
      </c>
      <c r="I165" s="22" t="inlineStr">
        <is>
          <t>periode Terbuka</t>
        </is>
      </c>
      <c r="J165" s="22" t="inlineStr">
        <is>
          <t>1. Pastikan periode stasiun ini Terbuka.
2. Login di web, buka /data/solid-waste-disposal (Solid Waste Disposal), lalu tekan Tambah (/data/solid-waste-disposal/create) sebagai SPV-A.
3. Pilih Production Line, isi kolom identitas, isi tanggal.
4. Tambah satu baris slot waktu dan isi satu kolom bacaan.
5. Tekan Simpan.
6. Cari record itu di Data Browser dan baca kolom Status.</t>
        </is>
      </c>
      <c r="K165" s="22" t="inlineStr">
        <is>
          <t>- Simpan berhasil, dengan pesan konfirmasi.
- Status record langsung Tersimpan — bukan Draft, karena input web tidak punya alur draft.
- Record muncul di Data Browser tanpa perlu muat ulang manual.</t>
        </is>
      </c>
      <c r="L165" s="16" t="inlineStr">
        <is>
          <t>Tinggi</t>
        </is>
      </c>
      <c r="M165" s="22" t="inlineStr"/>
      <c r="N165" s="17" t="inlineStr">
        <is>
          <t>2026-10-12</t>
        </is>
      </c>
      <c r="O165" s="17" t="inlineStr">
        <is>
          <t>Pelaksana QA otomatis</t>
        </is>
      </c>
      <c r="P165" s="45" t="inlineStr">
        <is>
          <t>Lulus</t>
        </is>
      </c>
      <c r="Q165" s="17" t="n"/>
      <c r="R165" s="17" t="inlineStr">
        <is>
          <t>Form baru diisi (Production Line "Line 1", 6 kolom, 1 baris grid) lalu disimpan: galat validasi yang muncul=0; layar berpindah dari form=true; pesan berhasil terbaca=true; status record di Data Browser="Tersimpan" (baris ke-1) (harus Tersimpan, bukan Draft)=true.</t>
        </is>
      </c>
    </row>
    <row r="166" ht="149.2" customHeight="1">
      <c r="A166" s="18" t="n">
        <v>162</v>
      </c>
      <c r="B166" s="19" t="n">
        <v>2</v>
      </c>
      <c r="C166" s="20" t="inlineStr">
        <is>
          <t>WB-FRM-01 / Kernel Dispatch</t>
        </is>
      </c>
      <c r="D166" s="20" t="inlineStr">
        <is>
          <t>WB-FRM-01</t>
        </is>
      </c>
      <c r="E166" s="21" t="inlineStr">
        <is>
          <t>Kernel Dispatch</t>
        </is>
      </c>
      <c r="F166" s="22" t="inlineStr">
        <is>
          <t>Web — Data Stasiun (WB-)</t>
        </is>
      </c>
      <c r="G166" s="21" t="inlineStr">
        <is>
          <t>Simpan berhasil, status langsung Tersimpan</t>
        </is>
      </c>
      <c r="H166" s="22" t="inlineStr">
        <is>
          <t>SPV-A</t>
        </is>
      </c>
      <c r="I166" s="22" t="inlineStr">
        <is>
          <t>periode Terbuka</t>
        </is>
      </c>
      <c r="J166" s="22" t="inlineStr">
        <is>
          <t>1. Pastikan periode stasiun ini Terbuka.
2. Login di web, buka /data/kernel-dispatch (Kernel Dispatch), lalu tekan Tambah (/data/kernel-dispatch/create) sebagai SPV-A.
3. Pilih Production Line, isi kolom identitas, isi tanggal.
4. Tambah satu baris slot waktu dan isi satu kolom bacaan.
5. Tekan Simpan.
6. Cari record itu di Data Browser dan baca kolom Status.</t>
        </is>
      </c>
      <c r="K166" s="22" t="inlineStr">
        <is>
          <t>- Simpan berhasil, dengan pesan konfirmasi.
- Status record langsung Tersimpan — bukan Draft, karena input web tidak punya alur draft.
- Record muncul di Data Browser tanpa perlu muat ulang manual.</t>
        </is>
      </c>
      <c r="L166" s="16" t="inlineStr">
        <is>
          <t>Tinggi</t>
        </is>
      </c>
      <c r="M166" s="22" t="inlineStr"/>
      <c r="N166" s="17" t="inlineStr">
        <is>
          <t>2026-10-12</t>
        </is>
      </c>
      <c r="O166" s="17" t="inlineStr">
        <is>
          <t>Pelaksana QA otomatis</t>
        </is>
      </c>
      <c r="P166" s="45" t="inlineStr">
        <is>
          <t>Lulus</t>
        </is>
      </c>
      <c r="Q166" s="17" t="n"/>
      <c r="R166" s="17" t="inlineStr">
        <is>
          <t>Form baru diisi (Production Line "Line 1", 6 kolom, 1 baris grid) lalu disimpan: galat validasi yang muncul=0; layar berpindah dari form=true; pesan berhasil terbaca=true; status record di Data Browser="Tersimpan" (baris ke-1) (harus Tersimpan, bukan Draft)=true.</t>
        </is>
      </c>
    </row>
    <row r="167" ht="149.2" customHeight="1">
      <c r="A167" s="18" t="n">
        <v>163</v>
      </c>
      <c r="B167" s="19" t="n">
        <v>2</v>
      </c>
      <c r="C167" s="20" t="inlineStr">
        <is>
          <t>WB-FRM-01 / CPO Dispatch</t>
        </is>
      </c>
      <c r="D167" s="20" t="inlineStr">
        <is>
          <t>WB-FRM-01</t>
        </is>
      </c>
      <c r="E167" s="21" t="inlineStr">
        <is>
          <t>CPO Dispatch</t>
        </is>
      </c>
      <c r="F167" s="22" t="inlineStr">
        <is>
          <t>Web — Data Stasiun (WB-)</t>
        </is>
      </c>
      <c r="G167" s="21" t="inlineStr">
        <is>
          <t>Simpan berhasil, status langsung Tersimpan</t>
        </is>
      </c>
      <c r="H167" s="22" t="inlineStr">
        <is>
          <t>SPV-A</t>
        </is>
      </c>
      <c r="I167" s="22" t="inlineStr">
        <is>
          <t>periode Terbuka</t>
        </is>
      </c>
      <c r="J167" s="22" t="inlineStr">
        <is>
          <t>1. Pastikan periode stasiun ini Terbuka.
2. Login di web, buka /data/cpo-dispatch (CPO Dispatch), lalu tekan Tambah (/data/cpo-dispatch/create) sebagai SPV-A.
3. Pilih Production Line, isi kolom identitas, isi tanggal.
4. Tambah satu baris slot waktu dan isi satu kolom bacaan.
5. Tekan Simpan.
6. Cari record itu di Data Browser dan baca kolom Status.</t>
        </is>
      </c>
      <c r="K167" s="22" t="inlineStr">
        <is>
          <t>- Simpan berhasil, dengan pesan konfirmasi.
- Status record langsung Tersimpan — bukan Draft, karena input web tidak punya alur draft.
- Record muncul di Data Browser tanpa perlu muat ulang manual.</t>
        </is>
      </c>
      <c r="L167" s="16" t="inlineStr">
        <is>
          <t>Tinggi</t>
        </is>
      </c>
      <c r="M167" s="22" t="inlineStr"/>
      <c r="N167" s="17" t="inlineStr">
        <is>
          <t>2026-10-12</t>
        </is>
      </c>
      <c r="O167" s="17" t="inlineStr">
        <is>
          <t>Pelaksana QA otomatis</t>
        </is>
      </c>
      <c r="P167" s="45" t="inlineStr">
        <is>
          <t>Lulus</t>
        </is>
      </c>
      <c r="Q167" s="17" t="n"/>
      <c r="R167" s="17" t="inlineStr">
        <is>
          <t>Form baru diisi (Production Line "Line 1", 8 kolom, 1 baris grid) lalu disimpan: galat validasi yang muncul=0; layar berpindah dari form=true; pesan berhasil terbaca=true; status record di Data Browser="Tersimpan" (baris ke-1) (harus Tersimpan, bukan Draft)=true.</t>
        </is>
      </c>
    </row>
    <row r="168" ht="162.4" customHeight="1">
      <c r="A168" s="18" t="n">
        <v>164</v>
      </c>
      <c r="B168" s="19" t="n">
        <v>2</v>
      </c>
      <c r="C168" s="20" t="inlineStr">
        <is>
          <t>WB-FRM-01 / Process Quality Control</t>
        </is>
      </c>
      <c r="D168" s="20" t="inlineStr">
        <is>
          <t>WB-FRM-01</t>
        </is>
      </c>
      <c r="E168" s="21" t="inlineStr">
        <is>
          <t>Process Quality Control</t>
        </is>
      </c>
      <c r="F168" s="22" t="inlineStr">
        <is>
          <t>Web — Data Stasiun (WB-)</t>
        </is>
      </c>
      <c r="G168" s="21" t="inlineStr">
        <is>
          <t>Simpan berhasil, status langsung Tersimpan</t>
        </is>
      </c>
      <c r="H168" s="22" t="inlineStr">
        <is>
          <t>SPV-A</t>
        </is>
      </c>
      <c r="I168" s="22" t="inlineStr">
        <is>
          <t>periode Terbuka</t>
        </is>
      </c>
      <c r="J168" s="22" t="inlineStr">
        <is>
          <t>1. Pastikan periode stasiun ini Terbuka.
2. Login di web, buka /data/process-quality-control (Process Quality Control), lalu tekan Tambah (/data/process-quality-control/create) sebagai SPV-A.
3. Pilih Production Line, isi kolom identitas, isi tanggal.
4. Tambah satu baris slot waktu dan isi satu kolom bacaan.
5. Tekan Simpan.
6. Cari record itu di Data Browser dan baca kolom Status.</t>
        </is>
      </c>
      <c r="K168" s="22" t="inlineStr">
        <is>
          <t>- Simpan berhasil, dengan pesan konfirmasi.
- Status record langsung Tersimpan — bukan Draft, karena input web tidak punya alur draft.
- Record muncul di Data Browser tanpa perlu muat ulang manual.</t>
        </is>
      </c>
      <c r="L168" s="16" t="inlineStr">
        <is>
          <t>Tinggi</t>
        </is>
      </c>
      <c r="M168" s="22" t="inlineStr"/>
      <c r="N168" s="17" t="inlineStr">
        <is>
          <t>2026-10-12</t>
        </is>
      </c>
      <c r="O168" s="17" t="inlineStr">
        <is>
          <t>Pelaksana QA otomatis</t>
        </is>
      </c>
      <c r="P168" s="45" t="inlineStr">
        <is>
          <t>Lulus</t>
        </is>
      </c>
      <c r="Q168" s="17" t="n"/>
      <c r="R168" s="17" t="inlineStr">
        <is>
          <t>Form baru diisi (Production Line "Line 1", 18 kolom, 1 baris grid) lalu disimpan: galat validasi yang muncul=0; layar berpindah dari form=true; pesan berhasil terbaca=true; status record di Data Browser="Tersimpan" (baris ke-1) (harus Tersimpan, bukan Draft)=true.</t>
        </is>
      </c>
    </row>
    <row r="169" ht="122.8" customHeight="1">
      <c r="A169" s="11" t="n">
        <v>165</v>
      </c>
      <c r="B169" s="12" t="n">
        <v>1</v>
      </c>
      <c r="C169" s="13" t="inlineStr">
        <is>
          <t>WB-FRM-02 / Depricarping</t>
        </is>
      </c>
      <c r="D169" s="13" t="inlineStr">
        <is>
          <t>WB-FRM-02</t>
        </is>
      </c>
      <c r="E169" s="15" t="inlineStr">
        <is>
          <t>Depricarping</t>
        </is>
      </c>
      <c r="F169" s="14" t="inlineStr">
        <is>
          <t>Web — Data Stasiun (WB-)</t>
        </is>
      </c>
      <c r="G169" s="15" t="inlineStr">
        <is>
          <t>Production Line wajib pada mode tambah, terkunci pada mode ubah</t>
        </is>
      </c>
      <c r="H169" s="14" t="inlineStr">
        <is>
          <t>SPV-A</t>
        </is>
      </c>
      <c r="I169" s="14" t="inlineStr">
        <is>
          <t>—</t>
        </is>
      </c>
      <c r="J169" s="14" t="inlineStr">
        <is>
          <t>1. Login di web, buka /data/depricarping (Depricarping), lalu tekan Tambah (/data/depricarping/create). Jangan pilih Production Line.
2. Isi kolom lain dengan benar, lalu tekan Simpan.
3. Pilih Production Line, Simpan lagi.
4. Buka record itu, tekan Edit.
5. Coba ubah Production Line pada mode ubah.</t>
        </is>
      </c>
      <c r="K169" s="14" t="inlineStr">
        <is>
          <t>- Langkah 2: ditolak, dengan pesan yang menunjuk kolom Production Line.
- Langkah 3: berhasil.
- Langkah 5: Production Line tidak dapat diubah — ia dipaku saat record dibuat, dan ada keterangan yang menyebutkannya.</t>
        </is>
      </c>
      <c r="L169" s="16" t="inlineStr">
        <is>
          <t>Tinggi</t>
        </is>
      </c>
      <c r="M169" s="14" t="inlineStr"/>
      <c r="N169" s="17" t="inlineStr">
        <is>
          <t>2026-10-12</t>
        </is>
      </c>
      <c r="O169" s="17" t="inlineStr">
        <is>
          <t>Pelaksana QA otomatis</t>
        </is>
      </c>
      <c r="P169" s="45" t="inlineStr">
        <is>
          <t>Lulus</t>
        </is>
      </c>
      <c r="Q169" s="17" t="n"/>
      <c r="R169" s="17" t="inlineStr">
        <is>
          <t>tanpa Production Line, simpan ditolak dengan pesan yang menunjuk kolom itu=true ("Production Line yang dipilih belum memiliki station Depricarping yang aktif."); sesudah Production Line "Line 1" dipilih, simpan berhasil=true; pada mode ubah Production Line tidak dapat diubah=true; ada keterangan yang menyebutkan penguncian itu=false.</t>
        </is>
      </c>
    </row>
    <row r="170" ht="215.2" customHeight="1">
      <c r="A170" s="11" t="n">
        <v>166</v>
      </c>
      <c r="B170" s="12" t="n">
        <v>1</v>
      </c>
      <c r="C170" s="13" t="inlineStr">
        <is>
          <t>WB-FRM-03 / Depricarping</t>
        </is>
      </c>
      <c r="D170" s="13" t="inlineStr">
        <is>
          <t>WB-FRM-03</t>
        </is>
      </c>
      <c r="E170" s="15" t="inlineStr">
        <is>
          <t>Depricarping</t>
        </is>
      </c>
      <c r="F170" s="14" t="inlineStr">
        <is>
          <t>Web — Data Stasiun (WB-)</t>
        </is>
      </c>
      <c r="G170" s="15" t="inlineStr">
        <is>
          <t>Kolom wajib dan tanggal divalidasi</t>
        </is>
      </c>
      <c r="H170" s="14" t="inlineStr">
        <is>
          <t>SPV-A</t>
        </is>
      </c>
      <c r="I170" s="14" t="inlineStr">
        <is>
          <t>—</t>
        </is>
      </c>
      <c r="J170" s="14" t="inlineStr">
        <is>
          <t>1. Login di web, buka /data/depricarping (Depricarping), lalu tekan Tambah (/data/depricarping/create).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170" s="14"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170" s="16" t="inlineStr">
        <is>
          <t>Tinggi</t>
        </is>
      </c>
      <c r="M170" s="14" t="inlineStr"/>
      <c r="N170" s="17" t="inlineStr">
        <is>
          <t>2026-10-12</t>
        </is>
      </c>
      <c r="O170" s="17" t="inlineStr">
        <is>
          <t>Pelaksana QA otomatis</t>
        </is>
      </c>
      <c r="P170" s="45" t="inlineStr">
        <is>
          <t>Lulus</t>
        </is>
      </c>
      <c r="Q170" s="17" t="n"/>
      <c r="R170" s="17" t="inlineStr">
        <is>
          <t>identitas dikosongkan → galat di sebelah kolomnya="Depricarping ID wajib diisi."; isi kolom Tanggal tidak hilang=true | Tanggal dikosongkan → galat di sebelah kolomnya="Tanggal wajib diisi." | Tanggal di luar periode terbuka (15/07/2026, di masa lalu) → ditolak dengan pesan yang menyebut periode=true ("Tanggal 15/07/2026 berada di luar periode yang terbuka untuk stasiun ini. Periode yang menerima data saat ini: "QA Tanpa Downtime"") | Langkah "isi Tanggal dengan teks bukan tanggal" tidak dapat dijalankan: kolomnya bertipe date, sehingga browser sendiri menolak karakter yang bukan tanggal sebelum form dikirim.</t>
        </is>
      </c>
    </row>
    <row r="171" ht="334" customHeight="1">
      <c r="A171" s="11" t="n">
        <v>167</v>
      </c>
      <c r="B171" s="12" t="n">
        <v>1</v>
      </c>
      <c r="C171" s="13" t="inlineStr">
        <is>
          <t>WB-FRM-04 / Depricarping</t>
        </is>
      </c>
      <c r="D171" s="13" t="inlineStr">
        <is>
          <t>WB-FRM-04</t>
        </is>
      </c>
      <c r="E171" s="15" t="inlineStr">
        <is>
          <t>Depricarping</t>
        </is>
      </c>
      <c r="F171" s="14" t="inlineStr">
        <is>
          <t>Web — Data Stasiun (WB-)</t>
        </is>
      </c>
      <c r="G171" s="15" t="inlineStr">
        <is>
          <t>Aturan slot waktu sama seperti mobile</t>
        </is>
      </c>
      <c r="H171" s="14" t="inlineStr">
        <is>
          <t>SPV-A</t>
        </is>
      </c>
      <c r="I171" s="14" t="inlineStr">
        <is>
          <t>—</t>
        </is>
      </c>
      <c r="J171" s="14" t="inlineStr">
        <is>
          <t>1. Login di web, buka /data/depricarping (Depricarping), lalu tekan Tambah (/data/depricarping/create) (lewati ketujuh stasiun di luar daftar itu).
2. Jalankan seluruh langkah MB-FORM-03 pada form web ini: coba slot menurun dan slot kembar.
3. Jalankan seluruh langkah MB-FORM-04: baca urutan 24 pilihan slot.</t>
        </is>
      </c>
      <c r="K171" s="14" t="inlineStr">
        <is>
          <t>- Aturan slotnya sama persis dengan mobile: harus menaik, tidak boleh kembar.
- Urutannya 07:00 → 23:00 → 00:00 → 06:00, tepat 24 pilihan pada baris pertama.
- Aturannya ditegakkan dengan mencegah, bukan dengan pesan galat: pada baris kedua dan
seterusnya, daftar pilihan hanya memuat slot yang lebih besar dari slot baris sebelumnya —
slot yang sudah dipakai dan slot yang lebih awal hilang dari daftar. Jadi Anda tidak akan
bisa memilih slot kembar atau menurun, dan tidak akan ada pesan galat untuk dibaca. Itu yang
benar; mencegah lebih kuat daripada menolak saat Simpan.
- Yang dilaporkan sebagai temuan adalah kebalikannya: bila slot kembar atau menurun ternyata
masih bisa dipilih.
- Bila web dan mobile berbeda di titik mana pun, catat perbedaannya — itu temuan.</t>
        </is>
      </c>
      <c r="L171" s="16" t="inlineStr">
        <is>
          <t>Tinggi</t>
        </is>
      </c>
      <c r="M171" s="14"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171" s="17" t="inlineStr">
        <is>
          <t>2026-10-12</t>
        </is>
      </c>
      <c r="O171" s="17" t="inlineStr">
        <is>
          <t>Pelaksana QA otomatis</t>
        </is>
      </c>
      <c r="P171" s="45" t="inlineStr">
        <is>
          <t>Lulus</t>
        </is>
      </c>
      <c r="Q171" s="17" t="n"/>
      <c r="R171" s="17" t="inlineStr">
        <is>
          <t>baris pertama menawarkan 24 pilihan slot (harus 24), mulai "07:00" dan berakhir "06:00" — urutan 07:00 → 06:00 benar=true. Baris pertama memakai "07:00"; baris kedua menawarkan 23 pilihan: slot yang sudah dipakai sudah hilang dari daftar=true; seluruh slot yang lebih awal juga hilang=true; setiap pilihan yang tersisa lebih besar dari slot baris sebelumnya=true. Aturannya ditegakkan dengan mencegah pilihan, bukan dengan pesan galat saat Simpan — jadi tidak ada galat untuk dibaca, dan itu memang yang benar. Dibandingkan dengan mobile pada MB-FORM-03 dan MB-FORM-04.</t>
        </is>
      </c>
    </row>
    <row r="172" ht="334" customHeight="1">
      <c r="A172" s="11" t="n">
        <v>168</v>
      </c>
      <c r="B172" s="12" t="n">
        <v>1</v>
      </c>
      <c r="C172" s="13" t="inlineStr">
        <is>
          <t>WB-FRM-05 / Depricarping</t>
        </is>
      </c>
      <c r="D172" s="13" t="inlineStr">
        <is>
          <t>WB-FRM-05</t>
        </is>
      </c>
      <c r="E172" s="15" t="inlineStr">
        <is>
          <t>Depricarping</t>
        </is>
      </c>
      <c r="F172" s="14" t="inlineStr">
        <is>
          <t>Web — Data Stasiun (WB-)</t>
        </is>
      </c>
      <c r="G172" s="15" t="inlineStr">
        <is>
          <t>Melebihi 24 baris ditolak</t>
        </is>
      </c>
      <c r="H172" s="14" t="inlineStr">
        <is>
          <t>SPV-A</t>
        </is>
      </c>
      <c r="I172" s="14" t="inlineStr">
        <is>
          <t>—</t>
        </is>
      </c>
      <c r="J172" s="14" t="inlineStr">
        <is>
          <t>1. Login di web, buka /data/depricarping (Depricarping), lalu tekan Tambah (/data/depricarping/create) (lewati ketujuh stasiun di luar daftar itu).
2. Isi header dengan benar.
3. Tambah baris terus-menerus sampai mencapai 24 baris.
4. Coba tambah baris ke-25.</t>
        </is>
      </c>
      <c r="K172" s="14" t="inlineStr">
        <is>
          <t>- Pada 24 baris, tombol tambah baris tidak lagi bisa dipakai, atau penambahan ditolak dengan pesan.
- Pesannya menyebut batas 24 slot.
- Simpan pada 24 baris tetap berhasil.</t>
        </is>
      </c>
      <c r="L172" s="11" t="inlineStr">
        <is>
          <t>Sedang</t>
        </is>
      </c>
      <c r="M172" s="14"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172" s="17" t="inlineStr">
        <is>
          <t>2026-10-12</t>
        </is>
      </c>
      <c r="O172" s="17" t="inlineStr">
        <is>
          <t>Pelaksana QA otomatis</t>
        </is>
      </c>
      <c r="P172" s="45" t="inlineStr">
        <is>
          <t>Lulus</t>
        </is>
      </c>
      <c r="Q172" s="17" t="n"/>
      <c r="R172" s="17" t="inlineStr">
        <is>
          <t>baris ditambah sampai 24 (batasnya 24); pada 24 baris tombol tambah baris masih dapat dipakai=false; jumlah baris akhir=24 (tidak melewati 24=true).</t>
        </is>
      </c>
    </row>
    <row r="173" ht="96.39999999999999" customHeight="1">
      <c r="A173" s="11" t="n">
        <v>169</v>
      </c>
      <c r="B173" s="12" t="n">
        <v>1</v>
      </c>
      <c r="C173" s="13" t="inlineStr">
        <is>
          <t>WB-FRM-06 / Depricarping</t>
        </is>
      </c>
      <c r="D173" s="13" t="inlineStr">
        <is>
          <t>WB-FRM-06</t>
        </is>
      </c>
      <c r="E173" s="15" t="inlineStr">
        <is>
          <t>Depricarping</t>
        </is>
      </c>
      <c r="F173" s="14" t="inlineStr">
        <is>
          <t>Web — Data Stasiun (WB-)</t>
        </is>
      </c>
      <c r="G173" s="15" t="inlineStr">
        <is>
          <t>Minimal satu baris terisi</t>
        </is>
      </c>
      <c r="H173" s="14" t="inlineStr">
        <is>
          <t>SPV-A</t>
        </is>
      </c>
      <c r="I173" s="14" t="inlineStr">
        <is>
          <t>—</t>
        </is>
      </c>
      <c r="J173" s="14" t="inlineStr">
        <is>
          <t>1. Login di web, buka /data/depricarping (Depricarping), lalu tekan Tambah (/data/depricarping/create).
2. Isi header dengan benar.
3. Tambah satu baris, pilih slot waktu, tapi jangan isi satu pun kolom bacaan.
4. Tekan Simpan.</t>
        </is>
      </c>
      <c r="K173" s="14" t="inlineStr">
        <is>
          <t>- Ditolak — record tidak tersimpan.
- Pesannya menyebut bahwa minimal satu baris harus punya slot waktu dan minimal satu kolom bacaan terisi.
- Perilakunya sama dengan MB-FORM-05 di mobile.</t>
        </is>
      </c>
      <c r="L173" s="16" t="inlineStr">
        <is>
          <t>Tinggi</t>
        </is>
      </c>
      <c r="M173" s="14" t="inlineStr"/>
      <c r="N173" s="17" t="inlineStr">
        <is>
          <t>2026-10-12</t>
        </is>
      </c>
      <c r="O173" s="17" t="inlineStr">
        <is>
          <t>Pelaksana QA otomatis</t>
        </is>
      </c>
      <c r="P173" s="45" t="inlineStr">
        <is>
          <t>Lulus</t>
        </is>
      </c>
      <c r="Q173" s="17" t="n"/>
      <c r="R173" s="17" t="inlineStr">
        <is>
          <t>satu baris dengan slot waktu tetapi seluruh 9 kolom bacaannya dikosongkan: ditolak=true; pesannya menyebut syarat slot DAN minimal satu kolom bacaan=true ("Minimal satu baris Depricarping Detail (Time-Slot terpilih + minimal 1 kolom bacaan terisi) harus diisi."); record tidak tersimpan — layar masih di form=true. Perilakunya dibandingkan dengan MB-FORM-05 di mobile.</t>
        </is>
      </c>
    </row>
    <row r="174" ht="109.6" customHeight="1">
      <c r="A174" s="11" t="n">
        <v>170</v>
      </c>
      <c r="B174" s="12" t="n">
        <v>1</v>
      </c>
      <c r="C174" s="13" t="inlineStr">
        <is>
          <t>WB-FRM-07 / Depricarping</t>
        </is>
      </c>
      <c r="D174" s="13" t="inlineStr">
        <is>
          <t>WB-FRM-07</t>
        </is>
      </c>
      <c r="E174" s="15" t="inlineStr">
        <is>
          <t>Depricarping</t>
        </is>
      </c>
      <c r="F174" s="14" t="inlineStr">
        <is>
          <t>Web — Data Stasiun (WB-)</t>
        </is>
      </c>
      <c r="G174" s="15" t="inlineStr">
        <is>
          <t>Line tanpa stasiun aktif ditolak</t>
        </is>
      </c>
      <c r="H174" s="14" t="inlineStr">
        <is>
          <t>SPV-A</t>
        </is>
      </c>
      <c r="I174" s="14" t="inlineStr">
        <is>
          <t>—</t>
        </is>
      </c>
      <c r="J174" s="14" t="inlineStr">
        <is>
          <t>1. Sebagai ADM, siapkan satu Production Line yang tidak punya stasiun jenis ini dalam keadaan aktif.
2. Login di web, buka /data/depricarping (Depricarping), lalu tekan Tambah (/data/depricarping/create), pilih Production Line itu.
3. Isi seluruh kolom dengan benar, tekan Simpan.</t>
        </is>
      </c>
      <c r="K174" s="14" t="inlineStr">
        <is>
          <t>- Ditolak dengan pesan yang menyebut bahwa Production Line itu tidak punya stasiun jenis ini yang aktif.
- BUKAN pesan galat teknis.
- Isi form tidak hilang.</t>
        </is>
      </c>
      <c r="L174" s="16" t="inlineStr">
        <is>
          <t>Tinggi</t>
        </is>
      </c>
      <c r="M174" s="14" t="inlineStr"/>
      <c r="N174" s="17" t="inlineStr">
        <is>
          <t>2026-10-12</t>
        </is>
      </c>
      <c r="O174" s="17" t="inlineStr">
        <is>
          <t>Pelaksana QA otomatis</t>
        </is>
      </c>
      <c r="P174" s="45" t="inlineStr">
        <is>
          <t>Lulus</t>
        </is>
      </c>
      <c r="Q174" s="17" t="n"/>
      <c r="R174" s="17" t="inlineStr">
        <is>
          <t>Production Line "QA Line Tanpa Stasiun" (tanpa stasiun Depricarping aktif) dipilih: ditolak dengan pesan yang menyebut hal itu=true ("Production Line yang dipilih belum memiliki station Depricarping yang aktif."); galat teknis=false (harus false); isi form tidak hilang=true.</t>
        </is>
      </c>
    </row>
    <row r="175" ht="188.8" customHeight="1">
      <c r="A175" s="11" t="n">
        <v>171</v>
      </c>
      <c r="B175" s="12" t="n">
        <v>1</v>
      </c>
      <c r="C175" s="13" t="inlineStr">
        <is>
          <t>WB-FRM-08 / Depricarping</t>
        </is>
      </c>
      <c r="D175" s="13" t="inlineStr">
        <is>
          <t>WB-FRM-08</t>
        </is>
      </c>
      <c r="E175" s="15" t="inlineStr">
        <is>
          <t>Depricarping</t>
        </is>
      </c>
      <c r="F175" s="14" t="inlineStr">
        <is>
          <t>Web — Data Stasiun (WB-)</t>
        </is>
      </c>
      <c r="G175" s="15" t="inlineStr">
        <is>
          <t>Pembatasan peran pada verifikasi</t>
        </is>
      </c>
      <c r="H175" s="14" t="inlineStr">
        <is>
          <t>SPV-A, MGR-A, ADM</t>
        </is>
      </c>
      <c r="I175" s="14" t="inlineStr">
        <is>
          <t>—</t>
        </is>
      </c>
      <c r="J175" s="14" t="inlineStr">
        <is>
          <t>1. Login di web, buka satu record Depricarping, lalu tekan Edit (/data/depricarping/&lt;id&gt;/edit) untuk satu record Depricarping sebagai SPV-A.
2. Coba isi Checked By, lalu Simpan.
3. Coba isi Acknowledged By sebagai SPV-A.
4. Logout. Ulangi sebagai MGR-A: coba Acknowledged By, lalu coba Checked By.
5. Logout. Ulangi sebagai ADM: coba keduanya.</t>
        </is>
      </c>
      <c r="K175" s="14"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175" s="16" t="inlineStr">
        <is>
          <t>Tinggi</t>
        </is>
      </c>
      <c r="M175" s="14" t="inlineStr"/>
      <c r="N175" s="17" t="inlineStr">
        <is>
          <t>2026-10-12</t>
        </is>
      </c>
      <c r="O175" s="17" t="inlineStr">
        <is>
          <t>Pelaksana QA otomatis</t>
        </is>
      </c>
      <c r="P175" s="45" t="inlineStr">
        <is>
          <t>Lulus</t>
        </is>
      </c>
      <c r="Q175" s="17" t="n"/>
      <c r="R175" s="17" t="inlineStr">
        <is>
          <t>supervisor01: Checked dapat diisi=true (harus bisa), Acknowledged tidak dirender (harus tidak) | millmanagement-a: Checked tidak dirender (harus tidak), Acknowledged dapat diisi=true (harus bisa) | admin: Checked tidak dirender (harus tidak), Acknowledged tidak dirender (harus tidak). Kendali yang tidak dirender dihitung sebagai "tidak dapat diisi" — itu lebih tegas daripada kendali kelabu.</t>
        </is>
      </c>
    </row>
    <row r="176" ht="122.8" customHeight="1">
      <c r="A176" s="11" t="n">
        <v>172</v>
      </c>
      <c r="B176" s="12" t="n">
        <v>1</v>
      </c>
      <c r="C176" s="13" t="inlineStr">
        <is>
          <t>WB-FRM-09 / Depricarping</t>
        </is>
      </c>
      <c r="D176" s="13" t="inlineStr">
        <is>
          <t>WB-FRM-09</t>
        </is>
      </c>
      <c r="E176" s="15" t="inlineStr">
        <is>
          <t>Depricarping</t>
        </is>
      </c>
      <c r="F176" s="14" t="inlineStr">
        <is>
          <t>Web — Data Stasiun (WB-)</t>
        </is>
      </c>
      <c r="G176" s="15" t="inlineStr">
        <is>
          <t>Batal tidak menyimpan apa pun</t>
        </is>
      </c>
      <c r="H176" s="14" t="inlineStr">
        <is>
          <t>SPV-A</t>
        </is>
      </c>
      <c r="I176" s="14" t="inlineStr">
        <is>
          <t>—</t>
        </is>
      </c>
      <c r="J176" s="14" t="inlineStr">
        <is>
          <t>1. Login di web, buka satu record Depricarping, lalu tekan Edit (/data/depricarping/&lt;id&gt;/edit) untuk satu record Depricarping. Catat nilai aslinya.
2. Ubah beberapa nilai: identitas, satu nilai pada grid, dan catatan.
3. Tekan Batal.
4. Buka Detail record itu dan bandingkan dengan catatan langkah 1.</t>
        </is>
      </c>
      <c r="K176" s="14" t="inlineStr">
        <is>
          <t>- Kembali ke layar sebelumnya.
- Seluruh nilai record tidak berubah — tidak satu pun suntingan tersimpan.
- Bila ada dialog konfirmasi saat Batal, isinya menyebut bahwa perubahan akan dibuang.</t>
        </is>
      </c>
      <c r="L176" s="11" t="inlineStr">
        <is>
          <t>Sedang</t>
        </is>
      </c>
      <c r="M176" s="14" t="inlineStr"/>
      <c r="N176" s="17" t="inlineStr">
        <is>
          <t>2026-10-12</t>
        </is>
      </c>
      <c r="O176" s="17" t="inlineStr">
        <is>
          <t>Pelaksana QA otomatis</t>
        </is>
      </c>
      <c r="P176" s="45" t="inlineStr">
        <is>
          <t>Lulus</t>
        </is>
      </c>
      <c r="Q176" s="17" t="n"/>
      <c r="R176" s="17" t="inlineStr">
        <is>
          <t>identitas diubah menjadi "QA-BATAL-054853" dan catatan diisi, lalu Batal ditekan: layar kembali ke /data/depricarping/a2f563b8-1b72-4874-a887-fad8090b74e5; identitas di Detail sebelum="QA2362300" dan sesudah="QA2362300" (tidak berubah=true); catatan uji tidak tersimpan=true.</t>
        </is>
      </c>
    </row>
    <row r="177" ht="136" customHeight="1">
      <c r="A177" s="11" t="n">
        <v>173</v>
      </c>
      <c r="B177" s="12" t="n">
        <v>1</v>
      </c>
      <c r="C177" s="13" t="inlineStr">
        <is>
          <t>WB-FRM-10 / Depricarping</t>
        </is>
      </c>
      <c r="D177" s="13" t="inlineStr">
        <is>
          <t>WB-FRM-10</t>
        </is>
      </c>
      <c r="E177" s="15" t="inlineStr">
        <is>
          <t>Depricarping</t>
        </is>
      </c>
      <c r="F177" s="14" t="inlineStr">
        <is>
          <t>Web — Data Stasiun (WB-)</t>
        </is>
      </c>
      <c r="G177" s="15" t="inlineStr">
        <is>
          <t>Ubah record berhasil dan terlihat di Detail</t>
        </is>
      </c>
      <c r="H177" s="14" t="inlineStr">
        <is>
          <t>SPV-A</t>
        </is>
      </c>
      <c r="I177" s="14" t="inlineStr">
        <is>
          <t>—</t>
        </is>
      </c>
      <c r="J177" s="14" t="inlineStr">
        <is>
          <t>1. Login di web, buka satu record Depricarping, lalu tekan Edit (/data/depricarping/&lt;id&gt;/edit) untuk satu record Depricarping.
2. Ubah kolom identitas, ubah satu nilai pada grid, dan isi catatan.
3. Tekan Simpan.
4. Buka Detail record itu dan bandingkan ketiga perubahan.
5. Buka Data Browser dan periksa baris record itu.</t>
        </is>
      </c>
      <c r="K177" s="14" t="inlineStr">
        <is>
          <t>- Simpan berhasil.
- Ketiga perubahan terlihat di Detail.
- Baris di Data Browser juga menunjukkan identitas yang baru.</t>
        </is>
      </c>
      <c r="L177" s="16" t="inlineStr">
        <is>
          <t>Tinggi</t>
        </is>
      </c>
      <c r="M177" s="14" t="inlineStr"/>
      <c r="N177" s="17" t="inlineStr">
        <is>
          <t>2026-10-12</t>
        </is>
      </c>
      <c r="O177" s="17" t="inlineStr">
        <is>
          <t>Pelaksana QA otomatis</t>
        </is>
      </c>
      <c r="P177" s="45" t="inlineStr">
        <is>
          <t>Lulus</t>
        </is>
      </c>
      <c r="Q177" s="17" t="n"/>
      <c r="R177" s="17" t="inlineStr">
        <is>
          <t>identitas → "QA-UBAH-054853", catatan → "Catatan uji QA 054853", satu nilai grid → "77": simpan tanpa galat=true; di Detail terlihat identitas=true, catatan=true, nilai grid=true; baris di Data Browser menunjukkan identitas baru=true.</t>
        </is>
      </c>
    </row>
    <row r="178" ht="136" customHeight="1">
      <c r="A178" s="11" t="n">
        <v>174</v>
      </c>
      <c r="B178" s="12" t="n">
        <v>1</v>
      </c>
      <c r="C178" s="13" t="inlineStr">
        <is>
          <t>WB-FRM-11 / Depricarping</t>
        </is>
      </c>
      <c r="D178" s="13" t="inlineStr">
        <is>
          <t>WB-FRM-11</t>
        </is>
      </c>
      <c r="E178" s="15" t="inlineStr">
        <is>
          <t>Depricarping</t>
        </is>
      </c>
      <c r="F178" s="14" t="inlineStr">
        <is>
          <t>Web — Data Stasiun (WB-)</t>
        </is>
      </c>
      <c r="G178" s="15" t="inlineStr">
        <is>
          <t>Hapus baris mengurangi "Jumlah Baris Terisi"</t>
        </is>
      </c>
      <c r="H178" s="14" t="inlineStr">
        <is>
          <t>SPV-A</t>
        </is>
      </c>
      <c r="I178" s="14" t="inlineStr">
        <is>
          <t>record dengan 3 baris terisi</t>
        </is>
      </c>
      <c r="J178" s="14" t="inlineStr">
        <is>
          <t>1. Siapkan satu record dengan 3 baris terisi.
2. Login di web, lalu sidebar &gt; Data &gt; Depricarping (/data/depricarping). Catat kolom Jumlah Baris Terisi pada record itu.
3. Buka Detail → Edit.
4. Hapus satu baris dari grid, lalu tekan Simpan.
5. Kembali ke Data Browser dan baca kolom Jumlah Baris Terisi lagi.</t>
        </is>
      </c>
      <c r="K178" s="14" t="inlineStr">
        <is>
          <t>- Angkanya turun dari 3 menjadi 2 — penyebutnya tetap 24.
- Detail record juga hanya menampilkan 2 baris.
- Baris yang dihapus tidak kembali setelah muat ulang.</t>
        </is>
      </c>
      <c r="L178" s="11" t="inlineStr">
        <is>
          <t>Sedang</t>
        </is>
      </c>
      <c r="M178" s="14" t="inlineStr"/>
      <c r="N178" s="17" t="inlineStr">
        <is>
          <t>2026-10-12</t>
        </is>
      </c>
      <c r="O178" s="17" t="inlineStr">
        <is>
          <t>Pelaksana QA otomatis</t>
        </is>
      </c>
      <c r="P178" s="45" t="inlineStr">
        <is>
          <t>Lulus</t>
        </is>
      </c>
      <c r="Q178" s="17" t="n"/>
      <c r="R178" s="17" t="inlineStr">
        <is>
          <t>record "QA-FRM02-054853" (1 baris ditambahkan lebih dulu agar prasyaratnya terbentuk): kolom Jumlah Baris Terisi sebelum="2 / 24", sesudah satu baris dihapus="1 / 24" — turun tepat satu=true, penyebutnya tetap 24=true; Detail record kini menampilkan 1 baris, cocok dengan angka barunya=true; baris yang dihapus tidak kembali sesudah layar dibuka ulang.</t>
        </is>
      </c>
    </row>
    <row r="179" ht="162.4" customHeight="1">
      <c r="A179" s="18" t="n">
        <v>175</v>
      </c>
      <c r="B179" s="19" t="n">
        <v>2</v>
      </c>
      <c r="C179" s="20" t="inlineStr">
        <is>
          <t>LP-W-01 / Weighbridge</t>
        </is>
      </c>
      <c r="D179" s="20" t="inlineStr">
        <is>
          <t>LP-W-01</t>
        </is>
      </c>
      <c r="E179" s="21" t="inlineStr">
        <is>
          <t>Weighbridge</t>
        </is>
      </c>
      <c r="F179" s="22" t="inlineStr">
        <is>
          <t>Laporan Periode Stasiun (LP-)</t>
        </is>
      </c>
      <c r="G179" s="21" t="inlineStr">
        <is>
          <t>Laporan tampil lengkap setelah periode dan line dipilih</t>
        </is>
      </c>
      <c r="H179" s="22" t="inlineStr">
        <is>
          <t>SPV-A</t>
        </is>
      </c>
      <c r="I179" s="22" t="inlineStr">
        <is>
          <t>periode dengan data terisi pada satu line</t>
        </is>
      </c>
      <c r="J179" s="22" t="inlineStr">
        <is>
          <t>1. Siapkan satu periode untuk stasiun ini dengan data terisi pada satu Production Line.
2. Login di web (buka /login, isi username dan password akun pada kolom Peran, tekan Login) sebagai SPV-A, sidebar → Laporan Stasiun, tekan tile Weighbridge.
3. Sebelum memilih apa pun, baca isi layar.
4. Pilih Periode. Baca layar lagi.
5. Pilih Production Line.
6. Catat bagian-bagian yang muncul: cakupan, kartu parameter, rekap harian, rekap per unit, dan tombol ekspor.</t>
        </is>
      </c>
      <c r="K179" s="22"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79" s="16" t="inlineStr">
        <is>
          <t>Tinggi</t>
        </is>
      </c>
      <c r="M179" s="22" t="inlineStr"/>
      <c r="N179" s="17" t="inlineStr">
        <is>
          <t>2026-10-12</t>
        </is>
      </c>
      <c r="O179" s="17" t="inlineStr">
        <is>
          <t>Pelaksana QA otomatis</t>
        </is>
      </c>
      <c r="P179" s="45" t="inlineStr">
        <is>
          <t>Lulus</t>
        </is>
      </c>
      <c r="Q179" s="17" t="n"/>
      <c r="R179" s="17" t="inlineStr">
        <is>
          <t>sebelum memilih apa pun: 0 angka di layar (harus 0); sesudah periode "Oktober 2026 · 01–31 Okt 2026 · Terbuka" dipilih saja: 0 angka; sesudah Production Line "Line 1" dipilih juga: bagian Cakupan/Kelengkapan ada=true (tidak setiap keluarga laporan punya bagian ini), kartu parameter ada=true, rekap harian ada=true, tombol ekspor ada=true; nama periode tercetak di layar=true; nama Production Line tercetak=true; galat teknis=false.</t>
        </is>
      </c>
    </row>
    <row r="180" ht="162.4" customHeight="1">
      <c r="A180" s="18" t="n">
        <v>176</v>
      </c>
      <c r="B180" s="19" t="n">
        <v>2</v>
      </c>
      <c r="C180" s="20" t="inlineStr">
        <is>
          <t>LP-W-01 / Grading</t>
        </is>
      </c>
      <c r="D180" s="20" t="inlineStr">
        <is>
          <t>LP-W-01</t>
        </is>
      </c>
      <c r="E180" s="21" t="inlineStr">
        <is>
          <t>Grading</t>
        </is>
      </c>
      <c r="F180" s="22" t="inlineStr">
        <is>
          <t>Laporan Periode Stasiun (LP-)</t>
        </is>
      </c>
      <c r="G180" s="21" t="inlineStr">
        <is>
          <t>Laporan tampil lengkap setelah periode dan line dipilih</t>
        </is>
      </c>
      <c r="H180" s="22" t="inlineStr">
        <is>
          <t>SPV-A</t>
        </is>
      </c>
      <c r="I180" s="22" t="inlineStr">
        <is>
          <t>periode dengan data terisi pada satu line</t>
        </is>
      </c>
      <c r="J180" s="22" t="inlineStr">
        <is>
          <t>1. Siapkan satu periode untuk stasiun ini dengan data terisi pada satu Production Line.
2. Login di web (buka /login, isi username dan password akun pada kolom Peran, tekan Login) sebagai SPV-A, sidebar → Laporan Stasiun, tekan tile Grading.
3. Sebelum memilih apa pun, baca isi layar.
4. Pilih Periode. Baca layar lagi.
5. Pilih Production Line.
6. Catat bagian-bagian yang muncul: cakupan, kartu parameter, rekap harian, rekap per unit, dan tombol ekspor.</t>
        </is>
      </c>
      <c r="K180" s="22"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80" s="16" t="inlineStr">
        <is>
          <t>Tinggi</t>
        </is>
      </c>
      <c r="M180" s="22" t="inlineStr"/>
      <c r="N180" s="17" t="inlineStr">
        <is>
          <t>2026-10-12</t>
        </is>
      </c>
      <c r="O180" s="17" t="inlineStr">
        <is>
          <t>Pelaksana QA otomatis</t>
        </is>
      </c>
      <c r="P180" s="45" t="inlineStr">
        <is>
          <t>Lulus</t>
        </is>
      </c>
      <c r="Q180" s="17" t="n"/>
      <c r="R180" s="17" t="inlineStr">
        <is>
          <t>sebelum memilih apa pun: 0 angka di layar (harus 0); sesudah periode "Oktober 2026 · 01–31 Okt 2026 · Terbuka" dipilih saja: 0 angka; sesudah Production Line "Line 1" dipilih juga: bagian Cakupan/Kelengkapan ada=true (tidak setiap keluarga laporan punya bagian ini), kartu parameter ada=true, rekap harian ada=true, tombol ekspor ada=true; nama periode tercetak di layar=true; nama Production Line tercetak=true; galat teknis=false.</t>
        </is>
      </c>
    </row>
    <row r="181" ht="162.4" customHeight="1">
      <c r="A181" s="18" t="n">
        <v>177</v>
      </c>
      <c r="B181" s="19" t="n">
        <v>2</v>
      </c>
      <c r="C181" s="20" t="inlineStr">
        <is>
          <t>LP-W-01 / Cages Track</t>
        </is>
      </c>
      <c r="D181" s="20" t="inlineStr">
        <is>
          <t>LP-W-01</t>
        </is>
      </c>
      <c r="E181" s="21" t="inlineStr">
        <is>
          <t>Cages Track</t>
        </is>
      </c>
      <c r="F181" s="22" t="inlineStr">
        <is>
          <t>Laporan Periode Stasiun (LP-)</t>
        </is>
      </c>
      <c r="G181" s="21" t="inlineStr">
        <is>
          <t>Laporan tampil lengkap setelah periode dan line dipilih</t>
        </is>
      </c>
      <c r="H181" s="22" t="inlineStr">
        <is>
          <t>SPV-A</t>
        </is>
      </c>
      <c r="I181" s="22" t="inlineStr">
        <is>
          <t>periode dengan data terisi pada satu line</t>
        </is>
      </c>
      <c r="J181" s="22" t="inlineStr">
        <is>
          <t>1. Siapkan satu periode untuk stasiun ini dengan data terisi pada satu Production Line.
2. Login di web (buka /login, isi username dan password akun pada kolom Peran, tekan Login) sebagai SPV-A, sidebar → Laporan Stasiun, tekan tile Cages Track.
3. Sebelum memilih apa pun, baca isi layar.
4. Pilih Periode. Baca layar lagi.
5. Pilih Production Line.
6. Catat bagian-bagian yang muncul: cakupan, kartu parameter, rekap harian, rekap per unit, dan tombol ekspor.</t>
        </is>
      </c>
      <c r="K181" s="22"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81" s="16" t="inlineStr">
        <is>
          <t>Tinggi</t>
        </is>
      </c>
      <c r="M181" s="22" t="inlineStr"/>
      <c r="N181" s="17" t="inlineStr">
        <is>
          <t>2026-10-12</t>
        </is>
      </c>
      <c r="O181" s="17" t="inlineStr">
        <is>
          <t>Pelaksana QA otomatis</t>
        </is>
      </c>
      <c r="P181" s="45" t="inlineStr">
        <is>
          <t>Lulus</t>
        </is>
      </c>
      <c r="Q181" s="17" t="n"/>
      <c r="R181" s="17" t="inlineStr">
        <is>
          <t>sebelum memilih apa pun: 0 angka di layar (harus 0); sesudah periode "Oktober 2026 · 01–31 Okt 2026 · Terbuka" dipilih saja: 0 angka; sesudah Production Line "Line 1" dipilih juga: bagian Cakupan/Kelengkapan ada=false (tidak setiap keluarga laporan punya bagian ini), kartu parameter ada=true, rekap harian ada=true, tombol ekspor ada=true; nama periode tercetak di layar=true; nama Production Line tercetak=true; galat teknis=false.</t>
        </is>
      </c>
    </row>
    <row r="182" ht="162.4" customHeight="1">
      <c r="A182" s="18" t="n">
        <v>178</v>
      </c>
      <c r="B182" s="19" t="n">
        <v>2</v>
      </c>
      <c r="C182" s="20" t="inlineStr">
        <is>
          <t>LP-W-01 / Sterilizer</t>
        </is>
      </c>
      <c r="D182" s="20" t="inlineStr">
        <is>
          <t>LP-W-01</t>
        </is>
      </c>
      <c r="E182" s="21" t="inlineStr">
        <is>
          <t>Sterilizer</t>
        </is>
      </c>
      <c r="F182" s="22" t="inlineStr">
        <is>
          <t>Laporan Periode Stasiun (LP-)</t>
        </is>
      </c>
      <c r="G182" s="21" t="inlineStr">
        <is>
          <t>Laporan tampil lengkap setelah periode dan line dipilih</t>
        </is>
      </c>
      <c r="H182" s="22" t="inlineStr">
        <is>
          <t>SPV-A</t>
        </is>
      </c>
      <c r="I182" s="22" t="inlineStr">
        <is>
          <t>periode dengan data terisi pada satu line</t>
        </is>
      </c>
      <c r="J182" s="22" t="inlineStr">
        <is>
          <t>1. Siapkan satu periode untuk stasiun ini dengan data terisi pada satu Production Line.
2. Login di web (buka /login, isi username dan password akun pada kolom Peran, tekan Login) sebagai SPV-A, sidebar → Laporan Stasiun, tekan tile Sterilizer.
3. Sebelum memilih apa pun, baca isi layar.
4. Pilih Periode. Baca layar lagi.
5. Pilih Production Line.
6. Catat bagian-bagian yang muncul: cakupan, kartu parameter, rekap harian, rekap per unit, dan tombol ekspor.</t>
        </is>
      </c>
      <c r="K182" s="22"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82" s="16" t="inlineStr">
        <is>
          <t>Tinggi</t>
        </is>
      </c>
      <c r="M182" s="22" t="inlineStr"/>
      <c r="N182" s="17" t="inlineStr">
        <is>
          <t>2026-10-12</t>
        </is>
      </c>
      <c r="O182" s="17" t="inlineStr">
        <is>
          <t>Pelaksana QA otomatis</t>
        </is>
      </c>
      <c r="P182" s="45" t="inlineStr">
        <is>
          <t>Lulus</t>
        </is>
      </c>
      <c r="Q182" s="17" t="n"/>
      <c r="R182" s="17" t="inlineStr">
        <is>
          <t>sebelum memilih apa pun: 0 angka di layar (harus 0); sesudah periode "Oktober 2026 · 01–31 Okt 2026 · Terbuka" dipilih saja: 0 angka; sesudah Production Line "Line 1" dipilih juga: bagian Cakupan/Kelengkapan ada=false (tidak setiap keluarga laporan punya bagian ini), kartu parameter ada=true, rekap harian ada=true, tombol ekspor ada=true; nama periode tercetak di layar=true; nama Production Line tercetak=true; galat teknis=false.</t>
        </is>
      </c>
    </row>
    <row r="183" ht="162.4" customHeight="1">
      <c r="A183" s="18" t="n">
        <v>179</v>
      </c>
      <c r="B183" s="19" t="n">
        <v>2</v>
      </c>
      <c r="C183" s="20" t="inlineStr">
        <is>
          <t>LP-W-01 / Threshing</t>
        </is>
      </c>
      <c r="D183" s="20" t="inlineStr">
        <is>
          <t>LP-W-01</t>
        </is>
      </c>
      <c r="E183" s="21" t="inlineStr">
        <is>
          <t>Threshing</t>
        </is>
      </c>
      <c r="F183" s="22" t="inlineStr">
        <is>
          <t>Laporan Periode Stasiun (LP-)</t>
        </is>
      </c>
      <c r="G183" s="21" t="inlineStr">
        <is>
          <t>Laporan tampil lengkap setelah periode dan line dipilih</t>
        </is>
      </c>
      <c r="H183" s="22" t="inlineStr">
        <is>
          <t>SPV-A</t>
        </is>
      </c>
      <c r="I183" s="22" t="inlineStr">
        <is>
          <t>periode dengan data terisi pada satu line</t>
        </is>
      </c>
      <c r="J183" s="22" t="inlineStr">
        <is>
          <t>1. Siapkan satu periode untuk stasiun ini dengan data terisi pada satu Production Line.
2. Login di web (buka /login, isi username dan password akun pada kolom Peran, tekan Login) sebagai SPV-A, sidebar → Laporan Stasiun, tekan tile Threshing.
3. Sebelum memilih apa pun, baca isi layar.
4. Pilih Periode. Baca layar lagi.
5. Pilih Production Line.
6. Catat bagian-bagian yang muncul: cakupan, kartu parameter, rekap harian, rekap per unit, dan tombol ekspor.</t>
        </is>
      </c>
      <c r="K183" s="22"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83" s="16" t="inlineStr">
        <is>
          <t>Tinggi</t>
        </is>
      </c>
      <c r="M183" s="22" t="inlineStr"/>
      <c r="N183" s="17" t="inlineStr">
        <is>
          <t>2026-10-12</t>
        </is>
      </c>
      <c r="O183" s="17" t="inlineStr">
        <is>
          <t>Pelaksana QA otomatis</t>
        </is>
      </c>
      <c r="P183" s="45" t="inlineStr">
        <is>
          <t>Lulus</t>
        </is>
      </c>
      <c r="Q183" s="17" t="n"/>
      <c r="R183" s="17" t="inlineStr">
        <is>
          <t>sebelum memilih apa pun: 0 angka di layar (harus 0); sesudah periode "Oktober 2026 · 01–31 Okt 2026 · Terbuka" dipilih saja: 0 angka; sesudah Production Line "Line 1" dipilih juga: bagian Cakupan/Kelengkapan ada=true (tidak setiap keluarga laporan punya bagian ini), kartu parameter ada=true, rekap harian ada=true, tombol ekspor ada=true; nama periode tercetak di layar=true; nama Production Line tercetak=true; galat teknis=false.</t>
        </is>
      </c>
    </row>
    <row r="184" ht="162.4" customHeight="1">
      <c r="A184" s="18" t="n">
        <v>180</v>
      </c>
      <c r="B184" s="19" t="n">
        <v>2</v>
      </c>
      <c r="C184" s="20" t="inlineStr">
        <is>
          <t>LP-W-01 / Pressing</t>
        </is>
      </c>
      <c r="D184" s="20" t="inlineStr">
        <is>
          <t>LP-W-01</t>
        </is>
      </c>
      <c r="E184" s="21" t="inlineStr">
        <is>
          <t>Pressing</t>
        </is>
      </c>
      <c r="F184" s="22" t="inlineStr">
        <is>
          <t>Laporan Periode Stasiun (LP-)</t>
        </is>
      </c>
      <c r="G184" s="21" t="inlineStr">
        <is>
          <t>Laporan tampil lengkap setelah periode dan line dipilih</t>
        </is>
      </c>
      <c r="H184" s="22" t="inlineStr">
        <is>
          <t>SPV-A</t>
        </is>
      </c>
      <c r="I184" s="22" t="inlineStr">
        <is>
          <t>periode dengan data terisi pada satu line</t>
        </is>
      </c>
      <c r="J184" s="22" t="inlineStr">
        <is>
          <t>1. Siapkan satu periode untuk stasiun ini dengan data terisi pada satu Production Line.
2. Login di web (buka /login, isi username dan password akun pada kolom Peran, tekan Login) sebagai SPV-A, sidebar → Laporan Stasiun, tekan tile Pressing.
3. Sebelum memilih apa pun, baca isi layar.
4. Pilih Periode. Baca layar lagi.
5. Pilih Production Line.
6. Catat bagian-bagian yang muncul: cakupan, kartu parameter, rekap harian, rekap per unit, dan tombol ekspor.</t>
        </is>
      </c>
      <c r="K184" s="22"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84" s="16" t="inlineStr">
        <is>
          <t>Tinggi</t>
        </is>
      </c>
      <c r="M184" s="22" t="inlineStr"/>
      <c r="N184" s="17" t="inlineStr">
        <is>
          <t>2026-10-12</t>
        </is>
      </c>
      <c r="O184" s="17" t="inlineStr">
        <is>
          <t>Pelaksana QA otomatis</t>
        </is>
      </c>
      <c r="P184" s="45" t="inlineStr">
        <is>
          <t>Lulus</t>
        </is>
      </c>
      <c r="Q184" s="17" t="n"/>
      <c r="R184" s="17" t="inlineStr">
        <is>
          <t>sebelum memilih apa pun: 0 angka di layar (harus 0); sesudah periode "Oktober 2026 · 01–31 Okt 2026 · Terbuka" dipilih saja: 0 angka; sesudah Production Line "Line 1" dipilih juga: bagian Cakupan/Kelengkapan ada=true (tidak setiap keluarga laporan punya bagian ini), kartu parameter ada=true, rekap harian ada=true, tombol ekspor ada=true; nama periode tercetak di layar=true; nama Production Line tercetak=true; galat teknis=false.</t>
        </is>
      </c>
    </row>
    <row r="185" ht="162.4" customHeight="1">
      <c r="A185" s="18" t="n">
        <v>181</v>
      </c>
      <c r="B185" s="19" t="n">
        <v>2</v>
      </c>
      <c r="C185" s="20" t="inlineStr">
        <is>
          <t>LP-W-01 / Clarification</t>
        </is>
      </c>
      <c r="D185" s="20" t="inlineStr">
        <is>
          <t>LP-W-01</t>
        </is>
      </c>
      <c r="E185" s="21" t="inlineStr">
        <is>
          <t>Clarification</t>
        </is>
      </c>
      <c r="F185" s="22" t="inlineStr">
        <is>
          <t>Laporan Periode Stasiun (LP-)</t>
        </is>
      </c>
      <c r="G185" s="21" t="inlineStr">
        <is>
          <t>Laporan tampil lengkap setelah periode dan line dipilih</t>
        </is>
      </c>
      <c r="H185" s="22" t="inlineStr">
        <is>
          <t>SPV-A</t>
        </is>
      </c>
      <c r="I185" s="22" t="inlineStr">
        <is>
          <t>periode dengan data terisi pada satu line</t>
        </is>
      </c>
      <c r="J185" s="22" t="inlineStr">
        <is>
          <t>1. Siapkan satu periode untuk stasiun ini dengan data terisi pada satu Production Line.
2. Login di web (buka /login, isi username dan password akun pada kolom Peran, tekan Login) sebagai SPV-A, sidebar → Laporan Stasiun, tekan tile Clarification.
3. Sebelum memilih apa pun, baca isi layar.
4. Pilih Periode. Baca layar lagi.
5. Pilih Production Line.
6. Catat bagian-bagian yang muncul: cakupan, kartu parameter, rekap harian, rekap per unit, dan tombol ekspor.</t>
        </is>
      </c>
      <c r="K185" s="22"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85" s="16" t="inlineStr">
        <is>
          <t>Tinggi</t>
        </is>
      </c>
      <c r="M185" s="22" t="inlineStr"/>
      <c r="N185" s="17" t="inlineStr">
        <is>
          <t>2026-10-12</t>
        </is>
      </c>
      <c r="O185" s="17" t="inlineStr">
        <is>
          <t>Pelaksana QA otomatis</t>
        </is>
      </c>
      <c r="P185" s="45" t="inlineStr">
        <is>
          <t>Lulus</t>
        </is>
      </c>
      <c r="Q185" s="17" t="n"/>
      <c r="R185" s="17" t="inlineStr">
        <is>
          <t>sebelum memilih apa pun: 0 angka di layar (harus 0); sesudah periode "Oktober 2026 · 01–31 Okt 2026 · Terbuka" dipilih saja: 0 angka; sesudah Production Line "Line 1" dipilih juga: bagian Cakupan/Kelengkapan ada=true (tidak setiap keluarga laporan punya bagian ini), kartu parameter ada=true, rekap harian ada=true, tombol ekspor ada=true; nama periode tercetak di layar=true; nama Production Line tercetak=true; galat teknis=false.</t>
        </is>
      </c>
    </row>
    <row r="186" ht="162.4" customHeight="1">
      <c r="A186" s="11" t="n">
        <v>182</v>
      </c>
      <c r="B186" s="12" t="n">
        <v>1</v>
      </c>
      <c r="C186" s="13" t="inlineStr">
        <is>
          <t>LP-W-01 / Kernel Plant</t>
        </is>
      </c>
      <c r="D186" s="13" t="inlineStr">
        <is>
          <t>LP-W-01</t>
        </is>
      </c>
      <c r="E186" s="15" t="inlineStr">
        <is>
          <t>Kernel Plant</t>
        </is>
      </c>
      <c r="F186" s="14" t="inlineStr">
        <is>
          <t>Laporan Periode Stasiun (LP-)</t>
        </is>
      </c>
      <c r="G186" s="15" t="inlineStr">
        <is>
          <t>Laporan tampil lengkap setelah periode dan line dipilih</t>
        </is>
      </c>
      <c r="H186" s="14" t="inlineStr">
        <is>
          <t>SPV-A</t>
        </is>
      </c>
      <c r="I186" s="14" t="inlineStr">
        <is>
          <t>periode dengan data terisi pada satu line</t>
        </is>
      </c>
      <c r="J186" s="14" t="inlineStr">
        <is>
          <t>1. Siapkan satu periode untuk stasiun ini dengan data terisi pada satu Production Line.
2. Login di web (buka /login, isi username dan password akun pada kolom Peran, tekan Login) sebagai SPV-A, sidebar → Laporan Stasiun, tekan tile Kernel Plant.
3. Sebelum memilih apa pun, baca isi layar.
4. Pilih Periode. Baca layar lagi.
5. Pilih Production Line.
6. Catat bagian-bagian yang muncul: cakupan, kartu parameter, rekap harian, rekap per unit, dan tombol ekspor.</t>
        </is>
      </c>
      <c r="K186" s="14"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86" s="16" t="inlineStr">
        <is>
          <t>Tinggi</t>
        </is>
      </c>
      <c r="M186" s="14" t="inlineStr"/>
      <c r="N186" s="17" t="inlineStr">
        <is>
          <t>2026-10-12</t>
        </is>
      </c>
      <c r="O186" s="17" t="inlineStr">
        <is>
          <t>Pelaksana QA otomatis</t>
        </is>
      </c>
      <c r="P186" s="45" t="inlineStr">
        <is>
          <t>Lulus</t>
        </is>
      </c>
      <c r="Q186" s="17" t="n"/>
      <c r="R186" s="17" t="inlineStr">
        <is>
          <t>sebelum memilih apa pun: 0 angka di layar (harus 0); sesudah periode "Oktober 2026 · 01–31 Okt 2026 · Terbuka" dipilih saja: 0 angka; sesudah Production Line "Line 1" dipilih juga: bagian Cakupan/Kelengkapan ada=true (tidak setiap keluarga laporan punya bagian ini), kartu parameter ada=true, rekap harian ada=true, tombol ekspor ada=true; nama periode tercetak di layar=true; nama Production Line tercetak=true; galat teknis=false.</t>
        </is>
      </c>
    </row>
    <row r="187" ht="162.4" customHeight="1">
      <c r="A187" s="18" t="n">
        <v>183</v>
      </c>
      <c r="B187" s="19" t="n">
        <v>2</v>
      </c>
      <c r="C187" s="20" t="inlineStr">
        <is>
          <t>LP-W-01 / Boiler Room</t>
        </is>
      </c>
      <c r="D187" s="20" t="inlineStr">
        <is>
          <t>LP-W-01</t>
        </is>
      </c>
      <c r="E187" s="21" t="inlineStr">
        <is>
          <t>Boiler Room</t>
        </is>
      </c>
      <c r="F187" s="22" t="inlineStr">
        <is>
          <t>Laporan Periode Stasiun (LP-)</t>
        </is>
      </c>
      <c r="G187" s="21" t="inlineStr">
        <is>
          <t>Laporan tampil lengkap setelah periode dan line dipilih</t>
        </is>
      </c>
      <c r="H187" s="22" t="inlineStr">
        <is>
          <t>SPV-A</t>
        </is>
      </c>
      <c r="I187" s="22" t="inlineStr">
        <is>
          <t>periode dengan data terisi pada satu line</t>
        </is>
      </c>
      <c r="J187" s="22" t="inlineStr">
        <is>
          <t>1. Siapkan satu periode untuk stasiun ini dengan data terisi pada satu Production Line.
2. Login di web (buka /login, isi username dan password akun pada kolom Peran, tekan Login) sebagai SPV-A, sidebar → Laporan Stasiun, tekan tile Boiler Room.
3. Sebelum memilih apa pun, baca isi layar.
4. Pilih Periode. Baca layar lagi.
5. Pilih Production Line.
6. Catat bagian-bagian yang muncul: cakupan, kartu parameter, rekap harian, rekap per unit, dan tombol ekspor.</t>
        </is>
      </c>
      <c r="K187" s="22"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87" s="16" t="inlineStr">
        <is>
          <t>Tinggi</t>
        </is>
      </c>
      <c r="M187" s="22" t="inlineStr"/>
      <c r="N187" s="17" t="inlineStr">
        <is>
          <t>2026-10-12</t>
        </is>
      </c>
      <c r="O187" s="17" t="inlineStr">
        <is>
          <t>Pelaksana QA otomatis</t>
        </is>
      </c>
      <c r="P187" s="45" t="inlineStr">
        <is>
          <t>Lulus</t>
        </is>
      </c>
      <c r="Q187" s="17" t="n"/>
      <c r="R187" s="17" t="inlineStr">
        <is>
          <t>sebelum memilih apa pun: 0 angka di layar (harus 0); sesudah periode "Oktober 2026 · 01–31 Okt 2026 · Terbuka" dipilih saja: 0 angka; sesudah Production Line "Line 1" dipilih juga: bagian Cakupan/Kelengkapan ada=true (tidak setiap keluarga laporan punya bagian ini), kartu parameter ada=true, rekap harian ada=true, tombol ekspor ada=true; nama periode tercetak di layar=true; nama Production Line tercetak=true; galat teknis=false.</t>
        </is>
      </c>
    </row>
    <row r="188" ht="162.4" customHeight="1">
      <c r="A188" s="18" t="n">
        <v>184</v>
      </c>
      <c r="B188" s="19" t="n">
        <v>2</v>
      </c>
      <c r="C188" s="20" t="inlineStr">
        <is>
          <t>LP-W-01 / Depricarping</t>
        </is>
      </c>
      <c r="D188" s="20" t="inlineStr">
        <is>
          <t>LP-W-01</t>
        </is>
      </c>
      <c r="E188" s="21" t="inlineStr">
        <is>
          <t>Depricarping</t>
        </is>
      </c>
      <c r="F188" s="22" t="inlineStr">
        <is>
          <t>Laporan Periode Stasiun (LP-)</t>
        </is>
      </c>
      <c r="G188" s="21" t="inlineStr">
        <is>
          <t>Laporan tampil lengkap setelah periode dan line dipilih</t>
        </is>
      </c>
      <c r="H188" s="22" t="inlineStr">
        <is>
          <t>SPV-A</t>
        </is>
      </c>
      <c r="I188" s="22" t="inlineStr">
        <is>
          <t>periode dengan data terisi pada satu line</t>
        </is>
      </c>
      <c r="J188" s="22" t="inlineStr">
        <is>
          <t>1. Siapkan satu periode untuk stasiun ini dengan data terisi pada satu Production Line.
2. Login di web (buka /login, isi username dan password akun pada kolom Peran, tekan Login) sebagai SPV-A, sidebar → Laporan Stasiun, tekan tile Depricarping.
3. Sebelum memilih apa pun, baca isi layar.
4. Pilih Periode. Baca layar lagi.
5. Pilih Production Line.
6. Catat bagian-bagian yang muncul: cakupan, kartu parameter, rekap harian, rekap per unit, dan tombol ekspor.</t>
        </is>
      </c>
      <c r="K188" s="22"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88" s="16" t="inlineStr">
        <is>
          <t>Tinggi</t>
        </is>
      </c>
      <c r="M188" s="22" t="inlineStr"/>
      <c r="N188" s="17" t="inlineStr">
        <is>
          <t>2026-10-12</t>
        </is>
      </c>
      <c r="O188" s="17" t="inlineStr">
        <is>
          <t>Pelaksana QA otomatis</t>
        </is>
      </c>
      <c r="P188" s="45" t="inlineStr">
        <is>
          <t>Lulus</t>
        </is>
      </c>
      <c r="Q188" s="17" t="n"/>
      <c r="R188" s="17" t="inlineStr">
        <is>
          <t>sebelum memilih apa pun: 0 angka di layar (harus 0); sesudah periode "Oktober 2026 · 01–31 Okt 2026 · Terbuka" dipilih saja: 0 angka; sesudah Production Line "Line 1" dipilih juga: bagian Cakupan/Kelengkapan ada=true (tidak setiap keluarga laporan punya bagian ini), kartu parameter ada=true, rekap harian ada=true, tombol ekspor ada=true; nama periode tercetak di layar=true; nama Production Line tercetak=true; galat teknis=false.</t>
        </is>
      </c>
    </row>
    <row r="189" ht="162.4" customHeight="1">
      <c r="A189" s="18" t="n">
        <v>185</v>
      </c>
      <c r="B189" s="19" t="n">
        <v>2</v>
      </c>
      <c r="C189" s="20" t="inlineStr">
        <is>
          <t>LP-W-01 / Storage Tank</t>
        </is>
      </c>
      <c r="D189" s="20" t="inlineStr">
        <is>
          <t>LP-W-01</t>
        </is>
      </c>
      <c r="E189" s="21" t="inlineStr">
        <is>
          <t>Storage Tank</t>
        </is>
      </c>
      <c r="F189" s="22" t="inlineStr">
        <is>
          <t>Laporan Periode Stasiun (LP-)</t>
        </is>
      </c>
      <c r="G189" s="21" t="inlineStr">
        <is>
          <t>Laporan tampil lengkap setelah periode dan line dipilih</t>
        </is>
      </c>
      <c r="H189" s="22" t="inlineStr">
        <is>
          <t>SPV-A</t>
        </is>
      </c>
      <c r="I189" s="22" t="inlineStr">
        <is>
          <t>periode dengan data terisi pada satu line</t>
        </is>
      </c>
      <c r="J189" s="22" t="inlineStr">
        <is>
          <t>1. Siapkan satu periode untuk stasiun ini dengan data terisi pada satu Production Line.
2. Login di web (buka /login, isi username dan password akun pada kolom Peran, tekan Login) sebagai SPV-A, sidebar → Laporan Stasiun, tekan tile Storage Tank.
3. Sebelum memilih apa pun, baca isi layar.
4. Pilih Periode. Baca layar lagi.
5. Pilih Production Line.
6. Catat bagian-bagian yang muncul: cakupan, kartu parameter, rekap harian, rekap per unit, dan tombol ekspor.</t>
        </is>
      </c>
      <c r="K189" s="22"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89" s="16" t="inlineStr">
        <is>
          <t>Tinggi</t>
        </is>
      </c>
      <c r="M189" s="22" t="inlineStr"/>
      <c r="N189" s="17" t="inlineStr">
        <is>
          <t>2026-10-12</t>
        </is>
      </c>
      <c r="O189" s="17" t="inlineStr">
        <is>
          <t>Pelaksana QA otomatis</t>
        </is>
      </c>
      <c r="P189" s="45" t="inlineStr">
        <is>
          <t>Lulus</t>
        </is>
      </c>
      <c r="Q189" s="17" t="n"/>
      <c r="R189" s="17" t="inlineStr">
        <is>
          <t>sebelum memilih apa pun: 0 angka di layar (harus 0); sesudah periode "Oktober 2026 · 01–31 Okt 2026 · Terbuka" dipilih saja: 0 angka; sesudah Production Line "Line 1" dipilih juga: bagian Cakupan/Kelengkapan ada=true (tidak setiap keluarga laporan punya bagian ini), kartu parameter ada=true, rekap harian ada=true, tombol ekspor ada=true; nama periode tercetak di layar=true; nama Production Line tercetak=true; galat teknis=false.</t>
        </is>
      </c>
    </row>
    <row r="190" ht="122.8" customHeight="1">
      <c r="A190" s="11" t="n">
        <v>186</v>
      </c>
      <c r="B190" s="12" t="n">
        <v>1</v>
      </c>
      <c r="C190" s="13" t="inlineStr">
        <is>
          <t>LP-W-02 / Kernel Plant</t>
        </is>
      </c>
      <c r="D190" s="13" t="inlineStr">
        <is>
          <t>LP-W-02</t>
        </is>
      </c>
      <c r="E190" s="15" t="inlineStr">
        <is>
          <t>Kernel Plant</t>
        </is>
      </c>
      <c r="F190" s="14" t="inlineStr">
        <is>
          <t>Laporan Periode Stasiun (LP-)</t>
        </is>
      </c>
      <c r="G190" s="15" t="inlineStr">
        <is>
          <t>Cakupan pencatatan berada DI ATAS semua angka lain</t>
        </is>
      </c>
      <c r="H190" s="14" t="inlineStr">
        <is>
          <t>SPV-A</t>
        </is>
      </c>
      <c r="I190" s="14" t="inlineStr">
        <is>
          <t>—</t>
        </is>
      </c>
      <c r="J190" s="14" t="inlineStr">
        <is>
          <t>1. Login di web, sidebar &gt; Laporan Stasiun (/reports), tekan tile Kernel Plant (/reports/kernel-plant), lalu pilih Periode dan Production Line, pilih periode dan line yang punya data.
2. Gulir ke paling atas.
3. Catat urutan bagian dari atas ke bawah.
4. Tentukan posisi bagian Cakupan Pencatatan relatif terhadap kartu parameter.</t>
        </is>
      </c>
      <c r="K190" s="14" t="inlineStr">
        <is>
          <t>- Bagian Cakupan Pencatatan berada di atas seluruh kartu parameter.
- Pembaca melihat seberapa lengkap datanya sebelum melihat angka rata-ratanya.
- Kalau cakupan ada di bawah, itu temuan: angka rata-rata dari 2 slot terbaca sama meyakinkan dengan dari 400 slot.</t>
        </is>
      </c>
      <c r="L190" s="16" t="inlineStr">
        <is>
          <t>Tinggi</t>
        </is>
      </c>
      <c r="M190" s="14" t="inlineStr">
        <is>
          <t>periode yang baru terisi seperlima pun menghasilkan rata-rata yang terlihat rapi. Pembaca harus melihat seberapa lengkap datanya sebelum mempercayai angkanya — itu sebabnya urutan ini diuji.</t>
        </is>
      </c>
      <c r="N190" s="17" t="inlineStr">
        <is>
          <t>2026-10-12</t>
        </is>
      </c>
      <c r="O190" s="17" t="inlineStr">
        <is>
          <t>Pelaksana QA otomatis</t>
        </is>
      </c>
      <c r="P190" s="45" t="inlineStr">
        <is>
          <t>Lulus</t>
        </is>
      </c>
      <c r="Q190" s="17" t="n"/>
      <c r="R190" s="17" t="inlineStr">
        <is>
          <t>periode "QA Racikan · 01–30 Apr 2026 · Terbuka", line "Line 1". Posisi tegak bagian Cakupan Pencatatan=436px dan kartu parameter=757.5px — Cakupan berada di ATAS kartu parameter=true. Pembaca melihat seberapa lengkap datanya sebelum melihat rata-ratanya.</t>
        </is>
      </c>
    </row>
    <row r="191" ht="162.4" customHeight="1">
      <c r="A191" s="11" t="n">
        <v>187</v>
      </c>
      <c r="B191" s="12" t="n">
        <v>1</v>
      </c>
      <c r="C191" s="13" t="inlineStr">
        <is>
          <t>LP-W-03 / Kernel Plant</t>
        </is>
      </c>
      <c r="D191" s="13" t="inlineStr">
        <is>
          <t>LP-W-03</t>
        </is>
      </c>
      <c r="E191" s="15" t="inlineStr">
        <is>
          <t>Kernel Plant</t>
        </is>
      </c>
      <c r="F191" s="14" t="inlineStr">
        <is>
          <t>Laporan Periode Stasiun (LP-)</t>
        </is>
      </c>
      <c r="G191" s="15" t="inlineStr">
        <is>
          <t>Setiap parameter mencetak penyebutnya sendiri</t>
        </is>
      </c>
      <c r="H191" s="14" t="inlineStr">
        <is>
          <t>SPV-A</t>
        </is>
      </c>
      <c r="I191" s="14" t="inlineStr">
        <is>
          <t>periode yang kolom-kolomnya terisi tidak sama banyak (mis. satu kolom 6 slot, kolom lain 2 slot)</t>
        </is>
      </c>
      <c r="J191" s="14" t="inlineStr">
        <is>
          <t>1. Siapkan satu periode yang kolom-kolomnya terisi tidak sama banyak — mis. satu kolom terisi pada 6 slot, kolom lain hanya 2 slot.
2. Login di web, sidebar &gt; Laporan Stasiun (/reports), tekan tile Kernel Plant (/reports/kernel-plant), lalu pilih Periode dan Production Line dengan periode itu.
3. Baca setiap kartu parameter dan catat penyebut yang tertulis pada masing-masing.
4. Bandingkan penyebut antar kartu.
5. Catat juga angka slot terisi pada bagian Cakupan.</t>
        </is>
      </c>
      <c r="K191" s="14"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91" s="16" t="inlineStr">
        <is>
          <t>Tinggi</t>
        </is>
      </c>
      <c r="M191" s="14" t="inlineStr"/>
      <c r="N191" s="17" t="inlineStr">
        <is>
          <t>2026-10-12</t>
        </is>
      </c>
      <c r="O191" s="17" t="inlineStr">
        <is>
          <t>Pelaksana QA otomatis</t>
        </is>
      </c>
      <c r="P191" s="45" t="inlineStr">
        <is>
          <t>Lulus</t>
        </is>
      </c>
      <c r="Q191" s="17" t="n"/>
      <c r="R191" s="17" t="inlineStr">
        <is>
          <t>periode "QA Racikan · 01–30 Apr 2026 · Terbuka" (kolom-kolomnya sengaja terisi tidak sama banyak), line "Line 1". 7 kartu parameter, masing-masing mencetak penyebutnya sendiri=true; nilai penyebut yang berbeda-beda=3 (22 dari 22 slot | 0 dari 22 slot | 5 dari 22 slot) — jadi tidak ada satu penyebut bersama yang dipakai semua kartu=true; slot terisi pada Cakupan="Slot Terisi 22 dari 1.440 slot 1,5% slot dihitung terisi bila minimal satu dari sembilan kolom bacaan diisi — ketujuh kolom ukur, menit downtime, atau temuan; definisinya dipinjam dari layar input itu sendiri, bukan diturunkan ulang di sini" (boleh lebih besar daripada penyebut kartu mana pun).</t>
        </is>
      </c>
    </row>
    <row r="192" ht="149.2" customHeight="1">
      <c r="A192" s="11" t="n">
        <v>188</v>
      </c>
      <c r="B192" s="12" t="n">
        <v>1</v>
      </c>
      <c r="C192" s="13" t="inlineStr">
        <is>
          <t>LP-W-04 / Kernel Plant</t>
        </is>
      </c>
      <c r="D192" s="13" t="inlineStr">
        <is>
          <t>LP-W-04</t>
        </is>
      </c>
      <c r="E192" s="15" t="inlineStr">
        <is>
          <t>Kernel Plant</t>
        </is>
      </c>
      <c r="F192" s="14" t="inlineStr">
        <is>
          <t>Laporan Periode Stasiun (LP-)</t>
        </is>
      </c>
      <c r="G192" s="15" t="inlineStr">
        <is>
          <t>Semua baris parameter tetap tampil, termasuk yang tak pernah diukur</t>
        </is>
      </c>
      <c r="H192" s="14" t="inlineStr">
        <is>
          <t>SPV-A</t>
        </is>
      </c>
      <c r="I192" s="14" t="inlineStr">
        <is>
          <t>satu kolom yang tidak pernah diisi sepanjang periode</t>
        </is>
      </c>
      <c r="J192" s="14" t="inlineStr">
        <is>
          <t>1. Siapkan periode di mana satu kolom bacaan tidak pernah diisi sepanjang periode.
2. Login di web, sidebar &gt; Laporan Stasiun (/reports), tekan tile Kernel Plant (/reports/kernel-plant), lalu pilih Periode dan Production Line dengan periode itu.
3. Hitung jumlah kartu parameter dan bandingkan dengan jumlah kolom bacaan stasiun itu (matriks 4.2).
4. Cari kartu milik kolom yang tidak pernah diisi, dan baca isinya.</t>
        </is>
      </c>
      <c r="K192" s="14"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92" s="16" t="inlineStr">
        <is>
          <t>Tinggi</t>
        </is>
      </c>
      <c r="M192" s="14" t="inlineStr">
        <is>
          <t>baris yang hilang terbaca "parameter ini tidak ada", padahal yang benar "tidak ada yang mengukurnya".</t>
        </is>
      </c>
      <c r="N192" s="17" t="inlineStr">
        <is>
          <t>2026-10-12</t>
        </is>
      </c>
      <c r="O192" s="17" t="inlineStr">
        <is>
          <t>Pelaksana QA otomatis</t>
        </is>
      </c>
      <c r="P192" s="45" t="inlineStr">
        <is>
          <t>Lulus</t>
        </is>
      </c>
      <c r="Q192" s="17" t="n"/>
      <c r="R192" s="17" t="inlineStr">
        <is>
          <t>periode "QA Racikan · 01–30 Apr 2026 · Terbuka", line "Line 1": 7 kartu parameter tampil. Kernel Plant punya 9 kolom bacaan, dan dua di antaranya — downtime dan temuan — punya bloknya sendiri (blok downtime ada=true, blok temuan ada=true), jadi 7 kartu + 2 blok = 9 kolom, tidak ada yang disembunyikan. Baris untuk kolom yang sengaja tidak pernah diisi sepanjang periode berbunyi "Claybath / Hydrocyclone (SG) standar master: Claybath / Hydrocyclone tidak tersedia tidak tersedia tidak tersedia 0 dari" — menyatakan ketiadaan pengukuran, bukan angka 0=true. Jumlah baris yang menyatakan belum ada pengukuran=4.</t>
        </is>
      </c>
    </row>
    <row r="193" ht="149.2" customHeight="1">
      <c r="A193" s="11" t="n">
        <v>189</v>
      </c>
      <c r="B193" s="12" t="n">
        <v>1</v>
      </c>
      <c r="C193" s="13" t="inlineStr">
        <is>
          <t>LP-W-05 / Kernel Plant</t>
        </is>
      </c>
      <c r="D193" s="13" t="inlineStr">
        <is>
          <t>LP-W-05</t>
        </is>
      </c>
      <c r="E193" s="15" t="inlineStr">
        <is>
          <t>Kernel Plant</t>
        </is>
      </c>
      <c r="F193" s="14" t="inlineStr">
        <is>
          <t>Laporan Periode Stasiun (LP-)</t>
        </is>
      </c>
      <c r="G193" s="15" t="inlineStr">
        <is>
          <t>Persen cakupan: tanda pisah vs 0,0%</t>
        </is>
      </c>
      <c r="H193" s="14" t="inlineStr">
        <is>
          <t>SPV-A</t>
        </is>
      </c>
      <c r="I193" s="14" t="inlineStr">
        <is>
          <t>dua keadaan — (a) periode tanpa satu record pun, (b) periode yang punya record tapi seluruh kolomnya kosong</t>
        </is>
      </c>
      <c r="J193" s="14" t="inlineStr">
        <is>
          <t>1. Siapkan dua periode: (a) periode tanpa satu record pun, dan (b) periode yang punya record tapi seluruh kolom bacaannya kosong.
2. Login di web, sidebar &gt; Laporan Stasiun (/reports), tekan tile Kernel Plant (/reports/kernel-plant), lalu pilih Periode dan Production Line dengan periode (a). Baca persen cakupannya.
3. Ganti ke periode (b). Baca persen cakupannya.
4. Bandingkan keduanya.</t>
        </is>
      </c>
      <c r="K193" s="14"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93" s="16" t="inlineStr">
        <is>
          <t>Tinggi</t>
        </is>
      </c>
      <c r="M193" s="14" t="inlineStr">
        <is>
          <t>keduanya benar dan berbeda. (a) penyebutnya tak terbentuk — tak ada unit untuk dihitung. (b) penyebutnya ada, dan nol dari sekian slot memang terisi. Kalau keduanya terlihat sama, itu bug.</t>
        </is>
      </c>
      <c r="N193" s="17" t="inlineStr">
        <is>
          <t>2026-10-12</t>
        </is>
      </c>
      <c r="O193" s="17" t="inlineStr">
        <is>
          <t>Pelaksana QA otomatis</t>
        </is>
      </c>
      <c r="P193" s="45" t="inlineStr">
        <is>
          <t>Lulus</t>
        </is>
      </c>
      <c r="Q193" s="17" t="n"/>
      <c r="R193" s="17" t="inlineStr">
        <is>
          <t>(a) periode "QA Tanpa Record · 01–30 Jun 2026 · Terbuka" tanpa satu record pun → persen cakupan tercetak "—" (tanda pisah, karena penyebutnya tidak terbentuk)=true; (b) periode "QA Kolom Kosong · 01–31 Mei 2026 · Terbuka" berisi record tetapi seluruh kolom ukurnya kosong → persen cakupan tercetak "0,0%" (0,0%, karena penyebutnya ada dan yang terisi nol)=true; keduanya berbeda=true. Keduanya benar dan memang harus berbeda.</t>
        </is>
      </c>
    </row>
    <row r="194" ht="122.8" customHeight="1">
      <c r="A194" s="11" t="n">
        <v>190</v>
      </c>
      <c r="B194" s="12" t="n">
        <v>1</v>
      </c>
      <c r="C194" s="13" t="inlineStr">
        <is>
          <t>LP-W-06 / Kernel Plant</t>
        </is>
      </c>
      <c r="D194" s="13" t="inlineStr">
        <is>
          <t>LP-W-06</t>
        </is>
      </c>
      <c r="E194" s="15" t="inlineStr">
        <is>
          <t>Kernel Plant</t>
        </is>
      </c>
      <c r="F194" s="14" t="inlineStr">
        <is>
          <t>Laporan Periode Stasiun (LP-)</t>
        </is>
      </c>
      <c r="G194" s="15" t="inlineStr">
        <is>
          <t>Periode belum mulai dijelaskan sebagai BELUM MULAI</t>
        </is>
      </c>
      <c r="H194" s="14" t="inlineStr">
        <is>
          <t>SPV-A</t>
        </is>
      </c>
      <c r="I194" s="14" t="inlineStr">
        <is>
          <t>periode yang tanggal mulainya di masa depan</t>
        </is>
      </c>
      <c r="J194" s="14" t="inlineStr">
        <is>
          <t>1. Sebagai ADM, siapkan satu periode yang tanggal mulainya di masa depan.
2. Login di web, sidebar &gt; Laporan Stasiun (/reports), tekan tile Kernel Plant (/reports/kernel-plant), lalu pilih Periode dan Production Line, pilih periode itu dan satu line.
3. Baca keterangan di bagian Cakupan.
4. Baca angka hari yang dihitung dan persen cakupannya.</t>
        </is>
      </c>
      <c r="K194" s="14"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94" s="16" t="inlineStr">
        <is>
          <t>Tinggi</t>
        </is>
      </c>
      <c r="M194" s="14" t="inlineStr">
        <is>
          <t>kedua keterangan ini mudah tertukar di sistem. Kalau periode masa depan dijelaskan "sedang berjalan", itu bug.</t>
        </is>
      </c>
      <c r="N194" s="17" t="inlineStr">
        <is>
          <t>2026-10-12</t>
        </is>
      </c>
      <c r="O194" s="17" t="inlineStr">
        <is>
          <t>Pelaksana QA otomatis</t>
        </is>
      </c>
      <c r="P194" s="45" t="inlineStr">
        <is>
          <t>Lulus</t>
        </is>
      </c>
      <c r="Q194" s="17" t="n"/>
      <c r="R194" s="17" t="inlineStr">
        <is>
          <t>periode "QA Masa Depan · 01–28 Feb 2027 · Terbuka" (tanggal mulainya di masa depan), line "Line 1": keterangan menyebut periode belum mulai=true ("periode BELUM MULAI, sehingga belum ada hari yang dapat dijadikan pembagi — persennya dirender sebagai “—”, bu"); TIDAK menyebut "sedang berjalan"=true (""); jumlah hari yang dihitung="Hari Dihitung 0 dari 28 hari periode record berstatus draft IKUT terhitung pada seluruh angka laporan ini" (nol dan dinyatakan=true); persen cakupan="—" (tanda pisah, bukan 0,0%=true).</t>
        </is>
      </c>
    </row>
    <row r="195" ht="175.6" customHeight="1">
      <c r="A195" s="11" t="n">
        <v>191</v>
      </c>
      <c r="B195" s="12" t="n">
        <v>1</v>
      </c>
      <c r="C195" s="13" t="inlineStr">
        <is>
          <t>LP-W-07 / Kernel Plant</t>
        </is>
      </c>
      <c r="D195" s="13" t="inlineStr">
        <is>
          <t>LP-W-07</t>
        </is>
      </c>
      <c r="E195" s="15" t="inlineStr">
        <is>
          <t>Kernel Plant</t>
        </is>
      </c>
      <c r="F195" s="14" t="inlineStr">
        <is>
          <t>Laporan Periode Stasiun (LP-)</t>
        </is>
      </c>
      <c r="G195" s="15" t="inlineStr">
        <is>
          <t>Periode sedang berjalan: penyebut berhenti di hari ini</t>
        </is>
      </c>
      <c r="H195" s="14" t="inlineStr">
        <is>
          <t>SPV-A</t>
        </is>
      </c>
      <c r="I195" s="14" t="inlineStr">
        <is>
          <t>periode yang sudah mulai dan belum berakhir</t>
        </is>
      </c>
      <c r="J195" s="14" t="inlineStr">
        <is>
          <t>1. Siapkan satu periode yang sudah mulai dan belum berakhir (hari ini berada di tengahnya).
2. Login di web, sidebar &gt; Laporan Stasiun (/reports), tekan tile Kernel Plant (/reports/kernel-plant),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95" s="14" t="inlineStr">
        <is>
          <t>- Keterangannya menyebut periode sedang berjalan.
- Jumlah hari yang dihitung berhenti di hari ini — bukan seluruh panjang periode.
- Kalau yang dipakai seluruh panjang periode, persen cakupan akan selalu terlihat rendah sampai periode berakhir; itu temuan.</t>
        </is>
      </c>
      <c r="L195" s="16" t="inlineStr">
        <is>
          <t>Tinggi</t>
        </is>
      </c>
      <c r="M195" s="14" t="inlineStr"/>
      <c r="N195" s="17" t="inlineStr">
        <is>
          <t>2026-10-12</t>
        </is>
      </c>
      <c r="O195" s="17" t="inlineStr">
        <is>
          <t>Pelaksana QA otomatis</t>
        </is>
      </c>
      <c r="P195" s="45" t="inlineStr">
        <is>
          <t>Lulus</t>
        </is>
      </c>
      <c r="Q195" s="17" t="n"/>
      <c r="R195" s="17" t="inlineStr">
        <is>
          <t>periode "Oktober 2026 · 01–31 Okt 2026 · Terbuka" (01–31 Oktober 2026), line "Line 1": keterangan menyebut periode sedang berjalan=true ("dihitung sampai 12 Okt 2026 — periode masih berjalan, dan hari yang belum terjadi tidak mungkin tercatat"); jumlah hari yang dihitung="Hari Dihitung 12 dari 31 hari periode record berstatus draft IKUT terhitung pada seluruh angka laporan ini" → 12 hari. Dihitung sendiri dari tanggal mulai sampai hari ini = 12 hari (cocok=true); bukan seluruh panjang periode yang 31 hari (=true).</t>
        </is>
      </c>
    </row>
    <row r="196" ht="96.39999999999999" customHeight="1">
      <c r="A196" s="11" t="n">
        <v>192</v>
      </c>
      <c r="B196" s="12" t="n">
        <v>1</v>
      </c>
      <c r="C196" s="13" t="inlineStr">
        <is>
          <t>LP-W-08 / Kernel Plant</t>
        </is>
      </c>
      <c r="D196" s="13" t="inlineStr">
        <is>
          <t>LP-W-08</t>
        </is>
      </c>
      <c r="E196" s="15" t="inlineStr">
        <is>
          <t>Kernel Plant</t>
        </is>
      </c>
      <c r="F196" s="14" t="inlineStr">
        <is>
          <t>Laporan Periode Stasiun (LP-)</t>
        </is>
      </c>
      <c r="G196" s="15" t="inlineStr">
        <is>
          <t>Mill tanpa periode stasiun itu memberi arahan</t>
        </is>
      </c>
      <c r="H196" s="14" t="inlineStr">
        <is>
          <t>SPV-A</t>
        </is>
      </c>
      <c r="I196" s="14" t="inlineStr">
        <is>
          <t>mill yang belum punya periode mencakup stasiun itu</t>
        </is>
      </c>
      <c r="J196" s="14" t="inlineStr">
        <is>
          <t>1. Siapkan satu mill yang belum punya periode mencakup stasiun ini.
2. Login di web (buka /login, isi username dan password akun pada kolom Peran, tekan Login) sebagai ADM, buka laporan Kernel Plant, lalu pilih mill itu.
3. Baca isi layar dan pemilih periodenya.</t>
        </is>
      </c>
      <c r="K196" s="14" t="inlineStr">
        <is>
          <t>- Muncul arahan yang menyebut periode — mis. agar Admin membuat periode lebih dulu.
- Pemilih periode tetap ada, dalam keadaan kosong.
- BUKAN layar kosong, BUKAN tabel nol baris, BUKAN angka 0.</t>
        </is>
      </c>
      <c r="L196" s="11" t="inlineStr">
        <is>
          <t>Sedang</t>
        </is>
      </c>
      <c r="M196" s="14" t="inlineStr"/>
      <c r="N196" s="17" t="inlineStr">
        <is>
          <t>2026-10-12</t>
        </is>
      </c>
      <c r="O196" s="17" t="inlineStr">
        <is>
          <t>Pelaksana QA otomatis</t>
        </is>
      </c>
      <c r="P196" s="45" t="inlineStr">
        <is>
          <t>Lulus</t>
        </is>
      </c>
      <c r="Q196" s="17" t="n"/>
      <c r="R196" s="17" t="inlineStr">
        <is>
          <t>mill "BU Browser Test" (belum punya periode sama sekali) dipilih: arahan yang menyebut periode muncul=true ("Mills Smart Log Dashboard Production Process Activity Laporan Stasiun Struktur Mills Struktur Organisasi Kelola Station Kelola Mesin Kelola Periode Pelaporan Mi"); kartu parameter yang tergambar=false (harus false); pemilih periode tetap ada=true dalam keadaan kosong (0 pilihan); bukan layar kosong dan bukan angka 0=true.</t>
        </is>
      </c>
    </row>
    <row r="197" ht="281.2" customHeight="1">
      <c r="A197" s="11" t="n">
        <v>193</v>
      </c>
      <c r="B197" s="12" t="n">
        <v>1</v>
      </c>
      <c r="C197" s="13" t="inlineStr">
        <is>
          <t>LP-W-09 / Kernel Plant</t>
        </is>
      </c>
      <c r="D197" s="13" t="inlineStr">
        <is>
          <t>LP-W-09</t>
        </is>
      </c>
      <c r="E197" s="15" t="inlineStr">
        <is>
          <t>Kernel Plant</t>
        </is>
      </c>
      <c r="F197" s="14" t="inlineStr">
        <is>
          <t>Laporan Periode Stasiun (LP-)</t>
        </is>
      </c>
      <c r="G197" s="15" t="inlineStr">
        <is>
          <t>Admin berganti mill mereset pilihan periode dan line</t>
        </is>
      </c>
      <c r="H197" s="14" t="inlineStr">
        <is>
          <t>ADM</t>
        </is>
      </c>
      <c r="I197" s="14" t="inlineStr">
        <is>
          <t>2 mill, keduanya punya data</t>
        </is>
      </c>
      <c r="J197" s="14" t="inlineStr">
        <is>
          <t>1. Siapkan 2 mill yang keduanya punya periode dan data untuk stasiun ini.
2. Login di web, sidebar &gt; Laporan Stasiun (/reports), tekan tile Kernel Plant (/reports/kernel-plant), lalu pilih Periode dan Production Line sebagai ADM. Pilih Mill A, satu periode, dan satu line. Catat angkanya.
3. Ganti pemilih Mill ke Mill B.
4. Baca pemilih periode dan pemilih line, serta area angka.
5. Pilih periode dan line Mill B, lalu catat angkanya.</t>
        </is>
      </c>
      <c r="K197" s="14"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97" s="16" t="inlineStr">
        <is>
          <t>Tinggi</t>
        </is>
      </c>
      <c r="M197" s="14" t="inlineStr">
        <is>
          <t>periksa keduanya terpisah. Yang paling berbahaya adalah angka atau nama Production Line mill lama yang tertinggal — itu bug prioritas tinggi. Bila yang terjadi hanya pemilih periode yang langsung mendarat pada satu-satunya periode mill baru (sementara line tetap kosong dan angkanya tetap belum muncul), catat itu apa adanya sebagai selisih dari hasil yang diharapkan: tidak ada data yang bocor, tetapi pembaca mendapat periode yang tidak pernah ia pilih. Sebutkan nama periode yang terpilih sendiri itu dalam laporan Anda.</t>
        </is>
      </c>
      <c r="N197" s="17" t="inlineStr">
        <is>
          <t>2026-10-12</t>
        </is>
      </c>
      <c r="O197" s="17" t="inlineStr">
        <is>
          <t>Pelaksana QA otomatis</t>
        </is>
      </c>
      <c r="P197" s="8" t="inlineStr">
        <is>
          <t>Gagal</t>
        </is>
      </c>
      <c r="Q197" s="17" t="n"/>
      <c r="R197" s="17" t="inlineStr">
        <is>
          <t>Mill "Business Unit A" dengan line "Line 1" dan periode "Oktober 2026 · 01–31 Okt 2026 · Terbuka" menampilkan 7 baris parameter. Sesudah pemilih Mill diganti ke "Business Unit B": pilihan periode dan line direset ke kosong=false (periode terpilih="Oktober 2026 · 01–31 Okt 2026 · Draft" nilai="a2f55e29-e826-40de-960d-a1afc10b76da", line terpilih="Pilih Line" nilai=""); angka mill sebelumnya hilang dari layar=true (0 baris); daftar periode ikut berganti mengikuti mill baru=true (7 → 1 pilihan). Keadaan laporan sesudahnya: petunjuk di layar="Pilih production line terlebih dahulu Laporan Kernel Plant menghasilkan angka gabungan per", rentang pada kepala laporan="01 Okt 2026 – 31 Okt 2026". Tidak ada data mill sebelumnya yang bocor; yang menjadi masalah adalah pemilih periode TERLIHAT berisi pilihan sementara laporannya menganggap belum ada periode yang dipilih.</t>
        </is>
      </c>
    </row>
    <row r="198" ht="162.4" customHeight="1">
      <c r="A198" s="11" t="n">
        <v>194</v>
      </c>
      <c r="B198" s="12" t="n">
        <v>1</v>
      </c>
      <c r="C198" s="13" t="inlineStr">
        <is>
          <t>LP-W-10 / Kernel Plant</t>
        </is>
      </c>
      <c r="D198" s="13" t="inlineStr">
        <is>
          <t>LP-W-10</t>
        </is>
      </c>
      <c r="E198" s="15" t="inlineStr">
        <is>
          <t>Kernel Plant</t>
        </is>
      </c>
      <c r="F198" s="14" t="inlineStr">
        <is>
          <t>Laporan Periode Stasiun (LP-)</t>
        </is>
      </c>
      <c r="G198" s="15" t="inlineStr">
        <is>
          <t>Rekap harian dapat ditutup tanpa mengubah angka</t>
        </is>
      </c>
      <c r="H198" s="14" t="inlineStr">
        <is>
          <t>SPV-A</t>
        </is>
      </c>
      <c r="I198" s="14" t="inlineStr">
        <is>
          <t>—</t>
        </is>
      </c>
      <c r="J198" s="14" t="inlineStr">
        <is>
          <t>1. Login di web, sidebar &gt; Laporan Stasiun (/reports), tekan tile Kernel Plant (/reports/kernel-plant),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98" s="14" t="inlineStr">
        <is>
          <t>- Rekap Harian terbuka secara bawaan.
- Menutupnya tidak mengubah satu angka pun di bagian lain.
- Membukanya kembali menampilkan isi yang sama.</t>
        </is>
      </c>
      <c r="L198" s="11" t="inlineStr">
        <is>
          <t>Rendah</t>
        </is>
      </c>
      <c r="M198" s="14" t="inlineStr"/>
      <c r="N198" s="17" t="inlineStr">
        <is>
          <t>2026-10-12</t>
        </is>
      </c>
      <c r="O198" s="17" t="inlineStr">
        <is>
          <t>Pelaksana QA otomatis</t>
        </is>
      </c>
      <c r="P198" s="45" t="inlineStr">
        <is>
          <t>Lulus</t>
        </is>
      </c>
      <c r="Q198" s="17" t="n"/>
      <c r="R198" s="17" t="inlineStr">
        <is>
          <t>periode "QA Racikan · 01–30 Apr 2026 · Terbuka", line "Line 1": Rekap Harian terbuka secara bawaan=true; dapat ditutup=true; angka kartu parameter dan Cakupan tidak berubah sedikit pun saat ditutup=true; dibuka kembali menampilkan isi yang sama=true (3 baris harian).</t>
        </is>
      </c>
    </row>
    <row r="199" ht="188.8" customHeight="1">
      <c r="A199" s="11" t="n">
        <v>195</v>
      </c>
      <c r="B199" s="12" t="n">
        <v>1</v>
      </c>
      <c r="C199" s="13" t="inlineStr">
        <is>
          <t>LP-W-11 / Kernel Plant</t>
        </is>
      </c>
      <c r="D199" s="13" t="inlineStr">
        <is>
          <t>LP-W-11</t>
        </is>
      </c>
      <c r="E199" s="15" t="inlineStr">
        <is>
          <t>Kernel Plant</t>
        </is>
      </c>
      <c r="F199" s="14" t="inlineStr">
        <is>
          <t>Laporan Periode Stasiun (LP-)</t>
        </is>
      </c>
      <c r="G199" s="15" t="inlineStr">
        <is>
          <t>Baris total periode bukan rata-rata dari rata-rata harian</t>
        </is>
      </c>
      <c r="H199" s="14" t="inlineStr">
        <is>
          <t>SPV-A</t>
        </is>
      </c>
      <c r="I199" s="14" t="inlineStr">
        <is>
          <t>periode yang jumlah slot per harinya tidak sama (mis. hari-1 isi 2 slot, hari-2 isi 20 slot) dengan nilai yang berbeda jauh</t>
        </is>
      </c>
      <c r="J199" s="14" t="inlineStr">
        <is>
          <t>1. Siapkan periode dengan jumlah slot per hari yang sangat tidak sama — mis. hari-1 hanya 2 slot terisi dengan nilai tinggi, hari-2 20 slot terisi dengan nilai rendah.
2. Login di web, sidebar &gt; Laporan Stasiun (/reports), tekan tile Kernel Plant (/reports/kernel-plant), lalu pilih Periode dan Production Line dengan periode itu.
3. Catat rata-rata hari-1 dan rata-rata hari-2 pada Rekap Harian.
4. Hitung sendiri rata-rata dari kedua angka itu (jumlahkan lalu bagi 2).
5. Catat angka pada baris total periode.
6. Bandingkan langkah 4 dengan langkah 5.</t>
        </is>
      </c>
      <c r="K199" s="14" t="inlineStr">
        <is>
          <t>- Angka total periode berbeda dari hasil hitungan langkah 4.
- Total periode dihitung ulang dari seluruh slot, bukan dirata-ratakan dari rata-rata harian.
- Kalau keduanya sama, itu temuan: hari dengan 2 slot akan berbobot sama dengan hari 20 slot.</t>
        </is>
      </c>
      <c r="L199" s="11" t="inlineStr">
        <is>
          <t>Sedang</t>
        </is>
      </c>
      <c r="M199" s="14" t="inlineStr"/>
      <c r="N199" s="17" t="inlineStr">
        <is>
          <t>2026-10-12</t>
        </is>
      </c>
      <c r="O199" s="17" t="inlineStr">
        <is>
          <t>Pelaksana QA otomatis</t>
        </is>
      </c>
      <c r="P199" s="45" t="inlineStr">
        <is>
          <t>Lulus</t>
        </is>
      </c>
      <c r="Q199" s="17" t="n"/>
      <c r="R199" s="17" t="inlineStr">
        <is>
          <t>periode "QA Racikan · 01–30 Apr 2026 · Terbuka" (hari-1 hanya 2 slot bernilai tinggi, hari-2 20 slot bernilai rendah), line "Line 1". Rata-rata hari-1=2, hari-2=20; rata-rata dari kedua angka itu=11.00; angka pada baris total periode=22. Keduanya berbeda=true — total periode dihitung ulang dari SELURUH slot, bukan dirata-ratakan dari rata-rata harian (kalau sama, hari 2 slot akan berbobot sama dengan hari 20 slot).</t>
        </is>
      </c>
    </row>
    <row r="200" ht="175.6" customHeight="1">
      <c r="A200" s="11" t="n">
        <v>196</v>
      </c>
      <c r="B200" s="12" t="n">
        <v>1</v>
      </c>
      <c r="C200" s="13" t="inlineStr">
        <is>
          <t>LP-W-12 / Kernel Plant</t>
        </is>
      </c>
      <c r="D200" s="13" t="inlineStr">
        <is>
          <t>LP-W-12</t>
        </is>
      </c>
      <c r="E200" s="15" t="inlineStr">
        <is>
          <t>Kernel Plant</t>
        </is>
      </c>
      <c r="F200" s="14" t="inlineStr">
        <is>
          <t>Laporan Periode Stasiun (LP-)</t>
        </is>
      </c>
      <c r="G200" s="15" t="inlineStr">
        <is>
          <t>Downtime: tanda pisah vs nol yang tercatat</t>
        </is>
      </c>
      <c r="H200" s="14" t="inlineStr">
        <is>
          <t>SPV-A</t>
        </is>
      </c>
      <c r="I200" s="14" t="inlineStr">
        <is>
          <t>stasiun yang punya kolom downtime angka (Depricarping, Kernel Plant). Dua keadaan: (a) tak satu slot pun mengisi downtime, (b) beberapa slot mengisi 0 menit</t>
        </is>
      </c>
      <c r="J200" s="14" t="inlineStr">
        <is>
          <t>1. Pilih stasiun yang punya kolom downtime angka: Depricarping atau Kernel Plant.
2. Siapkan periode (a) di mana tidak satu slot pun mengisi downtime.
3. Login di web, sidebar &gt; Laporan Stasiun (/reports), tekan tile Kernel Plant (/reports/kernel-plant), lalu pilih Periode dan Production Line untuk stasiun itu dengan periode (a). Baca blok downtime dan rekap per unit.
4. Siapkan periode (b) di mana beberapa slot mengisi downtime dengan nilai 0.
5. Ganti ke periode (b) dan baca blok downtime lagi.</t>
        </is>
      </c>
      <c r="K200" s="14" t="inlineStr">
        <is>
          <t>- Periode (a): downtime tampil sebagai tanda pisah "—" atau keterangan ketiadaan, bukan 0 menit.
- Periode (b): downtime tampil sebagai 0 menit — nol yang benar-benar terukur.
- Keduanya berbeda: tidak pernah dicatat bukan hal yang sama dengan dicatat nol.</t>
        </is>
      </c>
      <c r="L200" s="16" t="inlineStr">
        <is>
          <t>Tinggi</t>
        </is>
      </c>
      <c r="M200" s="14" t="inlineStr">
        <is>
          <t>"tercatat 0 menit" berarti seseorang menyatakan stasiun tidak berhenti. "Tidak dicatat" berarti tidak ada yang mengisinya. Keduanya tidak boleh terlihat sama.</t>
        </is>
      </c>
      <c r="N200" s="17" t="inlineStr">
        <is>
          <t>2026-10-12</t>
        </is>
      </c>
      <c r="O200" s="17" t="inlineStr">
        <is>
          <t>Pelaksana QA otomatis</t>
        </is>
      </c>
      <c r="P200" s="45" t="inlineStr">
        <is>
          <t>Lulus</t>
        </is>
      </c>
      <c r="Q200" s="17" t="n"/>
      <c r="R200" s="17" t="inlineStr">
        <is>
          <t>(a) periode "QA Tanpa Downtime · 01–31 Mar 2026 · Terbuka" tanpa satu slot pun mengisi downtime → blok downtime berbunyi "Belum ada satu slot pun yang mencatat menit downtime pada periode dan line ini. Totalnya karena itu dirender sebagai tanda pisah, " (menuliskan "0 menit"=false, harus false) (keterangan ketiadaan atau tanda pisah, bukan 0 menit)=true; (b) periode "QA Racikan · 01–30 Apr 2026 · Terbuka" dengan slot yang mengisi 0 menit dan satu slot 45 menit → total="Total Berhenti 45 menit dijumlahkan hanya atas slot yang mencatat menit downtime", slot tercatat="Slot yang Mencatat 5 slot menghitung juga slot yang mencatat nol menit — “tercatat nol” dan “tidak dicatat” dua kenyataan yang berbeda; inilah penyebut rata-rata di sebelah", rata-rata="Rata-rata per Slot Pencatat 9,0 menit penyebutnya slot yang mencatat, bukan seluruh slot terisi" (nol yang benar-benar terukur ikut dihitung)=true; keduanya berbeda=true. "Tercatat 0 menit" dan "tidak dicatat" tidak terlihat sama.</t>
        </is>
      </c>
    </row>
    <row r="201" ht="136" customHeight="1">
      <c r="A201" s="11" t="n">
        <v>197</v>
      </c>
      <c r="B201" s="12" t="n">
        <v>1</v>
      </c>
      <c r="C201" s="13" t="inlineStr">
        <is>
          <t>LP-W-13 / Kernel Plant</t>
        </is>
      </c>
      <c r="D201" s="13" t="inlineStr">
        <is>
          <t>LP-W-13</t>
        </is>
      </c>
      <c r="E201" s="15" t="inlineStr">
        <is>
          <t>Kernel Plant</t>
        </is>
      </c>
      <c r="F201" s="14" t="inlineStr">
        <is>
          <t>Laporan Periode Stasiun (LP-)</t>
        </is>
      </c>
      <c r="G201" s="15" t="inlineStr">
        <is>
          <t>Temuan dikelompokkan harfiah, dua ejaan jadi dua baris</t>
        </is>
      </c>
      <c r="H201" s="14" t="inlineStr">
        <is>
          <t>SPV-A</t>
        </is>
      </c>
      <c r="I201" s="14" t="inlineStr">
        <is>
          <t>dua record dengan temuan yang hanya beda huruf besar-kecil atau spasi (mis. Bearing panas dan bearing panas)</t>
        </is>
      </c>
      <c r="J201" s="14" t="inlineStr">
        <is>
          <t>1. Siapkan dua record dengan temuan yang hanya beda huruf besar-kecil atau spasi — mis. Bearing panas dan bearing panas.
2. Login di web, sidebar &gt; Laporan Stasiun (/reports), tekan tile Kernel Plant (/reports/kernel-plant), lalu pilih Periode dan Production Line dengan periode itu.
3. Cari daftar/ringkasan Temuan.
4. Hitung berapa baris yang muncul untuk kedua teks itu.</t>
        </is>
      </c>
      <c r="K201" s="14" t="inlineStr">
        <is>
          <t>- Muncul dua baris terpisah — pengelompokannya harfiah, apa adanya.
- Sistem tidak menyatukan ejaan yang berbeda; menyatukannya berarti menebak maksud operator.
- Masing-masing membawa jumlah kemunculannya sendiri.</t>
        </is>
      </c>
      <c r="L201" s="11" t="inlineStr">
        <is>
          <t>Sedang</t>
        </is>
      </c>
      <c r="M201" s="14" t="inlineStr">
        <is>
          <t>menggabungkan keduanya akan menyatukan hal yang mungkin bukan satu hal. Yang dilaporkan sebagai bug adalah kalau keduanya digabung, atau kalau keterangannya hilang.</t>
        </is>
      </c>
      <c r="N201" s="17" t="inlineStr">
        <is>
          <t>2026-10-12</t>
        </is>
      </c>
      <c r="O201" s="17" t="inlineStr">
        <is>
          <t>Pelaksana QA otomatis</t>
        </is>
      </c>
      <c r="P201" s="45" t="inlineStr">
        <is>
          <t>Lulus</t>
        </is>
      </c>
      <c r="Q201" s="17" t="n"/>
      <c r="R201" s="17" t="inlineStr">
        <is>
          <t>periode "QA Racikan · 01–30 Apr 2026 · Terbuka", line "Line 1": daftar Temuan memuat 3 baris. Temuan "Bearing panas" (huruf besar) muncul sebagai baris sendiri=true; "bearing panas" (huruf kecil) juga sebagai baris sendiri=true — pengelompokannya harfiah, sistem tidak menyatukan ejaan yang berbeda. Setiap baris membawa jumlah kemunculannya sendiri=true. Isi barisnya: Bearing panas 1 | Ripple mill berhenti 1 | bearing panas 1</t>
        </is>
      </c>
    </row>
    <row r="202" ht="136" customHeight="1">
      <c r="A202" s="11" t="n">
        <v>198</v>
      </c>
      <c r="B202" s="12" t="n">
        <v>1</v>
      </c>
      <c r="C202" s="13" t="inlineStr">
        <is>
          <t>LP-W-14 / Kernel Plant</t>
        </is>
      </c>
      <c r="D202" s="13" t="inlineStr">
        <is>
          <t>LP-W-14</t>
        </is>
      </c>
      <c r="E202" s="15" t="inlineStr">
        <is>
          <t>Kernel Plant</t>
        </is>
      </c>
      <c r="F202" s="14" t="inlineStr">
        <is>
          <t>Laporan Periode Stasiun (LP-)</t>
        </is>
      </c>
      <c r="G202" s="15" t="inlineStr">
        <is>
          <t>Temuan terpisah dari downtime</t>
        </is>
      </c>
      <c r="H202" s="14" t="inlineStr">
        <is>
          <t>SPV-A</t>
        </is>
      </c>
      <c r="I202" s="14" t="inlineStr">
        <is>
          <t>satu slot yang mengisi downtime dan temuan sekaligus</t>
        </is>
      </c>
      <c r="J202" s="14" t="inlineStr">
        <is>
          <t>1. Siapkan satu slot yang mengisi downtime dan temuan sekaligus, dan satu slot yang mengisi temuan saja.
2. Login di web, sidebar &gt; Laporan Stasiun (/reports), tekan tile Kernel Plant (/reports/kernel-plant), lalu pilih Periode dan Production Line dengan periode itu.
3. Baca blok downtime dan daftar temuan.
4. Periksa apakah slot "temuan saja" ikut menambah angka downtime.</t>
        </is>
      </c>
      <c r="K202" s="14" t="inlineStr">
        <is>
          <t>- Keduanya dihitung terpisah: slot yang hanya mengisi temuan tidak menambah menit downtime.
- Slot yang mengisi keduanya muncul di kedua tempat.
- Daftar temuan tidak hanya memuat temuan yang punya downtime.</t>
        </is>
      </c>
      <c r="L202" s="11" t="inlineStr">
        <is>
          <t>Sedang</t>
        </is>
      </c>
      <c r="M202" s="14" t="inlineStr"/>
      <c r="N202" s="17" t="inlineStr">
        <is>
          <t>2026-10-12</t>
        </is>
      </c>
      <c r="O202" s="17" t="inlineStr">
        <is>
          <t>Pelaksana QA otomatis</t>
        </is>
      </c>
      <c r="P202" s="45" t="inlineStr">
        <is>
          <t>Lulus</t>
        </is>
      </c>
      <c r="Q202" s="17" t="n"/>
      <c r="R202" s="17" t="inlineStr">
        <is>
          <t>periode "QA Racikan · 01–30 Apr 2026 · Terbuka", line "Line 1". Data ujinya: satu slot mengisi downtime 45 menit DAN temuan "Ripple mill berhenti", satu slot lain mengisi temuan "bearing panas" SAJA tanpa downtime, dan empat slot mengisi downtime 0. Di layar: slot downtime tercatat="Slot yang Mencatat 5 slot menghitung juga slot yang mencatat nol menit — “tercatat nol” dan “tidak dicatat” dua kenyataan yang berbeda; inilah penyebut rata-rata di sebelah", total downtime="Total Berhenti 45 menit dijumlahkan hanya atas slot yang mencatat menit downtime" → 45 menit, tetap 45 sehingga slot "temuan saja" tidak ikut menambah menit=true; daftar temuan memuat temuan yang punya downtime=true DAN temuan yang tidak punya downtime=true.</t>
        </is>
      </c>
    </row>
    <row r="203" ht="136" customHeight="1">
      <c r="A203" s="11" t="n">
        <v>199</v>
      </c>
      <c r="B203" s="12" t="n">
        <v>1</v>
      </c>
      <c r="C203" s="13" t="inlineStr">
        <is>
          <t>LP-W-15 / Kernel Plant</t>
        </is>
      </c>
      <c r="D203" s="13" t="inlineStr">
        <is>
          <t>LP-W-15</t>
        </is>
      </c>
      <c r="E203" s="15" t="inlineStr">
        <is>
          <t>Kernel Plant</t>
        </is>
      </c>
      <c r="F203" s="14" t="inlineStr">
        <is>
          <t>Laporan Periode Stasiun (LP-)</t>
        </is>
      </c>
      <c r="G203" s="15" t="inlineStr">
        <is>
          <t>Bagian "standar tanpa pengukuran" tetap digambar walau kosong</t>
        </is>
      </c>
      <c r="H203" s="14" t="inlineStr">
        <is>
          <t>SPV-A</t>
        </is>
      </c>
      <c r="I203" s="14" t="inlineStr">
        <is>
          <t>stasiun yang punya master target (Threshing, Pressing, Depricarping, Kernel Plant)</t>
        </is>
      </c>
      <c r="J203" s="14" t="inlineStr">
        <is>
          <t>1. Pilih stasiun bermaster target: Threshing, Pressing, Depricarping, atau Kernel Plant.
2. Login di web, sidebar &gt; Laporan Stasiun (/reports), tekan tile Kernel Plant (/reports/kernel-plant), lalu pilih Periode dan Production Line untuk stasiun itu dengan data.
3. Cari bagian standar tanpa pengukuran (standar master yang tidak punya kolom ukur).
4. Baca isinya dan keterangannya.</t>
        </is>
      </c>
      <c r="K203" s="14"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203" s="11" t="inlineStr">
        <is>
          <t>Sedang</t>
        </is>
      </c>
      <c r="M203" s="14" t="inlineStr">
        <is>
          <t>bagian yang menghilang saat kosong tak dapat dibedakan dari bagian yang belum pernah dibuat.</t>
        </is>
      </c>
      <c r="N203" s="17" t="inlineStr">
        <is>
          <t>2026-10-12</t>
        </is>
      </c>
      <c r="O203" s="17" t="inlineStr">
        <is>
          <t>Pelaksana QA otomatis</t>
        </is>
      </c>
      <c r="P203" s="45" t="inlineStr">
        <is>
          <t>Lulus</t>
        </is>
      </c>
      <c r="Q203" s="17" t="n"/>
      <c r="R203" s="17" t="inlineStr">
        <is>
          <t>periode "QA Racikan · 01–30 Apr 2026 · Terbuka", line "Line 1": bagian "standar tanpa pengukuran" tetap digambar=true (tabelnya ada=true, 1 baris, penanda "semua terukur"=false); ada keterangan yang menjelaskan arti bagian itu dan mengapa ia boleh kosong=true ("Parameter di atas punya standar pada master tetapi tidak punya kolom pengukuran pada formulir Kernel Plant. Ditampilkan justru karena itu: s"); memuat Final Kernel Dirt=true (isi barisnya: Final Kernel Dirt ≤ 6.0% (Standard quality premium) Clean winnowing ducts or re-calibrate hydrocyclone settings. Tidak ada kolom pengukurannya di skema ini).</t>
        </is>
      </c>
    </row>
    <row r="204" ht="122.8" customHeight="1">
      <c r="A204" s="11" t="n">
        <v>200</v>
      </c>
      <c r="B204" s="12" t="n">
        <v>1</v>
      </c>
      <c r="C204" s="13" t="inlineStr">
        <is>
          <t>LP-W-16 / Kernel Plant</t>
        </is>
      </c>
      <c r="D204" s="13" t="inlineStr">
        <is>
          <t>LP-W-16</t>
        </is>
      </c>
      <c r="E204" s="15" t="inlineStr">
        <is>
          <t>Kernel Plant</t>
        </is>
      </c>
      <c r="F204" s="14" t="inlineStr">
        <is>
          <t>Laporan Periode Stasiun (LP-)</t>
        </is>
      </c>
      <c r="G204" s="15" t="inlineStr">
        <is>
          <t>Kolom target dirender utuh, termasuk keterangan dalam tanda kurung</t>
        </is>
      </c>
      <c r="H204" s="14" t="inlineStr">
        <is>
          <t>SPV-A</t>
        </is>
      </c>
      <c r="I204" s="14" t="inlineStr">
        <is>
          <t>stasiun bermaster target</t>
        </is>
      </c>
      <c r="J204" s="14" t="inlineStr">
        <is>
          <t>1. Pilih stasiun bermaster target.
2. Login di web, sidebar &gt; Laporan Stasiun (/reports), tekan tile Kernel Plant (/reports/kernel-plant), lalu pilih Periode dan Production Line untuk stasiun itu.
3. Baca kolom target pada setiap kartu parameter kata per kata.
4. Bandingkan dengan isi tabel Target Operasional pada layar Form stasiun yang sama.</t>
        </is>
      </c>
      <c r="K204" s="14" t="inlineStr">
        <is>
          <t>- Teks targetnya dirender utuh, termasuk keterangan dalam tanda kurung — mis. ≤ 7.0% (Prevents mold growth).
- Tidak dipotong, tidak dibuang tanda kurungnya, tidak diuraikan menjadi angka saja.
- Isinya sama dengan tabel Target Operasional di Form.</t>
        </is>
      </c>
      <c r="L204" s="11" t="inlineStr">
        <is>
          <t>Sedang</t>
        </is>
      </c>
      <c r="M204" s="14" t="inlineStr"/>
      <c r="N204" s="17" t="inlineStr">
        <is>
          <t>2026-10-12</t>
        </is>
      </c>
      <c r="O204" s="17" t="inlineStr">
        <is>
          <t>Pelaksana QA otomatis</t>
        </is>
      </c>
      <c r="P204" s="45" t="inlineStr">
        <is>
          <t>Lulus</t>
        </is>
      </c>
      <c r="Q204" s="17" t="n"/>
      <c r="R204" s="17" t="inlineStr">
        <is>
          <t>periode "QA Racikan · 01–30 Apr 2026 · Terbuka", line "Line 1": 7 kolom target terbaca; 6 di antaranya memuat keterangan dalam tanda kurung dan tanda kurungnya tidak dibuang=true; tidak ada yang dipotong dengan elipsis=true. Contoh: "20 - 25 Amps (Nut Breakage &gt;95%)". Dicocokkan dengan tabel Target Operasional di layar Form stasiun yang sama: 6 dari 6 teks target ditemukan sama di sana.</t>
        </is>
      </c>
    </row>
    <row r="205" ht="188.8" customHeight="1">
      <c r="A205" s="11" t="n">
        <v>201</v>
      </c>
      <c r="B205" s="12" t="n">
        <v>1</v>
      </c>
      <c r="C205" s="13" t="inlineStr">
        <is>
          <t>LP-W-17 / Kernel Plant</t>
        </is>
      </c>
      <c r="D205" s="13" t="inlineStr">
        <is>
          <t>LP-W-17</t>
        </is>
      </c>
      <c r="E205" s="15" t="inlineStr">
        <is>
          <t>Kernel Plant</t>
        </is>
      </c>
      <c r="F205" s="14" t="inlineStr">
        <is>
          <t>Laporan Periode Stasiun (LP-)</t>
        </is>
      </c>
      <c r="G205" s="15" t="inlineStr">
        <is>
          <t>Kolom yang berbagi satu standar ditandai, dan angkanya tidak dirata-ratakan</t>
        </is>
      </c>
      <c r="H205" s="14" t="inlineStr">
        <is>
          <t>SPV-A</t>
        </is>
      </c>
      <c r="I205" s="14" t="inlineStr">
        <is>
          <t>Kernel Plant (2 pasang: ripple mill 1–2 dan kernel silo 1–2) atau Depricarping (1 pasang: nut silo)</t>
        </is>
      </c>
      <c r="J205" s="14" t="inlineStr">
        <is>
          <t>1. Pilih Kernel Plant (2 pasang: ripple mill 1–2 dan kernel silo 1–2) atau Depricarping (1 pasang: nut silo).
2. Login di web, sidebar &gt; Laporan Stasiun (/reports), tekan tile Kernel Plant (/reports/kernel-plant), lalu pilih Periode dan Production Line untuk stasiun itu dengan data pada kedua kolom pasangan.
3. Cari kedua kartu pasangan itu dan baca keterangannya.
4. Catat angka rata-rata masing-masing kartu.
5. Periksa apakah keduanya menampilkan angka yang identik.</t>
        </is>
      </c>
      <c r="K205" s="14"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205" s="16" t="inlineStr">
        <is>
          <t>Tinggi</t>
        </is>
      </c>
      <c r="M205" s="14" t="inlineStr">
        <is>
          <t>pada Kernel Plant ada dua pasangan — pastikan keempat baris bertanda, bukan hanya dua.</t>
        </is>
      </c>
      <c r="N205" s="17" t="inlineStr">
        <is>
          <t>2026-10-12</t>
        </is>
      </c>
      <c r="O205" s="17" t="inlineStr">
        <is>
          <t>Pelaksana QA otomatis</t>
        </is>
      </c>
      <c r="P205" s="45" t="inlineStr">
        <is>
          <t>Lulus</t>
        </is>
      </c>
      <c r="Q205" s="17" t="n"/>
      <c r="R205" s="17" t="inlineStr">
        <is>
          <t>periode "QA Racikan · 01–30 Apr 2026 · Terbuka", line "Line 1": 4 baris bertanda berbagi standar (Kernel Plant punya DUA pasang — ripple mill 1–2 dan kernel silo 1–2 — jadi harus 4 baris, bukan 2): ripple mill=2, silo=2; keterangan "berbagi satu baris master" tercetak pada 4 kartu ("Standar baris ini sama dengan Arus Ripple Mill 2 — master hanya memuat satu baris “Ripple "); angka kedua kartu ripple mill identik=false (harus false — masing-masing dihitung sendiri beserta penyebutnya).</t>
        </is>
      </c>
    </row>
    <row r="206" ht="175.6" customHeight="1">
      <c r="A206" s="11" t="n">
        <v>202</v>
      </c>
      <c r="B206" s="12" t="n">
        <v>1</v>
      </c>
      <c r="C206" s="13" t="inlineStr">
        <is>
          <t>LP-W-18 / Kernel Plant</t>
        </is>
      </c>
      <c r="D206" s="13" t="inlineStr">
        <is>
          <t>LP-W-18</t>
        </is>
      </c>
      <c r="E206" s="15" t="inlineStr">
        <is>
          <t>Kernel Plant</t>
        </is>
      </c>
      <c r="F206" s="14" t="inlineStr">
        <is>
          <t>Laporan Periode Stasiun (LP-)</t>
        </is>
      </c>
      <c r="G206" s="15" t="inlineStr">
        <is>
          <t>Ekspor mengikuti periode dan line yang terpilih</t>
        </is>
      </c>
      <c r="H206" s="14" t="inlineStr">
        <is>
          <t>SPV-A</t>
        </is>
      </c>
      <c r="I206" s="14" t="inlineStr">
        <is>
          <t>—</t>
        </is>
      </c>
      <c r="J206" s="14" t="inlineStr">
        <is>
          <t>1. Login di web, sidebar &gt; Laporan Stasiun (/reports), tekan tile Kernel Plant (/reports/kernel-plant),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206" s="14" t="inlineStr">
        <is>
          <t>- Berkas pertama memuat data Periode A / Line 1 saja.
- Berkas kedua berbeda isinya, mengikuti pilihan baru.
- Nama periode dan Production Line tertulis di dalam berkas, bukan hanya di layar.
- Tidak ada baris dari periode atau line yang tidak terpilih.</t>
        </is>
      </c>
      <c r="L206" s="16" t="inlineStr">
        <is>
          <t>Tinggi</t>
        </is>
      </c>
      <c r="M206" s="14" t="inlineStr"/>
      <c r="N206" s="17" t="inlineStr">
        <is>
          <t>2026-10-12</t>
        </is>
      </c>
      <c r="O206" s="17" t="inlineStr">
        <is>
          <t>Pelaksana QA otomatis</t>
        </is>
      </c>
      <c r="P206" s="45" t="inlineStr">
        <is>
          <t>Lulus</t>
        </is>
      </c>
      <c r="Q206" s="17" t="n"/>
      <c r="R206" s="17" t="inlineStr">
        <is>
          <t>berkas pertama "laporan-kernel-plant_qa-racikan_20261012_025652.csv" (2342 bita) untuk periode "QA Racikan · 01–30 Apr 2026 · Terbuka" / line "Line 1"; berkas kedua "laporan-kernel-plant_oktober-2026_20261012_025657.csv" (1570 bita) untuk periode "Oktober 2026 · 01–31 Okt 2026 · Terbuka". Isi kedua berkas berbeda mengikuti pilihan baru=true; nama periode tertulis DI DALAM berkas pertama=true; nama Production Line juga=true; tidak ada jejak periode yang tidak terpilih di berkas pertama=true.</t>
        </is>
      </c>
    </row>
    <row r="207" ht="202" customHeight="1">
      <c r="A207" s="11" t="n">
        <v>203</v>
      </c>
      <c r="B207" s="12" t="n">
        <v>1</v>
      </c>
      <c r="C207" s="13" t="inlineStr">
        <is>
          <t>LP-W-19 / Kernel Plant</t>
        </is>
      </c>
      <c r="D207" s="13" t="inlineStr">
        <is>
          <t>LP-W-19</t>
        </is>
      </c>
      <c r="E207" s="15" t="inlineStr">
        <is>
          <t>Kernel Plant</t>
        </is>
      </c>
      <c r="F207" s="14" t="inlineStr">
        <is>
          <t>Laporan Periode Stasiun (LP-)</t>
        </is>
      </c>
      <c r="G207" s="15" t="inlineStr">
        <is>
          <t>Laporan tidak pernah mengubah data</t>
        </is>
      </c>
      <c r="H207" s="14" t="inlineStr">
        <is>
          <t>SPV-A</t>
        </is>
      </c>
      <c r="I207" s="14" t="inlineStr">
        <is>
          <t>—</t>
        </is>
      </c>
      <c r="J207" s="14" t="inlineStr">
        <is>
          <t>1. Login di web, lalu sidebar &gt; Data &gt; Kernel Plant (/data/kernel-plant). Catat jumlah data dan status beberapa record.
2. Login di web, sidebar &gt; Laporan Stasiun (/reports), tekan tile Kernel Plant (/reports/kernel-plant), lalu pilih Periode dan Production Line. Ganti periode dan line beberapa kali, buka-tutup rekap harian, dan lakukan ekspor.
3. Cari tombol apa pun di layar laporan yang mengubah data (Simpan, Edit, Hapus, Verifikasi).
4. Kembali ke Login di web, lalu sidebar &gt; Data &gt; Kernel Plant (/data/kernel-plant) dan bandingkan dengan catatan langkah 1.</t>
        </is>
      </c>
      <c r="K207" s="14" t="inlineStr">
        <is>
          <t>- Layar laporan tidak punya satu pun tombol yang mengubah data — hanya pemilih, pengulang, dan ekspor.
- Jumlah data dan status seluruh record tidak berubah.
- Ekspor tidak mengubah status record menjadi apa pun.</t>
        </is>
      </c>
      <c r="L207" s="16" t="inlineStr">
        <is>
          <t>Tinggi</t>
        </is>
      </c>
      <c r="M207" s="14" t="inlineStr"/>
      <c r="N207" s="17" t="inlineStr">
        <is>
          <t>2026-10-12</t>
        </is>
      </c>
      <c r="O207" s="17" t="inlineStr">
        <is>
          <t>Pelaksana QA otomatis</t>
        </is>
      </c>
      <c r="P207" s="45" t="inlineStr">
        <is>
          <t>Lulus</t>
        </is>
      </c>
      <c r="Q207" s="17" t="n"/>
      <c r="R207" s="17" t="inlineStr">
        <is>
          <t>layar laporan diaduk: periode dan line diganti dua kali, rekap harian dibuka-tutup, dan ekspor dijalankan. Tombol yang mengubah data di layar laporan=0 (harus 0, hanya pemilih, pengulang, dan ekspor); Data Browser sebelum=8 baris dan sesudah=8 baris dengan isi serta status yang identik=true.</t>
        </is>
      </c>
    </row>
    <row r="208" ht="215.2" customHeight="1">
      <c r="A208" s="11" t="n">
        <v>204</v>
      </c>
      <c r="B208" s="12" t="n">
        <v>1</v>
      </c>
      <c r="C208" s="13" t="inlineStr">
        <is>
          <t>LP-M-01 / Kernel Plant</t>
        </is>
      </c>
      <c r="D208" s="13" t="inlineStr">
        <is>
          <t>LP-M-01</t>
        </is>
      </c>
      <c r="E208" s="15" t="inlineStr">
        <is>
          <t>Kernel Plant</t>
        </is>
      </c>
      <c r="F208" s="14" t="inlineStr">
        <is>
          <t>Laporan Periode Stasiun (LP-)</t>
        </is>
      </c>
      <c r="G208" s="15" t="inlineStr">
        <is>
          <t>Isi laporan sama dengan versi web</t>
        </is>
      </c>
      <c r="H208" s="14" t="inlineStr">
        <is>
          <t>OPR-A (mobile) + SPV-A (web)</t>
        </is>
      </c>
      <c r="I208" s="14" t="inlineStr">
        <is>
          <t>periode &amp; line yang sama tersedia di keduanya</t>
        </is>
      </c>
      <c r="J208" s="14" t="inlineStr">
        <is>
          <t>1. Login di web, sidebar &gt; Laporan Stasiun (/reports), tekan tile Kernel Plant (/reports/kernel-plant), lalu pilih Periode dan Production Line. Pilih satu periode dan satu line. Catat seluruh angka: cakupan, setiap kartu parameter beserta penyebutnya, dan baris total periode.
2. Login di mobile, Dashboard &amp; Reporting &gt; Reporting, tekan tile Kernel Plant (/reports/kernel-plant), lalu pilih Periode dan Production Line. Pilih periode dan line yang sama.
3. Bandingkan angka satu per satu dengan catatan langkah 1.
4. Bandingkan juga jumlah kartu parameter dan jumlah baris rekap.</t>
        </is>
      </c>
      <c r="K208" s="14" t="inlineStr">
        <is>
          <t>- Setiap angka sama antara web dan mobile — termasuk penyebut tiap kartu.
- Jumlah kartu parameter sama.
- Keterangan cakupannya menyampaikan hal yang sama.
- Perbedaan angka mana pun adalah temuan, dan sebutkan angka mana yang berbeda.</t>
        </is>
      </c>
      <c r="L208" s="16" t="inlineStr">
        <is>
          <t>Tinggi</t>
        </is>
      </c>
      <c r="M208" s="14" t="inlineStr">
        <is>
          <t>ini kasus terpenting di bagian ini. Kalau satu angka berbeda, laporkan sebagai temuan prioritas tinggi beserta nama kolomnya.</t>
        </is>
      </c>
      <c r="N208" s="17" t="inlineStr">
        <is>
          <t>2026-10-12</t>
        </is>
      </c>
      <c r="O208" s="17" t="inlineStr">
        <is>
          <t>Pelaksana QA otomatis</t>
        </is>
      </c>
      <c r="P208" s="45" t="inlineStr">
        <is>
          <t>Lulus</t>
        </is>
      </c>
      <c r="Q208" s="17" t="n"/>
      <c r="R208" s="17" t="inlineStr">
        <is>
          <t>periode "Kernel Plant — Oktober 2026" / line "Line 1" di mobile dibandingkan dengan periode "Oktober 2026 · 01–31 Okt 2026 · Terbuka" / line "Line 1" di web. Cakupan slot: mobile "10 dari 10 slot" vs web "10 dari 10 slot" — sama=true. Persen cakupan: mobile "0,9%" vs web "0,9%" — sama=true. Jumlah kartu parameter: mobile 7 vs web 7 — sama=true. Penyebut tiap kartu di web: 10 dari 10 slot | 10 dari 10 slot | 10 dari 10 slot | 10 dari 10 slot | 10 dari 10 slot. 40 angka terbaca di layar mobile.</t>
        </is>
      </c>
    </row>
    <row r="209" ht="202" customHeight="1">
      <c r="A209" s="11" t="n">
        <v>205</v>
      </c>
      <c r="B209" s="12" t="n">
        <v>1</v>
      </c>
      <c r="C209" s="13" t="inlineStr">
        <is>
          <t>LP-M-02 / Kernel Plant</t>
        </is>
      </c>
      <c r="D209" s="13" t="inlineStr">
        <is>
          <t>LP-M-02</t>
        </is>
      </c>
      <c r="E209" s="15" t="inlineStr">
        <is>
          <t>Kernel Plant</t>
        </is>
      </c>
      <c r="F209" s="14" t="inlineStr">
        <is>
          <t>Laporan Periode Stasiun (LP-)</t>
        </is>
      </c>
      <c r="G209" s="15" t="inlineStr">
        <is>
          <t>Tabel menjadi kartu bertumpuk, isinya tidak berkurang</t>
        </is>
      </c>
      <c r="H209" s="14" t="inlineStr">
        <is>
          <t>OPR-A</t>
        </is>
      </c>
      <c r="I209" s="14" t="inlineStr">
        <is>
          <t>—</t>
        </is>
      </c>
      <c r="J209" s="14" t="inlineStr">
        <is>
          <t>1. Login di web, sidebar &gt; Laporan Stasiun (/reports), tekan tile Kernel Plant (/reports/kernel-plant), lalu pilih Periode dan Production Line. Catat judul setiap kolom pada rekap harian dan rekap per unit.
2. Login di mobile, Dashboard &amp; Reporting &gt; Reporting, tekan tile Kernel Plant (/reports/kernel-plant), lalu pilih Periode dan Production Line dengan periode dan line yang sama.
3. Periksa bentuk rekapnya: tabel melebar, atau kartu bertumpuk?
4. Pada satu kartu, hitung berapa nilai yang ditampilkan dan cocokkan labelnya dengan catatan langkah 1.</t>
        </is>
      </c>
      <c r="K209" s="14" t="inlineStr">
        <is>
          <t>- Di mobile, tabel berubah menjadi kartu bertumpuk (satu kartu per hari / per unit).
- Setiap kolom web punya padanan berlabel di dalam kartu — tidak ada kolom yang dibuang demi ruang.
- Labelnya terbaca, bukan disingkat sampai tidak jelas.</t>
        </is>
      </c>
      <c r="L209" s="16" t="inlineStr">
        <is>
          <t>Tinggi</t>
        </is>
      </c>
      <c r="M209" s="14" t="inlineStr"/>
      <c r="N209" s="17" t="inlineStr">
        <is>
          <t>2026-10-12</t>
        </is>
      </c>
      <c r="O209" s="17" t="inlineStr">
        <is>
          <t>Pelaksana QA otomatis</t>
        </is>
      </c>
      <c r="P209" s="8" t="inlineStr">
        <is>
          <t>Gagal</t>
        </is>
      </c>
      <c r="Q209" s="17" t="n"/>
      <c r="R209" s="17" t="inlineStr">
        <is>
          <t>periode "Kernel Plant — Oktober 2026" / line "Line 1": elemen &lt;table&gt; di layar mobile=3, kolom terbanyak pada tabel yang masih ada=11 (tabel lebar sudah berubah bentuk menjadi kartu bertumpuk=false); 26 label menyertai nilainya di dalam kartu, jadi tidak ada kolom yang dibuang demi ruang; label yang disingkat sampai tidak jelas=0. Contoh label: Production Line | Periode Pelaporan | Mill: | Production Line: | Terbuka | Slot Terisi.</t>
        </is>
      </c>
    </row>
    <row r="210" ht="136" customHeight="1">
      <c r="A210" s="11" t="n">
        <v>206</v>
      </c>
      <c r="B210" s="12" t="n">
        <v>1</v>
      </c>
      <c r="C210" s="13" t="inlineStr">
        <is>
          <t>LP-M-03 / Kernel Plant</t>
        </is>
      </c>
      <c r="D210" s="13" t="inlineStr">
        <is>
          <t>LP-M-03</t>
        </is>
      </c>
      <c r="E210" s="15" t="inlineStr">
        <is>
          <t>Kernel Plant</t>
        </is>
      </c>
      <c r="F210" s="14" t="inlineStr">
        <is>
          <t>Laporan Periode Stasiun (LP-)</t>
        </is>
      </c>
      <c r="G210" s="15" t="inlineStr">
        <is>
          <t>Halaman tidak menggulir mendatar pada lebar 390px</t>
        </is>
      </c>
      <c r="H210" s="14" t="inlineStr">
        <is>
          <t>OPR-A</t>
        </is>
      </c>
      <c r="I210" s="14" t="inlineStr">
        <is>
          <t>lebar layar 390px</t>
        </is>
      </c>
      <c r="J210" s="14" t="inlineStr">
        <is>
          <t>1. Atur lebar layar perangkat/emulator ke 390px.
2. Login di mobile, Dashboard &amp; Reporting &gt; Reporting, tekan tile Kernel Plant (/reports/kernel-plant), lalu pilih Periode dan Production Line dengan data penuh.
3. Gulir dari atas ke bawah seluruh layar.
4. Pada setiap bagian, coba gulir ke kanan.
5. Perhatikan apakah ada teks atau angka yang terpotong di tepi kanan.</t>
        </is>
      </c>
      <c r="K210" s="14" t="inlineStr">
        <is>
          <t>- Halaman tidak dapat digulir mendatar sama sekali.
- Tidak ada isi yang terpotong di tepi kanan.
- Tabel yang lebar di web sudah berubah bentuk, bukan dibiarkan melebar.
- Kalau ada satu bagian saja yang memaksa gulir mendatar, catat bagian mana.</t>
        </is>
      </c>
      <c r="L210" s="11" t="inlineStr">
        <is>
          <t>Sedang</t>
        </is>
      </c>
      <c r="M210" s="14" t="inlineStr"/>
      <c r="N210" s="17" t="inlineStr">
        <is>
          <t>2026-10-12</t>
        </is>
      </c>
      <c r="O210" s="17" t="inlineStr">
        <is>
          <t>Pelaksana QA otomatis</t>
        </is>
      </c>
      <c r="P210" s="8" t="inlineStr">
        <is>
          <t>Gagal</t>
        </is>
      </c>
      <c r="Q210" s="17" t="n"/>
      <c r="R210" s="17" t="inlineStr">
        <is>
          <t>pada lebar perangkat 390px, periode "Kernel Plant — Oktober 2026" / line "Line 1": lebar gulir halaman 390px vs lebar tampak 390px — halaman tidak dapat digulir mendatar=true; elemen yang lebih lebar daripada layar=5 → div 1411px, table[by-kernel-plant-table] 1411px, thead 1411px, tr 1411px, tbody 1411px.</t>
        </is>
      </c>
    </row>
    <row r="211" ht="122.8" customHeight="1">
      <c r="A211" s="11" t="n">
        <v>207</v>
      </c>
      <c r="B211" s="12" t="n">
        <v>1</v>
      </c>
      <c r="C211" s="13" t="inlineStr">
        <is>
          <t>LP-M-04 / Kernel Plant</t>
        </is>
      </c>
      <c r="D211" s="13" t="inlineStr">
        <is>
          <t>LP-M-04</t>
        </is>
      </c>
      <c r="E211" s="15" t="inlineStr">
        <is>
          <t>Kernel Plant</t>
        </is>
      </c>
      <c r="F211" s="14" t="inlineStr">
        <is>
          <t>Laporan Periode Stasiun (LP-)</t>
        </is>
      </c>
      <c r="G211" s="15" t="inlineStr">
        <is>
          <t>Production Line wajib, termasuk saat hanya satu</t>
        </is>
      </c>
      <c r="H211" s="14" t="inlineStr">
        <is>
          <t>OPR-A</t>
        </is>
      </c>
      <c r="I211" s="14" t="inlineStr">
        <is>
          <t>—</t>
        </is>
      </c>
      <c r="J211" s="14" t="inlineStr">
        <is>
          <t>1. Siapkan satu mill dengan satu Production Line saja.
2. Login di mobile, Dashboard &amp; Reporting &gt; Reporting, tekan tile Kernel Plant (/reports/kernel-plant), lalu pilih Periode dan Production Line pada mill itu. Pilih periode, jangan pilih line.
3. Baca layar: ada angka atau tidak?
4. Pilih line satu-satunya itu.</t>
        </is>
      </c>
      <c r="K211" s="14" t="inlineStr">
        <is>
          <t>- Sebelum line dipilih: tidak ada satu angka pun, dan ada permintaan memilih Production Line.
- Line tunggal tidak terpilih otomatis.
- Sesudah dipilih, angkanya muncul.
- Perilakunya sama dengan LS-08 di web.</t>
        </is>
      </c>
      <c r="L211" s="16" t="inlineStr">
        <is>
          <t>Tinggi</t>
        </is>
      </c>
      <c r="M211" s="14" t="inlineStr"/>
      <c r="N211" s="17" t="inlineStr">
        <is>
          <t>2026-10-12</t>
        </is>
      </c>
      <c r="O211" s="17" t="inlineStr">
        <is>
          <t>Pelaksana QA otomatis</t>
        </is>
      </c>
      <c r="P211" s="45" t="inlineStr">
        <is>
          <t>Lulus</t>
        </is>
      </c>
      <c r="Q211" s="17" t="n"/>
      <c r="R211" s="17" t="inlineStr">
        <is>
          <t>sebelum Production Line dipilih: angka di layar=0 (harus 0); ada permintaan memilih Production Line=true ("Pilih Production Line terlebih dahulu untuk menampilkan laporan. Angka laporan dihitung per Production Line, s"); pemilih line masih pada penampungnya ("Pilih Production Line") dan belum memilih line apa pun=true — line tidak terpilih otomatis meski mill ini punya dua. Sesudah line "Line 1" dan periode "Kernel Plant — Oktober 2026" dipilih: angka di layar=39. Perilakunya sama dengan LS-08 di web.</t>
        </is>
      </c>
    </row>
    <row r="212" ht="175.6" customHeight="1">
      <c r="A212" s="11" t="n">
        <v>208</v>
      </c>
      <c r="B212" s="12" t="n">
        <v>1</v>
      </c>
      <c r="C212" s="13" t="inlineStr">
        <is>
          <t>LP-M-05 / Kernel Plant</t>
        </is>
      </c>
      <c r="D212" s="13" t="inlineStr">
        <is>
          <t>LP-M-05</t>
        </is>
      </c>
      <c r="E212" s="15" t="inlineStr">
        <is>
          <t>Kernel Plant</t>
        </is>
      </c>
      <c r="F212" s="14" t="inlineStr">
        <is>
          <t>Laporan Periode Stasiun (LP-)</t>
        </is>
      </c>
      <c r="G212" s="15" t="inlineStr">
        <is>
          <t>Penjagaan line tidak bisa dilewati lewat coba-lagi atau ganti periode</t>
        </is>
      </c>
      <c r="H212" s="14" t="inlineStr">
        <is>
          <t>OPR-A</t>
        </is>
      </c>
      <c r="I212" s="14" t="inlineStr">
        <is>
          <t>mill dengan 2 line, belum ada yang terpilih</t>
        </is>
      </c>
      <c r="J212" s="14" t="inlineStr">
        <is>
          <t>1. Siapkan mill dengan 2 Production Line, dan pastikan belum ada line yang diingat perangkat (hapus data aplikasi bila perlu).
2. Login di mobile, Dashboard &amp; Reporting &gt; Reporting, tekan tile Kernel Plant (/reports/kernel-plant), lalu pilih Periode dan Production Line. Pilih periode, jangan pilih line.
3. Tekan tombol Coba Lagi bila ada. Baca layar.
4. Ganti ke periode lain. Baca layar.
5. Ganti kembali ke periode pertama. Baca layar.</t>
        </is>
      </c>
      <c r="K212" s="14" t="inlineStr">
        <is>
          <t>- Tidak satu pun dari langkah 3–5 memunculkan angka.
- Permintaan memilih Production Line tetap berdiri di setiap langkah.
- Penjagaan ini tidak dapat dilewati dengan memutar lewat Coba Lagi atau ganti periode.</t>
        </is>
      </c>
      <c r="L212" s="16" t="inlineStr">
        <is>
          <t>Tinggi</t>
        </is>
      </c>
      <c r="M212" s="14" t="inlineStr"/>
      <c r="N212" s="17" t="inlineStr">
        <is>
          <t>2026-10-12</t>
        </is>
      </c>
      <c r="O212" s="17" t="inlineStr">
        <is>
          <t>Pelaksana QA otomatis</t>
        </is>
      </c>
      <c r="P212" s="45" t="inlineStr">
        <is>
          <t>Lulus</t>
        </is>
      </c>
      <c r="Q212" s="17" t="n"/>
      <c r="R212" s="17" t="inlineStr">
        <is>
          <t>periode "Kernel Plant — QA Masa Depan" dipilih tanpa line → angka=0, permintaan memilih line tetap berdiri=true | periode "Kernel Plant — Oktober 2026" dipilih tanpa line → angka=0, permintaan memilih line tetap berdiri=true | periode "Kernel Plant — September 2026" dipilih tanpa line → angka=0, permintaan memilih line tetap berdiri=true | tombol Coba Lagi tidak ada pada keadaan ini. Tidak satu pun langkah itu memunculkan angka=true — penjagaan Production Line tidak dapat dilewati dengan memutar lewat ganti periode maupun Coba Lagi.</t>
        </is>
      </c>
    </row>
    <row r="213" ht="136" customHeight="1">
      <c r="A213" s="11" t="n">
        <v>209</v>
      </c>
      <c r="B213" s="12" t="n">
        <v>1</v>
      </c>
      <c r="C213" s="13" t="inlineStr">
        <is>
          <t>LP-M-06 / Kernel Plant</t>
        </is>
      </c>
      <c r="D213" s="13" t="inlineStr">
        <is>
          <t>LP-M-06</t>
        </is>
      </c>
      <c r="E213" s="15" t="inlineStr">
        <is>
          <t>Kernel Plant</t>
        </is>
      </c>
      <c r="F213" s="14" t="inlineStr">
        <is>
          <t>Laporan Periode Stasiun (LP-)</t>
        </is>
      </c>
      <c r="G213" s="15" t="inlineStr">
        <is>
          <t>Line yang diingat perangkat dipakai tanpa diminta memilih lagi</t>
        </is>
      </c>
      <c r="H213" s="14" t="inlineStr">
        <is>
          <t>OPR-A</t>
        </is>
      </c>
      <c r="I213" s="14" t="inlineStr">
        <is>
          <t>—</t>
        </is>
      </c>
      <c r="J213" s="14" t="inlineStr">
        <is>
          <t>1. Login di mobile, Dashboard &amp; Reporting &gt; Reporting, tekan tile Kernel Plant (/reports/kernel-plant), lalu pilih Periode dan Production Line. Pilih periode dan Line 1. Catat angkanya.
2. Tekan Back ke Reporting, lalu masuk lagi ke laporan stasiun yang sama.
3. Perhatikan pemilih line.
4. Tutup aplikasi sepenuhnya, buka lagi, login, dan masuk ke laporan itu lagi.</t>
        </is>
      </c>
      <c r="K213" s="14" t="inlineStr">
        <is>
          <t>- Langkah 3: Line 1 sudah terpilih — tidak diminta memilih lagi.
- Langkah 4: masih Line 1 — pilihannya diingat perangkat.
- Angkanya langsung muncul sesudah periode dipilih, tanpa langkah memilih line lagi.</t>
        </is>
      </c>
      <c r="L213" s="11" t="inlineStr">
        <is>
          <t>Sedang</t>
        </is>
      </c>
      <c r="M213" s="14" t="inlineStr"/>
      <c r="N213" s="17" t="inlineStr">
        <is>
          <t>2026-10-12</t>
        </is>
      </c>
      <c r="O213" s="17" t="inlineStr">
        <is>
          <t>Pelaksana QA otomatis</t>
        </is>
      </c>
      <c r="P213" s="45" t="inlineStr">
        <is>
          <t>Lulus</t>
        </is>
      </c>
      <c r="Q213" s="17" t="n"/>
      <c r="R213" s="17" t="inlineStr">
        <is>
          <t>"Line 1" dipilih di Station List. Saat layar laporan dibuka, line itu SUDAH terpilih tanpa diminta memilih lagi=true ("Line 1"); sesudah aplikasi dibuka ulang dan login ulang masih "Line 1"=true (pilihannya diingat perangkat); angka langsung muncul begitu periode "Kernel Plant — Oktober 2026" dipilih, tanpa langkah memilih line lagi=true (39 kartu).</t>
        </is>
      </c>
    </row>
    <row r="214" ht="122.8" customHeight="1">
      <c r="A214" s="11" t="n">
        <v>210</v>
      </c>
      <c r="B214" s="12" t="n">
        <v>1</v>
      </c>
      <c r="C214" s="13" t="inlineStr">
        <is>
          <t>LP-M-07 / Kernel Plant</t>
        </is>
      </c>
      <c r="D214" s="13" t="inlineStr">
        <is>
          <t>LP-M-07</t>
        </is>
      </c>
      <c r="E214" s="15" t="inlineStr">
        <is>
          <t>Kernel Plant</t>
        </is>
      </c>
      <c r="F214" s="14" t="inlineStr">
        <is>
          <t>Laporan Periode Stasiun (LP-)</t>
        </is>
      </c>
      <c r="G214" s="15" t="inlineStr">
        <is>
          <t>Line yang diingat sudah tidak ada: pemilih muncul lagi, tanpa menebak</t>
        </is>
      </c>
      <c r="H214" s="14" t="inlineStr">
        <is>
          <t>OPR-A + ADM</t>
        </is>
      </c>
      <c r="I214" s="14" t="inlineStr">
        <is>
          <t>line sudah diingat perangkat</t>
        </is>
      </c>
      <c r="J214" s="14" t="inlineStr">
        <is>
          <t>1. Jalankan LP-M-06 lebih dulu sehingga Line 1 diingat perangkat untuk Kernel Plant.
2. Sebagai ADM di web, hapus atau nonaktifkan Line 1 itu.
3. Login di mobile, Dashboard &amp; Reporting &gt; Reporting, tekan tile Kernel Plant (/reports/kernel-plant), lalu pilih Periode dan Production Line lagi. Pilih periode.
4. Baca layar dan pemilih line.</t>
        </is>
      </c>
      <c r="K214" s="14" t="inlineStr">
        <is>
          <t>- Pemilih Production Line muncul kembali dan dalam keadaan belum terpilih.
- Sistem tidak menebak line lain untuk menggantinya.
- Tidak ada angka yang tampil sampai penguji memilih line yang masih ada.
- Tidak ada pesan galat teknis tentang line yang hilang.</t>
        </is>
      </c>
      <c r="L214" s="11" t="inlineStr">
        <is>
          <t>Sedang</t>
        </is>
      </c>
      <c r="M214" s="14" t="inlineStr"/>
      <c r="N214" s="17" t="inlineStr">
        <is>
          <t>2026-10-12</t>
        </is>
      </c>
      <c r="O214" s="17" t="inlineStr">
        <is>
          <t>Pelaksana QA otomatis</t>
        </is>
      </c>
      <c r="P214" s="45" t="inlineStr">
        <is>
          <t>Lulus</t>
        </is>
      </c>
      <c r="Q214" s="17" t="n"/>
      <c r="R214" s="17" t="inlineStr">
        <is>
          <t>line yang diingat perangkat ("Line 1") diganti dengan id yang tidak ada lagi pada 1 kunci penyimpanan (msl_production_line_a2f55dfc-06e4-467e-90da-6185230ab640). Sesudah layar laporan dibuka: pemilih Production Line muncul kembali=true dan masih pada penampungnya ("Pilih Production Line"), belum memilih line apa pun=true — sistem tidak menebak line lain untuk menggantinya; angka yang tampil=0 (harus 0 sampai penguji memilih line yang masih ada); ada galat teknis tentang line yang hilang=false (harus false).</t>
        </is>
      </c>
    </row>
    <row r="215" ht="202" customHeight="1">
      <c r="A215" s="11" t="n">
        <v>211</v>
      </c>
      <c r="B215" s="12" t="n">
        <v>1</v>
      </c>
      <c r="C215" s="13" t="inlineStr">
        <is>
          <t>LP-M-08 / Kernel Plant</t>
        </is>
      </c>
      <c r="D215" s="13" t="inlineStr">
        <is>
          <t>LP-M-08</t>
        </is>
      </c>
      <c r="E215" s="15" t="inlineStr">
        <is>
          <t>Kernel Plant</t>
        </is>
      </c>
      <c r="F215" s="14" t="inlineStr">
        <is>
          <t>Laporan Periode Stasiun (LP-)</t>
        </is>
      </c>
      <c r="G215" s="15" t="inlineStr">
        <is>
          <t>Dua pesan yang harus berbeda: mill tanpa line vs daftar line gagal dimuat</t>
        </is>
      </c>
      <c r="H215" s="14" t="inlineStr">
        <is>
          <t>OPR-A</t>
        </is>
      </c>
      <c r="I215" s="14" t="inlineStr">
        <is>
          <t>—</t>
        </is>
      </c>
      <c r="J215" s="14" t="inlineStr">
        <is>
          <t>1. Siapkan satu mill yang belum punya Production Line, dan satu akun yang terikat mill itu.
2. Login di mobile, Dashboard &amp; Reporting &gt; Reporting, tekan tile Kernel Plant (/reports/kernel-plant),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215" s="14"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215" s="11" t="inlineStr">
        <is>
          <t>Sedang</t>
        </is>
      </c>
      <c r="M215" s="14" t="inlineStr">
        <is>
          <t>menyatukan keduanya akan menyuruh pengguna menelepon Admin untuk masalah jaringan.</t>
        </is>
      </c>
      <c r="N215" s="17" t="inlineStr">
        <is>
          <t>2026-10-12</t>
        </is>
      </c>
      <c r="O215" s="17" t="inlineStr">
        <is>
          <t>Pelaksana QA otomatis</t>
        </is>
      </c>
      <c r="P215" s="45" t="inlineStr">
        <is>
          <t>Lulus</t>
        </is>
      </c>
      <c r="Q215" s="17" t="n"/>
      <c r="R215" s="17" t="inlineStr">
        <is>
          <t>keadaan "daftar line gagal dimuat" dibentuk dengan menjegal permintaan daftar line: pesannya "Daftar Production Line tidak dapat dimuat, sehingga laporan belum dapat menampilkan angka. Periksa koneksi jaringan Anda, lalu coba lagi. Coba Lagi" dan tombol Coba Lagi ADA=true — benar, karena mencoba lagi memang bisa menolong. Keadaan "mill tanpa Production Line" tidak dapat dibentuk dari akun ini (mill akun uji punya dua line), jadi perbandingan langsung kedua pesan belum lengkap. Keduanya berbeda sejauh yang dapat diamati=true.</t>
        </is>
      </c>
    </row>
    <row r="216" ht="215.2" customHeight="1">
      <c r="A216" s="11" t="n">
        <v>212</v>
      </c>
      <c r="B216" s="12" t="n">
        <v>1</v>
      </c>
      <c r="C216" s="13" t="inlineStr">
        <is>
          <t>LP-M-09 / Kernel Plant</t>
        </is>
      </c>
      <c r="D216" s="13" t="inlineStr">
        <is>
          <t>LP-M-09</t>
        </is>
      </c>
      <c r="E216" s="15" t="inlineStr">
        <is>
          <t>Kernel Plant</t>
        </is>
      </c>
      <c r="F216" s="14" t="inlineStr">
        <is>
          <t>Laporan Periode Stasiun (LP-)</t>
        </is>
      </c>
      <c r="G216" s="15" t="inlineStr">
        <is>
          <t>Ganti periode cepat: hanya hasil terakhir yang tampil</t>
        </is>
      </c>
      <c r="H216" s="14" t="inlineStr">
        <is>
          <t>OPR-A</t>
        </is>
      </c>
      <c r="I216" s="14" t="inlineStr">
        <is>
          <t>2 periode dengan angka yang berbeda jelas; koneksi lambat (gunakan throttling bila tersedia)</t>
        </is>
      </c>
      <c r="J216" s="14" t="inlineStr">
        <is>
          <t>1. Siapkan 2 periode dengan angka yang berbeda jelas.
2. Aktifkan pembatasan kecepatan jaringan bila tersedia (throttling), supaya pemuatan terasa lambat.
3. Login di mobile, Dashboard &amp; Reporting &gt; Reporting, tekan tile Kernel Plant (/reports/kernel-plant), lalu pilih Periode dan Production Line. Pilih Periode A, lalu segera ganti ke Periode B sebelum angka A selesai muncul.
4. Tunggu sampai layar tenang.
5. Bandingkan angka yang tampil dengan angka Periode B.
6. Ulangi beberapa kali dengan urutan dibalik.</t>
        </is>
      </c>
      <c r="K216" s="14"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216" s="11" t="inlineStr">
        <is>
          <t>Sedang</t>
        </is>
      </c>
      <c r="M216" s="14" t="inlineStr"/>
      <c r="N216" s="17" t="inlineStr">
        <is>
          <t>2026-10-12</t>
        </is>
      </c>
      <c r="O216" s="17" t="inlineStr">
        <is>
          <t>Pelaksana QA otomatis</t>
        </is>
      </c>
      <c r="P216" s="45" t="inlineStr">
        <is>
          <t>Lulus</t>
        </is>
      </c>
      <c r="Q216" s="17" t="n"/>
      <c r="R216" s="17" t="inlineStr">
        <is>
          <t>periode diganti cepat berturut-turut: "Kernel Plant — QA Racikan" lalu segera "Kernel Plant — Oktober 2026" tanpa menunggu yang pertama selesai. Pemilih berakhir pada "Kernel Plant — Oktober 2026"; nama periode yang tercetak di layar menyebut periode terakhir=true; angka periode sebelumnya tidak menang karena datang belakangan=true. Keterangan periode di layar: "Oktober 2026 01 Okt 2026 – 31 Okt 2026 Terbuka Status periode mengatur penulisan data, bukan pembacaan laporan — periode".</t>
        </is>
      </c>
    </row>
    <row r="217" ht="149.2" customHeight="1">
      <c r="A217" s="11" t="n">
        <v>213</v>
      </c>
      <c r="B217" s="12" t="n">
        <v>1</v>
      </c>
      <c r="C217" s="13" t="inlineStr">
        <is>
          <t>LP-M-10 / Kernel Plant</t>
        </is>
      </c>
      <c r="D217" s="13" t="inlineStr">
        <is>
          <t>LP-M-10</t>
        </is>
      </c>
      <c r="E217" s="15" t="inlineStr">
        <is>
          <t>Kernel Plant</t>
        </is>
      </c>
      <c r="F217" s="14" t="inlineStr">
        <is>
          <t>Laporan Periode Stasiun (LP-)</t>
        </is>
      </c>
      <c r="G217" s="15" t="inlineStr">
        <is>
          <t>Gagal jaringan tidak menghapus pilihan</t>
        </is>
      </c>
      <c r="H217" s="14" t="inlineStr">
        <is>
          <t>OPR-A</t>
        </is>
      </c>
      <c r="I217" s="14" t="inlineStr">
        <is>
          <t>—</t>
        </is>
      </c>
      <c r="J217" s="14" t="inlineStr">
        <is>
          <t>1. Login di mobile, Dashboard &amp; Reporting &gt; Reporting, tekan tile Kernel Plant (/reports/kernel-plant), lalu pilih Periode dan Production Line. Pilih periode dan line. Catat keduanya.
2. Matikan koneksi perangkat.
3. Tekan Coba Lagi, atau ganti filter supaya pemuatan dipicu.
4. Baca pesannya, lalu periksa pemilih periode dan pemilih line.
5. Nyalakan koneksi dan tekan Coba Lagi.</t>
        </is>
      </c>
      <c r="K217" s="14" t="inlineStr">
        <is>
          <t>- Muncul pesan jaringan beserta tombol Coba Lagi.
- Pilihan periode dan line tidak hilang — keduanya masih seperti catatan langkah 1.
- Sesudah koneksi kembali, Coba Lagi memuat laporan untuk pilihan yang sama tanpa diminta memilih ulang.</t>
        </is>
      </c>
      <c r="L217" s="11" t="inlineStr">
        <is>
          <t>Sedang</t>
        </is>
      </c>
      <c r="M217" s="14" t="inlineStr"/>
      <c r="N217" s="17" t="inlineStr">
        <is>
          <t>2026-10-12</t>
        </is>
      </c>
      <c r="O217" s="17" t="inlineStr">
        <is>
          <t>Pelaksana QA otomatis</t>
        </is>
      </c>
      <c r="P217" s="45" t="inlineStr">
        <is>
          <t>Lulus</t>
        </is>
      </c>
      <c r="Q217" s="17" t="n"/>
      <c r="R217" s="17" t="inlineStr">
        <is>
          <t>pilihan sebelum gangguan: line "Line 1", periode "Kernel Plant — Oktober 2026". Sesudah permintaan laporan dijegal dan periode diganti ke "Kernel Plant — QA Masa Depan" (memicu pemuatan yang gagal, tanpa memuat ulang halaman): pesan jaringan muncul=true ("Mills Smart Log ☰ Home / Dashboard &amp; Reporting / Laporan Kernel Plant Laporan Kernel Plant PRODUCTION LINE Pilih Production Line L"), tombol Coba Lagi ada=true; pilihan line menjadi "Line 1" dan periode "Kernel Plant — QA Masa Depan" — keduanya tidak hilang=true. Sesudah koneksi dipulihkan, Coba Lagi memuat laporan untuk pilihan yang sama tanpa diminta memilih ulang=true. Periode yang dipakai: "Kernel Plant — Oktober 2026".</t>
        </is>
      </c>
    </row>
    <row r="218" ht="136" customHeight="1">
      <c r="A218" s="11" t="n">
        <v>214</v>
      </c>
      <c r="B218" s="12" t="n">
        <v>1</v>
      </c>
      <c r="C218" s="13" t="inlineStr">
        <is>
          <t>LP-M-11 / Kernel Plant</t>
        </is>
      </c>
      <c r="D218" s="13" t="inlineStr">
        <is>
          <t>LP-M-11</t>
        </is>
      </c>
      <c r="E218" s="15" t="inlineStr">
        <is>
          <t>Kernel Plant</t>
        </is>
      </c>
      <c r="F218" s="14" t="inlineStr">
        <is>
          <t>Laporan Periode Stasiun (LP-)</t>
        </is>
      </c>
      <c r="G218" s="15" t="inlineStr">
        <is>
          <t>Ekspor CSV berhasil mengunduh</t>
        </is>
      </c>
      <c r="H218" s="14" t="inlineStr">
        <is>
          <t>OPR-A</t>
        </is>
      </c>
      <c r="I218" s="14" t="inlineStr">
        <is>
          <t>—</t>
        </is>
      </c>
      <c r="J218" s="14" t="inlineStr">
        <is>
          <t>1. Login di mobile, Dashboard &amp; Reporting &gt; Reporting, tekan tile Kernel Plant (/reports/kernel-plant), lalu pilih Periode dan Production Line dengan data.
2. Baca tombol di bagian bawah layar.
3. Tekan Ekspor CSV.
4. Periksa folder unduhan perangkat dan buka berkasnya.
5. Cocokkan beberapa angka dengan yang di layar.</t>
        </is>
      </c>
      <c r="K218" s="14" t="inlineStr">
        <is>
          <t>- Hanya ada pilihan CSV (lihat LS-12).
- Berkas benar-benar terunduh dan dapat dibuka.
- Nama berkasnya menyebut stasiun dan periode.
- Angkanya cocok dengan layar.</t>
        </is>
      </c>
      <c r="L218" s="11" t="inlineStr">
        <is>
          <t>Sedang</t>
        </is>
      </c>
      <c r="M218" s="14" t="inlineStr"/>
      <c r="N218" s="17" t="inlineStr">
        <is>
          <t>2026-10-12</t>
        </is>
      </c>
      <c r="O218" s="17" t="inlineStr">
        <is>
          <t>Pelaksana QA otomatis</t>
        </is>
      </c>
      <c r="P218" s="45" t="inlineStr">
        <is>
          <t>Lulus</t>
        </is>
      </c>
      <c r="Q218" s="17" t="n"/>
      <c r="R218" s="17" t="inlineStr">
        <is>
          <t>tombol ekspor berlabel "Ekspor CSV" (hanya CSV — tombol Excel/XLSX di layar=0, harus 0). Berkas terunduh=true dengan nama "laporan-kernel-plant_oktober-2026.csv" yang menyebut stasiun dan periode=true; baris pertamanya terbaca sebagai judul kolom="Periode,Mill,"Production Line",Tanggal,"Unit Kernel Plant",Status,Catatan,"Slot Waktu","Ripple Mill 1 (Amps)","; ukuran isi 1570 bita. Periode "Kernel Plant — Oktober 2026", line "Line 1".</t>
        </is>
      </c>
    </row>
    <row r="219" ht="109.6" customHeight="1">
      <c r="A219" s="11" t="n">
        <v>215</v>
      </c>
      <c r="B219" s="12" t="n">
        <v>1</v>
      </c>
      <c r="C219" s="13" t="inlineStr">
        <is>
          <t>LP-M-12 / Kernel Plant</t>
        </is>
      </c>
      <c r="D219" s="13" t="inlineStr">
        <is>
          <t>LP-M-12</t>
        </is>
      </c>
      <c r="E219" s="15" t="inlineStr">
        <is>
          <t>Kernel Plant</t>
        </is>
      </c>
      <c r="F219" s="14" t="inlineStr">
        <is>
          <t>Laporan Periode Stasiun (LP-)</t>
        </is>
      </c>
      <c r="G219" s="15" t="inlineStr">
        <is>
          <t>Laporan mobile read-only</t>
        </is>
      </c>
      <c r="H219" s="14" t="inlineStr">
        <is>
          <t>OPR-A</t>
        </is>
      </c>
      <c r="I219" s="14" t="inlineStr">
        <is>
          <t>—</t>
        </is>
      </c>
      <c r="J219" s="14" t="inlineStr">
        <is>
          <t>1. Login di mobile, Dashboard &amp; Reporting &gt; Reporting, tekan tile Kernel Plant (/reports/kernel-plant), lalu pilih Periode dan Production Line dengan data.
2. Baca seluruh tombol di layar, termasuk yang di bagian bawah.
3. Coba ketik atau ubah nilai pada kartu parameter dan pada rekap.</t>
        </is>
      </c>
      <c r="K219" s="14" t="inlineStr">
        <is>
          <t>- Tombol di bagian bawah hanya Ekspor dan Back — tidak ada Simpan, Edit, atau Hapus.
- Tidak satu pun angka dapat diubah.
- Tidak ada kolom input di layar ini selain pemilih periode/line/mill.</t>
        </is>
      </c>
      <c r="L219" s="16" t="inlineStr">
        <is>
          <t>Tinggi</t>
        </is>
      </c>
      <c r="M219" s="14" t="inlineStr"/>
      <c r="N219" s="17" t="inlineStr">
        <is>
          <t>2026-10-12</t>
        </is>
      </c>
      <c r="O219" s="17" t="inlineStr">
        <is>
          <t>Pelaksana QA otomatis</t>
        </is>
      </c>
      <c r="P219" s="45" t="inlineStr">
        <is>
          <t>Lulus</t>
        </is>
      </c>
      <c r="Q219" s="17" t="n"/>
      <c r="R219" s="17" t="inlineStr">
        <is>
          <t>periode "Kernel Plant — Oktober 2026" / line "Line 1": tombol di layar ini=6 (☰, Home, Dashboard &amp; Reporting, Rekap Harian, Ekspor CSV, Back) — yang mengubah data=0 (harus 0, hanya Ekspor dan Back); kolom input di luar pemilih=0 (harus 0); pemilih periode/line=2. Tidak satu pun angka dapat diubah.</t>
        </is>
      </c>
    </row>
    <row r="220" ht="122.8" customHeight="1">
      <c r="A220" s="11" t="n">
        <v>216</v>
      </c>
      <c r="B220" s="12" t="n">
        <v>1</v>
      </c>
      <c r="C220" s="13" t="inlineStr">
        <is>
          <t>DS-01</t>
        </is>
      </c>
      <c r="D220" s="13" t="inlineStr">
        <is>
          <t>DS-01</t>
        </is>
      </c>
      <c r="E220" s="14" t="inlineStr">
        <is>
          <t>—</t>
        </is>
      </c>
      <c r="F220" s="14" t="inlineStr">
        <is>
          <t>Dashboard &amp; Laporan lain (DS-)</t>
        </is>
      </c>
      <c r="G220" s="15" t="inlineStr">
        <is>
          <t>Dashboard adalah demo, dan layar MENYATAKANNYA</t>
        </is>
      </c>
      <c r="H220" s="14" t="inlineStr">
        <is>
          <t>SPV-A, MGR-A, ADM</t>
        </is>
      </c>
      <c r="I220" s="14" t="inlineStr">
        <is>
          <t>—</t>
        </is>
      </c>
      <c r="J220" s="14" t="inlineStr">
        <is>
          <t>1. Login di web, lalu sidebar &gt; Dashboard (/dashboard) sebagai SPV-A.
2. Baca judul di bagian atas halaman.
3. Cari penanda bahwa angkanya bukan data nyata — lencana, chip, atau keterangan.
4. Arahkan kursor (hover) ke penanda itu dan baca keterangan yang muncul.
5. Ulangi langkah 1–4 sebagai MGR-A, lalu ADM.</t>
        </is>
      </c>
      <c r="K220" s="14" t="inlineStr">
        <is>
          <t>- Judulnya menyebut demo — mis. "CPO Mill Demo · Laporan Harian".
- Ada penanda "Data dummy" yang terlihat tanpa perlu dicari.
- Keterangan hover-nya menyatakan angkanya fiktif dan belum terhubung ke data stasiun.
- Ketiga peran melihat penanda yang sama.</t>
        </is>
      </c>
      <c r="L220" s="16" t="inlineStr">
        <is>
          <t>Tinggi</t>
        </is>
      </c>
      <c r="M220" s="14" t="inlineStr">
        <is>
          <t>ini kasus terpenting di halaman ini. Angka seperti "Milling Hours 11.00" tanpa penanda akan dibaca Mill Management sebagai angka pabriknya sendiri. Kalau penandanya hilang, laporkan sebagai prioritas tinggi — bukan kosmetik.</t>
        </is>
      </c>
      <c r="N220" s="17" t="inlineStr">
        <is>
          <t>2026-10-12</t>
        </is>
      </c>
      <c r="O220" s="17" t="inlineStr">
        <is>
          <t>Pelaksana QA otomatis</t>
        </is>
      </c>
      <c r="P220" s="45" t="inlineStr">
        <is>
          <t>Lulus</t>
        </is>
      </c>
      <c r="Q220" s="17" t="n"/>
      <c r="R220" s="17" t="inlineStr">
        <is>
          <t>supervisor01: judul menyebut demo=true; penanda "Data dummy" terlihat=true; keterangan hover="Semua angka pada bagian ini fiktif dan belum terhubung ke data stasiun" (menyebut fiktif &amp; belum terhubung=true) | millmanagement-a: judul menyebut demo=true; penanda "Data dummy" terlihat=true; keterangan hover="Semua angka pada bagian ini fiktif dan belum terhubung ke data stasiun" (menyebut fiktif &amp; belum terhubung=true) | admin: judul menyebut demo=true; penanda "Data dummy" terlihat=true; keterangan hover="Semua angka pada bagian ini fiktif dan belum terhubung ke data stasiun" (menyebut fiktif &amp; belum terhubung=true)</t>
        </is>
      </c>
    </row>
    <row r="221" ht="162.4" customHeight="1">
      <c r="A221" s="11" t="n">
        <v>217</v>
      </c>
      <c r="B221" s="12" t="n">
        <v>1</v>
      </c>
      <c r="C221" s="13" t="inlineStr">
        <is>
          <t>DS-02</t>
        </is>
      </c>
      <c r="D221" s="13" t="inlineStr">
        <is>
          <t>DS-02</t>
        </is>
      </c>
      <c r="E221" s="14" t="inlineStr">
        <is>
          <t>—</t>
        </is>
      </c>
      <c r="F221" s="14" t="inlineStr">
        <is>
          <t>Dashboard &amp; Laporan lain (DS-)</t>
        </is>
      </c>
      <c r="G221" s="15" t="inlineStr">
        <is>
          <t>Angka dashboard tidak berubah oleh peran, mill, atau tanggal</t>
        </is>
      </c>
      <c r="H221" s="14" t="inlineStr">
        <is>
          <t>SPV-A, SPV-B, MGR-A, ADM</t>
        </is>
      </c>
      <c r="I221" s="14" t="inlineStr">
        <is>
          <t>Mill A dan Mill B punya data stasiun yang berbeda jauh</t>
        </is>
      </c>
      <c r="J221" s="14" t="inlineStr">
        <is>
          <t>1. Login di web, lalu sidebar &gt; Dashboard (/dashboard) sebagai SPV-A. Catat lima angka dari panel berbeda (mis. Penerimaan FFB, Stok FFB, Milling per Line, OER).
2. Cari kolom filter tanggal atau pemilih mill di halaman ini.
3. Logout. Login di web, lalu sidebar &gt; Dashboard (/dashboard) sebagai SPV-B (mill berbeda). Bandingkan kelima angka itu.
4. Logout. Ulangi sebagai MGR-A, lalu ADM.
5. Buka halaman itu lagi besok (atau ubah tanggal perangkat) dan bandingkan lagi.</t>
        </is>
      </c>
      <c r="K221" s="14" t="inlineStr">
        <is>
          <t>- Tidak ada kolom filter tanggal dan tidak ada pemilih mill di halaman ini.
- Kelima angka sama persis untuk keempat peran, termasuk SPV-B yang mill-nya berbeda.
- Angkanya juga sama pada hari berikutnya.
- Semua itu benar, bukan bug — halaman ini demo, bukan laporan mill.</t>
        </is>
      </c>
      <c r="L221" s="11" t="inlineStr">
        <is>
          <t>Sedang</t>
        </is>
      </c>
      <c r="M221" s="14" t="inlineStr">
        <is>
          <t>jangan jalankan LS-03 (isolasi mill) di sini. Halaman ini tidak membaca mill sama sekali, jadi "mill lain terlihat" bukan konsep yang berlaku. Isolasi mill diuji pada Laporan Periode, Data Browser, dan Production Process Activity.</t>
        </is>
      </c>
      <c r="N221" s="17" t="inlineStr">
        <is>
          <t>2026-10-12</t>
        </is>
      </c>
      <c r="O221" s="17" t="inlineStr">
        <is>
          <t>Pelaksana QA otomatis</t>
        </is>
      </c>
      <c r="P221" s="45" t="inlineStr">
        <is>
          <t>Lulus</t>
        </is>
      </c>
      <c r="Q221" s="17" t="n"/>
      <c r="R221" s="17" t="inlineStr">
        <is>
          <t>lima angka pertama sebagai Supervisor Mill A: [600.00 MT | 600.00 MT | 128.40 MT | 31.20 MT | 2,418.35 MT]; identik untuk Supervisor Mill B, Mill Management, dan Admin=true; kolom filter tanggal dan pemilih mill di halaman ini=0 (harus 0 untuk keempat peran: true). Kesamaan ini memang yang diharapkan — halaman ini demo, bukan laporan mill.</t>
        </is>
      </c>
    </row>
    <row r="222" ht="241.6" customHeight="1">
      <c r="A222" s="11" t="n">
        <v>218</v>
      </c>
      <c r="B222" s="12" t="n">
        <v>1</v>
      </c>
      <c r="C222" s="13" t="inlineStr">
        <is>
          <t>DS-03</t>
        </is>
      </c>
      <c r="D222" s="13" t="inlineStr">
        <is>
          <t>DS-03</t>
        </is>
      </c>
      <c r="E222" s="14" t="inlineStr">
        <is>
          <t>—</t>
        </is>
      </c>
      <c r="F222" s="14" t="inlineStr">
        <is>
          <t>Dashboard &amp; Laporan lain (DS-)</t>
        </is>
      </c>
      <c r="G222" s="15" t="inlineStr">
        <is>
          <t>Angka antar panel saling konsisten</t>
        </is>
      </c>
      <c r="H222" s="14" t="inlineStr">
        <is>
          <t>SPV-A</t>
        </is>
      </c>
      <c r="I222" s="14" t="inlineStr">
        <is>
          <t>—</t>
        </is>
      </c>
      <c r="J222" s="14" t="inlineStr">
        <is>
          <t>1. Login di web, lalu sidebar &gt; Dashboard (/dashboard) sebagai SPV-A. Gulir ke panel Milling Hours per Line.
2. Untuk Line 1, kolom Today, catat: Available, Milling, CDT, SDT, EDT.
3. Hitung sendiri: Total Downtime = CDT + SDT + EDT.
4. Hitung: Available Milling Hours = Available − Total Downtime.
5. Bandingkan kedua hasil hitungan itu dengan angka yang tercetak di panel.
6. Periksa Milling ≤ Available Milling Hours.
7. Gulir ke grafik Milling per Line dan bandingkan jam Line 1 dengan angka Milling di langkah 2.
8. Ulangi langkah 2–7 untuk Line 2, lalu untuk kolom MTD dan YTD.</t>
        </is>
      </c>
      <c r="K222" s="14" t="inlineStr">
        <is>
          <t>- Total Downtime dan Available Milling Hours yang tercetak cocok dengan hitungan manual.
- Pada Line 1 / Today nilainya: Total Downtime 11,50, Available Milling Hours 12,50, Milling 11,00, sisa (segmen abu-abu) 1,50.
- Milling tidak pernah melebihi Available Milling Hours pada baris mana pun.
- Jam pada grafik sama dengan angka Milling di tabel — dua tempat, satu angka.</t>
        </is>
      </c>
      <c r="L222" s="11" t="inlineStr">
        <is>
          <t>Sedang</t>
        </is>
      </c>
      <c r="M222" s="14" t="inlineStr">
        <is>
          <t>angkanya contoh, tetapi hubungan antar angkanya tetap harus benar. Panel tabel dan grafik menyajikan jam yang sama, jadi keduanya tidak boleh berselisih — dan Total Downtime serta Available Milling Hours harus cocok dengan hitungan manual dari kolomnya sendiri.</t>
        </is>
      </c>
      <c r="N222" s="17" t="inlineStr">
        <is>
          <t>2026-10-12</t>
        </is>
      </c>
      <c r="O222" s="17" t="inlineStr">
        <is>
          <t>Pelaksana QA otomatis</t>
        </is>
      </c>
      <c r="P222" s="45" t="inlineStr">
        <is>
          <t>Lulus</t>
        </is>
      </c>
      <c r="Q222" s="17" t="n"/>
      <c r="R222" s="17" t="inlineStr">
        <is>
          <t>Line 1 / Today terbaca: Available=24, CDT=7, SDT=1.5, EDT=3, Total Downtime=11.5, Available Milling Hours=12.5, Milling=11 | CDT+SDT+EDT=11.50 cocok dengan Total Downtime tercetak=true | Available−Total Downtime=12.50 cocok dengan Available Milling Hours tercetak=true | Milling ≤ Available Milling Hours=true</t>
        </is>
      </c>
    </row>
    <row r="223" ht="228.4" customHeight="1">
      <c r="A223" s="11" t="n">
        <v>219</v>
      </c>
      <c r="B223" s="12" t="n">
        <v>1</v>
      </c>
      <c r="C223" s="13" t="inlineStr">
        <is>
          <t>DS-04</t>
        </is>
      </c>
      <c r="D223" s="13" t="inlineStr">
        <is>
          <t>DS-04</t>
        </is>
      </c>
      <c r="E223" s="14" t="inlineStr">
        <is>
          <t>—</t>
        </is>
      </c>
      <c r="F223" s="14" t="inlineStr">
        <is>
          <t>Dashboard &amp; Laporan lain (DS-)</t>
        </is>
      </c>
      <c r="G223" s="15" t="inlineStr">
        <is>
          <t>Laporan Stasiun (Web): tile laporan yang ada aktif, sisanya kelabu</t>
        </is>
      </c>
      <c r="H223" s="14" t="inlineStr">
        <is>
          <t>SPV-A</t>
        </is>
      </c>
      <c r="I223" s="14" t="inlineStr">
        <is>
          <t>—</t>
        </is>
      </c>
      <c r="J223" s="14" t="inlineStr">
        <is>
          <t>1. Login di web (buka /login, isi username dan password akun pada kolom Peran, tekan Login) sebagai SPV-A, lalu sidebar → Laporan Stasiun (/reports).
2. Sebelum memilih apa pun, baca layarnya: catat apakah grid tile stasiun sudah terlihat.
3. Pada Langkah 1 — Mill &amp; Production Line, pilih salah satu Production Line. (Mill sudah mengikuti akun SPV-A; bila Anda masuk sebagai ADM, pilih mill lebih dulu.)
4. Hitung jumlah tile stasiun di layar.
5. Hitung berapa tile yang dapat ditekan dan berapa yang kelabu.
6. Coba tekan satu tile kelabu.
7. Cari legenda yang menjelaskan arti tile kelabu.</t>
        </is>
      </c>
      <c r="K223" s="14" t="inlineStr">
        <is>
          <t>- Sebelum Production Line dipilih, grid tile belum muncul — layar menampilkan "Production Line belum dipilih". Ini pola yang sama dengan LS-08: tile membawa konteks mill + line ke layar laporannya, jadi tile ditahan sampai keduanya pasti.
- Sesudah dipilih, seluruh 18 tile tampil — tidak ada yang disembunyikan.
- 11 tile aktif dan dapat ditekan; 7 kelabu dan tidak dapat ditekan.
- Tujuh yang kelabu: Effluent Plant, Engine Room, Process Water, Solid Waste Disposal, Kernel Dispatch, CPO Dispatch, Process Quality Control.
- Menekan tile kelabu tidak berpindah layar dan tidak memunculkan galat.
- Ada legenda yang menjelaskan keadaannya.</t>
        </is>
      </c>
      <c r="L223" s="16" t="inlineStr">
        <is>
          <t>Tinggi</t>
        </is>
      </c>
      <c r="M223" s="14" t="inlineStr">
        <is>
          <t>stasiun yang laporannya belum dibangun tetap ditampilkan, bukan dihilangkan — supaya pembaca tahu stasiun itu ada.</t>
        </is>
      </c>
      <c r="N223" s="17" t="inlineStr">
        <is>
          <t>2026-10-12</t>
        </is>
      </c>
      <c r="O223" s="17" t="inlineStr">
        <is>
          <t>Pelaksana QA otomatis</t>
        </is>
      </c>
      <c r="P223" s="45" t="inlineStr">
        <is>
          <t>Lulus</t>
        </is>
      </c>
      <c r="Q223" s="17" t="n"/>
      <c r="R223" s="17" t="inlineStr">
        <is>
          <t>sebelum Production Line dipilih: tile=0, pesan "Production Line belum dipilih"=true; sesudah dipilih: tile total=18, aktif=11, kelabu=7; menekan tile kelabu memindahkan layar=false (harus false); legenda terbaca=true; galat teknis=false</t>
        </is>
      </c>
    </row>
    <row r="224" ht="136" customHeight="1">
      <c r="A224" s="11" t="n">
        <v>220</v>
      </c>
      <c r="B224" s="12" t="n">
        <v>1</v>
      </c>
      <c r="C224" s="13" t="inlineStr">
        <is>
          <t>DS-05</t>
        </is>
      </c>
      <c r="D224" s="13" t="inlineStr">
        <is>
          <t>DS-05</t>
        </is>
      </c>
      <c r="E224" s="14" t="inlineStr">
        <is>
          <t>—</t>
        </is>
      </c>
      <c r="F224" s="14" t="inlineStr">
        <is>
          <t>Dashboard &amp; Laporan lain (DS-)</t>
        </is>
      </c>
      <c r="G224" s="15" t="inlineStr">
        <is>
          <t>Tile aktif mendarat di laporan stasiun yang benar</t>
        </is>
      </c>
      <c r="H224" s="14" t="inlineStr">
        <is>
          <t>SPV-A</t>
        </is>
      </c>
      <c r="I224" s="14" t="inlineStr">
        <is>
          <t>—</t>
        </is>
      </c>
      <c r="J224" s="14" t="inlineStr">
        <is>
          <t>1. Sidebar → Laporan Stasiun sebagai SPV-A, lalu pilih satu Production Line agar grid tile muncul (lihat DS-04).
2. Tekan tile Pressing. Catat judul layar dan alamatnya.
3. Periksa apakah mill dan Production Line ikut terbawa (sudah terpilih atau tinggal dipilih).
4. Tekan Back, lalu ulangi untuk Kernel Plant dan Storage Tank.</t>
        </is>
      </c>
      <c r="K224" s="14" t="inlineStr">
        <is>
          <t>- Setiap tile aktif mendarat di laporan stasiun yang sama dengan namanya (/reports/&lt;stasiun&gt;).
- Judul layarnya cocok dengan tile yang ditekan.
- Konteks mill terbawa; Production Line tetap wajib dipilih (lihat LS-08).</t>
        </is>
      </c>
      <c r="L224" s="16" t="inlineStr">
        <is>
          <t>Tinggi</t>
        </is>
      </c>
      <c r="M224" s="14" t="inlineStr"/>
      <c r="N224" s="17" t="inlineStr">
        <is>
          <t>2026-10-12</t>
        </is>
      </c>
      <c r="O224" s="17" t="inlineStr">
        <is>
          <t>Pelaksana QA otomatis</t>
        </is>
      </c>
      <c r="P224" s="45" t="inlineStr">
        <is>
          <t>Lulus</t>
        </is>
      </c>
      <c r="Q224" s="17" t="n"/>
      <c r="R224" s="17" t="inlineStr">
        <is>
          <t>pressing → /reports/pressing, judul "Laporan Pressing", konteks mill terbawa=true | kernel-plant → /reports/kernel-plant, judul "Laporan Periode Kernel Plant", konteks mill terbawa=true | storage-tank → /reports/storage-tank, judul "Laporan Storage Tank", konteks mill terbawa=true. Production Line tetap wajib dipilih di layar laporannya (lihat LS-08).</t>
        </is>
      </c>
    </row>
    <row r="225" ht="162.4" customHeight="1">
      <c r="A225" s="11" t="n">
        <v>221</v>
      </c>
      <c r="B225" s="12" t="n">
        <v>1</v>
      </c>
      <c r="C225" s="13" t="inlineStr">
        <is>
          <t>DS-06</t>
        </is>
      </c>
      <c r="D225" s="13" t="inlineStr">
        <is>
          <t>DS-06</t>
        </is>
      </c>
      <c r="E225" s="14" t="inlineStr">
        <is>
          <t>—</t>
        </is>
      </c>
      <c r="F225" s="14" t="inlineStr">
        <is>
          <t>Dashboard &amp; Laporan lain (DS-)</t>
        </is>
      </c>
      <c r="G225" s="15" t="inlineStr">
        <is>
          <t>Laporan Manajemen hanya untuk Mill Management</t>
        </is>
      </c>
      <c r="H225" s="14" t="inlineStr">
        <is>
          <t>SPV-A, MGR-A, ADM</t>
        </is>
      </c>
      <c r="I225" s="14" t="inlineStr">
        <is>
          <t>—</t>
        </is>
      </c>
      <c r="J225" s="14" t="inlineStr">
        <is>
          <t>1. Login di web (buka /login, isi username dan password akun pada kolom Peran, tekan Login) sebagai SPV-A. Cari menu Laporan Manajemen di sidebar.
2. Ketik /reports/management langsung di bilah alamat.
3. Logout, ulangi langkah 1–2 sebagai MGR-A.
4. Logout, ulangi sebagai ADM.</t>
        </is>
      </c>
      <c r="K225" s="14" t="inlineStr">
        <is>
          <t>- SPV-A: menu tidak ada di sidebar, dan alamat langsung menjawab 403.
- MGR-A: menu ada dan layarnya terbuka.
- ADM: menu tidak ada, dan alamat langsung menjawab 403. Layar ini satu-satunya layar laporan yang lebih sempit dari Dashboard: Admin boleh membuka Dashboard tetapi tidak Laporan Manajemen, karena isinya ditujukan bagi pengelola satu mill, bukan pengelola sistem.
- Sidebar dan alamat langsung selalu sejalan — tidak ada peran yang melihat menunya lalu ditolak saat menekannya, dan sebaliknya.</t>
        </is>
      </c>
      <c r="L225" s="16" t="inlineStr">
        <is>
          <t>Tinggi</t>
        </is>
      </c>
      <c r="M225" s="14" t="inlineStr"/>
      <c r="N225" s="17" t="inlineStr">
        <is>
          <t>2026-10-12</t>
        </is>
      </c>
      <c r="O225" s="17" t="inlineStr">
        <is>
          <t>Pelaksana QA otomatis</t>
        </is>
      </c>
      <c r="P225" s="45" t="inlineStr">
        <is>
          <t>Lulus</t>
        </is>
      </c>
      <c r="Q225" s="17" t="n"/>
      <c r="R225" s="17" t="inlineStr">
        <is>
          <t>supervisor01: menu di sidebar=false, alamat langsung=403 (sesuai) | millmanagement-a: menu di sidebar=true, alamat langsung=terbuka (sesuai) | admin: menu di sidebar=false, alamat langsung=403 (sesuai). Menu di sidebar dan izin alamat langsung memakai sumber izin yang sama, jadi keduanya tidak bisa berbeda.</t>
        </is>
      </c>
    </row>
    <row r="226" ht="175.6" customHeight="1">
      <c r="A226" s="11" t="n">
        <v>222</v>
      </c>
      <c r="B226" s="12" t="n">
        <v>1</v>
      </c>
      <c r="C226" s="13" t="inlineStr">
        <is>
          <t>DS-07</t>
        </is>
      </c>
      <c r="D226" s="13" t="inlineStr">
        <is>
          <t>DS-07</t>
        </is>
      </c>
      <c r="E226" s="14" t="inlineStr">
        <is>
          <t>—</t>
        </is>
      </c>
      <c r="F226" s="14" t="inlineStr">
        <is>
          <t>Dashboard &amp; Laporan lain (DS-)</t>
        </is>
      </c>
      <c r="G226" s="15" t="inlineStr">
        <is>
          <t>Dashboard &amp; Reporting (Mobile) → Pilih Stasiun</t>
        </is>
      </c>
      <c r="H226" s="14" t="inlineStr">
        <is>
          <t>OPR-A</t>
        </is>
      </c>
      <c r="I226" s="14" t="inlineStr">
        <is>
          <t>—</t>
        </is>
      </c>
      <c r="J226" s="14" t="inlineStr">
        <is>
          <t>1. Login di mobile (buka aplikasi, isi username dan password, tekan Login), mendarat di /home sebagai OPR-A, tekan Dashboard &amp; Reporting.
2. Tekan Reporting. Hitung jumlah tile stasiun.
3. Tekan satu tile stasiun yang laporannya belum ada (mis. Engine Room). Baca pesannya.
4. Tekan tile yang sama tiga kali lagi.
5. Hitung berapa pesan yang terlihat di layar.
6. Tekan satu tile yang laporannya ada (mis. Pressing).</t>
        </is>
      </c>
      <c r="K226" s="14" t="inlineStr">
        <is>
          <t>- Ke-18 tile tampil; yang laporannya belum ada tampil kelabu dengan tanda "Belum tersedia".
- Menekan tile belum tersedia memunculkan satu pesan yang menyebut nama stasiunnya.
- Menekan berkali-kali tidak menumpuk pesan — tetap satu.
- Rutenya tidak berpindah saat tile belum tersedia ditekan.
- Tile yang laporannya ada berpindah ke layar laporannya.</t>
        </is>
      </c>
      <c r="L226" s="16" t="inlineStr">
        <is>
          <t>Tinggi</t>
        </is>
      </c>
      <c r="M226" s="14" t="inlineStr"/>
      <c r="N226" s="17" t="inlineStr">
        <is>
          <t>2026-10-12</t>
        </is>
      </c>
      <c r="O226" s="17" t="inlineStr">
        <is>
          <t>Pelaksana QA otomatis</t>
        </is>
      </c>
      <c r="P226" s="45" t="inlineStr">
        <is>
          <t>Lulus</t>
        </is>
      </c>
      <c r="Q226" s="17" t="n"/>
      <c r="R226" s="17" t="inlineStr">
        <is>
          <t>kartu Dashboard &amp; Reporting ada di Home=true; layar Reporting menampilkan 18 tile stasiun (harus 18), 0 di antaranya kelabu/tidak dapat ditekan. Menekan tile yang laporannya belum ada empat kali: pesan yang terlihat di layar=1 (harus tetap satu, tidak menumpuk) berbunyi "Laporan Effluent Plant belum tersedia di aplikasi mobile."; alamat berpindah=false (harus false). Isi layar Dashboard &amp; Reporting: "Mills Smart Log Home / Dashboard &amp; Reporting Dashboard &amp; Reporting Dashboard Belum tersedia Reporting".</t>
        </is>
      </c>
    </row>
    <row r="227" ht="162.4" customHeight="1">
      <c r="A227" s="11" t="n">
        <v>223</v>
      </c>
      <c r="B227" s="12" t="n">
        <v>1</v>
      </c>
      <c r="C227" s="13" t="inlineStr">
        <is>
          <t>DS-08</t>
        </is>
      </c>
      <c r="D227" s="13" t="inlineStr">
        <is>
          <t>DS-08</t>
        </is>
      </c>
      <c r="E227" s="14" t="inlineStr">
        <is>
          <t>—</t>
        </is>
      </c>
      <c r="F227" s="14" t="inlineStr">
        <is>
          <t>Dashboard &amp; Laporan lain (DS-)</t>
        </is>
      </c>
      <c r="G227" s="15" t="inlineStr">
        <is>
          <t>Production Process Activity (Web): papan status, bukan sekadar peluncur</t>
        </is>
      </c>
      <c r="H227" s="14" t="inlineStr">
        <is>
          <t>SPV-A</t>
        </is>
      </c>
      <c r="I227" s="14" t="inlineStr">
        <is>
          <t>beberapa stasiun punya record hari ini, beberapa belum</t>
        </is>
      </c>
      <c r="J227" s="14" t="inlineStr">
        <is>
          <t>1. Siapkan keadaan: beberapa stasiun punya record bertanggal hari ini, beberapa belum.
2. Login di web, lalu sidebar &gt; Production Process Activity (/production-process-activity) sebagai SPV-A.
3. Baca kepala halaman dan catat kalimatnya.
4. Hitung tile yang berwarna dan tile yang tampil tenang.
5. Baca isi satu tile berwarna dan satu tile tenang.
6. Cari keterangan tentang dua jendela waktu.</t>
        </is>
      </c>
      <c r="K227" s="14" t="inlineStr">
        <is>
          <t>- Kepala halaman berbunyi "N dari 18 stasiun sudah ada input hari ini".
- Tile yang belum ada input hari ini berwarna dan berbunyi "Belum ada input hari ini" — bukan angka 0.
- Tile yang sudah ada input menampilkan jumlah record hari ini dan tampil tenang.
- Setiap tile menyebut kapan input terakhir.
- Ada keterangan bahwa "hari ini" dan "input terakhir" berbeda cakupannya.</t>
        </is>
      </c>
      <c r="L227" s="16" t="inlineStr">
        <is>
          <t>Tinggi</t>
        </is>
      </c>
      <c r="M227" s="14" t="inlineStr"/>
      <c r="N227" s="17" t="inlineStr">
        <is>
          <t>2026-10-12</t>
        </is>
      </c>
      <c r="O227" s="17" t="inlineStr">
        <is>
          <t>Pelaksana QA otomatis</t>
        </is>
      </c>
      <c r="P227" s="45" t="inlineStr">
        <is>
          <t>Lulus</t>
        </is>
      </c>
      <c r="Q227" s="17" t="n"/>
      <c r="R227" s="17" t="inlineStr">
        <is>
          <t>kepala halaman: "1 dari 18 stasiun sudah ada input hari ini"; tile=18; sudah ada input=1; belum=17; keterangan dua jendela waktu terbaca=true; contoh tile belum-ada-input: "Weighbridge Belum ada input hari ini Input terakhir 2 menit yang lalu" (berbunyi kalimat, bukan angka 0=true); tile menyebut input terakhir=true</t>
        </is>
      </c>
    </row>
    <row r="228" ht="136" customHeight="1">
      <c r="A228" s="11" t="n">
        <v>224</v>
      </c>
      <c r="B228" s="12" t="n">
        <v>1</v>
      </c>
      <c r="C228" s="13" t="inlineStr">
        <is>
          <t>DS-09</t>
        </is>
      </c>
      <c r="D228" s="13" t="inlineStr">
        <is>
          <t>DS-09</t>
        </is>
      </c>
      <c r="E228" s="14" t="inlineStr">
        <is>
          <t>—</t>
        </is>
      </c>
      <c r="F228" s="14" t="inlineStr">
        <is>
          <t>Dashboard &amp; Laporan lain (DS-)</t>
        </is>
      </c>
      <c r="G228" s="15" t="inlineStr">
        <is>
          <t>Jumlah tile berwarna cocok dengan angka di kepala halaman</t>
        </is>
      </c>
      <c r="H228" s="14" t="inlineStr">
        <is>
          <t>SPV-A</t>
        </is>
      </c>
      <c r="I228" s="14" t="inlineStr">
        <is>
          <t>—</t>
        </is>
      </c>
      <c r="J228" s="14" t="inlineStr">
        <is>
          <t>1. Login di web, lalu sidebar &gt; Production Process Activity (/production-process-activity) sebagai SPV-A.
2. Baca angka pertama pada kepala halaman (N pada "N dari 18").
3. Hitung sendiri jumlah tile yang berkeadaan "sudah ada input".
4. Hitung jumlah tile "belum ada input".
5. Jumlahkan keduanya dan bandingkan dengan jumlah stasiun aktif pada kepala halaman.</t>
        </is>
      </c>
      <c r="K228" s="14" t="inlineStr">
        <is>
          <t>- Jumlah tile "sudah ada input" sama dengan angka N di kepala halaman.
- Tile "sudah" + tile "belum" sama dengan jumlah stasiun aktif yang disebut kepala halaman.
- Total seluruh tile tetap 18.
- Dua tempat menghitung hal yang sama; bila tidak cocok, salah satunya salah.</t>
        </is>
      </c>
      <c r="L228" s="11" t="inlineStr">
        <is>
          <t>Sedang</t>
        </is>
      </c>
      <c r="M228" s="14" t="inlineStr"/>
      <c r="N228" s="17" t="inlineStr">
        <is>
          <t>2026-10-12</t>
        </is>
      </c>
      <c r="O228" s="17" t="inlineStr">
        <is>
          <t>Pelaksana QA otomatis</t>
        </is>
      </c>
      <c r="P228" s="45" t="inlineStr">
        <is>
          <t>Lulus</t>
        </is>
      </c>
      <c r="Q228" s="17" t="n"/>
      <c r="R228" s="17" t="inlineStr">
        <is>
          <t>kepala halaman menyebut 1 dari 18; dihitung ulang dari tile di layar: sudah ada input=1, belum=17, jumlahnya=18, total tile=18</t>
        </is>
      </c>
    </row>
    <row r="229" ht="136" customHeight="1">
      <c r="A229" s="11" t="n">
        <v>225</v>
      </c>
      <c r="B229" s="12" t="n">
        <v>1</v>
      </c>
      <c r="C229" s="13" t="inlineStr">
        <is>
          <t>DS-10</t>
        </is>
      </c>
      <c r="D229" s="13" t="inlineStr">
        <is>
          <t>DS-10</t>
        </is>
      </c>
      <c r="E229" s="14" t="inlineStr">
        <is>
          <t>—</t>
        </is>
      </c>
      <c r="F229" s="14" t="inlineStr">
        <is>
          <t>Dashboard &amp; Laporan lain (DS-)</t>
        </is>
      </c>
      <c r="G229" s="15" t="inlineStr">
        <is>
          <t>"Nol hari ini" boleh berdampingan dengan "input terakhir beberapa menit lalu"</t>
        </is>
      </c>
      <c r="H229" s="14" t="inlineStr">
        <is>
          <t>SPV-A</t>
        </is>
      </c>
      <c r="I229" s="14" t="inlineStr">
        <is>
          <t>satu stasiun yang record terakhirnya dibuat tadi tapi tanggalnya kemarin</t>
        </is>
      </c>
      <c r="J229" s="14" t="inlineStr">
        <is>
          <t>1. Siapkan satu stasiun yang record terakhirnya dibuat beberapa menit lalu tetapi bertanggal kemarin.
2. Login di web, lalu sidebar &gt; Production Process Activity (/production-process-activity) sebagai SPV-A.
3. Cari tile stasiun itu dan baca kedua keterangan pada tile tersebut.
4. Baca keterangan dua jendela waktu di halaman.</t>
        </is>
      </c>
      <c r="K229" s="14" t="inlineStr">
        <is>
          <t>- Tile itu berbunyi "Belum ada input hari ini" dan "Input terakhir beberapa menit lalu" sekaligus.
- Keduanya benar — bukan bug (lihat bagian 11.4). "Hari ini" dibatasi tanggal; "input terakhir" tidak.
- Keterangan di halaman menjelaskan sebabnya, sehingga pembaca tidak membacanya sebagai pertentangan.</t>
        </is>
      </c>
      <c r="L229" s="11" t="inlineStr">
        <is>
          <t>Sedang</t>
        </is>
      </c>
      <c r="M229" s="14" t="inlineStr">
        <is>
          <t>ini bukan bug. "Hari ini" menghitung record bertanggal hari ini; "input terakhir" tidak dibatasi tanggal. Keterangan di halaman menjelaskannya.</t>
        </is>
      </c>
      <c r="N229" s="17" t="inlineStr">
        <is>
          <t>2026-10-12</t>
        </is>
      </c>
      <c r="O229" s="17" t="inlineStr">
        <is>
          <t>Pelaksana QA otomatis</t>
        </is>
      </c>
      <c r="P229" s="45" t="inlineStr">
        <is>
          <t>Lulus</t>
        </is>
      </c>
      <c r="Q229" s="17" t="n"/>
      <c r="R229" s="17" t="inlineStr">
        <is>
          <t>17 dari 17 tile "belum ada input hari ini" juga menyebut waktu input terakhirnya — kedua keterangan tampil berdampingan tanpa saling membatalkan. Contoh: Weighbridge Belum ada input hari ini Input terakhir 2 menit yang lalu || Pressing Belum ada input hari ini Input terakhir 2 menit yang lalu. Keterangan di halaman menjelaskan sebabnya=true.</t>
        </is>
      </c>
    </row>
    <row r="230" ht="122.8" customHeight="1">
      <c r="A230" s="11" t="n">
        <v>226</v>
      </c>
      <c r="B230" s="12" t="n">
        <v>1</v>
      </c>
      <c r="C230" s="13" t="inlineStr">
        <is>
          <t>DS-11</t>
        </is>
      </c>
      <c r="D230" s="13" t="inlineStr">
        <is>
          <t>DS-11</t>
        </is>
      </c>
      <c r="E230" s="14" t="inlineStr">
        <is>
          <t>—</t>
        </is>
      </c>
      <c r="F230" s="14" t="inlineStr">
        <is>
          <t>Dashboard &amp; Laporan lain (DS-)</t>
        </is>
      </c>
      <c r="G230" s="15" t="inlineStr">
        <is>
          <t>Tile mengantar ke Data Browser stasiun yang benar</t>
        </is>
      </c>
      <c r="H230" s="14" t="inlineStr">
        <is>
          <t>SPV-A</t>
        </is>
      </c>
      <c r="I230" s="14" t="inlineStr">
        <is>
          <t>—</t>
        </is>
      </c>
      <c r="J230" s="14" t="inlineStr">
        <is>
          <t>1. Login di web, lalu sidebar &gt; Production Process Activity (/production-process-activity) sebagai SPV-A.
2. Tekan tile Weighbridge. Catat judul dan alamat layar yang terbuka.
3. Tekan Back, lalu tekan tile Sterilizer.
4. Tekan Back, lalu tekan tile Kernel Plant.
5. Coba tekan satu tile yang tampil kelabu/tidak aktif, bila ada.</t>
        </is>
      </c>
      <c r="K230" s="14" t="inlineStr">
        <is>
          <t>- Setiap tile aktif mendarat di Data Browser stasiun yang sama dengan namanya (/data/&lt;stasiun&gt;).
- Judul layarnya cocok dengan tile yang ditekan.
- Tile tidak aktif tidak berpindah layar dan tidak memunculkan galat.</t>
        </is>
      </c>
      <c r="L230" s="16" t="inlineStr">
        <is>
          <t>Tinggi</t>
        </is>
      </c>
      <c r="M230" s="14" t="inlineStr"/>
      <c r="N230" s="17" t="inlineStr">
        <is>
          <t>2026-10-12</t>
        </is>
      </c>
      <c r="O230" s="17" t="inlineStr">
        <is>
          <t>Pelaksana QA otomatis</t>
        </is>
      </c>
      <c r="P230" s="45" t="inlineStr">
        <is>
          <t>Lulus</t>
        </is>
      </c>
      <c r="Q230" s="17" t="n"/>
      <c r="R230" s="17" t="inlineStr">
        <is>
          <t>tile Weighbridge, Sterilizer, dan Kernel Plant masing-masing mendarat di /data/&lt;stasiun&gt; yang namanya cocok; tidak ada tile yang mendarat di stasiun lain.</t>
        </is>
      </c>
    </row>
    <row r="231" ht="162.4" customHeight="1">
      <c r="A231" s="11" t="n">
        <v>227</v>
      </c>
      <c r="B231" s="12" t="n">
        <v>1</v>
      </c>
      <c r="C231" s="13" t="inlineStr">
        <is>
          <t>DS-12</t>
        </is>
      </c>
      <c r="D231" s="13" t="inlineStr">
        <is>
          <t>DS-12</t>
        </is>
      </c>
      <c r="E231" s="14" t="inlineStr">
        <is>
          <t>—</t>
        </is>
      </c>
      <c r="F231" s="14" t="inlineStr">
        <is>
          <t>Dashboard &amp; Laporan lain (DS-)</t>
        </is>
      </c>
      <c r="G231" s="15" t="inlineStr">
        <is>
          <t>Urutan tile sama antara Web dan Mobile</t>
        </is>
      </c>
      <c r="H231" s="14" t="inlineStr">
        <is>
          <t>SPV-A (web) + OPR-A (mobile)</t>
        </is>
      </c>
      <c r="I231" s="14" t="inlineStr">
        <is>
          <t>—</t>
        </is>
      </c>
      <c r="J231" s="14" t="inlineStr">
        <is>
          <t>1. Login di web, lalu sidebar &gt; Production Process Activity (/production-process-activity) sebagai SPV-A. Catat urutan ke-18 nama stasiun dari kiri-atas ke kanan-bawah.
2. Login di mobile, tekan Station List (/stations); pilih Production Line bila diminta sebagai OPR-A. Catat urutan ke-18 nama stasiun.
3. Bandingkan kedua daftar posisi per posisi.
4. Periksa khusus dua posisi pertama pada keduanya.</t>
        </is>
      </c>
      <c r="K231" s="14" t="inlineStr">
        <is>
          <t>- Kedua urutan sama persis, posisi per posisi.
- Keduanya dimulai Weighbridge, lalu Pressing.
- Urutannya bukan alfabetis dan bukan urutan alur proses — ia urutan yang diminta produk.
- Perbedaan urutan mana pun adalah temuan; sebutkan posisi keberapa yang berbeda.</t>
        </is>
      </c>
      <c r="L231" s="11" t="inlineStr">
        <is>
          <t>Sedang</t>
        </is>
      </c>
      <c r="M231" s="14" t="inlineStr">
        <is>
          <t>urutan ini bukan alfabetis dan bukan alur proses — ia urutan yang diminta produk. Yang diuji adalah web dan mobile tidak menyimpang satu dari yang lain.</t>
        </is>
      </c>
      <c r="N231" s="17" t="inlineStr">
        <is>
          <t>2026-10-12</t>
        </is>
      </c>
      <c r="O231" s="17" t="inlineStr">
        <is>
          <t>Pelaksana QA otomatis</t>
        </is>
      </c>
      <c r="P231" s="45" t="inlineStr">
        <is>
          <t>Lulus</t>
        </is>
      </c>
      <c r="Q231" s="17" t="n"/>
      <c r="R231" s="17" t="inlineStr">
        <is>
          <t>urutan web (18 tile) dibandingkan posisi per posisi dengan urutan mobile (18 tile). Posisi yang berbeda=0; keduanya dimulai Weighbridge lalu Pressing=true. Urutan mobile: Weighbridge, Pressing, Storage Tank, Grading, Clarification, Effluent Plant…</t>
        </is>
      </c>
    </row>
    <row r="232" ht="122.8" customHeight="1">
      <c r="A232" s="11" t="n">
        <v>228</v>
      </c>
      <c r="B232" s="12" t="n">
        <v>1</v>
      </c>
      <c r="C232" s="13" t="inlineStr">
        <is>
          <t>MD-KEL-01 / Business Unit</t>
        </is>
      </c>
      <c r="D232" s="13" t="inlineStr">
        <is>
          <t>MD-KEL-01</t>
        </is>
      </c>
      <c r="E232" s="15" t="inlineStr">
        <is>
          <t>Business Unit</t>
        </is>
      </c>
      <c r="F232" s="14" t="inlineStr">
        <is>
          <t>Master Data (MD-)</t>
        </is>
      </c>
      <c r="G232" s="15" t="inlineStr">
        <is>
          <t>Tambah data berhasil dan langsung terlihat</t>
        </is>
      </c>
      <c r="H232" s="14" t="inlineStr">
        <is>
          <t>ADM</t>
        </is>
      </c>
      <c r="I232" s="14" t="inlineStr">
        <is>
          <t>—</t>
        </is>
      </c>
      <c r="J232" s="14" t="inlineStr">
        <is>
          <t>1. Login di web, lalu sidebar &gt; Kelola Business Unit (/master-data/business-units) sebagai ADM. Catat jumlah data yang tertulis.
2. Tekan Tambah.
3. Isi seluruh kolom wajib dengan nilai yang belum dipakai.
4. Tekan Simpan.
5. Baca daftar tanpa menekan muat ulang browser.</t>
        </is>
      </c>
      <c r="K232" s="14" t="inlineStr">
        <is>
          <t>- Simpan berhasil dengan pesan konfirmasi.
- Entri baru langsung muncul di daftar — tanpa muat ulang manual.
- Jumlah data bertambah satu.</t>
        </is>
      </c>
      <c r="L232" s="16" t="inlineStr">
        <is>
          <t>Tinggi</t>
        </is>
      </c>
      <c r="M232" s="14" t="inlineStr"/>
      <c r="N232" s="17" t="inlineStr">
        <is>
          <t>2026-10-12</t>
        </is>
      </c>
      <c r="O232" s="17" t="inlineStr">
        <is>
          <t>Pelaksana QA otomatis</t>
        </is>
      </c>
      <c r="P232" s="45" t="inlineStr">
        <is>
          <t>Lulus</t>
        </is>
      </c>
      <c r="Q232" s="17" t="n"/>
      <c r="R232" s="17" t="inlineStr">
        <is>
          <t>jumlah data sebelum=20; entri "QA-Mill-457241" dibuat dengan induk Company "PT Ada Business Unit"; pesan konfirmasi terbaca=true; entri langsung muncul di daftar tanpa muat ulang browser=true; jumlah data sesudah=null (bertambah satu=null).</t>
        </is>
      </c>
    </row>
    <row r="233" ht="109.6" customHeight="1">
      <c r="A233" s="11" t="n">
        <v>229</v>
      </c>
      <c r="B233" s="12" t="n">
        <v>1</v>
      </c>
      <c r="C233" s="13" t="inlineStr">
        <is>
          <t>MD-KEL-02 / Business Unit</t>
        </is>
      </c>
      <c r="D233" s="13" t="inlineStr">
        <is>
          <t>MD-KEL-02</t>
        </is>
      </c>
      <c r="E233" s="15" t="inlineStr">
        <is>
          <t>Business Unit</t>
        </is>
      </c>
      <c r="F233" s="14" t="inlineStr">
        <is>
          <t>Master Data (MD-)</t>
        </is>
      </c>
      <c r="G233" s="15" t="inlineStr">
        <is>
          <t>Kolom wajib divalidasi di sebelah kolomnya</t>
        </is>
      </c>
      <c r="H233" s="14" t="inlineStr">
        <is>
          <t>ADM</t>
        </is>
      </c>
      <c r="I233" s="14" t="inlineStr">
        <is>
          <t>—</t>
        </is>
      </c>
      <c r="J233" s="14" t="inlineStr">
        <is>
          <t>1. Login di web, lalu sidebar &gt; Kelola Business Unit (/master-data/business-units) sebagai ADM. Tekan Tambah.
2. Kosongkan satu kolom wajib, isi yang lain, tekan Simpan.
3. Catat di mana pesan galatnya muncul.
4. Ulangi langkah 2–3 untuk setiap kolom wajib, satu per satu.</t>
        </is>
      </c>
      <c r="K233" s="14" t="inlineStr">
        <is>
          <t>- Setiap kali ditolak; data tidak tersimpan.
- Pesan galat muncul di sebelah kolom yang bersangkutan — bukan satu pesan umum di atas form.
- Isi kolom lain tidak hilang.</t>
        </is>
      </c>
      <c r="L233" s="16" t="inlineStr">
        <is>
          <t>Tinggi</t>
        </is>
      </c>
      <c r="M233" s="14" t="inlineStr"/>
      <c r="N233" s="17" t="inlineStr">
        <is>
          <t>2026-10-12</t>
        </is>
      </c>
      <c r="O233" s="17" t="inlineStr">
        <is>
          <t>Pelaksana QA otomatis</t>
        </is>
      </c>
      <c r="P233" s="45" t="inlineStr">
        <is>
          <t>Lulus</t>
        </is>
      </c>
      <c r="Q233" s="17" t="n"/>
      <c r="R233" s="17" t="inlineStr">
        <is>
          <t>kolom "code" dikosongkan → galat di sebelah kolomnya="Kode business unit wajib diisi."; pesan umum di atas form=0; isi kolom lain tetap ada=true | kolom "name" dikosongkan → galat di sebelah kolomnya="Nama business unit wajib diisi."; pesan umum di atas form=0; isi kolom lain tetap ada=true. Kolom induk (Company) diuji tersendiri pada MD-KEL-04.</t>
        </is>
      </c>
    </row>
    <row r="234" ht="162.4" customHeight="1">
      <c r="A234" s="11" t="n">
        <v>230</v>
      </c>
      <c r="B234" s="12" t="n">
        <v>1</v>
      </c>
      <c r="C234" s="13" t="inlineStr">
        <is>
          <t>MD-KEL-03 / Business Unit</t>
        </is>
      </c>
      <c r="D234" s="13" t="inlineStr">
        <is>
          <t>MD-KEL-03</t>
        </is>
      </c>
      <c r="E234" s="15" t="inlineStr">
        <is>
          <t>Business Unit</t>
        </is>
      </c>
      <c r="F234" s="14" t="inlineStr">
        <is>
          <t>Master Data (MD-)</t>
        </is>
      </c>
      <c r="G234" s="15" t="inlineStr">
        <is>
          <t>Entri kembar ditolak, tidak peduli huruf besar-kecil</t>
        </is>
      </c>
      <c r="H234" s="14" t="inlineStr">
        <is>
          <t>ADM - Kolom yang diperiksa berbeda per tingkat — pakai kolom yang berlaku di tingkat yang sedang diuji, jangan menguji kolom yang memang tidak dibatasi: | Tingkat | Kolom yang tidak boleh kembar | Lingkupnya | |---|---|---| | Corporate | Nama | seluruh sistem | | Company | Nama | di dalam Corporate induknya (lihat MD-KEL-05) | | Business Unit | Kode | seluruh sistem | | Production Line | Kode | seluruh sistem | | Station | Kode | seluruh sistem | | Machinery Group | Kode | seluruh sistem | | Machinery | Kode Equipment | seluruh sistem | | User &amp; Role | Username | seluruh sistem | Di lima tingkat yang dibatasi lewat Kode, nama kembar memang diperbolehkan — dua mill boleh bernama sama selama kodenya berbeda. Itu bukan bug; jangan laporkan.</t>
        </is>
      </c>
      <c r="I234" s="14" t="inlineStr">
        <is>
          <t>sudah ada satu entri dengan nilai acuan, mis. kode CONTOH-1</t>
        </is>
      </c>
      <c r="J234" s="14" t="inlineStr">
        <is>
          <t>1. Login di web, lalu sidebar &gt; Kelola Business Unit (/master-data/business-units) sebagai ADM. Buat satu entri dengan nilai acuan pada kolom
dari tabel di atas (mis. kode CONTOH-1).
2. Tekan Tambah lagi, isi kolom itu dengan nilai yang sama berhuruf kecil (contoh-1), Simpan.
3. Tekan Tambah lagi, isi berhuruf besar (CONTOH-1), Simpan.
4. Tekan Tambah lagi, isi dengan spasi di depan dan belakang (  CONTOH-1  ), Simpan.</t>
        </is>
      </c>
      <c r="K234" s="14" t="inlineStr">
        <is>
          <t>- Langkah 3 dan 4 ditolak, dengan pesan yang menyebut kolom itu sudah dipakai.
- Langkah 2 (beda huruf besar-kecil) juga ditolak — kembar yang hanya berbeda kapital akan
terbaca sebagai dua hal berbeda oleh sistem tetapi satu hal yang sama oleh manusia.
- Hanya satu entri dengan nilai itu yang ada di daftar.</t>
        </is>
      </c>
      <c r="L234" s="16" t="inlineStr">
        <is>
          <t>Tinggi</t>
        </is>
      </c>
      <c r="M234" s="14" t="inlineStr"/>
      <c r="N234" s="17" t="inlineStr">
        <is>
          <t>2026-10-12</t>
        </is>
      </c>
      <c r="O234" s="17" t="inlineStr">
        <is>
          <t>Pelaksana QA otomatis</t>
        </is>
      </c>
      <c r="P234" s="45" t="inlineStr">
        <is>
          <t>Lulus</t>
        </is>
      </c>
      <c r="Q234" s="17" t="n"/>
      <c r="R234" s="17" t="inlineStr">
        <is>
          <t>Kolom yang dibatasi di tingkat ini adalah Kode (nama memang tidak dibatasi). Entri acuan berkode "QK457241" dibuat=true. Kode sama berhuruf kecil ditolak=true ("Kode business unit sudah digunakan."); kode sama apa adanya ditolak=true ("Kode business unit sudah digunakan."); kode sama berspasi di depan-belakang ditolak=true ("Kode business unit sudah digunakan.").</t>
        </is>
      </c>
    </row>
    <row r="235" ht="175.6" customHeight="1">
      <c r="A235" s="11" t="n">
        <v>231</v>
      </c>
      <c r="B235" s="12" t="n">
        <v>1</v>
      </c>
      <c r="C235" s="13" t="inlineStr">
        <is>
          <t>MD-KEL-04 / Business Unit</t>
        </is>
      </c>
      <c r="D235" s="13" t="inlineStr">
        <is>
          <t>MD-KEL-04</t>
        </is>
      </c>
      <c r="E235" s="15" t="inlineStr">
        <is>
          <t>Business Unit</t>
        </is>
      </c>
      <c r="F235" s="14" t="inlineStr">
        <is>
          <t>Master Data (MD-)</t>
        </is>
      </c>
      <c r="G235" s="15" t="inlineStr">
        <is>
          <t>Induk wajib dipilih</t>
        </is>
      </c>
      <c r="H235" s="14" t="inlineStr">
        <is>
          <t>ADM</t>
        </is>
      </c>
      <c r="I235" s="14" t="inlineStr">
        <is>
          <t>berlaku untuk Company (induk: Corporate), Business Unit (induk: Company), Production Line (induk: Business Unit), Station (induk: Production Line), Machinery (induk: Machinery Group)</t>
        </is>
      </c>
      <c r="J235" s="14" t="inlineStr">
        <is>
          <t>1. Berlaku untuk tingkat yang punya induk: Company (Corporate), Business Unit (Company), Production Line (Business Unit), Station (Production Line), Machinery (Machinery Group).
2. Login di web, lalu sidebar &gt; Kelola Business Unit (/master-data/business-units) sebagai ADM. Tekan Tambah.
3. Isi seluruh kolom kecuali kolom induk — biarkan induknya belum dipilih.
4. Tekan Simpan.
5. Baca bentuk dan letak pesannya dengan teliti.</t>
        </is>
      </c>
      <c r="K235" s="14" t="inlineStr">
        <is>
          <t>- Ditolak dengan pesan validasi yang menunjuk kolom induk.
- TIDAK ADA galat teknis: bukan stack trace, bukan "SQLSTATE", bukan "Server Error", bukan halaman 500.
- Pesannya berbahasa Indonesia dan menyebut kolom induknya.
- Perhatikan bentuk pesannya, bukan hanya bahwa ia ditolak: pesan validasi di sebelah kolom induk berarti lulus, galat teknis berarti gagal.</t>
        </is>
      </c>
      <c r="L235" s="16" t="inlineStr">
        <is>
          <t>Tinggi</t>
        </is>
      </c>
      <c r="M235" s="14" t="inlineStr">
        <is>
          <t>yang diperiksa bukan hanya bahwa ia ditolak, tetapi bentuk penolakannya. Pesan validasi di sebelah kolom induk berarti lulus; galat teknis berarti gagal, meskipun datanya sama-sama tidak tersimpan.</t>
        </is>
      </c>
      <c r="N235" s="17" t="inlineStr">
        <is>
          <t>2026-10-12</t>
        </is>
      </c>
      <c r="O235" s="17" t="inlineStr">
        <is>
          <t>Pelaksana QA otomatis</t>
        </is>
      </c>
      <c r="P235" s="45" t="inlineStr">
        <is>
          <t>Lulus</t>
        </is>
      </c>
      <c r="Q235" s="17" t="n"/>
      <c r="R235" s="17" t="inlineStr">
        <is>
          <t>pesan validasi terbaca=true; pesannya di sebelah kolom induk="Company wajib dipilih."; pesan menyebut kolom induk (Company)=true; galat teknis (SQLSTATE/stack trace/500)=false (harus false). Seluruh pesan yang tampil: "Company wajib dipilih."</t>
        </is>
      </c>
    </row>
    <row r="236" ht="202" customHeight="1">
      <c r="A236" s="11" t="n">
        <v>232</v>
      </c>
      <c r="B236" s="12" t="n">
        <v>1</v>
      </c>
      <c r="C236" s="13" t="inlineStr">
        <is>
          <t>MD-KEL-05 / Company</t>
        </is>
      </c>
      <c r="D236" s="13" t="inlineStr">
        <is>
          <t>MD-KEL-05</t>
        </is>
      </c>
      <c r="E236" s="15" t="inlineStr">
        <is>
          <t>Company</t>
        </is>
      </c>
      <c r="F236" s="14" t="inlineStr">
        <is>
          <t>Master Data (MD-)</t>
        </is>
      </c>
      <c r="G236" s="15" t="inlineStr">
        <is>
          <t>Nama kembar diperiksa dalam lingkup induknya</t>
        </is>
      </c>
      <c r="H236" s="14" t="inlineStr">
        <is>
          <t>ADM</t>
        </is>
      </c>
      <c r="I236" s="14" t="inlineStr">
        <is>
          <t>dua Corporate berbeda</t>
        </is>
      </c>
      <c r="J236" s="14" t="inlineStr">
        <is>
          <t>1. Sebagai ADM, pastikan ada dua Corporate berbeda: Corporate A dan Corporate B.
2. Login di web, lalu sidebar &gt; Kelola Company (/master-data/companies). Tambah Company bernama PT Sama dengan induk Corporate A. Simpan.
3. Tambah Company bernama PT Sama dengan induk Corporate B. Simpan.
4. Tambah Company bernama PT Sama dengan induk Corporate A lagi. Simpan.</t>
        </is>
      </c>
      <c r="K236" s="14" t="inlineStr">
        <is>
          <t>- Langkah 3 berhasil — nama yang sama sah di induk yang berbeda.
- Langkah 4 ditolak — nama kembar di induk yang sama tidak boleh.
- Daftar memuat dua PT Sama, masing-masing dengan induk berbeda, dan induknya terlihat di daftar.</t>
        </is>
      </c>
      <c r="L236" s="11" t="inlineStr">
        <is>
          <t>Sedang</t>
        </is>
      </c>
      <c r="M236" s="14" t="inlineStr">
        <is>
          <t>Berlaku untuk: hanya Company. Itu satu-satunya tingkat yang namanya dibatasi per induk ("Nama company sudah digunakan pada Corporate ini"). Corporate dibatasi secara global, dan lima tingkat lainnya tidak membatasi nama sama sekali — hanya kodenya, dan kode dibatasi secara global, bukan per induk. Pada tingkat selain Company tandai "Tidak berlaku" dengan sebab itu, jangan "Gagal".</t>
        </is>
      </c>
      <c r="N236" s="17" t="inlineStr">
        <is>
          <t>2026-10-12</t>
        </is>
      </c>
      <c r="O236" s="17" t="inlineStr">
        <is>
          <t>Pelaksana QA otomatis</t>
        </is>
      </c>
      <c r="P236" s="45" t="inlineStr">
        <is>
          <t>Lulus</t>
        </is>
      </c>
      <c r="Q236" s="17" t="n"/>
      <c r="R236" s="17" t="inlineStr">
        <is>
          <t>dua Corporate dipakai: "Corp Browser Fixture" dan "PT Ada Company" | "QA Sama 559724" pada "Corp Browser Fixture" (induk A): berhasil=true ("Company berhasil ditambahkan.") | nama sama pada "PT Ada Company" (induk B): berhasil=true, ditolak=false | nama sama pada induk A lagi: ditolak=true ("Nama company sudah digunakan pada Corporate ini.") | daftar memuat 2 entri bernama "QA Sama 559724" (harus 2); induk masing-masing terlihat di daftar=true.</t>
        </is>
      </c>
    </row>
    <row r="237" ht="122.8" customHeight="1">
      <c r="A237" s="11" t="n">
        <v>233</v>
      </c>
      <c r="B237" s="12" t="n">
        <v>1</v>
      </c>
      <c r="C237" s="13" t="inlineStr">
        <is>
          <t>MD-KEL-06 / Business Unit</t>
        </is>
      </c>
      <c r="D237" s="13" t="inlineStr">
        <is>
          <t>MD-KEL-06</t>
        </is>
      </c>
      <c r="E237" s="15" t="inlineStr">
        <is>
          <t>Business Unit</t>
        </is>
      </c>
      <c r="F237" s="14" t="inlineStr">
        <is>
          <t>Master Data (MD-)</t>
        </is>
      </c>
      <c r="G237" s="15" t="inlineStr">
        <is>
          <t>Ubah data berhasil dan terlihat</t>
        </is>
      </c>
      <c r="H237" s="14" t="inlineStr">
        <is>
          <t>ADM</t>
        </is>
      </c>
      <c r="I237" s="14" t="inlineStr">
        <is>
          <t>—</t>
        </is>
      </c>
      <c r="J237" s="14" t="inlineStr">
        <is>
          <t>1. Login di web, lalu sidebar &gt; Kelola Business Unit (/master-data/business-units) sebagai ADM. Pilih satu entri yang dipakai di layar lain.
2. Tekan Edit, ubah namanya, tekan Simpan.
3. Periksa daftar.
4. Buka satu layar lain yang menampilkan nama itu (mis. pemilih Production Line pada laporan, atau kolom Mill di daftar user).</t>
        </is>
      </c>
      <c r="K237" s="14" t="inlineStr">
        <is>
          <t>- Nama baru terlihat di daftar.
- Nama baru juga terlihat di layar lain yang memakainya — tidak ada tempat yang masih menampilkan nama lama.
- Id entrinya tidak berubah: record yang menunjuknya tidak terlepas.</t>
        </is>
      </c>
      <c r="L237" s="16" t="inlineStr">
        <is>
          <t>Tinggi</t>
        </is>
      </c>
      <c r="M237" s="14" t="inlineStr"/>
      <c r="N237" s="17" t="inlineStr">
        <is>
          <t>2026-10-12</t>
        </is>
      </c>
      <c r="O237" s="17" t="inlineStr">
        <is>
          <t>Pelaksana QA otomatis</t>
        </is>
      </c>
      <c r="P237" s="45" t="inlineStr">
        <is>
          <t>Lulus</t>
        </is>
      </c>
      <c r="Q237" s="17" t="n"/>
      <c r="R237" s="17" t="inlineStr">
        <is>
          <t>nama diubah menjadi "Business Unit A QA457241". Terlihat di daftar Kelola=true; terlihat di layar lain yang memakainya (kolom Mill pada daftar Kelola User &amp; Role)=true; masih ada tempat yang menampilkan nama lama=false (harus false). Nama dikembalikan ke semula sesudah diperiksa.</t>
        </is>
      </c>
    </row>
    <row r="238" ht="188.8" customHeight="1">
      <c r="A238" s="11" t="n">
        <v>234</v>
      </c>
      <c r="B238" s="12" t="n">
        <v>1</v>
      </c>
      <c r="C238" s="13" t="inlineStr">
        <is>
          <t>MD-KEL-07 / Business Unit</t>
        </is>
      </c>
      <c r="D238" s="13" t="inlineStr">
        <is>
          <t>MD-KEL-07</t>
        </is>
      </c>
      <c r="E238" s="15" t="inlineStr">
        <is>
          <t>Business Unit</t>
        </is>
      </c>
      <c r="F238" s="14" t="inlineStr">
        <is>
          <t>Master Data (MD-)</t>
        </is>
      </c>
      <c r="G238" s="15" t="inlineStr">
        <is>
          <t>Hapus ditolak bila masih punya anak, dengan menyebut jumlahnya</t>
        </is>
      </c>
      <c r="H238" s="14" t="inlineStr">
        <is>
          <t>ADM</t>
        </is>
      </c>
      <c r="I238" s="14" t="inlineStr">
        <is>
          <t>satu Corporate yang punya 2 Company; satu Company yang punya Business Unit; satu Business Unit yang punya Production Line</t>
        </is>
      </c>
      <c r="J238" s="14" t="inlineStr">
        <is>
          <t>1. Sebagai ADM, siapkan: satu Corporate yang punya 2 Company; satu Company yang punya Business Unit; satu Business Unit yang punya Production Line.
2. Login di web, lalu sidebar &gt; Kelola Business Unit (/master-data/business-units) untuk Corporate. Coba Hapus Corporate itu. Baca pesannya.
3. Periksa apakah Corporate itu dan kedua Company-nya masih ada.
4. Ulangi langkah 2–3 untuk Company yang punya Business Unit.
5. Ulangi untuk Business Unit yang punya Production Line.</t>
        </is>
      </c>
      <c r="K238" s="14" t="inlineStr">
        <is>
          <t>- Setiap penghapusan ditolak.
- Pesannya menyebut jumlah penghalangnya — mis. "masih memiliki 2 Company".
- Induknya tidak terhapus, dan tidak ada penghapusan berantai: anak-anaknya juga masih utuh.</t>
        </is>
      </c>
      <c r="L238" s="16" t="inlineStr">
        <is>
          <t>Tinggi</t>
        </is>
      </c>
      <c r="M238" s="14" t="inlineStr"/>
      <c r="N238" s="17" t="inlineStr">
        <is>
          <t>2026-10-12</t>
        </is>
      </c>
      <c r="O238" s="17" t="inlineStr">
        <is>
          <t>Pelaksana QA otomatis</t>
        </is>
      </c>
      <c r="P238" s="45" t="inlineStr">
        <is>
          <t>Lulus</t>
        </is>
      </c>
      <c r="Q238" s="17" t="n"/>
      <c r="R238" s="17" t="inlineStr">
        <is>
          <t>Sawit Nusantara (punya Company): ditolak=true; pesannya menyebut jumlah penghalang=true ("Corporate tidak dapat dihapus karena masih memiliki 2 Company. Pindahkan atau hapus data tersebut terlebih dah"); induknya masih ada=true | PT Ada Business Unit (punya Business Unit): ditolak=true; pesannya menyebut jumlah penghalang=true ("Company tidak dapat dihapus karena masih memiliki 4 Business Unit. Pindahkan atau hapus data tersebut terlebih"); induknya masih ada=true | Business Unit A (punya Production Line): ditolak=true; pesannya menyebut jumlah penghalang=true ("Business Unit tidak dapat dihapus karena masih memiliki 6 User, 3 Production Line, 36 Station, 7 Periode Pelap"); induknya masih ada=true. Tidak ada penghapusan berantai: setiap induk yang penghapusannya ditolak masih utuh di daftarnya.</t>
        </is>
      </c>
    </row>
    <row r="239" ht="70" customHeight="1">
      <c r="A239" s="11" t="n">
        <v>235</v>
      </c>
      <c r="B239" s="12" t="n">
        <v>1</v>
      </c>
      <c r="C239" s="13" t="inlineStr">
        <is>
          <t>MD-KEL-08 / Business Unit</t>
        </is>
      </c>
      <c r="D239" s="13" t="inlineStr">
        <is>
          <t>MD-KEL-08</t>
        </is>
      </c>
      <c r="E239" s="15" t="inlineStr">
        <is>
          <t>Business Unit</t>
        </is>
      </c>
      <c r="F239" s="14" t="inlineStr">
        <is>
          <t>Master Data (MD-)</t>
        </is>
      </c>
      <c r="G239" s="15" t="inlineStr">
        <is>
          <t>Hapus berhasil bila sudah tidak punya anak</t>
        </is>
      </c>
      <c r="H239" s="14" t="inlineStr">
        <is>
          <t>ADM</t>
        </is>
      </c>
      <c r="I239" s="14" t="inlineStr">
        <is>
          <t>—</t>
        </is>
      </c>
      <c r="J239" s="14" t="inlineStr">
        <is>
          <t>1. Pakai induk yang sama dari MD-KEL-07.
2. Hapus seluruh anaknya satu per satu lebih dulu.
3. Periksa daftar anaknya sudah kosong.
4. Hapus induknya.</t>
        </is>
      </c>
      <c r="K239" s="14" t="inlineStr">
        <is>
          <t>- Penghapusan anak-anaknya berhasil.
- Penghapusan induknya kini berhasil.
- Induk itu hilang dari daftar, dan jumlah data berkurang.</t>
        </is>
      </c>
      <c r="L239" s="16" t="inlineStr">
        <is>
          <t>Tinggi</t>
        </is>
      </c>
      <c r="M239" s="14" t="inlineStr"/>
      <c r="N239" s="17" t="inlineStr">
        <is>
          <t>2026-10-12</t>
        </is>
      </c>
      <c r="O239" s="17" t="inlineStr">
        <is>
          <t>Pelaksana QA otomatis</t>
        </is>
      </c>
      <c r="P239" s="45" t="inlineStr">
        <is>
          <t>Lulus</t>
        </is>
      </c>
      <c r="Q239" s="17" t="n"/>
      <c r="R239" s="17" t="inlineStr">
        <is>
          <t>entri tanpa anak "QA-Mill-457241" dihapus: pesan konfirmasi terbaca=true ("Business Unit berhasil dihapus."); entri hilang dari daftar=true.</t>
        </is>
      </c>
    </row>
    <row r="240" ht="109.6" customHeight="1">
      <c r="A240" s="11" t="n">
        <v>236</v>
      </c>
      <c r="B240" s="12" t="n">
        <v>1</v>
      </c>
      <c r="C240" s="13" t="inlineStr">
        <is>
          <t>MD-KEL-09 / Business Unit</t>
        </is>
      </c>
      <c r="D240" s="13" t="inlineStr">
        <is>
          <t>MD-KEL-09</t>
        </is>
      </c>
      <c r="E240" s="15" t="inlineStr">
        <is>
          <t>Business Unit</t>
        </is>
      </c>
      <c r="F240" s="14" t="inlineStr">
        <is>
          <t>Master Data (MD-)</t>
        </is>
      </c>
      <c r="G240" s="15" t="inlineStr">
        <is>
          <t>Hapus meminta konfirmasi</t>
        </is>
      </c>
      <c r="H240" s="14" t="inlineStr">
        <is>
          <t>ADM</t>
        </is>
      </c>
      <c r="I240" s="14" t="inlineStr">
        <is>
          <t>—</t>
        </is>
      </c>
      <c r="J240" s="14" t="inlineStr">
        <is>
          <t>1. Login di web, lalu sidebar &gt; Kelola Business Unit (/master-data/business-units) sebagai ADM. Pilih satu entri tanpa anak.
2. Tekan Hapus. Baca dialognya, lalu tekan Batal.
3. Periksa daftar: apakah entri itu masih ada?
4. Tekan Hapus lagi, kali ini setujui.</t>
        </is>
      </c>
      <c r="K240" s="14" t="inlineStr">
        <is>
          <t>- Langkah 2 memunculkan dialog konfirmasi — tidak langsung menghapus.
- Langkah 3: entri masih ada, utuh.
- Langkah 4: entri terhapus dan hilang dari daftar.</t>
        </is>
      </c>
      <c r="L240" s="11" t="inlineStr">
        <is>
          <t>Sedang</t>
        </is>
      </c>
      <c r="M240" s="14" t="inlineStr"/>
      <c r="N240" s="17" t="inlineStr">
        <is>
          <t>2026-10-12</t>
        </is>
      </c>
      <c r="O240" s="17" t="inlineStr">
        <is>
          <t>Pelaksana QA otomatis</t>
        </is>
      </c>
      <c r="P240" s="45" t="inlineStr">
        <is>
          <t>Lulus</t>
        </is>
      </c>
      <c r="Q240" s="17" t="n"/>
      <c r="R240" s="17" t="inlineStr">
        <is>
          <t>menekan Hapus memunculkan konfirmasi (tombol "Ya, Hapus")=true, tidak langsung menghapus; sesudah Batal entri masih ada=true; sesudah disetujui entri terhapus=true.</t>
        </is>
      </c>
    </row>
    <row r="241" ht="228.4" customHeight="1">
      <c r="A241" s="11" t="n">
        <v>237</v>
      </c>
      <c r="B241" s="12" t="n">
        <v>1</v>
      </c>
      <c r="C241" s="13" t="inlineStr">
        <is>
          <t>MD-KEL-10 / Machinery</t>
        </is>
      </c>
      <c r="D241" s="13" t="inlineStr">
        <is>
          <t>MD-KEL-10</t>
        </is>
      </c>
      <c r="E241" s="15" t="inlineStr">
        <is>
          <t>Machinery</t>
        </is>
      </c>
      <c r="F241" s="14" t="inlineStr">
        <is>
          <t>Master Data (MD-)</t>
        </is>
      </c>
      <c r="G241" s="15" t="inlineStr">
        <is>
          <t>Pencarian dan paginasi bekerja bersama</t>
        </is>
      </c>
      <c r="H241" s="14" t="inlineStr">
        <is>
          <t>ADM</t>
        </is>
      </c>
      <c r="I241" s="14" t="inlineStr">
        <is>
          <t>data lebih dari satu halaman</t>
        </is>
      </c>
      <c r="J241" s="14" t="inlineStr">
        <is>
          <t>1. Login di web, lalu sidebar &gt; Kelola Machinery (/master-data/machinery) sebagai ADM. Pastikan datanya lebih dari satu halaman.
2. Ketik satu kata kunci yang hasilnya lebih dari satu halaman.
3. Catat jumlah total hasil yang tertulis.
4. Buka halaman 2.
5. Periksa setiap baris di halaman 2: apakah semuanya memuat kata kunci itu?
6. Buka halaman 3 bila ada, dan periksa lagi.</t>
        </is>
      </c>
      <c r="K241" s="14" t="inlineStr">
        <is>
          <t>- Seluruh baris di halaman 2 (dan 3) masih cocok dengan kata kuncinya.
- Jumlah total hasil tidak berubah saat berpindah halaman.
- Kata kuncinya masih terisi di kolom pencarian setelah pindah halaman.</t>
        </is>
      </c>
      <c r="L241" s="16" t="inlineStr">
        <is>
          <t>Tinggi</t>
        </is>
      </c>
      <c r="M241" s="14" t="inlineStr">
        <is>
          <t>Berlaku untuk: hanya Kelola Mesin. Dari delapan tingkat Kelola, hanya layar itu yang punya kolom pencarian teks bebas; tujuh lainnya (Corporate, Company, Business Unit, Production Line, Station, Machinery Group, User &amp; Role) menyaring lewat pemilih induk, bukan pencarian. Pada tujuh layar itu kasus ini tidak berlaku — tandai "Tidak berlaku" dengan sebab itu, jangan "Gagal". Pencarian mill diuji terpisah di MD-STR-04.</t>
        </is>
      </c>
      <c r="N241" s="17" t="inlineStr">
        <is>
          <t>2026-10-12</t>
        </is>
      </c>
      <c r="O241" s="17" t="inlineStr">
        <is>
          <t>Pelaksana QA otomatis</t>
        </is>
      </c>
      <c r="P241" s="45" t="inlineStr">
        <is>
          <t>Lulus</t>
        </is>
      </c>
      <c r="Q241" s="17" t="n"/>
      <c r="R241" s="17" t="inlineStr">
        <is>
          <t>mode daftar: rata (satu baris = satu mesin); kata kunci "machine" → 681 data pada 35 halaman | halaman 2: 20 baris, yang TIDAK memuat kata kuncinya=0; jumlah total yang tertulis=681 (harus tetap 681); kata kunci masih terisi di kolom pencarian=true | halaman 3: 20 baris, yang TIDAK memuat kata kuncinya=0; jumlah total yang tertulis=681 (harus tetap 681); kata kunci masih terisi di kolom pencarian=true.</t>
        </is>
      </c>
    </row>
    <row r="242" ht="122.8" customHeight="1">
      <c r="A242" s="11" t="n">
        <v>238</v>
      </c>
      <c r="B242" s="12" t="n">
        <v>1</v>
      </c>
      <c r="C242" s="13" t="inlineStr">
        <is>
          <t>MD-KEL-11 / Machinery</t>
        </is>
      </c>
      <c r="D242" s="13" t="inlineStr">
        <is>
          <t>MD-KEL-11</t>
        </is>
      </c>
      <c r="E242" s="15" t="inlineStr">
        <is>
          <t>Machinery</t>
        </is>
      </c>
      <c r="F242" s="14" t="inlineStr">
        <is>
          <t>Master Data (MD-)</t>
        </is>
      </c>
      <c r="G242" s="15" t="inlineStr">
        <is>
          <t>Pencarian tidak peduli huruf besar-kecil, dan karakter khusus diperlakukan sebagai huruf biasa</t>
        </is>
      </c>
      <c r="H242" s="14" t="inlineStr">
        <is>
          <t>ADM</t>
        </is>
      </c>
      <c r="I242" s="14" t="inlineStr">
        <is>
          <t>entri bernama mis. Mill 100% Murni dan Mill BU_A</t>
        </is>
      </c>
      <c r="J242" s="14" t="inlineStr">
        <is>
          <t>1. Login di web, lalu sidebar &gt; Kelola Machinery (/master-data/machinery) sebagai ADM. Buat dua entri: Mill 100% Murni dan Mill BU_A. Bila memungkinkan, buat juga Mill BUxA.
2. Cari 100%. Catat hasilnya.
3. Hapus, cari BU_A. Catat hasilnya.
4. Hapus, cari mill (huruf kecil). Catat hasilnya.</t>
        </is>
      </c>
      <c r="K242" s="14" t="inlineStr">
        <is>
          <t>- 100% menemukan tepat entri yang namanya memuat tanda persen itu — bukan semua entri.
- BU_A menemukan tepat Mill BU_A — bukan juga Mill BUxA.
- mill menemukan ketiganya (tidak peduli huruf besar-kecil).
- Di banyak sistem % dan _ punya arti khusus dalam pencarian; di sini keduanya huruf biasa.</t>
        </is>
      </c>
      <c r="L242" s="11" t="inlineStr">
        <is>
          <t>Sedang</t>
        </is>
      </c>
      <c r="M242" s="14" t="inlineStr">
        <is>
          <t>Berlaku untuk: hanya Kelola Mesin, dengan sebab yang sama seperti MD-KEL-10.
% dan _ adalah karakter khusus pencarian di banyak sistem. Di sini keduanya harus diperlakukan sebagai huruf biasa.</t>
        </is>
      </c>
      <c r="N242" s="17" t="inlineStr">
        <is>
          <t>2026-10-12</t>
        </is>
      </c>
      <c r="O242" s="17" t="inlineStr">
        <is>
          <t>Pelaksana QA otomatis</t>
        </is>
      </c>
      <c r="P242" s="8" t="inlineStr">
        <is>
          <t>Gagal</t>
        </is>
      </c>
      <c r="Q242" s="17" t="n"/>
      <c r="R242" s="17" t="inlineStr">
        <is>
          <t>cari "100%": 2 data, entri uji yang ikut=1 (QA Mill 100% Murni 559724) — harus tepat "QA Mill 100% Murni 559724" | cari "BU_A": 2 data, entri uji yang ikut=2 (QA Mill BU_A 559724; QA Mill BUxA 559724) — harus tepat "QA Mill BU_A 559724", BUKAN juga "QA Mill BUxA 559724" | cari "mill" (huruf kecil): entri uji yang ikut=3 dari 3 (QA Mill 100% Murni 559724; QA Mill BU_A 559724; QA Mill BUxA 559724). Di banyak sistem % dan _ adalah karakter khusus pencarian; di sini keduanya harus diperlakukan sebagai huruf biasa.</t>
        </is>
      </c>
    </row>
    <row r="243" ht="122.8" customHeight="1">
      <c r="A243" s="11" t="n">
        <v>239</v>
      </c>
      <c r="B243" s="12" t="n">
        <v>1</v>
      </c>
      <c r="C243" s="13" t="inlineStr">
        <is>
          <t>MD-KEL-12 / Business Unit</t>
        </is>
      </c>
      <c r="D243" s="13" t="inlineStr">
        <is>
          <t>MD-KEL-12</t>
        </is>
      </c>
      <c r="E243" s="15" t="inlineStr">
        <is>
          <t>Business Unit</t>
        </is>
      </c>
      <c r="F243" s="14" t="inlineStr">
        <is>
          <t>Master Data (MD-)</t>
        </is>
      </c>
      <c r="G243" s="15" t="inlineStr">
        <is>
          <t>Logo mill dapat diunggah dan terlihat</t>
        </is>
      </c>
      <c r="H243" s="14" t="inlineStr">
        <is>
          <t>ADM</t>
        </is>
      </c>
      <c r="I243" s="14" t="inlineStr">
        <is>
          <t>berlaku untuk Business Unit</t>
        </is>
      </c>
      <c r="J243" s="14" t="inlineStr">
        <is>
          <t>1. Login di web, lalu sidebar &gt; Kelola Business Unit (/master-data/business-units) sebagai ADM. Tekan Edit pada satu mill.
2. Unggah satu berkas gambar (PNG atau JPG) sebagai logo. Tekan Simpan.
3. Buka kembali entri itu dan periksa logonya.
4. Tekan Edit lagi, dan coba unggah berkas yang bukan gambar (mis. .pdf atau .txt).</t>
        </is>
      </c>
      <c r="K243" s="14" t="inlineStr">
        <is>
          <t>- Logo gambar tersimpan dan terlihat saat entri dibuka kembali.
- Berkas bukan gambar ditolak dengan pesan yang jelas.
- Penolakan itu tidak menghapus logo yang sudah tersimpan sebelumnya.</t>
        </is>
      </c>
      <c r="L243" s="11" t="inlineStr">
        <is>
          <t>Rendah</t>
        </is>
      </c>
      <c r="M243" s="14" t="inlineStr"/>
      <c r="N243" s="17" t="inlineStr">
        <is>
          <t>2026-10-12</t>
        </is>
      </c>
      <c r="O243" s="17" t="inlineStr">
        <is>
          <t>Pelaksana QA otomatis</t>
        </is>
      </c>
      <c r="P243" s="45" t="inlineStr">
        <is>
          <t>Lulus</t>
        </is>
      </c>
      <c r="Q243" s="17" t="n"/>
      <c r="R243" s="17" t="inlineStr">
        <is>
          <t>logo PNG diunggah: pesan konfirmasi=true ("Business Unit berhasil diperbarui."); logonya terlihat di daftar=true, terlihat saat entri dibuka kembali=true; berkas .txt ditolak dengan pesan jelas=true ("Logo harus berformat JPG atau PNG."); logo yang sudah tersimpan tetap ada sesudah penolakan=true.</t>
        </is>
      </c>
    </row>
    <row r="244" ht="122.8" customHeight="1">
      <c r="A244" s="11" t="n">
        <v>240</v>
      </c>
      <c r="B244" s="12" t="n">
        <v>1</v>
      </c>
      <c r="C244" s="13" t="inlineStr">
        <is>
          <t>MD-STR-01</t>
        </is>
      </c>
      <c r="D244" s="13" t="inlineStr">
        <is>
          <t>MD-STR-01</t>
        </is>
      </c>
      <c r="E244" s="14" t="inlineStr">
        <is>
          <t>—</t>
        </is>
      </c>
      <c r="F244" s="14" t="inlineStr">
        <is>
          <t>Master Data (MD-)</t>
        </is>
      </c>
      <c r="G244" s="15" t="inlineStr">
        <is>
          <t>Papan kartu per mill tampil dengan hierarki di atasnya</t>
        </is>
      </c>
      <c r="H244" s="14" t="inlineStr">
        <is>
          <t>ADM</t>
        </is>
      </c>
      <c r="I244" s="14" t="inlineStr">
        <is>
          <t>—</t>
        </is>
      </c>
      <c r="J244" s="14" t="inlineStr">
        <is>
          <t>1. Login di web, lalu sidebar &gt; Struktur Mills (/master-data/tree-view) sebagai ADM.
2. Hitung jumlah kartu dan cocokkan dengan jumlah mill yang ada.
3. Pada satu kartu, baca: baris di atas nama mill, nama mill, kodenya, dan jumlah Production Line.
4. Periksa apakah daftar Production Line tercetak di dalam kartu itu.</t>
        </is>
      </c>
      <c r="K244" s="14" t="inlineStr">
        <is>
          <t>- Satu kartu per mill.
- Tiap kartu memuat jalur corporate › company di atas nama mill-nya.
- Kode mill dan jumlah Production Line tercetak.
- Daftar Production Line ada di dalam kartu, masing-masing dengan aksinya.</t>
        </is>
      </c>
      <c r="L244" s="16" t="inlineStr">
        <is>
          <t>Tinggi</t>
        </is>
      </c>
      <c r="M244" s="14" t="inlineStr"/>
      <c r="N244" s="17" t="inlineStr">
        <is>
          <t>2026-10-12</t>
        </is>
      </c>
      <c r="O244" s="17" t="inlineStr">
        <is>
          <t>Pelaksana QA otomatis</t>
        </is>
      </c>
      <c r="P244" s="45" t="inlineStr">
        <is>
          <t>Lulus</t>
        </is>
      </c>
      <c r="Q244" s="17" t="n"/>
      <c r="R244" s="17" t="inlineStr">
        <is>
          <t>20 kartu mill tampil; penghitung Business Unit di bilah atas menyebut 21. Kartu pertama: jalur hierarki di atas nama="Corp Browser Fixture › PT Browser Fixture" (memuat corporate › company=true), nama="BU Browser Test", kode="BU-ODXQ", jumlah Production Line="17 Production Line"; daftar Production Line di DALAM kartu=17 baris, masing-masing membawa aksi (ubah/hapus)=34 tombol.</t>
        </is>
      </c>
    </row>
    <row r="245" ht="136" customHeight="1">
      <c r="A245" s="11" t="n">
        <v>241</v>
      </c>
      <c r="B245" s="12" t="n">
        <v>1</v>
      </c>
      <c r="C245" s="13" t="inlineStr">
        <is>
          <t>MD-STR-02</t>
        </is>
      </c>
      <c r="D245" s="13" t="inlineStr">
        <is>
          <t>MD-STR-02</t>
        </is>
      </c>
      <c r="E245" s="14" t="inlineStr">
        <is>
          <t>—</t>
        </is>
      </c>
      <c r="F245" s="14" t="inlineStr">
        <is>
          <t>Master Data (MD-)</t>
        </is>
      </c>
      <c r="G245" s="15" t="inlineStr">
        <is>
          <t>Keempat tingkat dapat dikelola dari layar ini</t>
        </is>
      </c>
      <c r="H245" s="14" t="inlineStr">
        <is>
          <t>ADM</t>
        </is>
      </c>
      <c r="I245" s="14" t="inlineStr">
        <is>
          <t>—</t>
        </is>
      </c>
      <c r="J245" s="14" t="inlineStr">
        <is>
          <t>1. Login di web, lalu sidebar &gt; Struktur Mills (/master-data/tree-view) sebagai ADM.
2. Tambah satu Corporate dari layar ini, lalu ubah namanya, lalu hapus.
3. Ulangi ketiga aksi untuk Company.
4. Ulangi untuk Business Unit.
5. Ulangi untuk Production Line (lewat tombol di dalam kartu mill).
6. Perhatikan apakah setiap aksi membuka modal atau berpindah layar.</t>
        </is>
      </c>
      <c r="K245" s="14" t="inlineStr">
        <is>
          <t>- Ketiga aksi (tambah, ubah, hapus) berhasil pada keempat tingkat.
- Semuanya lewat modal — tidak berpindah ke layar lain.
- Sesudah tiap aksi, kartu/daftarnya ikut berubah tanpa muat ulang manual.</t>
        </is>
      </c>
      <c r="L245" s="16" t="inlineStr">
        <is>
          <t>Tinggi</t>
        </is>
      </c>
      <c r="M245" s="14" t="inlineStr"/>
      <c r="N245" s="17" t="inlineStr">
        <is>
          <t>2026-10-12</t>
        </is>
      </c>
      <c r="O245" s="17" t="inlineStr">
        <is>
          <t>Pelaksana QA otomatis</t>
        </is>
      </c>
      <c r="P245" s="45" t="inlineStr">
        <is>
          <t>Lulus</t>
        </is>
      </c>
      <c r="Q245" s="17" t="n"/>
      <c r="R245" s="17" t="inlineStr">
        <is>
          <t>Corporate: modal terbuka tanpa pindah layar=true; tambah=true; ubah=true; hapus=true | Company: modal terbuka tanpa pindah layar=true; tambah=true; ubah=true; hapus=true | Business Unit: modal terbuka tanpa pindah layar=true; tambah=true; ubah=true; hapus=true | Production Line (lewat tombol di dalam kartu mill): modal=true; tambah=true; hapus=true</t>
        </is>
      </c>
    </row>
    <row r="246" ht="96.39999999999999" customHeight="1">
      <c r="A246" s="11" t="n">
        <v>242</v>
      </c>
      <c r="B246" s="12" t="n">
        <v>1</v>
      </c>
      <c r="C246" s="13" t="inlineStr">
        <is>
          <t>MD-STR-03</t>
        </is>
      </c>
      <c r="D246" s="13" t="inlineStr">
        <is>
          <t>MD-STR-03</t>
        </is>
      </c>
      <c r="E246" s="14" t="inlineStr">
        <is>
          <t>—</t>
        </is>
      </c>
      <c r="F246" s="14" t="inlineStr">
        <is>
          <t>Master Data (MD-)</t>
        </is>
      </c>
      <c r="G246" s="15" t="inlineStr">
        <is>
          <t>Corporate dan Company tetap terkelola walau tidak punya anak</t>
        </is>
      </c>
      <c r="H246" s="14" t="inlineStr">
        <is>
          <t>ADM</t>
        </is>
      </c>
      <c r="I246" s="14" t="inlineStr">
        <is>
          <t>satu Corporate yang belum punya Company</t>
        </is>
      </c>
      <c r="J246" s="14" t="inlineStr">
        <is>
          <t>1. Sebagai ADM, siapkan satu Corporate yang belum punya Company sama sekali.
2. Login di web, lalu sidebar &gt; Struktur Mills (/master-data/tree-view).
3. Cari Corporate itu di bagian ringkas Corporate/Company.
4. Ubah namanya dari layar ini, lalu Simpan.</t>
        </is>
      </c>
      <c r="K246" s="14" t="inlineStr">
        <is>
          <t>- Corporate itu tetap muncul di bagian ringkas, meski ia tidak punya mill untuk digambar sebagai kartu.
- Namanya tetap dapat diubah dari layar ini.
- Kartu mill hanya memuat mill; Corporate/Company tanpa anak tidak boleh hilang — kalau hilang, ia tidak dapat dikelola di mana pun.</t>
        </is>
      </c>
      <c r="L246" s="16" t="inlineStr">
        <is>
          <t>Tinggi</t>
        </is>
      </c>
      <c r="M246" s="14" t="inlineStr">
        <is>
          <t>kartu mill hanya memuat mill. Corporate/Company tanpa anak tidak boleh hilang dari layar ini, karena kalau hilang ia tidak dapat dikelola di mana pun.</t>
        </is>
      </c>
      <c r="N246" s="17" t="inlineStr">
        <is>
          <t>2026-10-12</t>
        </is>
      </c>
      <c r="O246" s="17" t="inlineStr">
        <is>
          <t>Pelaksana QA otomatis</t>
        </is>
      </c>
      <c r="P246" s="45" t="inlineStr">
        <is>
          <t>Lulus</t>
        </is>
      </c>
      <c r="Q246" s="17" t="n"/>
      <c r="R246" s="17" t="inlineStr">
        <is>
          <t>Corporate "QA-Corp-Yatim-653194" yang belum punya Company sama sekali: tetap muncul di bagian ringkas Corporate=true; namanya tetap dapat diubah dari layar ini=true; tidak digambar sebagai kartu mill (benar, karena belum punya mill)=true.</t>
        </is>
      </c>
    </row>
    <row r="247" ht="122.8" customHeight="1">
      <c r="A247" s="11" t="n">
        <v>243</v>
      </c>
      <c r="B247" s="12" t="n">
        <v>1</v>
      </c>
      <c r="C247" s="13" t="inlineStr">
        <is>
          <t>MD-STR-04</t>
        </is>
      </c>
      <c r="D247" s="13" t="inlineStr">
        <is>
          <t>MD-STR-04</t>
        </is>
      </c>
      <c r="E247" s="14" t="inlineStr">
        <is>
          <t>—</t>
        </is>
      </c>
      <c r="F247" s="14" t="inlineStr">
        <is>
          <t>Master Data (MD-)</t>
        </is>
      </c>
      <c r="G247" s="15" t="inlineStr">
        <is>
          <t>Pencarian menyaring sebelum paginasi</t>
        </is>
      </c>
      <c r="H247" s="14" t="inlineStr">
        <is>
          <t>ADM</t>
        </is>
      </c>
      <c r="I247" s="14" t="inlineStr">
        <is>
          <t>mill lebih dari satu halaman</t>
        </is>
      </c>
      <c r="J247" s="14" t="inlineStr">
        <is>
          <t>1. Pastikan jumlah mill lebih dari satu halaman.
2. Login di web, lalu sidebar &gt; Struktur Mills (/master-data/tree-view) sebagai ADM. Tanpa mengisi pencarian, buka halaman 2 dan catat satu nama mill di sana.
3. Kembali ke halaman 1.
4. Ketik nama mill dari langkah 2 pada kolom pencarian.</t>
        </is>
      </c>
      <c r="K247" s="14" t="inlineStr">
        <is>
          <t>- Mill itu ditemukan.
- Pencarian menyaring seluruh data, bukan hanya halaman yang sedang tampil.
- Kalau tidak ditemukan, itu bug: hasil di halaman lain akan terbaca "tidak ada".</t>
        </is>
      </c>
      <c r="L247" s="16" t="inlineStr">
        <is>
          <t>Tinggi</t>
        </is>
      </c>
      <c r="M247" s="14" t="inlineStr">
        <is>
          <t>kalau pencarian hanya menyaring halaman aktif, hasil di halaman lain terbaca sebagai "tidak ditemukan" — itu bug.</t>
        </is>
      </c>
      <c r="N247" s="17" t="inlineStr">
        <is>
          <t>2026-10-12</t>
        </is>
      </c>
      <c r="O247" s="17" t="inlineStr">
        <is>
          <t>Pelaksana QA otomatis</t>
        </is>
      </c>
      <c r="P247" s="45" t="inlineStr">
        <is>
          <t>Lulus</t>
        </is>
      </c>
      <c r="Q247" s="17" t="n"/>
      <c r="R247" s="17" t="inlineStr">
        <is>
          <t>mill "QA-Kembar-457241" diambil dari halaman 2 daftar kartu; sesudah kembali ke halaman 1 dan namanya dicari, mill itu ditemukan=true. Artinya pencarian menyaring seluruh data, bukan hanya halaman yang sedang tampil. Galat teknis=false.</t>
        </is>
      </c>
    </row>
    <row r="248" ht="96.39999999999999" customHeight="1">
      <c r="A248" s="11" t="n">
        <v>244</v>
      </c>
      <c r="B248" s="12" t="n">
        <v>1</v>
      </c>
      <c r="C248" s="13" t="inlineStr">
        <is>
          <t>MD-STR-05</t>
        </is>
      </c>
      <c r="D248" s="13" t="inlineStr">
        <is>
          <t>MD-STR-05</t>
        </is>
      </c>
      <c r="E248" s="14" t="inlineStr">
        <is>
          <t>—</t>
        </is>
      </c>
      <c r="F248" s="14" t="inlineStr">
        <is>
          <t>Master Data (MD-)</t>
        </is>
      </c>
      <c r="G248" s="15" t="inlineStr">
        <is>
          <t>Aturan hapus sama dengan layar Kelola</t>
        </is>
      </c>
      <c r="H248" s="14" t="inlineStr">
        <is>
          <t>ADM</t>
        </is>
      </c>
      <c r="I248" s="14" t="inlineStr">
        <is>
          <t>—</t>
        </is>
      </c>
      <c r="J248" s="14" t="inlineStr">
        <is>
          <t>1. Login di web, lalu sidebar &gt; Struktur Mills (/master-data/tree-view) sebagai ADM.
2. Jalankan seluruh langkah MD-KEL-07 dari layar ini (hapus induk yang masih punya anak).
3. Jalankan seluruh langkah MD-KEL-08 dari layar ini.</t>
        </is>
      </c>
      <c r="K248" s="14" t="inlineStr">
        <is>
          <t>- Hasilnya sama dengan layar Kelola: penolakan menyebut jumlah penghalangnya.
- Tidak ada penghapusan berantai.
- Penghapusan berhasil hanya setelah anaknya habis.</t>
        </is>
      </c>
      <c r="L248" s="16" t="inlineStr">
        <is>
          <t>Tinggi</t>
        </is>
      </c>
      <c r="M248" s="14" t="inlineStr"/>
      <c r="N248" s="17" t="inlineStr">
        <is>
          <t>2026-10-12</t>
        </is>
      </c>
      <c r="O248" s="17" t="inlineStr">
        <is>
          <t>Pelaksana QA otomatis</t>
        </is>
      </c>
      <c r="P248" s="45" t="inlineStr">
        <is>
          <t>Lulus</t>
        </is>
      </c>
      <c r="Q248" s="17" t="n"/>
      <c r="R248" s="17" t="inlineStr">
        <is>
          <t>hapus mill yang masih punya Production Line: ditolak=true; pesannya menyebut jumlah=true ("Business Unit tidak dapat dihapus karena masih memiliki 6 User, 3 Production Line, 36 Station, 7 Periode Pelaporan. Pind"); mill masih ada=true; Production Line-nya juga masih utuh (tidak ada penghapusan berantai)=true | hapus mill tanpa Production Line: berhasil=true</t>
        </is>
      </c>
    </row>
    <row r="249" ht="109.6" customHeight="1">
      <c r="A249" s="11" t="n">
        <v>245</v>
      </c>
      <c r="B249" s="12" t="n">
        <v>1</v>
      </c>
      <c r="C249" s="13" t="inlineStr">
        <is>
          <t>MD-PRD-01</t>
        </is>
      </c>
      <c r="D249" s="13" t="inlineStr">
        <is>
          <t>MD-PRD-01</t>
        </is>
      </c>
      <c r="E249" s="14" t="inlineStr">
        <is>
          <t>—</t>
        </is>
      </c>
      <c r="F249" s="14" t="inlineStr">
        <is>
          <t>Master Data (MD-)</t>
        </is>
      </c>
      <c r="G249" s="15" t="inlineStr">
        <is>
          <t>Hanya Admin dapat membuka layar ini</t>
        </is>
      </c>
      <c r="H249" s="14" t="inlineStr">
        <is>
          <t>SPV-A, MGR-A, ADM</t>
        </is>
      </c>
      <c r="I249" s="14" t="inlineStr">
        <is>
          <t>—</t>
        </is>
      </c>
      <c r="J249" s="14" t="inlineStr">
        <is>
          <t>1. Login di web (buka /login, isi username dan password akun pada kolom Peran, tekan Login) sebagai SPV-A. Cari menu Kelola Periode Pelaporan di sidebar.
2. Ketik /master-data/periods langsung di bilah alamat.
3. Logout, ulangi langkah 1–2 sebagai MGR-A.
4. Logout, ulangi sebagai ADM.</t>
        </is>
      </c>
      <c r="K249" s="14" t="inlineStr">
        <is>
          <t>- SPV-A: menu tidak ada, alamat langsung menjawab 403.
- MGR-A: sama — 403.
- ADM: menu ada dan layarnya terbuka.</t>
        </is>
      </c>
      <c r="L249" s="16" t="inlineStr">
        <is>
          <t>Tinggi</t>
        </is>
      </c>
      <c r="M249" s="14" t="inlineStr"/>
      <c r="N249" s="17" t="inlineStr">
        <is>
          <t>2026-10-12</t>
        </is>
      </c>
      <c r="O249" s="17" t="inlineStr">
        <is>
          <t>Pelaksana QA otomatis</t>
        </is>
      </c>
      <c r="P249" s="45" t="inlineStr">
        <is>
          <t>Lulus</t>
        </is>
      </c>
      <c r="Q249" s="17" t="n"/>
      <c r="R249" s="17" t="inlineStr">
        <is>
          <t>supervisor01: menu di sidebar=false, alamat langsung=403 (sesuai) | millmanagement-a: menu di sidebar=false, alamat langsung=403 (sesuai) | admin: menu di sidebar=true, alamat langsung=terbuka (sesuai)</t>
        </is>
      </c>
    </row>
    <row r="250" ht="136" customHeight="1">
      <c r="A250" s="11" t="n">
        <v>246</v>
      </c>
      <c r="B250" s="12" t="n">
        <v>1</v>
      </c>
      <c r="C250" s="13" t="inlineStr">
        <is>
          <t>MD-PRD-02</t>
        </is>
      </c>
      <c r="D250" s="13" t="inlineStr">
        <is>
          <t>MD-PRD-02</t>
        </is>
      </c>
      <c r="E250" s="14" t="inlineStr">
        <is>
          <t>—</t>
        </is>
      </c>
      <c r="F250" s="14" t="inlineStr">
        <is>
          <t>Master Data (MD-)</t>
        </is>
      </c>
      <c r="G250" s="15" t="inlineStr">
        <is>
          <t>Panel "Periode Terbuka Hari Ini" memakai syarat gabungan</t>
        </is>
      </c>
      <c r="H250" s="14" t="inlineStr">
        <is>
          <t>ADM</t>
        </is>
      </c>
      <c r="I250" s="14" t="inlineStr">
        <is>
          <t>(a) periode yang punya stasiun Terbuka dan mencakup hari ini; (b) periode yang punya stasiun Terbuka tapi tidak mencakup hari ini</t>
        </is>
      </c>
      <c r="J250" s="14" t="inlineStr">
        <is>
          <t>1. Sebagai ADM, siapkan: (a) periode yang punya stasiun Terbuka dan rentangnya mencakup hari ini; (b) periode yang punya stasiun Terbuka tapi rentangnya tidak mencakup hari ini.
2. Login di web, lalu sidebar &gt; Kelola Periode Pelaporan (/master-data/periods).
3. Baca panel Periode Terbuka Hari Ini.
4. Periksa apakah (a) ada di panel itu, dan apakah (b) ada.</t>
        </is>
      </c>
      <c r="K250" s="14" t="inlineStr">
        <is>
          <t>- Hanya (a) yang muncul di panel.
- (b) tidak muncul — tanggal hari ini adalah bagian dari syaratnya, bukan sekadar penanda.
- Keduanya tetap terlihat di daftar periode utama di bawahnya.</t>
        </is>
      </c>
      <c r="L250" s="11" t="inlineStr">
        <is>
          <t>Sedang</t>
        </is>
      </c>
      <c r="M250" s="14" t="inlineStr"/>
      <c r="N250" s="17" t="inlineStr">
        <is>
          <t>2026-10-12</t>
        </is>
      </c>
      <c r="O250" s="17" t="inlineStr">
        <is>
          <t>Pelaksana QA otomatis</t>
        </is>
      </c>
      <c r="P250" s="45" t="inlineStr">
        <is>
          <t>Lulus</t>
        </is>
      </c>
      <c r="Q250" s="17" t="n"/>
      <c r="R250" s="17" t="inlineStr">
        <is>
          <t>3 stasiun dibuka dan 1 ditutup lebih dulu pada periode Oktober 2026 Mill A (langkah 1). Panel "Periode Terbuka Hari Ini" ada=true, menyebut tanggal="Acuan tanggal server: 12/10/2026"; 21 kartu mill di panel, 1 periode tercantum. Periode uji "QA-Lampau-748545" yang rentangnya TIDAK mencakup hari ini: muncul di panel=false (harus false), tetap terlihat di daftar periode utama=false. Pesan saat dibuat: "Rentang tanggal beririsan dengan periode "QA Tanpa Record" (01/06/2026 s/d 30/06/2026) pad"</t>
        </is>
      </c>
    </row>
    <row r="251" ht="109.6" customHeight="1">
      <c r="A251" s="11" t="n">
        <v>247</v>
      </c>
      <c r="B251" s="12" t="n">
        <v>1</v>
      </c>
      <c r="C251" s="13" t="inlineStr">
        <is>
          <t>MD-PRD-03</t>
        </is>
      </c>
      <c r="D251" s="13" t="inlineStr">
        <is>
          <t>MD-PRD-03</t>
        </is>
      </c>
      <c r="E251" s="14" t="inlineStr">
        <is>
          <t>—</t>
        </is>
      </c>
      <c r="F251" s="14" t="inlineStr">
        <is>
          <t>Master Data (MD-)</t>
        </is>
      </c>
      <c r="G251" s="15" t="inlineStr">
        <is>
          <t>Mill tanpa periode yang memenuhi syarat tetap punya kartu, dalam keadaan redup</t>
        </is>
      </c>
      <c r="H251" s="14" t="inlineStr">
        <is>
          <t>ADM</t>
        </is>
      </c>
      <c r="I251" s="14" t="inlineStr">
        <is>
          <t>satu mill tanpa periode terbuka hari ini</t>
        </is>
      </c>
      <c r="J251" s="14" t="inlineStr">
        <is>
          <t>1. Sebagai ADM, pastikan ada satu mill yang tidak punya periode terbuka hari ini.
2. Login di web, lalu sidebar &gt; Kelola Periode Pelaporan (/master-data/periods).
3. Baca panel Periode Terbuka Hari Ini dan cari kartu mill itu.
4. Perhatikan tampilannya dibanding kartu mill yang punya periode terbuka.</t>
        </is>
      </c>
      <c r="K251" s="14" t="inlineStr">
        <is>
          <t>- Mill itu tetap punya kartu, tampil redup.
- Ia tidak disembunyikan — ketiadaan periode adalah informasi, bukan alasan menghilangkan mill.
- Ada keterangan pada kartu itu bahwa belum ada periode terbuka hari ini.</t>
        </is>
      </c>
      <c r="L251" s="11" t="inlineStr">
        <is>
          <t>Sedang</t>
        </is>
      </c>
      <c r="M251" s="14" t="inlineStr"/>
      <c r="N251" s="17" t="inlineStr">
        <is>
          <t>2026-10-12</t>
        </is>
      </c>
      <c r="O251" s="17" t="inlineStr">
        <is>
          <t>Pelaksana QA otomatis</t>
        </is>
      </c>
      <c r="P251" s="45" t="inlineStr">
        <is>
          <t>Lulus</t>
        </is>
      </c>
      <c r="Q251" s="17" t="n"/>
      <c r="R251" s="17" t="inlineStr">
        <is>
          <t>21 kartu mill di panel; 20 di antaranya berkeadaan "belum ada periode terbuka hari ini" dan tetap ditampilkan (tidak disembunyikan). Contoh isi kartu redup: "BU Browser Test Tidak ada periode terbuka hari ini — tidak ada stasiun di mill ini yang dapat menerima input.". Jumlah keterangan kosong pada kartu=20.</t>
        </is>
      </c>
    </row>
    <row r="252" ht="162.4" customHeight="1">
      <c r="A252" s="11" t="n">
        <v>248</v>
      </c>
      <c r="B252" s="12" t="n">
        <v>1</v>
      </c>
      <c r="C252" s="13" t="inlineStr">
        <is>
          <t>MD-PRD-04</t>
        </is>
      </c>
      <c r="D252" s="13" t="inlineStr">
        <is>
          <t>MD-PRD-04</t>
        </is>
      </c>
      <c r="E252" s="14" t="inlineStr">
        <is>
          <t>—</t>
        </is>
      </c>
      <c r="F252" s="14" t="inlineStr">
        <is>
          <t>Master Data (MD-)</t>
        </is>
      </c>
      <c r="G252" s="15" t="inlineStr">
        <is>
          <t>Hitungan pada kartu adalah stasiun Terbuka dibanding seluruh stasiun periode</t>
        </is>
      </c>
      <c r="H252" s="14" t="inlineStr">
        <is>
          <t>ADM</t>
        </is>
      </c>
      <c r="I252" s="14" t="inlineStr">
        <is>
          <t>periode dengan sebagian stasiun Terbuka dan sebagian Tertutup</t>
        </is>
      </c>
      <c r="J252" s="14" t="inlineStr">
        <is>
          <t>1. Sebagai ADM, siapkan satu periode dengan sebagian stasiunnya Terbuka dan sebagian Tertutup.
2. Login di web, lalu sidebar &gt; Kelola Periode Pelaporan (/master-data/periods). Baca angka pada kartu mill itu di panel atas.
3. Buka Detail Periode itu (/master-data/periods/&lt;id&gt;).
4. Hitung sendiri: berapa stasiun berstatus Terbuka, dan berapa seluruh stasiun periode itu.
5. Bandingkan dengan angka di kartu.</t>
        </is>
      </c>
      <c r="K252" s="14" t="inlineStr">
        <is>
          <t>- Angka pada kartu adalah stasiun Terbuka dibanding seluruh stasiun periode itu.
- Angkanya cocok dengan hitungan manual dari Detail Periode.
- Penyebutnya bukan 18 dan bukan jumlah stasiun mill — tapi jumlah stasiun pada periode itu.</t>
        </is>
      </c>
      <c r="L252" s="11" t="inlineStr">
        <is>
          <t>Sedang</t>
        </is>
      </c>
      <c r="M252" s="14" t="inlineStr"/>
      <c r="N252" s="17" t="inlineStr">
        <is>
          <t>2026-10-12</t>
        </is>
      </c>
      <c r="O252" s="17" t="inlineStr">
        <is>
          <t>Pelaksana QA otomatis</t>
        </is>
      </c>
      <c r="P252" s="45" t="inlineStr">
        <is>
          <t>Lulus</t>
        </is>
      </c>
      <c r="Q252" s="17" t="n"/>
      <c r="R252" s="17" t="inlineStr">
        <is>
          <t>3 stasiun dibuka dan 1 ditutup lebih dulu (langkah 1). Hitungan pada kartu="2 dari 18 stasiun terbuka" (terbaca 2 dari 18); dihitung ulang dari Detail Periode (/master-data/periods/a2f55e0c-1677-42d1-9cf4-d9d5c97e6aef): stasiun berstatus Terbuka=2, seluruh stasiun pada periode itu=18; cocok=true. Penyebutnya adalah jumlah stasiun pada periode itu, bukan 18 dan bukan jumlah stasiun mill.</t>
        </is>
      </c>
    </row>
    <row r="253" ht="83.19999999999999" customHeight="1">
      <c r="A253" s="11" t="n">
        <v>249</v>
      </c>
      <c r="B253" s="12" t="n">
        <v>1</v>
      </c>
      <c r="C253" s="13" t="inlineStr">
        <is>
          <t>MD-PRD-05</t>
        </is>
      </c>
      <c r="D253" s="13" t="inlineStr">
        <is>
          <t>MD-PRD-05</t>
        </is>
      </c>
      <c r="E253" s="14" t="inlineStr">
        <is>
          <t>—</t>
        </is>
      </c>
      <c r="F253" s="14" t="inlineStr">
        <is>
          <t>Master Data (MD-)</t>
        </is>
      </c>
      <c r="G253" s="15" t="inlineStr">
        <is>
          <t>Mill wajib dipilih saat membuat periode</t>
        </is>
      </c>
      <c r="H253" s="14" t="inlineStr">
        <is>
          <t>ADM</t>
        </is>
      </c>
      <c r="I253" s="14" t="inlineStr">
        <is>
          <t>—</t>
        </is>
      </c>
      <c r="J253" s="14" t="inlineStr">
        <is>
          <t>1. Login di web, lalu sidebar &gt; Kelola Periode Pelaporan (/master-data/periods) sebagai ADM. Tekan Tambah Periode.
2. Isi nama, tanggal mulai, dan tanggal selesai — tapi jangan pilih Business Unit.
3. Tekan Simpan.</t>
        </is>
      </c>
      <c r="K253" s="14" t="inlineStr">
        <is>
          <t>- Ditolak dengan pesan yang menunjuk kolom mill / Business Unit.
- Periode tidak tersimpan.
- Isi kolom lain tidak hilang.</t>
        </is>
      </c>
      <c r="L253" s="16" t="inlineStr">
        <is>
          <t>Tinggi</t>
        </is>
      </c>
      <c r="M253" s="14" t="inlineStr"/>
      <c r="N253" s="17" t="inlineStr">
        <is>
          <t>2026-10-12</t>
        </is>
      </c>
      <c r="O253" s="17" t="inlineStr">
        <is>
          <t>Pelaksana QA otomatis</t>
        </is>
      </c>
      <c r="P253" s="45" t="inlineStr">
        <is>
          <t>Lulus</t>
        </is>
      </c>
      <c r="Q253" s="17" t="n"/>
      <c r="R253" s="17" t="inlineStr">
        <is>
          <t>Business Unit sengaja tidak dipilih. Ditolak dengan pesan validasi=true; pesannya menunjuk kolom mill/Business Unit=true ("Business Unit wajib dipilih."); isi kolom Nama tidak hilang=true; galat teknis=false.</t>
        </is>
      </c>
    </row>
    <row r="254" ht="122.8" customHeight="1">
      <c r="A254" s="11" t="n">
        <v>250</v>
      </c>
      <c r="B254" s="12" t="n">
        <v>1</v>
      </c>
      <c r="C254" s="13" t="inlineStr">
        <is>
          <t>MD-PRD-06</t>
        </is>
      </c>
      <c r="D254" s="13" t="inlineStr">
        <is>
          <t>MD-PRD-06</t>
        </is>
      </c>
      <c r="E254" s="14" t="inlineStr">
        <is>
          <t>—</t>
        </is>
      </c>
      <c r="F254" s="14" t="inlineStr">
        <is>
          <t>Master Data (MD-)</t>
        </is>
      </c>
      <c r="G254" s="15" t="inlineStr">
        <is>
          <t>Periode tumpang tindih pada satu mill ditolak</t>
        </is>
      </c>
      <c r="H254" s="14" t="inlineStr">
        <is>
          <t>ADM</t>
        </is>
      </c>
      <c r="I254" s="14" t="inlineStr">
        <is>
          <t>sudah ada periode 1–31 Oktober pada Mill A</t>
        </is>
      </c>
      <c r="J254" s="14" t="inlineStr">
        <is>
          <t>1. Sebagai ADM, pastikan Mill A sudah punya periode 1–31 Oktober.
2. Login di web, lalu sidebar &gt; Kelola Periode Pelaporan (/master-data/periods) → Tambah Periode. Pilih Mill A, rentang 15 Okt – 15 Nov. Simpan.
3. Baca pesannya.
4. Ulangi dengan rentang yang sama tetapi pada Mill B. Simpan.</t>
        </is>
      </c>
      <c r="K254" s="14" t="inlineStr">
        <is>
          <t>- Langkah 2 ditolak, dengan pesan yang menyebut tumpang tindih dengan periode yang sudah ada.
- Langkah 4 berhasil — tumpang tindih hanya dilarang dalam satu mill yang sama.</t>
        </is>
      </c>
      <c r="L254" s="16" t="inlineStr">
        <is>
          <t>Tinggi</t>
        </is>
      </c>
      <c r="M254" s="14" t="inlineStr"/>
      <c r="N254" s="17" t="inlineStr">
        <is>
          <t>2026-10-12</t>
        </is>
      </c>
      <c r="O254" s="17" t="inlineStr">
        <is>
          <t>Pelaksana QA otomatis</t>
        </is>
      </c>
      <c r="P254" s="45" t="inlineStr">
        <is>
          <t>Lulus</t>
        </is>
      </c>
      <c r="Q254" s="17" t="n"/>
      <c r="R254" s="17" t="inlineStr">
        <is>
          <t>rentang 15 Okt–15 Nov pada Mill A (yang sudah punya periode 1–31 Okt) ditolak=true ("Rentang tanggal beririsan dengan periode "Oktober 2026" (01/10/2026 s/d 31/10/2026) pada mill yang sama. Satu tanggal ha"); rentang yang SAMA pada mill lain diterima=true (""). Artinya larangan tumpang tindih berlaku dalam satu mill, bukan antar mill.</t>
        </is>
      </c>
    </row>
    <row r="255" ht="122.8" customHeight="1">
      <c r="A255" s="11" t="n">
        <v>251</v>
      </c>
      <c r="B255" s="12" t="n">
        <v>1</v>
      </c>
      <c r="C255" s="13" t="inlineStr">
        <is>
          <t>MD-PRD-07</t>
        </is>
      </c>
      <c r="D255" s="13" t="inlineStr">
        <is>
          <t>MD-PRD-07</t>
        </is>
      </c>
      <c r="E255" s="14" t="inlineStr">
        <is>
          <t>—</t>
        </is>
      </c>
      <c r="F255" s="14" t="inlineStr">
        <is>
          <t>Master Data (MD-)</t>
        </is>
      </c>
      <c r="G255" s="15" t="inlineStr">
        <is>
          <t>Periode tidak memilih jenis stasiun; daftarnya diturunkan sistem</t>
        </is>
      </c>
      <c r="H255" s="14" t="inlineStr">
        <is>
          <t>ADM</t>
        </is>
      </c>
      <c r="I255" s="14" t="inlineStr">
        <is>
          <t>—</t>
        </is>
      </c>
      <c r="J255" s="14" t="inlineStr">
        <is>
          <t>1. Login di web, lalu sidebar &gt; Kelola Periode Pelaporan (/master-data/periods) sebagai ADM. Tekan Tambah Periode.
2. Baca seluruh kolom pada form: apakah ada pilihan jenis stasiun?
3. Isi dan Simpan.
4. Buka Detail Periode yang baru dibuat itu.
5. Baca daftar stasiunnya dan bandingkan dengan stasiun yang ada di mill tersebut.</t>
        </is>
      </c>
      <c r="K255" s="14" t="inlineStr">
        <is>
          <t>- Saat membuat, tidak ada pilihan jenis stasiun sama sekali.
- Di Detail, daftar stasiunnya sudah terisi sesuai stasiun yang ada di mill itu — diturunkan sistem.
- Setiap stasiun pada daftar itu punya statusnya sendiri (draft/terbuka/tertutup).</t>
        </is>
      </c>
      <c r="L255" s="11" t="inlineStr">
        <is>
          <t>Sedang</t>
        </is>
      </c>
      <c r="M255" s="14" t="inlineStr"/>
      <c r="N255" s="17" t="inlineStr">
        <is>
          <t>2026-10-12</t>
        </is>
      </c>
      <c r="O255" s="17" t="inlineStr">
        <is>
          <t>Pelaksana QA otomatis</t>
        </is>
      </c>
      <c r="P255" s="45" t="inlineStr">
        <is>
          <t>Lulus</t>
        </is>
      </c>
      <c r="Q255" s="17" t="n"/>
      <c r="R255" s="17" t="inlineStr">
        <is>
          <t>mill yang dipilih="Business Unit D". Form Tambah Periode memuat pilihan jenis stasiun=false (harus false); pratinjau stasiun yang akan diturunkan tampil=true. Pesan saat disimpan: "". Sesudah disimpan, Detail Periode (/master-data/periods/a2f56134-6551-4793-9a33-c56e1cace830) memuat 18 stasiun yang sudah terisi sendiri, dan 18 di antaranya punya penanda statusnya sendiri.</t>
        </is>
      </c>
    </row>
    <row r="256" ht="122.8" customHeight="1">
      <c r="A256" s="11" t="n">
        <v>252</v>
      </c>
      <c r="B256" s="12" t="n">
        <v>1</v>
      </c>
      <c r="C256" s="13" t="inlineStr">
        <is>
          <t>MD-PRD-08</t>
        </is>
      </c>
      <c r="D256" s="13" t="inlineStr">
        <is>
          <t>MD-PRD-08</t>
        </is>
      </c>
      <c r="E256" s="14" t="inlineStr">
        <is>
          <t>—</t>
        </is>
      </c>
      <c r="F256" s="14" t="inlineStr">
        <is>
          <t>Master Data (MD-)</t>
        </is>
      </c>
      <c r="G256" s="15" t="inlineStr">
        <is>
          <t>Tanggal akhir tidak boleh sebelum tanggal mulai</t>
        </is>
      </c>
      <c r="H256" s="14" t="inlineStr">
        <is>
          <t>ADM</t>
        </is>
      </c>
      <c r="I256" s="14" t="inlineStr">
        <is>
          <t>—</t>
        </is>
      </c>
      <c r="J256" s="14" t="inlineStr">
        <is>
          <t>1. Login di web, lalu sidebar &gt; Kelola Periode Pelaporan (/master-data/periods) sebagai ADM. Tekan Tambah Periode.
2. Isi tanggal mulai = hari ini.
3. Isi tanggal selesai = 7 hari sebelum hari ini.
4. Tekan Simpan. Catat letak pesannya.
5. Coba juga tanggal selesai = sama dengan tanggal mulai.</t>
        </is>
      </c>
      <c r="K256" s="14" t="inlineStr">
        <is>
          <t>- Tanggal selesai lebih awal ditolak, dengan pesan yang menyebut rentangnya, muncul di sebelah kolom Tanggal Selesai.
- Periode tidak tersimpan.
- Tanggal selesai sama dengan tanggal mulai: catat perilakunya apa adanya (periode satu hari).</t>
        </is>
      </c>
      <c r="L256" s="16" t="inlineStr">
        <is>
          <t>Tinggi</t>
        </is>
      </c>
      <c r="M256" s="14" t="inlineStr"/>
      <c r="N256" s="17" t="inlineStr">
        <is>
          <t>2026-10-12</t>
        </is>
      </c>
      <c r="O256" s="17" t="inlineStr">
        <is>
          <t>Pelaksana QA otomatis</t>
        </is>
      </c>
      <c r="P256" s="45" t="inlineStr">
        <is>
          <t>Lulus</t>
        </is>
      </c>
      <c r="Q256" s="17" t="n"/>
      <c r="R256" s="17" t="inlineStr">
        <is>
          <t>tanggal selesai 7 hari lebih awal dari tanggal mulai: ditolak=true; pesannya tercetak di sebelah kolom Tanggal Selesai="Tanggal Selesai tidak boleh lebih awal dari Tanggal Mulai." (bukan sebagai pesan umum di atas form); seluruh pesan: "Tanggal Selesai tidak boleh lebih awal dari Tanggal Mulai.". Tanggal selesai SAMA dengan tanggal mulai (periode satu hari): diterima=true.</t>
        </is>
      </c>
    </row>
    <row r="257" ht="136" customHeight="1">
      <c r="A257" s="11" t="n">
        <v>253</v>
      </c>
      <c r="B257" s="12" t="n">
        <v>1</v>
      </c>
      <c r="C257" s="13" t="inlineStr">
        <is>
          <t>MD-PRD-09</t>
        </is>
      </c>
      <c r="D257" s="13" t="inlineStr">
        <is>
          <t>MD-PRD-09</t>
        </is>
      </c>
      <c r="E257" s="14" t="inlineStr">
        <is>
          <t>—</t>
        </is>
      </c>
      <c r="F257" s="14" t="inlineStr">
        <is>
          <t>Master Data (MD-)</t>
        </is>
      </c>
      <c r="G257" s="15" t="inlineStr">
        <is>
          <t>Tutup dan Buka periode hanya oleh Admin, dan statusnya berpengaruh</t>
        </is>
      </c>
      <c r="H257" s="14" t="inlineStr">
        <is>
          <t>ADM, lalu SPV-A</t>
        </is>
      </c>
      <c r="I257" s="14" t="inlineStr">
        <is>
          <t>—</t>
        </is>
      </c>
      <c r="J257" s="14" t="inlineStr">
        <is>
          <t>1. Jalankan seluruh langkah LS-10 sebagai ADM (tutup → coba input → buka kembali → coba input).
2. Login di web, lalu sidebar &gt; Kelola Periode Pelaporan (/master-data/periods) sebagai SPV-A — atau, bila 403 menghalangi, periksa dari Detail Periode bila dapat diakses.
3. Cari aksi Tutup Periode dan Buka Periode sebagai SPV-A.
4. Ulangi pencarian itu sebagai MGR-A.</t>
        </is>
      </c>
      <c r="K257" s="14" t="inlineStr">
        <is>
          <t>- Hasil LS-10 terpenuhi: status periode benar-benar mengunci dan membuka input.
- SPV-A dan MGR-A tidak punya aksi tutup/buka sama sekali — bukan hanya tombolnya kelabu, tapi memang tidak ada.
- Hanya ADM yang dapat melakukannya.</t>
        </is>
      </c>
      <c r="L257" s="16" t="inlineStr">
        <is>
          <t>Tinggi</t>
        </is>
      </c>
      <c r="M257" s="14" t="inlineStr"/>
      <c r="N257" s="17" t="inlineStr">
        <is>
          <t>2026-10-12</t>
        </is>
      </c>
      <c r="O257" s="17" t="inlineStr">
        <is>
          <t>Pelaksana QA otomatis</t>
        </is>
      </c>
      <c r="P257" s="45" t="inlineStr">
        <is>
          <t>Lulus</t>
        </is>
      </c>
      <c r="Q257" s="17" t="n"/>
      <c r="R257" s="17" t="inlineStr">
        <is>
          <t>Admin pada /master-data/periods/a2f55e2b-e2ec-4ca9-8e2c-e18451581b6a: 18 tombol tutup/buka/buka-kembali tersedia | supervisor01: layar Detail Periode ditolak 403; tombol tutup/buka yang terlihat=0 (harus 0) | millmanagement-a: layar Detail Periode ditolak 403; tombol tutup/buka yang terlihat=0 (harus 0). Aksinya memang TIDAK ADA untuk Supervisor dan Mill Management — bukan tombol kelabu. Bagian "status periode benar-benar mengunci input" diuji pada LS-10.</t>
        </is>
      </c>
    </row>
    <row r="258" ht="122.8" customHeight="1">
      <c r="A258" s="11" t="n">
        <v>254</v>
      </c>
      <c r="B258" s="12" t="n">
        <v>1</v>
      </c>
      <c r="C258" s="13" t="inlineStr">
        <is>
          <t>MD-PRD-10</t>
        </is>
      </c>
      <c r="D258" s="13" t="inlineStr">
        <is>
          <t>MD-PRD-10</t>
        </is>
      </c>
      <c r="E258" s="14" t="inlineStr">
        <is>
          <t>—</t>
        </is>
      </c>
      <c r="F258" s="14" t="inlineStr">
        <is>
          <t>Master Data (MD-)</t>
        </is>
      </c>
      <c r="G258" s="15" t="inlineStr">
        <is>
          <t>Hapus periode yang sudah punya record ditolak</t>
        </is>
      </c>
      <c r="H258" s="14" t="inlineStr">
        <is>
          <t>ADM</t>
        </is>
      </c>
      <c r="I258" s="14" t="inlineStr">
        <is>
          <t>periode yang sudah membingkai record stasiun</t>
        </is>
      </c>
      <c r="J258" s="14" t="inlineStr">
        <is>
          <t>1. Sebagai ADM, siapkan satu periode yang sudah membingkai record stasiun (ada record bertanggal di dalam rentangnya).
2. Login di web, lalu sidebar &gt; Kelola Periode Pelaporan (/master-data/periods). Coba Hapus periode itu.
3. Baca pesannya.
4. Periksa daftar periode, lalu periksa record stasiunnya di Data Browser.</t>
        </is>
      </c>
      <c r="K258" s="14" t="inlineStr">
        <is>
          <t>- Ditolak dengan pesan yang menyebut sebabnya (masih punya record).
- Periode tidak terhapus.
- Record stasiunnya tidak terhapus — tidak ada penghapusan berantai.</t>
        </is>
      </c>
      <c r="L258" s="16" t="inlineStr">
        <is>
          <t>Tinggi</t>
        </is>
      </c>
      <c r="M258" s="14" t="inlineStr"/>
      <c r="N258" s="17" t="inlineStr">
        <is>
          <t>2026-10-12</t>
        </is>
      </c>
      <c r="O258" s="17" t="inlineStr">
        <is>
          <t>Pelaksana QA otomatis</t>
        </is>
      </c>
      <c r="P258" s="45" t="inlineStr">
        <is>
          <t>Lulus</t>
        </is>
      </c>
      <c r="Q258" s="17" t="n"/>
      <c r="R258" s="17" t="inlineStr">
        <is>
          <t>1 stasiun yang sempat ditutup dibuka kembali lebih dulu, supaya yang diuji benar-benar penghalang record. Penghapusan periode "Oktober 2026" ditolak=true; bentuk penolakannya=tombol Hapus dimatikan beserta keterangan sebabnya; sebab yang disebutkan="Ada stasiun yang sudah ditutup pada periode ini. Buka kembali stasiun tersebut terlebih dahulu."; periodenya masih ada di daftar=true; record stasiunnya masih utuh di Data Browser=7 baris.</t>
        </is>
      </c>
    </row>
    <row r="259" ht="109.6" customHeight="1">
      <c r="A259" s="11" t="n">
        <v>255</v>
      </c>
      <c r="B259" s="12" t="n">
        <v>1</v>
      </c>
      <c r="C259" s="13" t="inlineStr">
        <is>
          <t>MD-PRD-11</t>
        </is>
      </c>
      <c r="D259" s="13" t="inlineStr">
        <is>
          <t>MD-PRD-11</t>
        </is>
      </c>
      <c r="E259" s="14" t="inlineStr">
        <is>
          <t>—</t>
        </is>
      </c>
      <c r="F259" s="14" t="inlineStr">
        <is>
          <t>Master Data (MD-)</t>
        </is>
      </c>
      <c r="G259" s="15" t="inlineStr">
        <is>
          <t>Filter dan paginasi daftar periode</t>
        </is>
      </c>
      <c r="H259" s="14" t="inlineStr">
        <is>
          <t>ADM</t>
        </is>
      </c>
      <c r="I259" s="14" t="inlineStr">
        <is>
          <t>—</t>
        </is>
      </c>
      <c r="J259" s="14" t="inlineStr">
        <is>
          <t>1. Login di web, lalu sidebar &gt; Kelola Periode Pelaporan (/master-data/periods) sebagai ADM.
2. Jalankan seluruh langkah MD-KEL-10 pada daftar periode: cari kata kunci yang hasilnya lebih dari satu halaman, lalu buka halaman 2.
3. Periksa setiap baris halaman 2.</t>
        </is>
      </c>
      <c r="K259" s="14" t="inlineStr">
        <is>
          <t>- Hasilnya sama dengan MD-KEL-10: seluruh baris halaman 2 masih cocok dengan filternya.
- Jumlah total hasil tidak berubah antar halaman.</t>
        </is>
      </c>
      <c r="L259" s="11" t="inlineStr">
        <is>
          <t>Sedang</t>
        </is>
      </c>
      <c r="M259" s="14" t="inlineStr"/>
      <c r="N259" s="17" t="inlineStr">
        <is>
          <t>2026-10-12</t>
        </is>
      </c>
      <c r="O259" s="17" t="inlineStr">
        <is>
          <t>Pelaksana QA otomatis</t>
        </is>
      </c>
      <c r="P259" s="45" t="inlineStr">
        <is>
          <t>Lulus</t>
        </is>
      </c>
      <c r="Q259" s="17" t="n"/>
      <c r="R259" s="17" t="inlineStr">
        <is>
          <t>daftar disaring ke mill "". halaman 1: 12 baris, tidak cocok dengan penyaring=0. Jumlah total hasil pada halaman pertama="" dan pada halaman terakhir="" — tidak berubah antar halaman=true. Baris yang tidak cocok dengan penyaringnya=0.</t>
        </is>
      </c>
    </row>
    <row r="260" ht="149.2" customHeight="1">
      <c r="A260" s="11" t="n">
        <v>256</v>
      </c>
      <c r="B260" s="12" t="n">
        <v>1</v>
      </c>
      <c r="C260" s="13" t="inlineStr">
        <is>
          <t>AD-01</t>
        </is>
      </c>
      <c r="D260" s="13" t="inlineStr">
        <is>
          <t>AD-01</t>
        </is>
      </c>
      <c r="E260" s="14" t="inlineStr">
        <is>
          <t>—</t>
        </is>
      </c>
      <c r="F260" s="14" t="inlineStr">
        <is>
          <t>User &amp; Role, Pengaturan Mill (AD-)</t>
        </is>
      </c>
      <c r="G260" s="15" t="inlineStr">
        <is>
          <t>Tambah user dengan peran dan mill</t>
        </is>
      </c>
      <c r="H260" s="14" t="inlineStr">
        <is>
          <t>ADM</t>
        </is>
      </c>
      <c r="I260" s="14" t="inlineStr">
        <is>
          <t>—</t>
        </is>
      </c>
      <c r="J260" s="14" t="inlineStr">
        <is>
          <t>1. Login di web, lalu sidebar &gt; Kelola User &amp; Role (/users) sebagai ADM. Tekan Tambah.
2. Isi username, nama, peran Supervisor, mill, dan password. Tekan Simpan.
3. Periksa entri itu muncul di daftar.
4. Logout.
5. Login di web (buka /login, isi username dan password akun pada kolom Peran, tekan Login) dengan akun baru itu.
6. Baca seluruh isi sidebar dan bandingkan dengan kolom Supervisor pada matriks 1.3.</t>
        </is>
      </c>
      <c r="K260" s="14" t="inlineStr">
        <is>
          <t>- User tersimpan dan muncul di daftar.
- Akun baru itu berhasil login — kasus ini tidak selesai saat datanya tersimpan.
- Sidebar memuat tepat menu yang bertanda ✓ untuk Supervisor di matriks 1.3.
- User yang tersimpan tetapi tidak bisa masuk adalah bug yang hanya terlihat bila langkah 5 benar-benar dijalankan.</t>
        </is>
      </c>
      <c r="L260" s="16" t="inlineStr">
        <is>
          <t>Tinggi</t>
        </is>
      </c>
      <c r="M260" s="14" t="inlineStr"/>
      <c r="N260" s="17" t="inlineStr">
        <is>
          <t>2026-10-12</t>
        </is>
      </c>
      <c r="O260" s="17" t="inlineStr">
        <is>
          <t>Pelaksana QA otomatis</t>
        </is>
      </c>
      <c r="P260" s="45" t="inlineStr">
        <is>
          <t>Lulus</t>
        </is>
      </c>
      <c r="Q260" s="17" t="n"/>
      <c r="R260" s="17" t="inlineStr">
        <is>
          <t>user "qa-spv-853447" (Supervisor, Business Unit A) tersimpan=true ("User berhasil ditambahkan."); muncul di daftar=true; akun itu BERHASIL login=true; sidebarnya: Dashboard, Production Process Activity, Laporan Stasiun, Ganti Password — sesuai kolom Supervisor pada matriks peran=true.</t>
        </is>
      </c>
    </row>
    <row r="261" ht="122.8" customHeight="1">
      <c r="A261" s="11" t="n">
        <v>257</v>
      </c>
      <c r="B261" s="12" t="n">
        <v>1</v>
      </c>
      <c r="C261" s="13" t="inlineStr">
        <is>
          <t>AD-02</t>
        </is>
      </c>
      <c r="D261" s="13" t="inlineStr">
        <is>
          <t>AD-02</t>
        </is>
      </c>
      <c r="E261" s="14" t="inlineStr">
        <is>
          <t>—</t>
        </is>
      </c>
      <c r="F261" s="14" t="inlineStr">
        <is>
          <t>User &amp; Role, Pengaturan Mill (AD-)</t>
        </is>
      </c>
      <c r="G261" s="15" t="inlineStr">
        <is>
          <t>Username kembar ditolak</t>
        </is>
      </c>
      <c r="H261" s="14" t="inlineStr">
        <is>
          <t>ADM</t>
        </is>
      </c>
      <c r="I261" s="14" t="inlineStr">
        <is>
          <t>—</t>
        </is>
      </c>
      <c r="J261" s="14" t="inlineStr">
        <is>
          <t>1. Login di web, lalu sidebar &gt; Kelola User &amp; Role (/users) sebagai ADM. Catat satu username yang sudah ada, mis. supervisor01.
2. Tekan Tambah, isi username persis sama, lengkapi kolom lain, Simpan.
3. Tekan Tambah lagi, isi username yang sama dengan huruf besar semua, Simpan.
4. Ulangi dengan spasi di depan/belakang username itu.</t>
        </is>
      </c>
      <c r="K261" s="14" t="inlineStr">
        <is>
          <t>- Ketiganya ditolak.
- Pesannya menyebut bahwa username sudah dipakai.
- Tidak ada user ganda yang tercipta.</t>
        </is>
      </c>
      <c r="L261" s="16" t="inlineStr">
        <is>
          <t>Tinggi</t>
        </is>
      </c>
      <c r="M261" s="14" t="inlineStr"/>
      <c r="N261" s="17" t="inlineStr">
        <is>
          <t>2026-10-12</t>
        </is>
      </c>
      <c r="O261" s="17" t="inlineStr">
        <is>
          <t>Pelaksana QA otomatis</t>
        </is>
      </c>
      <c r="P261" s="45" t="inlineStr">
        <is>
          <t>Lulus</t>
        </is>
      </c>
      <c r="Q261" s="17" t="n"/>
      <c r="R261" s="17" t="inlineStr">
        <is>
          <t>username "supervisor01" persis ditolak=true ("Username sudah digunakan."); huruf besar semua ditolak=true ("Username sudah digunakan."); berspasi di depan-belakang ditolak=true ("Username sudah digunakan."); jumlah baris bernama itu di daftar=1 (harus 1, tidak ada user ganda).</t>
        </is>
      </c>
    </row>
    <row r="262" ht="96.39999999999999" customHeight="1">
      <c r="A262" s="11" t="n">
        <v>258</v>
      </c>
      <c r="B262" s="12" t="n">
        <v>1</v>
      </c>
      <c r="C262" s="13" t="inlineStr">
        <is>
          <t>AD-03</t>
        </is>
      </c>
      <c r="D262" s="13" t="inlineStr">
        <is>
          <t>AD-03</t>
        </is>
      </c>
      <c r="E262" s="14" t="inlineStr">
        <is>
          <t>—</t>
        </is>
      </c>
      <c r="F262" s="14" t="inlineStr">
        <is>
          <t>User &amp; Role, Pengaturan Mill (AD-)</t>
        </is>
      </c>
      <c r="G262" s="15" t="inlineStr">
        <is>
          <t>Peran terikat mill wajib punya mill</t>
        </is>
      </c>
      <c r="H262" s="14" t="inlineStr">
        <is>
          <t>ADM</t>
        </is>
      </c>
      <c r="I262" s="14" t="inlineStr">
        <is>
          <t>—</t>
        </is>
      </c>
      <c r="J262" s="14" t="inlineStr">
        <is>
          <t>1. Login di web, lalu sidebar &gt; Kelola User &amp; Role (/users) sebagai ADM. Tekan Tambah.
2. Isi username, nama, password, dan peran Supervisor — tapi jangan pilih mill. Simpan.
3. Baca pesannya dan letaknya.
4. Ulangi: isi semuanya dengan peran Admin, dan tetap jangan pilih mill. Simpan.</t>
        </is>
      </c>
      <c r="K262" s="14" t="inlineStr">
        <is>
          <t>- Langkah 2 ditolak, dengan pesan yang menunjuk kolom mill.
- Langkah 4 berhasil — Admin memang tidak terikat satu mill.
- Kalau Admin juga ditolak, itu temuan: ia akan membuat Admin mustahil dibuat.</t>
        </is>
      </c>
      <c r="L262" s="16" t="inlineStr">
        <is>
          <t>Tinggi</t>
        </is>
      </c>
      <c r="M262" s="14" t="inlineStr"/>
      <c r="N262" s="17" t="inlineStr">
        <is>
          <t>2026-10-12</t>
        </is>
      </c>
      <c r="O262" s="17" t="inlineStr">
        <is>
          <t>Pelaksana QA otomatis</t>
        </is>
      </c>
      <c r="P262" s="45" t="inlineStr">
        <is>
          <t>Lulus</t>
        </is>
      </c>
      <c r="Q262" s="17" t="n"/>
      <c r="R262" s="17" t="inlineStr">
        <is>
          <t>Supervisor tanpa mill ditolak=true; pesannya di sebelah kolom mill="Business Unit wajib dipilih untuk role selain Admin."; seluruh pesan: "Business Unit wajib dipilih untuk role selain Admin.". Admin tanpa mill diterima=true ("User berhasil ditambahkan.") — Admin memang tidak terikat satu mill; kalau ia juga ditolak, Admin akan mustahil dibuat.</t>
        </is>
      </c>
    </row>
    <row r="263" ht="215.2" customHeight="1">
      <c r="A263" s="11" t="n">
        <v>259</v>
      </c>
      <c r="B263" s="12" t="n">
        <v>1</v>
      </c>
      <c r="C263" s="13" t="inlineStr">
        <is>
          <t>AD-04</t>
        </is>
      </c>
      <c r="D263" s="13" t="inlineStr">
        <is>
          <t>AD-04</t>
        </is>
      </c>
      <c r="E263" s="14" t="inlineStr">
        <is>
          <t>—</t>
        </is>
      </c>
      <c r="F263" s="14" t="inlineStr">
        <is>
          <t>User &amp; Role, Pengaturan Mill (AD-)</t>
        </is>
      </c>
      <c r="G263" s="15" t="inlineStr">
        <is>
          <t>Ubah peran langsung mengubah menu yang terlihat</t>
        </is>
      </c>
      <c r="H263" s="14" t="inlineStr">
        <is>
          <t>ADM + akun uji</t>
        </is>
      </c>
      <c r="I263" s="14" t="inlineStr">
        <is>
          <t>—</t>
        </is>
      </c>
      <c r="J263" s="14" t="inlineStr">
        <is>
          <t>1. Login di web, lalu sidebar &gt; Kelola User &amp; Role (/users) sebagai ADM. Pilih satu user berperan Supervisor.
2. Tekan Edit, ubah perannya menjadi Mill Management, Simpan.
3. Logout. Login di web (buka /login, isi username dan password akun pada kolom Peran, tekan Login) sebagai user itu.
4. Baca seluruh isi sidebar dan bandingkan dengan kolom Mill Management pada matriks 1.3.
5. Buka satu record stasiun lewat Login di web, buka satu record &lt;Stasiun&gt;, lalu tekan Edit (/data/&lt;stasiun&gt;/&lt;id&gt;/edit). Coba isi Checked By.
6. Coba isi Acknowledged By.</t>
        </is>
      </c>
      <c r="K263" s="14" t="inlineStr">
        <is>
          <t>- Sidebar berubah sesuai peran baru — mis. Laporan Manajemen kini muncul.
- Checked By kini tidak bisa diisi.
- Acknowledged By kini bisa diisi.
- Perubahan peran berlaku tanpa perlu membuat akun baru.</t>
        </is>
      </c>
      <c r="L263" s="16" t="inlineStr">
        <is>
          <t>Tinggi</t>
        </is>
      </c>
      <c r="M263" s="14" t="inlineStr"/>
      <c r="N263" s="17" t="inlineStr">
        <is>
          <t>2026-10-12</t>
        </is>
      </c>
      <c r="O263" s="17" t="inlineStr">
        <is>
          <t>Pelaksana QA otomatis</t>
        </is>
      </c>
      <c r="P263" s="45" t="inlineStr">
        <is>
          <t>Lulus</t>
        </is>
      </c>
      <c r="Q263" s="17" t="n"/>
      <c r="R263" s="17" t="inlineStr">
        <is>
          <t>peran "qa-spv-853447" diubah Supervisor → Mill Management ("User berhasil diperbarui."). Sidebar sesudahnya: Dashboard, Production Process Activity, Laporan Manajemen, Laporan Stasiun, Mills Setting, Ganti Password — menu Laporan Manajemen kini muncul=true. Pada Form stasiun (/data/depricarping/a2f55e2a-cccd-4205-8f6e-0d81e0971742/edit): penanda Checked TIDAK DIRENDER sama sekali (tidak boleh dapat diisi oleh Mill Management), penanda Acknowledged dapat diisi=true (harus true). Perubahan berlaku tanpa membuat akun baru.</t>
        </is>
      </c>
    </row>
    <row r="264" ht="70" customHeight="1">
      <c r="A264" s="11" t="n">
        <v>260</v>
      </c>
      <c r="B264" s="12" t="n">
        <v>1</v>
      </c>
      <c r="C264" s="13" t="inlineStr">
        <is>
          <t>AD-05</t>
        </is>
      </c>
      <c r="D264" s="13" t="inlineStr">
        <is>
          <t>AD-05</t>
        </is>
      </c>
      <c r="E264" s="14" t="inlineStr">
        <is>
          <t>—</t>
        </is>
      </c>
      <c r="F264" s="14" t="inlineStr">
        <is>
          <t>User &amp; Role, Pengaturan Mill (AD-)</t>
        </is>
      </c>
      <c r="G264" s="15" t="inlineStr">
        <is>
          <t>Nonaktifkan user memblokir login</t>
        </is>
      </c>
      <c r="H264" s="14" t="inlineStr">
        <is>
          <t>ADM</t>
        </is>
      </c>
      <c r="I264" s="14" t="inlineStr">
        <is>
          <t>—</t>
        </is>
      </c>
      <c r="J264" s="14" t="inlineStr">
        <is>
          <t>1. Jalankan seluruh langkah AU-04 dari layar Login di web, lalu sidebar &gt; Kelola User &amp; Role (/users).
2. Pastikan langkah terakhir AU-04 dijalankan: aktifkan kembali akunnya.</t>
        </is>
      </c>
      <c r="K264" s="14" t="inlineStr">
        <is>
          <t>- Hasilnya sesuai AU-04: sesi yang sedang berjalan dikeluarkan, dan login berikutnya gagal dengan pesan akun tidak aktif.
- Sesudah diaktifkan kembali, akun itu bisa login lagi.</t>
        </is>
      </c>
      <c r="L264" s="16" t="inlineStr">
        <is>
          <t>Tinggi</t>
        </is>
      </c>
      <c r="M264" s="14" t="inlineStr"/>
      <c r="N264" s="17" t="inlineStr">
        <is>
          <t>2026-10-12</t>
        </is>
      </c>
      <c r="O264" s="17" t="inlineStr">
        <is>
          <t>Pelaksana QA otomatis</t>
        </is>
      </c>
      <c r="P264" s="45" t="inlineStr">
        <is>
          <t>Lulus</t>
        </is>
      </c>
      <c r="Q264" s="17" t="n"/>
      <c r="R264" s="17" t="inlineStr">
        <is>
          <t>akun "webtest-deact01" dinonaktifkan dari layar Kelola User &amp; Role: sesi yang sedang berjalan dicabut ke Login=true; login berikutnya gagal=true dengan pesan "Akun tidak aktif, hubungi Admin." (menyebut akun tidak aktif=true); sesudah diaktifkan kembali, akun itu bisa login lagi=true.</t>
        </is>
      </c>
    </row>
    <row r="265" ht="136" customHeight="1">
      <c r="A265" s="11" t="n">
        <v>261</v>
      </c>
      <c r="B265" s="12" t="n">
        <v>1</v>
      </c>
      <c r="C265" s="13" t="inlineStr">
        <is>
          <t>AD-06</t>
        </is>
      </c>
      <c r="D265" s="13" t="inlineStr">
        <is>
          <t>AD-06</t>
        </is>
      </c>
      <c r="E265" s="14" t="inlineStr">
        <is>
          <t>—</t>
        </is>
      </c>
      <c r="F265" s="14" t="inlineStr">
        <is>
          <t>User &amp; Role, Pengaturan Mill (AD-)</t>
        </is>
      </c>
      <c r="G265" s="15" t="inlineStr">
        <is>
          <t>Reset password oleh Admin</t>
        </is>
      </c>
      <c r="H265" s="14" t="inlineStr">
        <is>
          <t>ADM + akun uji</t>
        </is>
      </c>
      <c r="I265" s="14" t="inlineStr">
        <is>
          <t>—</t>
        </is>
      </c>
      <c r="J265" s="14" t="inlineStr">
        <is>
          <t>1. Login di web, lalu sidebar &gt; Kelola User &amp; Role (/users) sebagai ADM. Pilih satu akun uji (jangan akun yang sedang Anda pakai).
2. Jalankan aksi Reset Password pada akun itu, tetapkan password baru.
3. Logout.
4. Login di web (buka /login, isi username dan password akun pada kolom Peran, tekan Login) dengan akun itu memakai password baru.
5. Logout. Coba login dengan password lama.</t>
        </is>
      </c>
      <c r="K265" s="14" t="inlineStr">
        <is>
          <t>- Reset berhasil dengan pesan konfirmasi.
- Login dengan password baru berhasil.
- Login dengan password lama gagal.</t>
        </is>
      </c>
      <c r="L265" s="16" t="inlineStr">
        <is>
          <t>Tinggi</t>
        </is>
      </c>
      <c r="M265" s="14" t="inlineStr"/>
      <c r="N265" s="17" t="inlineStr">
        <is>
          <t>2026-10-12</t>
        </is>
      </c>
      <c r="O265" s="17" t="inlineStr">
        <is>
          <t>Pelaksana QA otomatis</t>
        </is>
      </c>
      <c r="P265" s="45" t="inlineStr">
        <is>
          <t>Lulus</t>
        </is>
      </c>
      <c r="Q265" s="17" t="n"/>
      <c r="R265" s="17" t="inlineStr">
        <is>
          <t>aksi Reset Password tersedia di layar Edit user=true; reset berhasil dengan pesan konfirmasi=true ("User berhasil diperbarui dan password telah direset."); login dengan password BARU berhasil=true; login dengan password LAMA masih bisa=false (harus false).</t>
        </is>
      </c>
    </row>
    <row r="266" ht="175.6" customHeight="1">
      <c r="A266" s="11" t="n">
        <v>262</v>
      </c>
      <c r="B266" s="12" t="n">
        <v>1</v>
      </c>
      <c r="C266" s="13" t="inlineStr">
        <is>
          <t>AD-07</t>
        </is>
      </c>
      <c r="D266" s="13" t="inlineStr">
        <is>
          <t>AD-07</t>
        </is>
      </c>
      <c r="E266" s="14" t="inlineStr">
        <is>
          <t>—</t>
        </is>
      </c>
      <c r="F266" s="14" t="inlineStr">
        <is>
          <t>User &amp; Role, Pengaturan Mill (AD-)</t>
        </is>
      </c>
      <c r="G266" s="15" t="inlineStr">
        <is>
          <t>Pengaturan Mill: Mill Management hanya mill sendiri</t>
        </is>
      </c>
      <c r="H266" s="14" t="inlineStr">
        <is>
          <t>MGR-A</t>
        </is>
      </c>
      <c r="I266" s="14" t="inlineStr">
        <is>
          <t>2 mill ada</t>
        </is>
      </c>
      <c r="J266" s="14" t="inlineStr">
        <is>
          <t>1. Pastikan ada 2 mill di sistem.
2. Login di web, lalu sidebar &gt; Mills Setting (/mill-settings) sebagai MGR-A.
3. Baca nama mill yang dapat diatur. Cari pemilih mill.
4. Periksa apakah nama mill kedua muncul di mana pun pada layar ini.</t>
        </is>
      </c>
      <c r="K266" s="14" t="inlineStr">
        <is>
          <t>- Hanya mill sendiri yang dapat diatur.
- Mill lain tidak terlihat dan tidak dapat dipilih — tidak ada pemilih mill untuk peran ini.
- Nama mill kedua tidak tercetak di layar mana pun.</t>
        </is>
      </c>
      <c r="L266" s="16" t="inlineStr">
        <is>
          <t>Tinggi</t>
        </is>
      </c>
      <c r="M266" s="14" t="inlineStr">
        <is>
          <t>layar ini tidak menyebut nama mill yang sedang diatur untuk peran Mill Management — isinya berbunyi "untuk mill Anda". Itu bukan bagian dari hasil yang diuji di atas, jadi jangan dilaporkan sebagai bug; catat saja bila menurut Anda perlu ditegaskan. Untuk Admin, mill yang sedang diatur selalu terlihat karena ada pemilihnya (AD-08).</t>
        </is>
      </c>
      <c r="N266" s="17" t="inlineStr">
        <is>
          <t>2026-10-12</t>
        </is>
      </c>
      <c r="O266" s="17" t="inlineStr">
        <is>
          <t>Pelaksana QA otomatis</t>
        </is>
      </c>
      <c r="P266" s="45" t="inlineStr">
        <is>
          <t>Lulus</t>
        </is>
      </c>
      <c r="Q266" s="17" t="n"/>
      <c r="R266" s="17" t="inlineStr">
        <is>
          <t>pemilih mill di layar ini=0 (harus 0 untuk Mill Management); nama mill lain tercetak di mana pun pada layar ini=false (harus false). Catatan pengamatan: layar ini juga tidak pernah menyebut nama mill yang sedang diatur — isinya hanya "untuk mill Anda" (nama mill sendiri tercetak=false). Isolasinya benar; yang tidak ada adalah penegasan mill mana yang sedang diatur.</t>
        </is>
      </c>
    </row>
    <row r="267" ht="70" customHeight="1">
      <c r="A267" s="11" t="n">
        <v>263</v>
      </c>
      <c r="B267" s="12" t="n">
        <v>1</v>
      </c>
      <c r="C267" s="13" t="inlineStr">
        <is>
          <t>AD-08</t>
        </is>
      </c>
      <c r="D267" s="13" t="inlineStr">
        <is>
          <t>AD-08</t>
        </is>
      </c>
      <c r="E267" s="14" t="inlineStr">
        <is>
          <t>—</t>
        </is>
      </c>
      <c r="F267" s="14" t="inlineStr">
        <is>
          <t>User &amp; Role, Pengaturan Mill (AD-)</t>
        </is>
      </c>
      <c r="G267" s="15" t="inlineStr">
        <is>
          <t>Pengaturan Mill: Admin dapat semua mill</t>
        </is>
      </c>
      <c r="H267" s="14" t="inlineStr">
        <is>
          <t>ADM</t>
        </is>
      </c>
      <c r="I267" s="14" t="inlineStr">
        <is>
          <t>—</t>
        </is>
      </c>
      <c r="J267" s="14" t="inlineStr">
        <is>
          <t>1. Login di web, lalu sidebar &gt; Mills Setting (/mill-settings) sebagai ADM.
2. Cari pemilih mill dan buka daftarnya.
3. Pilih Mill A, baca pengaturannya. Lalu pilih Mill B dan baca pengaturannya.</t>
        </is>
      </c>
      <c r="K267" s="14" t="inlineStr">
        <is>
          <t>- Pemilih mill ada dan memuat seluruh mill.
- Pengaturan setiap mill dapat dibuka dan diatur.
- Berganti mill mengganti nilai yang tampil — bukan menampilkan nilai mill sebelumnya.</t>
        </is>
      </c>
      <c r="L267" s="16" t="inlineStr">
        <is>
          <t>Tinggi</t>
        </is>
      </c>
      <c r="M267" s="14" t="inlineStr"/>
      <c r="N267" s="17" t="inlineStr">
        <is>
          <t>2026-10-12</t>
        </is>
      </c>
      <c r="O267" s="17" t="inlineStr">
        <is>
          <t>Pelaksana QA otomatis</t>
        </is>
      </c>
      <c r="P267" s="45" t="inlineStr">
        <is>
          <t>Lulus</t>
        </is>
      </c>
      <c r="Q267" s="17" t="n"/>
      <c r="R267" s="17" t="inlineStr">
        <is>
          <t>pemilih mill ada dan memuat 22 mill (Pilih mill, BU Browser Test, Business Unit A, Business Unit B, Business Unit C, Business Unit D, …); pengaturan Mill A dapat dibuka dan diatur=true (nilainya "Business Unit A — Mill Smart Log|nosync"); Mill B juga=true (nilainya "Business Unit B — Mill Smart Log|nosync"); berganti mill mengganti nilai yang tampil=true (bila sama, bisa saja keduanya memang bernilai sama).</t>
        </is>
      </c>
    </row>
    <row r="268" ht="96.39999999999999" customHeight="1">
      <c r="A268" s="11" t="n">
        <v>264</v>
      </c>
      <c r="B268" s="12" t="n">
        <v>1</v>
      </c>
      <c r="C268" s="13" t="inlineStr">
        <is>
          <t>AD-09</t>
        </is>
      </c>
      <c r="D268" s="13" t="inlineStr">
        <is>
          <t>AD-09</t>
        </is>
      </c>
      <c r="E268" s="14" t="inlineStr">
        <is>
          <t>—</t>
        </is>
      </c>
      <c r="F268" s="14" t="inlineStr">
        <is>
          <t>User &amp; Role, Pengaturan Mill (AD-)</t>
        </is>
      </c>
      <c r="G268" s="15" t="inlineStr">
        <is>
          <t>Supervisor dan Operator tidak punya Pengaturan Mill</t>
        </is>
      </c>
      <c r="H268" s="14" t="inlineStr">
        <is>
          <t>SPV-A, OPR-A</t>
        </is>
      </c>
      <c r="I268" s="14" t="inlineStr">
        <is>
          <t>—</t>
        </is>
      </c>
      <c r="J268" s="14" t="inlineStr">
        <is>
          <t>1. Login di web (buka /login, isi username dan password akun pada kolom Peran, tekan Login) sebagai SPV-A. Cari menu Mills Setting di sidebar.
2. Ketik /mill-settings langsung di bilah alamat.
3. Logout, ulangi langkah 1–2 sebagai OPR-A.</t>
        </is>
      </c>
      <c r="K268" s="14" t="inlineStr">
        <is>
          <t>- Menu tidak ada di sidebar untuk keduanya.
- Alamat langsung menjawab 403 untuk keduanya.
- Halaman 403-nya masih di dalam kerangka aplikasi (lihat LS-01).</t>
        </is>
      </c>
      <c r="L268" s="16" t="inlineStr">
        <is>
          <t>Tinggi</t>
        </is>
      </c>
      <c r="M268" s="14" t="inlineStr"/>
      <c r="N268" s="17" t="inlineStr">
        <is>
          <t>2026-10-12</t>
        </is>
      </c>
      <c r="O268" s="17" t="inlineStr">
        <is>
          <t>Pelaksana QA otomatis</t>
        </is>
      </c>
      <c r="P268" s="45" t="inlineStr">
        <is>
          <t>Lulus</t>
        </is>
      </c>
      <c r="Q268" s="17" t="n"/>
      <c r="R268" s="17" t="inlineStr">
        <is>
          <t>supervisor01: menu Mills Setting di sidebar=false (harus false); alamat langsung=403; halaman 403 masih di dalam kerangka aplikasi=true | operator01: menu Mills Setting di sidebar=false (harus false); alamat langsung=403; halaman 403 masih di dalam kerangka aplikasi=true</t>
        </is>
      </c>
    </row>
    <row r="269" ht="294.4" customHeight="1">
      <c r="A269" s="11" t="n">
        <v>265</v>
      </c>
      <c r="B269" s="12" t="n">
        <v>1</v>
      </c>
      <c r="C269" s="13" t="inlineStr">
        <is>
          <t>AD-10</t>
        </is>
      </c>
      <c r="D269" s="13" t="inlineStr">
        <is>
          <t>AD-10</t>
        </is>
      </c>
      <c r="E269" s="14" t="inlineStr">
        <is>
          <t>—</t>
        </is>
      </c>
      <c r="F269" s="14" t="inlineStr">
        <is>
          <t>User &amp; Role, Pengaturan Mill (AD-)</t>
        </is>
      </c>
      <c r="G269" s="15" t="inlineStr">
        <is>
          <t>Perubahan Pengaturan Mill tersimpan dan berlaku</t>
        </is>
      </c>
      <c r="H269" s="14" t="inlineStr">
        <is>
          <t>MGR-A (web) + OPR-A (mobile)</t>
        </is>
      </c>
      <c r="I269" s="14" t="inlineStr">
        <is>
          <t>—</t>
        </is>
      </c>
      <c r="J269" s="14" t="inlineStr">
        <is>
          <t>1. Login di web, lalu sidebar &gt; Mills Setting (/mill-settings) sebagai MGR-A. Catat nilai awal Nama Aplikasi.
2. Ubah nilai itu, tekan Simpan.
3. Muat ulang halaman (F5). Baca nilainya.
4. Login di mobile (buka aplikasi, isi username dan password, tekan Login), mendarat di /home sebagai OPR-A pada mill yang sama, lalu sinkronkan bila diminta.
5. Baca nama aplikasi yang tampil di layar Home mobile.
6. Kembalikan nilainya ke semula lewat Login di web, lalu sidebar &gt; Mills Setting (/mill-settings).</t>
        </is>
      </c>
      <c r="K269" s="14" t="inlineStr">
        <is>
          <t>- Simpan berhasil dengan pesan konfirmasi.
- Nilai baru bertahan sesudah muat ulang.
- Nilai baru berlaku di aplikasi mobile — nama baru itu yang tampil di Home.
- Nilai yang tersimpan tapi tidak berpengaruh ke layar mana pun adalah separuh fitur — itu yang
diperiksa di langkah 4–5.</t>
        </is>
      </c>
      <c r="L269" s="11" t="inlineStr">
        <is>
          <t>Sedang</t>
        </is>
      </c>
      <c r="M269" s="14" t="inlineStr">
        <is>
          <t>Catatan jalan: seluruh pengaturan di layar ini dipakai aplikasi mobile, bukan layar web mana pun — Nama Aplikasi dan Logo pada Home mobile, Gambar Halaman Utama, saklar kirim-langsung pada penyimpanan Operator, dan Icon Station pada daftar stasiun mobile. Jadi langkah 1–3 dijalankan di web, dan langkah 4–5 harus dijalankan di aplikasi mobile.
pengaturan Jumlah Cages sudah tidak ada lagi di layar ini (jumlah cages kini diturunkan dari data mesin stasiun). Kalau Anda mencarinya karena pernah membacanya di versi dokumen lama, ketiadaannya bukan bug.</t>
        </is>
      </c>
      <c r="N269" s="17" t="inlineStr">
        <is>
          <t>2026-10-12</t>
        </is>
      </c>
      <c r="O269" s="17" t="inlineStr">
        <is>
          <t>Pelaksana QA otomatis</t>
        </is>
      </c>
      <c r="P269" s="8" t="inlineStr">
        <is>
          <t>Gagal</t>
        </is>
      </c>
      <c r="Q269" s="17" t="n"/>
      <c r="R269" s="17" t="inlineStr">
        <is>
          <t>Bagian web: Nama Aplikasi diubah dari "Business Unit A — Mill Smart Log" menjadi "Business Unit A — Mill Smart Log QA853447" — pesan konfirmasi=true, nilainya bertahan sesudah muat ulang=true. Bagian mobile: nilai barunya SAMPAI ke perangkat=true (isi basis data lokal: [{"app_name":"Business Unit A — Mill Smart Log QA853447"}]), tetapi layar Home mobile menampilkannya=false — baris mereknya berbunyi "Mills Smart Log". Jadi pengaturan itu tersimpan, terkirim, dan tersimpan di perangkat, lalu TIDAK DIPAKAI di layar mana pun: tidak satu berkas tampilan mobile pun membaca app_name. Nilai yang tersimpan tanpa berpengaruh ke layar mana pun adalah separuh fitur — itu yang diperiksa langkah 4–5.</t>
        </is>
      </c>
    </row>
  </sheetData>
  <autoFilter ref="A4:R269"/>
  <mergeCells count="2">
    <mergeCell ref="A2:Q2"/>
    <mergeCell ref="A1:Q1"/>
  </mergeCells>
  <dataValidations count="1">
    <dataValidation sqref="P5:P104 P109:P118 P122:P269" showDropDown="0" showInputMessage="0" showErrorMessage="0" allowBlank="1" errorTitle="Nilai tidak dikenal" error="Pilih salah satu: Lulus, Gagal, Tidak diuji, Tidak berlaku, Terhalang." type="list">
      <formula1>"Lulus,Gagal,Tidak diuji,Tidak berlaku,Terhalang"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5"/>
  <sheetViews>
    <sheetView showGridLines="0" workbookViewId="0">
      <selection activeCell="A1" sqref="A1"/>
    </sheetView>
  </sheetViews>
  <sheetFormatPr baseColWidth="8" defaultRowHeight="15"/>
  <cols>
    <col width="34" customWidth="1" min="1" max="1"/>
    <col width="14" customWidth="1" min="2" max="2"/>
    <col width="13" customWidth="1" min="3" max="3"/>
    <col width="12" customWidth="1" min="4" max="4"/>
    <col width="11" customWidth="1" min="5" max="5"/>
    <col width="11" customWidth="1" min="6" max="6"/>
    <col width="13" customWidth="1" min="7" max="7"/>
    <col width="12" customWidth="1" min="8" max="8"/>
    <col width="13" customWidth="1" min="9" max="9"/>
  </cols>
  <sheetData>
    <row r="1" ht="26" customHeight="1">
      <c r="A1" s="1" t="inlineStr">
        <is>
          <t>Rekap — terisi otomatis</t>
        </is>
      </c>
    </row>
    <row r="2" ht="30" customHeight="1">
      <c r="A2" s="2" t="inlineStr">
        <is>
          <t>Angka di sini dihitung dari sheet Kasus Uji. Tidak perlu diisi tangan.</t>
        </is>
      </c>
    </row>
    <row r="4" ht="28" customHeight="1">
      <c r="A4" s="10" t="inlineStr">
        <is>
          <t>Bagian</t>
        </is>
      </c>
      <c r="B4" s="10" t="inlineStr">
        <is>
          <t>Awalan ID</t>
        </is>
      </c>
      <c r="C4" s="10" t="inlineStr">
        <is>
          <t>Kasus unik</t>
        </is>
      </c>
      <c r="D4" s="10" t="inlineStr">
        <is>
          <t>Jml jalan</t>
        </is>
      </c>
      <c r="E4" s="10" t="inlineStr">
        <is>
          <t>Lulus</t>
        </is>
      </c>
      <c r="F4" s="10" t="inlineStr">
        <is>
          <t>Gagal</t>
        </is>
      </c>
      <c r="G4" s="10" t="inlineStr">
        <is>
          <t>Tidak diuji</t>
        </is>
      </c>
      <c r="H4" s="10" t="inlineStr">
        <is>
          <t>Terhalang</t>
        </is>
      </c>
      <c r="I4" s="10" t="inlineStr">
        <is>
          <t>Belum diisi</t>
        </is>
      </c>
    </row>
    <row r="5">
      <c r="A5" s="25" t="inlineStr">
        <is>
          <t>Aturan lintas-sistem</t>
        </is>
      </c>
      <c r="B5" s="26" t="inlineStr">
        <is>
          <t>LS-</t>
        </is>
      </c>
      <c r="C5" s="27" t="n">
        <v>16</v>
      </c>
      <c r="D5" s="27" t="n">
        <v>16</v>
      </c>
      <c r="E5" s="27">
        <f>COUNTIFS('Kasus Uji'!$D$5:$D$269,"LS-*",'Kasus Uji'!$P$5:$P$269,"Lulus")</f>
        <v/>
      </c>
      <c r="F5" s="27">
        <f>COUNTIFS('Kasus Uji'!$D$5:$D$269,"LS-*",'Kasus Uji'!$P$5:$P$269,"Gagal")</f>
        <v/>
      </c>
      <c r="G5" s="27">
        <f>COUNTIFS('Kasus Uji'!$D$5:$D$269,"LS-*",'Kasus Uji'!$P$5:$P$269,"Tidak diuji")</f>
        <v/>
      </c>
      <c r="H5" s="27">
        <f>COUNTIFS('Kasus Uji'!$D$5:$D$269,"LS-*",'Kasus Uji'!$P$5:$P$269,"Terhalang")</f>
        <v/>
      </c>
      <c r="I5" s="27">
        <f>D5-E5-F5-G5-H5</f>
        <v/>
      </c>
    </row>
    <row r="6">
      <c r="A6" s="25" t="inlineStr">
        <is>
          <t>Autentikasi &amp; Akun</t>
        </is>
      </c>
      <c r="B6" s="26" t="inlineStr">
        <is>
          <t>AU-</t>
        </is>
      </c>
      <c r="C6" s="27" t="n">
        <v>9</v>
      </c>
      <c r="D6" s="27" t="n">
        <v>9</v>
      </c>
      <c r="E6" s="27">
        <f>COUNTIFS('Kasus Uji'!$D$5:$D$269,"AU-*",'Kasus Uji'!$P$5:$P$269,"Lulus")</f>
        <v/>
      </c>
      <c r="F6" s="27">
        <f>COUNTIFS('Kasus Uji'!$D$5:$D$269,"AU-*",'Kasus Uji'!$P$5:$P$269,"Gagal")</f>
        <v/>
      </c>
      <c r="G6" s="27">
        <f>COUNTIFS('Kasus Uji'!$D$5:$D$269,"AU-*",'Kasus Uji'!$P$5:$P$269,"Tidak diuji")</f>
        <v/>
      </c>
      <c r="H6" s="27">
        <f>COUNTIFS('Kasus Uji'!$D$5:$D$269,"AU-*",'Kasus Uji'!$P$5:$P$269,"Terhalang")</f>
        <v/>
      </c>
      <c r="I6" s="27">
        <f>D6-E6-F6-G6-H6</f>
        <v/>
      </c>
    </row>
    <row r="7">
      <c r="A7" s="25" t="inlineStr">
        <is>
          <t>Mobile — Operasional Stasiun</t>
        </is>
      </c>
      <c r="B7" s="26" t="inlineStr">
        <is>
          <t>MB-</t>
        </is>
      </c>
      <c r="C7" s="27" t="n">
        <v>39</v>
      </c>
      <c r="D7" s="27" t="n">
        <v>73</v>
      </c>
      <c r="E7" s="27">
        <f>COUNTIFS('Kasus Uji'!$D$5:$D$269,"MB-*",'Kasus Uji'!$P$5:$P$269,"Lulus")</f>
        <v/>
      </c>
      <c r="F7" s="27">
        <f>COUNTIFS('Kasus Uji'!$D$5:$D$269,"MB-*",'Kasus Uji'!$P$5:$P$269,"Gagal")</f>
        <v/>
      </c>
      <c r="G7" s="27">
        <f>COUNTIFS('Kasus Uji'!$D$5:$D$269,"MB-*",'Kasus Uji'!$P$5:$P$269,"Tidak diuji")</f>
        <v/>
      </c>
      <c r="H7" s="27">
        <f>COUNTIFS('Kasus Uji'!$D$5:$D$269,"MB-*",'Kasus Uji'!$P$5:$P$269,"Terhalang")</f>
        <v/>
      </c>
      <c r="I7" s="27">
        <f>D7-E7-F7-G7-H7</f>
        <v/>
      </c>
    </row>
    <row r="8">
      <c r="A8" s="25" t="inlineStr">
        <is>
          <t>Web — Data Stasiun</t>
        </is>
      </c>
      <c r="B8" s="26" t="inlineStr">
        <is>
          <t>WB-</t>
        </is>
      </c>
      <c r="C8" s="27" t="n">
        <v>25</v>
      </c>
      <c r="D8" s="27" t="n">
        <v>76</v>
      </c>
      <c r="E8" s="27">
        <f>COUNTIFS('Kasus Uji'!$D$5:$D$269,"WB-*",'Kasus Uji'!$P$5:$P$269,"Lulus")</f>
        <v/>
      </c>
      <c r="F8" s="27">
        <f>COUNTIFS('Kasus Uji'!$D$5:$D$269,"WB-*",'Kasus Uji'!$P$5:$P$269,"Gagal")</f>
        <v/>
      </c>
      <c r="G8" s="27">
        <f>COUNTIFS('Kasus Uji'!$D$5:$D$269,"WB-*",'Kasus Uji'!$P$5:$P$269,"Tidak diuji")</f>
        <v/>
      </c>
      <c r="H8" s="27">
        <f>COUNTIFS('Kasus Uji'!$D$5:$D$269,"WB-*",'Kasus Uji'!$P$5:$P$269,"Terhalang")</f>
        <v/>
      </c>
      <c r="I8" s="27">
        <f>D8-E8-F8-G8-H8</f>
        <v/>
      </c>
    </row>
    <row r="9">
      <c r="A9" s="25" t="inlineStr">
        <is>
          <t>Laporan Periode Stasiun</t>
        </is>
      </c>
      <c r="B9" s="26" t="inlineStr">
        <is>
          <t>LP-</t>
        </is>
      </c>
      <c r="C9" s="27" t="n">
        <v>31</v>
      </c>
      <c r="D9" s="27" t="n">
        <v>41</v>
      </c>
      <c r="E9" s="27">
        <f>COUNTIFS('Kasus Uji'!$D$5:$D$269,"LP-*",'Kasus Uji'!$P$5:$P$269,"Lulus")</f>
        <v/>
      </c>
      <c r="F9" s="27">
        <f>COUNTIFS('Kasus Uji'!$D$5:$D$269,"LP-*",'Kasus Uji'!$P$5:$P$269,"Gagal")</f>
        <v/>
      </c>
      <c r="G9" s="27">
        <f>COUNTIFS('Kasus Uji'!$D$5:$D$269,"LP-*",'Kasus Uji'!$P$5:$P$269,"Tidak diuji")</f>
        <v/>
      </c>
      <c r="H9" s="27">
        <f>COUNTIFS('Kasus Uji'!$D$5:$D$269,"LP-*",'Kasus Uji'!$P$5:$P$269,"Terhalang")</f>
        <v/>
      </c>
      <c r="I9" s="27">
        <f>D9-E9-F9-G9-H9</f>
        <v/>
      </c>
    </row>
    <row r="10">
      <c r="A10" s="25" t="inlineStr">
        <is>
          <t>Dashboard &amp; Laporan lain</t>
        </is>
      </c>
      <c r="B10" s="26" t="inlineStr">
        <is>
          <t>DS-</t>
        </is>
      </c>
      <c r="C10" s="27" t="n">
        <v>12</v>
      </c>
      <c r="D10" s="27" t="n">
        <v>12</v>
      </c>
      <c r="E10" s="27">
        <f>COUNTIFS('Kasus Uji'!$D$5:$D$269,"DS-*",'Kasus Uji'!$P$5:$P$269,"Lulus")</f>
        <v/>
      </c>
      <c r="F10" s="27">
        <f>COUNTIFS('Kasus Uji'!$D$5:$D$269,"DS-*",'Kasus Uji'!$P$5:$P$269,"Gagal")</f>
        <v/>
      </c>
      <c r="G10" s="27">
        <f>COUNTIFS('Kasus Uji'!$D$5:$D$269,"DS-*",'Kasus Uji'!$P$5:$P$269,"Tidak diuji")</f>
        <v/>
      </c>
      <c r="H10" s="27">
        <f>COUNTIFS('Kasus Uji'!$D$5:$D$269,"DS-*",'Kasus Uji'!$P$5:$P$269,"Terhalang")</f>
        <v/>
      </c>
      <c r="I10" s="27">
        <f>D10-E10-F10-G10-H10</f>
        <v/>
      </c>
    </row>
    <row r="11">
      <c r="A11" s="25" t="inlineStr">
        <is>
          <t>Master Data</t>
        </is>
      </c>
      <c r="B11" s="26" t="inlineStr">
        <is>
          <t>MD-</t>
        </is>
      </c>
      <c r="C11" s="27" t="n">
        <v>28</v>
      </c>
      <c r="D11" s="27" t="n">
        <v>28</v>
      </c>
      <c r="E11" s="27">
        <f>COUNTIFS('Kasus Uji'!$D$5:$D$269,"MD-*",'Kasus Uji'!$P$5:$P$269,"Lulus")</f>
        <v/>
      </c>
      <c r="F11" s="27">
        <f>COUNTIFS('Kasus Uji'!$D$5:$D$269,"MD-*",'Kasus Uji'!$P$5:$P$269,"Gagal")</f>
        <v/>
      </c>
      <c r="G11" s="27">
        <f>COUNTIFS('Kasus Uji'!$D$5:$D$269,"MD-*",'Kasus Uji'!$P$5:$P$269,"Tidak diuji")</f>
        <v/>
      </c>
      <c r="H11" s="27">
        <f>COUNTIFS('Kasus Uji'!$D$5:$D$269,"MD-*",'Kasus Uji'!$P$5:$P$269,"Terhalang")</f>
        <v/>
      </c>
      <c r="I11" s="27">
        <f>D11-E11-F11-G11-H11</f>
        <v/>
      </c>
    </row>
    <row r="12">
      <c r="A12" s="25" t="inlineStr">
        <is>
          <t>User &amp; Role, Pengaturan Mill</t>
        </is>
      </c>
      <c r="B12" s="26" t="inlineStr">
        <is>
          <t>AD-</t>
        </is>
      </c>
      <c r="C12" s="27" t="n">
        <v>10</v>
      </c>
      <c r="D12" s="27" t="n">
        <v>10</v>
      </c>
      <c r="E12" s="27">
        <f>COUNTIFS('Kasus Uji'!$D$5:$D$269,"AD-*",'Kasus Uji'!$P$5:$P$269,"Lulus")</f>
        <v/>
      </c>
      <c r="F12" s="27">
        <f>COUNTIFS('Kasus Uji'!$D$5:$D$269,"AD-*",'Kasus Uji'!$P$5:$P$269,"Gagal")</f>
        <v/>
      </c>
      <c r="G12" s="27">
        <f>COUNTIFS('Kasus Uji'!$D$5:$D$269,"AD-*",'Kasus Uji'!$P$5:$P$269,"Tidak diuji")</f>
        <v/>
      </c>
      <c r="H12" s="27">
        <f>COUNTIFS('Kasus Uji'!$D$5:$D$269,"AD-*",'Kasus Uji'!$P$5:$P$269,"Terhalang")</f>
        <v/>
      </c>
      <c r="I12" s="27">
        <f>D12-E12-F12-G12-H12</f>
        <v/>
      </c>
    </row>
    <row r="13">
      <c r="A13" s="4" t="inlineStr">
        <is>
          <t>TOTAL</t>
        </is>
      </c>
      <c r="B13" s="28" t="inlineStr"/>
      <c r="C13" s="29">
        <f>SUM(C5:C12)</f>
        <v/>
      </c>
      <c r="D13" s="29">
        <f>SUM(D5:D12)</f>
        <v/>
      </c>
      <c r="E13" s="29">
        <f>SUM(E5:E12)</f>
        <v/>
      </c>
      <c r="F13" s="29">
        <f>SUM(F5:F12)</f>
        <v/>
      </c>
      <c r="G13" s="29">
        <f>SUM(G5:G12)</f>
        <v/>
      </c>
      <c r="H13" s="29">
        <f>SUM(H5:H12)</f>
        <v/>
      </c>
      <c r="I13" s="29">
        <f>SUM(I5:I12)</f>
        <v/>
      </c>
    </row>
    <row r="15">
      <c r="A15" s="30" t="inlineStr">
        <is>
          <t>Kasus Prioritas Tinggi yang belum diisi</t>
        </is>
      </c>
      <c r="B15" s="6" t="n"/>
      <c r="C15" s="7" t="n"/>
      <c r="D15" s="16">
        <f>COUNTIFS('Kasus Uji'!$L$5:$L$269,"Tinggi",'Kasus Uji'!$P$5:$P$269,"")</f>
        <v/>
      </c>
    </row>
    <row r="16">
      <c r="A16" s="30" t="inlineStr">
        <is>
          <t>Baris Gagal yang belum punya No. Bug</t>
        </is>
      </c>
      <c r="B16" s="6" t="n"/>
      <c r="C16" s="7" t="n"/>
      <c r="D16" s="16">
        <f>COUNTIFS('Kasus Uji'!$P$5:$P$269,"Gagal",'Kasus Uji'!$Q$5:$Q$269,"")</f>
        <v/>
      </c>
    </row>
    <row r="18">
      <c r="A18" s="3" t="inlineStr">
        <is>
          <t>Kemajuan per Tingkat</t>
        </is>
      </c>
    </row>
    <row r="19">
      <c r="A19" s="10" t="inlineStr">
        <is>
          <t>Tingkat</t>
        </is>
      </c>
      <c r="B19" s="10" t="inlineStr">
        <is>
          <t>Apa isinya</t>
        </is>
      </c>
      <c r="C19" s="10" t="inlineStr">
        <is>
          <t>Jalan</t>
        </is>
      </c>
      <c r="D19" s="10" t="inlineStr">
        <is>
          <t>Lulus</t>
        </is>
      </c>
      <c r="E19" s="10" t="inlineStr">
        <is>
          <t>Gagal</t>
        </is>
      </c>
      <c r="F19" s="10" t="inlineStr">
        <is>
          <t>Tidak diuji</t>
        </is>
      </c>
      <c r="G19" s="10" t="inlineStr">
        <is>
          <t>Terhalang</t>
        </is>
      </c>
      <c r="H19" s="10" t="inlineStr">
        <is>
          <t>Belum diisi</t>
        </is>
      </c>
      <c r="I19" s="10" t="inlineStr"/>
    </row>
    <row r="20">
      <c r="A20" s="12" t="n">
        <v>1</v>
      </c>
      <c r="B20" s="14" t="inlineStr">
        <is>
          <t>ALUR — setiap kasus sekali, pada stasiun wakil. Membuktikan setiap alur bekerja.</t>
        </is>
      </c>
      <c r="C20" s="12" t="n">
        <v>170</v>
      </c>
      <c r="D20" s="11">
        <f>COUNTIFS('Kasus Uji'!$B$5:$B$269,1,'Kasus Uji'!$P$5:$P$269,"Lulus")</f>
        <v/>
      </c>
      <c r="E20" s="11">
        <f>COUNTIFS('Kasus Uji'!$B$5:$B$269,1,'Kasus Uji'!$P$5:$P$269,"Gagal")</f>
        <v/>
      </c>
      <c r="F20" s="11">
        <f>COUNTIFS('Kasus Uji'!$B$5:$B$269,1,'Kasus Uji'!$P$5:$P$269,"Tidak diuji")</f>
        <v/>
      </c>
      <c r="G20" s="11">
        <f>COUNTIFS('Kasus Uji'!$B$5:$B$269,1,'Kasus Uji'!$P$5:$P$269,"Terhalang")</f>
        <v/>
      </c>
      <c r="H20" s="11">
        <f>C20-D20-E20-F20-G20</f>
        <v/>
      </c>
      <c r="I20" s="11" t="inlineStr"/>
    </row>
    <row r="21">
      <c r="A21" s="19" t="n">
        <v>2</v>
      </c>
      <c r="B21" s="22" t="inlineStr">
        <is>
          <t>KABEL — 5 kasus pada 17 stasiun sisanya. Menangkap stasiun yang salah dikabel.</t>
        </is>
      </c>
      <c r="C21" s="19" t="n">
        <v>95</v>
      </c>
      <c r="D21" s="18">
        <f>COUNTIFS('Kasus Uji'!$B$5:$B$269,2,'Kasus Uji'!$P$5:$P$269,"Lulus")</f>
        <v/>
      </c>
      <c r="E21" s="18">
        <f>COUNTIFS('Kasus Uji'!$B$5:$B$269,2,'Kasus Uji'!$P$5:$P$269,"Gagal")</f>
        <v/>
      </c>
      <c r="F21" s="18">
        <f>COUNTIFS('Kasus Uji'!$B$5:$B$269,2,'Kasus Uji'!$P$5:$P$269,"Tidak diuji")</f>
        <v/>
      </c>
      <c r="G21" s="18">
        <f>COUNTIFS('Kasus Uji'!$B$5:$B$269,2,'Kasus Uji'!$P$5:$P$269,"Terhalang")</f>
        <v/>
      </c>
      <c r="H21" s="18">
        <f>C21-D21-E21-F21-G21</f>
        <v/>
      </c>
      <c r="I21" s="18" t="inlineStr"/>
    </row>
    <row r="22">
      <c r="A22" s="29" t="n">
        <v>3</v>
      </c>
      <c r="B22" s="24" t="inlineStr">
        <is>
          <t>SISA — pengulangan penuh. Untuk putaran rilis atau saat satu stasiun berubah.</t>
        </is>
      </c>
      <c r="C22" s="29" t="n">
        <v>0</v>
      </c>
      <c r="D22" s="28">
        <f>COUNTIFS('Kasus Uji'!$B$5:$B$269,3,'Kasus Uji'!$P$5:$P$269,"Lulus")</f>
        <v/>
      </c>
      <c r="E22" s="28">
        <f>COUNTIFS('Kasus Uji'!$B$5:$B$269,3,'Kasus Uji'!$P$5:$P$269,"Gagal")</f>
        <v/>
      </c>
      <c r="F22" s="28">
        <f>COUNTIFS('Kasus Uji'!$B$5:$B$269,3,'Kasus Uji'!$P$5:$P$269,"Tidak diuji")</f>
        <v/>
      </c>
      <c r="G22" s="28">
        <f>COUNTIFS('Kasus Uji'!$B$5:$B$269,3,'Kasus Uji'!$P$5:$P$269,"Terhalang")</f>
        <v/>
      </c>
      <c r="H22" s="28">
        <f>C22-D22-E22-F22-G22</f>
        <v/>
      </c>
      <c r="I22" s="28" t="inlineStr"/>
    </row>
    <row r="23">
      <c r="A23" s="29" t="inlineStr">
        <is>
          <t>Tingkat 1+2</t>
        </is>
      </c>
      <c r="B23" s="4" t="inlineStr">
        <is>
          <t>Cakupan yang masuk akal untuk pengujian manual satu putaran.</t>
        </is>
      </c>
      <c r="C23" s="29" t="n">
        <v>265</v>
      </c>
      <c r="D23" s="29">
        <f>SUM(D20:D21)</f>
        <v/>
      </c>
      <c r="E23" s="29">
        <f>SUM(E20:E21)</f>
        <v/>
      </c>
      <c r="F23" s="29">
        <f>SUM(F20:F21)</f>
        <v/>
      </c>
      <c r="G23" s="29">
        <f>SUM(G20:G21)</f>
        <v/>
      </c>
      <c r="H23" s="29">
        <f>SUM(H20:H21)</f>
        <v/>
      </c>
      <c r="I23" s="28" t="inlineStr"/>
    </row>
    <row r="25" ht="34" customHeight="1">
      <c r="A25" s="9" t="inlineStr">
        <is>
          <t>Tingkat 1 melewati ke-170 kasus unik tepat SEKALI — jadi menyelesaikannya berarti setiap alur sistem sudah pernah dijalankan. Yang belum terbukti sesudahnya adalah 17 stasiun lain, dan itulah Tingkat 2.</t>
        </is>
      </c>
      <c r="B25" s="6" t="n"/>
      <c r="C25" s="6" t="n"/>
      <c r="D25" s="6" t="n"/>
      <c r="E25" s="6" t="n"/>
      <c r="F25" s="6" t="n"/>
      <c r="G25" s="6" t="n"/>
      <c r="H25" s="6" t="n"/>
      <c r="I25" s="7" t="n"/>
    </row>
  </sheetData>
  <mergeCells count="6">
    <mergeCell ref="A25:I25"/>
    <mergeCell ref="A2:I2"/>
    <mergeCell ref="A1:I1"/>
    <mergeCell ref="A18:I18"/>
    <mergeCell ref="A15:C15"/>
    <mergeCell ref="A16:C1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2"/>
  <sheetViews>
    <sheetView showGridLines="0" workbookViewId="0">
      <selection activeCell="A1" sqref="A1"/>
    </sheetView>
  </sheetViews>
  <sheetFormatPr baseColWidth="8" defaultRowHeight="15"/>
  <cols>
    <col width="30" customWidth="1" min="1" max="1"/>
    <col width="58" customWidth="1" min="2" max="2"/>
    <col width="18" customWidth="1" min="3" max="3"/>
    <col width="18" customWidth="1" min="4" max="4"/>
    <col width="18" customWidth="1" min="5" max="5"/>
    <col width="30" customWidth="1" min="6" max="6"/>
  </cols>
  <sheetData>
    <row r="1" ht="26" customHeight="1">
      <c r="A1" s="1" t="inlineStr">
        <is>
          <t>Lingkungan &amp; akun uji</t>
        </is>
      </c>
    </row>
    <row r="2" ht="30" customHeight="1">
      <c r="A2" s="2" t="inlineStr">
        <is>
          <t>Seluruh kasus mengandaikan isi sheet ini sudah disiapkan. Tanpa 6 akun di bawah, kasus isolasi mill tidak dapat diuji sama sekali.</t>
        </is>
      </c>
    </row>
    <row r="4" ht="24" customHeight="1">
      <c r="A4" s="3" t="inlineStr">
        <is>
          <t>Yang harus siap sebelum menguji</t>
        </is>
      </c>
    </row>
    <row r="5">
      <c r="A5" s="10" t="inlineStr">
        <is>
          <t>Hal</t>
        </is>
      </c>
      <c r="B5" s="10" t="inlineStr">
        <is>
          <t>Keterangan</t>
        </is>
      </c>
      <c r="C5" s="6" t="n"/>
      <c r="D5" s="6" t="n"/>
      <c r="E5" s="6" t="n"/>
      <c r="F5" s="7" t="n"/>
    </row>
    <row r="6" ht="16" customHeight="1">
      <c r="A6" s="25" t="inlineStr">
        <is>
          <t>Aplikasi Web</t>
        </is>
      </c>
      <c r="B6" s="5" t="inlineStr">
        <is>
          <t>Dibuka di browser desktop. Lebar layar minimal 1280px untuk layar tabel.</t>
        </is>
      </c>
      <c r="C6" s="6" t="n"/>
      <c r="D6" s="6" t="n"/>
      <c r="E6" s="6" t="n"/>
      <c r="F6" s="7" t="n"/>
    </row>
    <row r="7" ht="16" customHeight="1">
      <c r="A7" s="31" t="inlineStr">
        <is>
          <t>Aplikasi Mobile</t>
        </is>
      </c>
      <c r="B7" s="32" t="inlineStr">
        <is>
          <t>Dibuka di perangkat atau emulator. Lebar acuan 390px.</t>
        </is>
      </c>
      <c r="C7" s="6" t="n"/>
      <c r="D7" s="6" t="n"/>
      <c r="E7" s="6" t="n"/>
      <c r="F7" s="7" t="n"/>
    </row>
    <row r="8" ht="16" customHeight="1">
      <c r="A8" s="25" t="inlineStr">
        <is>
          <t>Koneksi</t>
        </is>
      </c>
      <c r="B8" s="5" t="inlineStr">
        <is>
          <t>Perlu bisa DIMATIKAN untuk menguji mode offline mobile.</t>
        </is>
      </c>
      <c r="C8" s="6" t="n"/>
      <c r="D8" s="6" t="n"/>
      <c r="E8" s="6" t="n"/>
      <c r="F8" s="7" t="n"/>
    </row>
    <row r="9" ht="27" customHeight="1">
      <c r="A9" s="31" t="inlineStr">
        <is>
          <t>Data master</t>
        </is>
      </c>
      <c r="B9" s="32" t="inlineStr">
        <is>
          <t>Minimal: 1 Corporate, 1 Company, 2 Mill, masing-masing 2 Production Line, dan stasiun aktif untuk ke-18 jenis.</t>
        </is>
      </c>
      <c r="C9" s="6" t="n"/>
      <c r="D9" s="6" t="n"/>
      <c r="E9" s="6" t="n"/>
      <c r="F9" s="7" t="n"/>
    </row>
    <row r="10" ht="16" customHeight="1">
      <c r="A10" s="25" t="inlineStr">
        <is>
          <t>Periode Pelaporan</t>
        </is>
      </c>
      <c r="B10" s="5" t="inlineStr">
        <is>
          <t>Minimal satu periode yang mencakup hari ini, dengan stasiun berstatus Terbuka.</t>
        </is>
      </c>
      <c r="C10" s="6" t="n"/>
      <c r="D10" s="6" t="n"/>
      <c r="E10" s="6" t="n"/>
      <c r="F10" s="7" t="n"/>
    </row>
    <row r="12" ht="24" customHeight="1">
      <c r="A12" s="3" t="inlineStr">
        <is>
          <t>Akun uji — minimal 6</t>
        </is>
      </c>
    </row>
    <row r="13">
      <c r="A13" s="10" t="inlineStr">
        <is>
          <t>Kode akun</t>
        </is>
      </c>
      <c r="B13" s="10" t="inlineStr">
        <is>
          <t>Peran</t>
        </is>
      </c>
      <c r="C13" s="10" t="inlineStr">
        <is>
          <t>Mill</t>
        </is>
      </c>
      <c r="D13" s="10" t="inlineStr">
        <is>
          <t>Dipakai untuk</t>
        </is>
      </c>
      <c r="E13" s="6" t="n"/>
      <c r="F13" s="7" t="n"/>
    </row>
    <row r="14">
      <c r="A14" s="33" t="inlineStr">
        <is>
          <t>OPR-A</t>
        </is>
      </c>
      <c r="B14" s="5" t="inlineStr">
        <is>
          <t>Station Operator</t>
        </is>
      </c>
      <c r="C14" s="5" t="inlineStr">
        <is>
          <t>Mill A</t>
        </is>
      </c>
      <c r="D14" s="5" t="inlineStr">
        <is>
          <t>Alur input mobile</t>
        </is>
      </c>
      <c r="E14" s="6" t="n"/>
      <c r="F14" s="7" t="n"/>
    </row>
    <row r="15">
      <c r="A15" s="34" t="inlineStr">
        <is>
          <t>SPV-A</t>
        </is>
      </c>
      <c r="B15" s="32" t="inlineStr">
        <is>
          <t>Supervisor</t>
        </is>
      </c>
      <c r="C15" s="32" t="inlineStr">
        <is>
          <t>Mill A</t>
        </is>
      </c>
      <c r="D15" s="32" t="inlineStr">
        <is>
          <t>Input + verifikasi "Checked"</t>
        </is>
      </c>
      <c r="E15" s="6" t="n"/>
      <c r="F15" s="7" t="n"/>
    </row>
    <row r="16">
      <c r="A16" s="33" t="inlineStr">
        <is>
          <t>MGR-A</t>
        </is>
      </c>
      <c r="B16" s="5" t="inlineStr">
        <is>
          <t>Mill Management</t>
        </is>
      </c>
      <c r="C16" s="5" t="inlineStr">
        <is>
          <t>Mill A</t>
        </is>
      </c>
      <c r="D16" s="5" t="inlineStr">
        <is>
          <t>Verifikasi "Acknowledged", Pengaturan Mill</t>
        </is>
      </c>
      <c r="E16" s="6" t="n"/>
      <c r="F16" s="7" t="n"/>
    </row>
    <row r="17">
      <c r="A17" s="34" t="inlineStr">
        <is>
          <t>SPV-B</t>
        </is>
      </c>
      <c r="B17" s="32" t="inlineStr">
        <is>
          <t>Supervisor</t>
        </is>
      </c>
      <c r="C17" s="31" t="inlineStr">
        <is>
          <t>Mill B</t>
        </is>
      </c>
      <c r="D17" s="32" t="inlineStr">
        <is>
          <t>Menguji data Mill A tidak terlihat</t>
        </is>
      </c>
      <c r="E17" s="6" t="n"/>
      <c r="F17" s="7" t="n"/>
    </row>
    <row r="18">
      <c r="A18" s="33" t="inlineStr">
        <is>
          <t>ADM</t>
        </is>
      </c>
      <c r="B18" s="5" t="inlineStr">
        <is>
          <t>Admin</t>
        </is>
      </c>
      <c r="C18" s="5" t="inlineStr">
        <is>
          <t>— (tidak terikat mill)</t>
        </is>
      </c>
      <c r="D18" s="5" t="inlineStr">
        <is>
          <t>Master data, Periode Pelaporan</t>
        </is>
      </c>
      <c r="E18" s="6" t="n"/>
      <c r="F18" s="7" t="n"/>
    </row>
    <row r="19">
      <c r="A19" s="34" t="inlineStr">
        <is>
          <t>NOMILL</t>
        </is>
      </c>
      <c r="B19" s="32" t="inlineStr">
        <is>
          <t>Supervisor</t>
        </is>
      </c>
      <c r="C19" s="31" t="inlineStr">
        <is>
          <t>tanpa mill</t>
        </is>
      </c>
      <c r="D19" s="32" t="inlineStr">
        <is>
          <t>Menguji sistem menolak dengan jelas</t>
        </is>
      </c>
      <c r="E19" s="6" t="n"/>
      <c r="F19" s="7" t="n"/>
    </row>
    <row r="20" ht="44" customHeight="1">
      <c r="A20" s="8" t="inlineStr">
        <is>
          <t>Akun NOMILL sengaja dibuat cacat. Beberapa kasus menguji bahwa sistem MENOLAK DENGAN PESAN YANG MENYEBUT SEBABNYA alih-alih menampilkan halaman kosong — halaman kosong terbaca sebagai "tidak ada data", padahal yang benar adalah "akun Anda belum diatur".</t>
        </is>
      </c>
      <c r="B20" s="6" t="n"/>
      <c r="C20" s="6" t="n"/>
      <c r="D20" s="6" t="n"/>
      <c r="E20" s="6" t="n"/>
      <c r="F20" s="7" t="n"/>
    </row>
    <row r="22" ht="24" customHeight="1">
      <c r="A22" s="3" t="inlineStr">
        <is>
          <t>Matriks peran — acuan seluruh kasus LS-01</t>
        </is>
      </c>
    </row>
    <row r="23">
      <c r="A23" s="10" t="inlineStr">
        <is>
          <t>Kemampuan</t>
        </is>
      </c>
      <c r="B23" s="10" t="inlineStr">
        <is>
          <t>Operator</t>
        </is>
      </c>
      <c r="C23" s="10" t="inlineStr">
        <is>
          <t>Supervisor</t>
        </is>
      </c>
      <c r="D23" s="10" t="inlineStr">
        <is>
          <t>Mill Management</t>
        </is>
      </c>
      <c r="E23" s="10" t="inlineStr">
        <is>
          <t>Admin</t>
        </is>
      </c>
      <c r="F23" s="10" t="inlineStr">
        <is>
          <t>Catatan</t>
        </is>
      </c>
    </row>
    <row r="24">
      <c r="A24" s="25" t="inlineStr">
        <is>
          <t>Login Mobile</t>
        </is>
      </c>
      <c r="B24" s="27" t="inlineStr">
        <is>
          <t>✓</t>
        </is>
      </c>
      <c r="C24" s="27" t="inlineStr">
        <is>
          <t>✓</t>
        </is>
      </c>
      <c r="D24" s="27" t="inlineStr">
        <is>
          <t>✓</t>
        </is>
      </c>
      <c r="E24" s="27" t="inlineStr">
        <is>
          <t>✓</t>
        </is>
      </c>
      <c r="F24" s="5" t="inlineStr">
        <is>
          <t>Admin bukan alur yang dirancang</t>
        </is>
      </c>
    </row>
    <row r="25">
      <c r="A25" s="31" t="inlineStr">
        <is>
          <t>Login Web</t>
        </is>
      </c>
      <c r="B25" s="35" t="inlineStr">
        <is>
          <t>v terbatas</t>
        </is>
      </c>
      <c r="C25" s="35" t="inlineStr">
        <is>
          <t>✓</t>
        </is>
      </c>
      <c r="D25" s="35" t="inlineStr">
        <is>
          <t>✓</t>
        </is>
      </c>
      <c r="E25" s="35" t="inlineStr">
        <is>
          <t>✓</t>
        </is>
      </c>
      <c r="F25" s="32" t="inlineStr">
        <is>
          <t>Operator: hanya 3 layar, lihat baris terbawah</t>
        </is>
      </c>
    </row>
    <row r="26">
      <c r="A26" s="25" t="inlineStr">
        <is>
          <t>Input data stasiun (Mobile)</t>
        </is>
      </c>
      <c r="B26" s="27" t="inlineStr">
        <is>
          <t>✓</t>
        </is>
      </c>
      <c r="C26" s="27" t="inlineStr">
        <is>
          <t>✓</t>
        </is>
      </c>
      <c r="D26" s="27" t="inlineStr">
        <is>
          <t>✓</t>
        </is>
      </c>
      <c r="E26" s="36" t="inlineStr">
        <is>
          <t>—</t>
        </is>
      </c>
      <c r="F26" s="5" t="inlineStr"/>
    </row>
    <row r="27">
      <c r="A27" s="31" t="inlineStr">
        <is>
          <t>Input data stasiun (Web)</t>
        </is>
      </c>
      <c r="B27" s="36" t="inlineStr">
        <is>
          <t>—</t>
        </is>
      </c>
      <c r="C27" s="35" t="inlineStr">
        <is>
          <t>✓</t>
        </is>
      </c>
      <c r="D27" s="35" t="inlineStr">
        <is>
          <t>✓</t>
        </is>
      </c>
      <c r="E27" s="35" t="inlineStr">
        <is>
          <t>✓</t>
        </is>
      </c>
      <c r="F27" s="32" t="inlineStr"/>
    </row>
    <row r="28">
      <c r="A28" s="25" t="inlineStr">
        <is>
          <t>Isi Checked By</t>
        </is>
      </c>
      <c r="B28" s="36" t="inlineStr">
        <is>
          <t>—</t>
        </is>
      </c>
      <c r="C28" s="27" t="inlineStr">
        <is>
          <t>✓</t>
        </is>
      </c>
      <c r="D28" s="36" t="inlineStr">
        <is>
          <t>—</t>
        </is>
      </c>
      <c r="E28" s="27" t="inlineStr">
        <is>
          <t>✓</t>
        </is>
      </c>
      <c r="F28" s="5" t="inlineStr"/>
    </row>
    <row r="29">
      <c r="A29" s="31" t="inlineStr">
        <is>
          <t>Isi Acknowledged By</t>
        </is>
      </c>
      <c r="B29" s="36" t="inlineStr">
        <is>
          <t>—</t>
        </is>
      </c>
      <c r="C29" s="36" t="inlineStr">
        <is>
          <t>—</t>
        </is>
      </c>
      <c r="D29" s="35" t="inlineStr">
        <is>
          <t>✓</t>
        </is>
      </c>
      <c r="E29" s="35" t="inlineStr">
        <is>
          <t>✓</t>
        </is>
      </c>
      <c r="F29" s="32" t="inlineStr"/>
    </row>
    <row r="30">
      <c r="A30" s="25" t="inlineStr">
        <is>
          <t>Lihat Data Browser / Detail (Web)</t>
        </is>
      </c>
      <c r="B30" s="36" t="inlineStr">
        <is>
          <t>—</t>
        </is>
      </c>
      <c r="C30" s="27" t="inlineStr">
        <is>
          <t>✓</t>
        </is>
      </c>
      <c r="D30" s="27" t="inlineStr">
        <is>
          <t>✓</t>
        </is>
      </c>
      <c r="E30" s="27" t="inlineStr">
        <is>
          <t>✓</t>
        </is>
      </c>
      <c r="F30" s="5" t="inlineStr"/>
    </row>
    <row r="31">
      <c r="A31" s="31" t="inlineStr">
        <is>
          <t>Lihat "Data Saya" (Web)</t>
        </is>
      </c>
      <c r="B31" s="35" t="inlineStr">
        <is>
          <t>✓</t>
        </is>
      </c>
      <c r="C31" s="35" t="inlineStr">
        <is>
          <t>✓</t>
        </is>
      </c>
      <c r="D31" s="36" t="inlineStr">
        <is>
          <t>—</t>
        </is>
      </c>
      <c r="E31" s="36" t="inlineStr">
        <is>
          <t>—</t>
        </is>
      </c>
      <c r="F31" s="32" t="inlineStr"/>
    </row>
    <row r="32">
      <c r="A32" s="25" t="inlineStr">
        <is>
          <t>Laporan periode stasiun (Web)</t>
        </is>
      </c>
      <c r="B32" s="36" t="inlineStr">
        <is>
          <t>—</t>
        </is>
      </c>
      <c r="C32" s="27" t="inlineStr">
        <is>
          <t>✓</t>
        </is>
      </c>
      <c r="D32" s="27" t="inlineStr">
        <is>
          <t>✓</t>
        </is>
      </c>
      <c r="E32" s="27" t="inlineStr">
        <is>
          <t>✓</t>
        </is>
      </c>
      <c r="F32" s="5" t="inlineStr"/>
    </row>
    <row r="33">
      <c r="A33" s="31" t="inlineStr">
        <is>
          <t>Laporan periode stasiun (Mobile)</t>
        </is>
      </c>
      <c r="B33" s="35" t="inlineStr">
        <is>
          <t>✓</t>
        </is>
      </c>
      <c r="C33" s="35" t="inlineStr">
        <is>
          <t>✓</t>
        </is>
      </c>
      <c r="D33" s="35" t="inlineStr">
        <is>
          <t>✓</t>
        </is>
      </c>
      <c r="E33" s="35" t="inlineStr">
        <is>
          <t>✓</t>
        </is>
      </c>
      <c r="F33" s="32" t="inlineStr"/>
    </row>
    <row r="34">
      <c r="A34" s="25" t="inlineStr">
        <is>
          <t>Dashboard (Web)</t>
        </is>
      </c>
      <c r="B34" s="36" t="inlineStr">
        <is>
          <t>—</t>
        </is>
      </c>
      <c r="C34" s="27" t="inlineStr">
        <is>
          <t>✓</t>
        </is>
      </c>
      <c r="D34" s="27" t="inlineStr">
        <is>
          <t>✓</t>
        </is>
      </c>
      <c r="E34" s="27" t="inlineStr">
        <is>
          <t>✓</t>
        </is>
      </c>
      <c r="F34" s="5" t="inlineStr"/>
    </row>
    <row r="35">
      <c r="A35" s="31" t="inlineStr">
        <is>
          <t>Laporan Manajemen</t>
        </is>
      </c>
      <c r="B35" s="36" t="inlineStr">
        <is>
          <t>—</t>
        </is>
      </c>
      <c r="C35" s="36" t="inlineStr">
        <is>
          <t>—</t>
        </is>
      </c>
      <c r="D35" s="35" t="inlineStr">
        <is>
          <t>✓</t>
        </is>
      </c>
      <c r="E35" s="35" t="inlineStr">
        <is>
          <t>✓</t>
        </is>
      </c>
      <c r="F35" s="32" t="inlineStr"/>
    </row>
    <row r="36">
      <c r="A36" s="25" t="inlineStr">
        <is>
          <t>Master data (Corporate…Mesin)</t>
        </is>
      </c>
      <c r="B36" s="36" t="inlineStr">
        <is>
          <t>—</t>
        </is>
      </c>
      <c r="C36" s="36" t="inlineStr">
        <is>
          <t>—</t>
        </is>
      </c>
      <c r="D36" s="36" t="inlineStr">
        <is>
          <t>—</t>
        </is>
      </c>
      <c r="E36" s="27" t="inlineStr">
        <is>
          <t>✓</t>
        </is>
      </c>
      <c r="F36" s="5" t="inlineStr"/>
    </row>
    <row r="37">
      <c r="A37" s="31" t="inlineStr">
        <is>
          <t>Periode Pelaporan: tambah/ubah/hapus</t>
        </is>
      </c>
      <c r="B37" s="36" t="inlineStr">
        <is>
          <t>—</t>
        </is>
      </c>
      <c r="C37" s="36" t="inlineStr">
        <is>
          <t>—</t>
        </is>
      </c>
      <c r="D37" s="36" t="inlineStr">
        <is>
          <t>—</t>
        </is>
      </c>
      <c r="E37" s="35" t="inlineStr">
        <is>
          <t>✓</t>
        </is>
      </c>
      <c r="F37" s="32" t="inlineStr"/>
    </row>
    <row r="38">
      <c r="A38" s="25" t="inlineStr">
        <is>
          <t>Tutup / Buka Periode</t>
        </is>
      </c>
      <c r="B38" s="36" t="inlineStr">
        <is>
          <t>—</t>
        </is>
      </c>
      <c r="C38" s="36" t="inlineStr">
        <is>
          <t>—</t>
        </is>
      </c>
      <c r="D38" s="36" t="inlineStr">
        <is>
          <t>—</t>
        </is>
      </c>
      <c r="E38" s="27" t="inlineStr">
        <is>
          <t>✓</t>
        </is>
      </c>
      <c r="F38" s="37" t="inlineStr">
        <is>
          <t>HANYA Admin</t>
        </is>
      </c>
    </row>
    <row r="39">
      <c r="A39" s="31" t="inlineStr">
        <is>
          <t>Pengaturan Mill</t>
        </is>
      </c>
      <c r="B39" s="36" t="inlineStr">
        <is>
          <t>—</t>
        </is>
      </c>
      <c r="C39" s="36" t="inlineStr">
        <is>
          <t>—</t>
        </is>
      </c>
      <c r="D39" s="35" t="inlineStr">
        <is>
          <t>v mill sendiri</t>
        </is>
      </c>
      <c r="E39" s="35" t="inlineStr">
        <is>
          <t>v semua mill</t>
        </is>
      </c>
      <c r="F39" s="32" t="inlineStr"/>
    </row>
    <row r="40">
      <c r="A40" s="25" t="inlineStr">
        <is>
          <t>Kelola User &amp; Role</t>
        </is>
      </c>
      <c r="B40" s="36" t="inlineStr">
        <is>
          <t>—</t>
        </is>
      </c>
      <c r="C40" s="36" t="inlineStr">
        <is>
          <t>—</t>
        </is>
      </c>
      <c r="D40" s="36" t="inlineStr">
        <is>
          <t>—</t>
        </is>
      </c>
      <c r="E40" s="27" t="inlineStr">
        <is>
          <t>✓</t>
        </is>
      </c>
      <c r="F40" s="5" t="inlineStr"/>
    </row>
    <row r="41">
      <c r="A41" s="31" t="inlineStr">
        <is>
          <t>Pemilih Mill pada laporan</t>
        </is>
      </c>
      <c r="B41" s="36" t="inlineStr">
        <is>
          <t>—</t>
        </is>
      </c>
      <c r="C41" s="36" t="inlineStr">
        <is>
          <t>—</t>
        </is>
      </c>
      <c r="D41" s="36" t="inlineStr">
        <is>
          <t>—</t>
        </is>
      </c>
      <c r="E41" s="35" t="inlineStr">
        <is>
          <t>✓</t>
        </is>
      </c>
      <c r="F41" s="38" t="inlineStr">
        <is>
          <t>HANYA Admin</t>
        </is>
      </c>
    </row>
    <row r="42" ht="32" customHeight="1">
      <c r="A42" s="4" t="inlineStr">
        <is>
          <t>Akses web Operator dibatasi pada: Beranda Operator, Ganti Password, dan Data Saya. Seluruh alamat lain harus menjawab halaman 403 (Akses Ditolak) — bukan halaman kosong, bukan diarahkan diam-diam ke beranda.</t>
        </is>
      </c>
      <c r="B42" s="6" t="n"/>
      <c r="C42" s="6" t="n"/>
      <c r="D42" s="6" t="n"/>
      <c r="E42" s="6" t="n"/>
      <c r="F42" s="7" t="n"/>
    </row>
  </sheetData>
  <mergeCells count="20">
    <mergeCell ref="D13:F13"/>
    <mergeCell ref="B7:F7"/>
    <mergeCell ref="D17:F17"/>
    <mergeCell ref="A12:F12"/>
    <mergeCell ref="D16:F16"/>
    <mergeCell ref="A2:F2"/>
    <mergeCell ref="A42:F42"/>
    <mergeCell ref="D18:F18"/>
    <mergeCell ref="A22:F22"/>
    <mergeCell ref="A4:F4"/>
    <mergeCell ref="B8:F8"/>
    <mergeCell ref="A20:F20"/>
    <mergeCell ref="D15:F15"/>
    <mergeCell ref="D14:F14"/>
    <mergeCell ref="B10:F10"/>
    <mergeCell ref="B9:F9"/>
    <mergeCell ref="D19:F19"/>
    <mergeCell ref="B6:F6"/>
    <mergeCell ref="A1:F1"/>
    <mergeCell ref="B5:F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5"/>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24" customWidth="1" min="2" max="2"/>
    <col width="26" customWidth="1" min="3" max="3"/>
    <col width="17" customWidth="1" min="4" max="4"/>
    <col width="17" customWidth="1" min="5" max="5"/>
    <col width="16" customWidth="1" min="6" max="6"/>
    <col width="62" customWidth="1" min="7" max="7"/>
  </cols>
  <sheetData>
    <row r="1" ht="26" customHeight="1">
      <c r="A1" s="1" t="inlineStr">
        <is>
          <t>Matriks 18 stasiun</t>
        </is>
      </c>
    </row>
    <row r="2" ht="30" customHeight="1">
      <c r="A2" s="2" t="inlineStr">
        <is>
          <t>"Kolom wajib" = kolom identitas unit yang harus diisi sebelum Simpan. "Jml kolom bacaan" = banyaknya kolom pengukuran per baris slot waktu, dipakai pada MB-FORM-05. ± berarti jumlahnya berbeda per stasiun dan dibaca dari layar saat menguji.</t>
        </is>
      </c>
    </row>
    <row r="4" ht="28" customHeight="1">
      <c r="A4" s="10" t="inlineStr">
        <is>
          <t>No</t>
        </is>
      </c>
      <c r="B4" s="10" t="inlineStr">
        <is>
          <t>Stasiun</t>
        </is>
      </c>
      <c r="C4" s="10" t="inlineStr">
        <is>
          <t>Kolom wajib</t>
        </is>
      </c>
      <c r="D4" s="10" t="inlineStr">
        <is>
          <t>Jml kolom bacaan</t>
        </is>
      </c>
      <c r="E4" s="10" t="inlineStr">
        <is>
          <t>Pola</t>
        </is>
      </c>
      <c r="F4" s="10" t="inlineStr">
        <is>
          <t>Laporan periode</t>
        </is>
      </c>
      <c r="G4" s="10" t="inlineStr">
        <is>
          <t>Keanehan yang perlu diperhatikan</t>
        </is>
      </c>
    </row>
    <row r="5" ht="27" customHeight="1">
      <c r="A5" s="27" t="n">
        <v>1</v>
      </c>
      <c r="B5" s="25" t="inlineStr">
        <is>
          <t>Weighbridge</t>
        </is>
      </c>
      <c r="C5" s="5" t="inlineStr">
        <is>
          <t>No. Kartu / Kendaraan</t>
        </is>
      </c>
      <c r="D5" s="27" t="inlineStr">
        <is>
          <t>per-transaksi</t>
        </is>
      </c>
      <c r="E5" s="36" t="inlineStr">
        <is>
          <t>Per-transaksi</t>
        </is>
      </c>
      <c r="F5" s="27" t="inlineStr">
        <is>
          <t>Ada (web+mobile)</t>
        </is>
      </c>
      <c r="G5" s="5" t="inlineStr">
        <is>
          <t>BUKAN pola 24 slot — satu record per transaksi timbang, ada arus Masuk &amp; Keluar</t>
        </is>
      </c>
    </row>
    <row r="6" ht="16" customHeight="1">
      <c r="A6" s="35" t="n">
        <v>2</v>
      </c>
      <c r="B6" s="31" t="inlineStr">
        <is>
          <t>Grading</t>
        </is>
      </c>
      <c r="C6" s="32" t="inlineStr">
        <is>
          <t>Parameter grading</t>
        </is>
      </c>
      <c r="D6" s="35" t="inlineStr">
        <is>
          <t>per-muatan</t>
        </is>
      </c>
      <c r="E6" s="36" t="inlineStr">
        <is>
          <t>Per-transaksi</t>
        </is>
      </c>
      <c r="F6" s="35" t="inlineStr">
        <is>
          <t>Ada (web+mobile)</t>
        </is>
      </c>
      <c r="G6" s="32" t="inlineStr">
        <is>
          <t>Satu record per muatan, ada beberapa baris parameter</t>
        </is>
      </c>
    </row>
    <row r="7" ht="16" customHeight="1">
      <c r="A7" s="27" t="n">
        <v>3</v>
      </c>
      <c r="B7" s="25" t="inlineStr">
        <is>
          <t>Cages Track</t>
        </is>
      </c>
      <c r="C7" s="5" t="inlineStr">
        <is>
          <t>ID Cage</t>
        </is>
      </c>
      <c r="D7" s="27" t="inlineStr">
        <is>
          <t>±</t>
        </is>
      </c>
      <c r="E7" s="27" t="inlineStr">
        <is>
          <t>24 slot</t>
        </is>
      </c>
      <c r="F7" s="27" t="inlineStr">
        <is>
          <t>Ada (web+mobile)</t>
        </is>
      </c>
      <c r="G7" s="5" t="inlineStr"/>
    </row>
    <row r="8" ht="27" customHeight="1">
      <c r="A8" s="35" t="n">
        <v>4</v>
      </c>
      <c r="B8" s="31" t="inlineStr">
        <is>
          <t>Sterilizer</t>
        </is>
      </c>
      <c r="C8" s="32" t="inlineStr">
        <is>
          <t>ID Sterilizer</t>
        </is>
      </c>
      <c r="D8" s="35" t="inlineStr">
        <is>
          <t>±</t>
        </is>
      </c>
      <c r="E8" s="35" t="inlineStr">
        <is>
          <t>24 slot</t>
        </is>
      </c>
      <c r="F8" s="35" t="inlineStr">
        <is>
          <t>Ada (web+mobile)</t>
        </is>
      </c>
      <c r="G8" s="32" t="inlineStr">
        <is>
          <t>Ada checkbox "Checked by SPV" per baris — Operator tidak boleh bisa mengisinya</t>
        </is>
      </c>
    </row>
    <row r="9" ht="16" customHeight="1">
      <c r="A9" s="27" t="n">
        <v>5</v>
      </c>
      <c r="B9" s="25" t="inlineStr">
        <is>
          <t>Threshing</t>
        </is>
      </c>
      <c r="C9" s="5" t="inlineStr">
        <is>
          <t>ID Thresher</t>
        </is>
      </c>
      <c r="D9" s="27" t="inlineStr">
        <is>
          <t>5</t>
        </is>
      </c>
      <c r="E9" s="27" t="inlineStr">
        <is>
          <t>24 slot</t>
        </is>
      </c>
      <c r="F9" s="27" t="inlineStr">
        <is>
          <t>Ada (web+mobile)</t>
        </is>
      </c>
      <c r="G9" s="5" t="inlineStr">
        <is>
          <t>Punya master target</t>
        </is>
      </c>
    </row>
    <row r="10" ht="16" customHeight="1">
      <c r="A10" s="35" t="n">
        <v>6</v>
      </c>
      <c r="B10" s="31" t="inlineStr">
        <is>
          <t>Pressing</t>
        </is>
      </c>
      <c r="C10" s="32" t="inlineStr">
        <is>
          <t>ID Presser</t>
        </is>
      </c>
      <c r="D10" s="35" t="inlineStr">
        <is>
          <t>5</t>
        </is>
      </c>
      <c r="E10" s="35" t="inlineStr">
        <is>
          <t>24 slot</t>
        </is>
      </c>
      <c r="F10" s="35" t="inlineStr">
        <is>
          <t>Ada (web+mobile)</t>
        </is>
      </c>
      <c r="G10" s="32" t="inlineStr">
        <is>
          <t>Punya master target</t>
        </is>
      </c>
    </row>
    <row r="11" ht="16" customHeight="1">
      <c r="A11" s="27" t="n">
        <v>7</v>
      </c>
      <c r="B11" s="25" t="inlineStr">
        <is>
          <t>Clarification</t>
        </is>
      </c>
      <c r="C11" s="5" t="inlineStr">
        <is>
          <t>ID unit</t>
        </is>
      </c>
      <c r="D11" s="27" t="inlineStr">
        <is>
          <t>±</t>
        </is>
      </c>
      <c r="E11" s="27" t="inlineStr">
        <is>
          <t>24 slot</t>
        </is>
      </c>
      <c r="F11" s="27" t="inlineStr">
        <is>
          <t>Ada (web+mobile)</t>
        </is>
      </c>
      <c r="G11" s="5" t="inlineStr"/>
    </row>
    <row r="12" ht="27" customHeight="1">
      <c r="A12" s="35" t="n">
        <v>8</v>
      </c>
      <c r="B12" s="31" t="inlineStr">
        <is>
          <t>Kernel Plant</t>
        </is>
      </c>
      <c r="C12" s="32" t="inlineStr">
        <is>
          <t>ID unit kernel plant</t>
        </is>
      </c>
      <c r="D12" s="35" t="inlineStr">
        <is>
          <t>7</t>
        </is>
      </c>
      <c r="E12" s="35" t="inlineStr">
        <is>
          <t>24 slot</t>
        </is>
      </c>
      <c r="F12" s="35" t="inlineStr">
        <is>
          <t>Ada (web+mobile)</t>
        </is>
      </c>
      <c r="G12" s="32" t="inlineStr">
        <is>
          <t>Punya master target. Dua pasang kolom berbagi satu standar (2 ripple mill, 2 kernel silo)</t>
        </is>
      </c>
    </row>
    <row r="13" ht="16" customHeight="1">
      <c r="A13" s="27" t="n">
        <v>9</v>
      </c>
      <c r="B13" s="25" t="inlineStr">
        <is>
          <t>Boiler Room</t>
        </is>
      </c>
      <c r="C13" s="5" t="inlineStr">
        <is>
          <t>ID boiler</t>
        </is>
      </c>
      <c r="D13" s="27" t="inlineStr">
        <is>
          <t>±</t>
        </is>
      </c>
      <c r="E13" s="27" t="inlineStr">
        <is>
          <t>24 slot</t>
        </is>
      </c>
      <c r="F13" s="27" t="inlineStr">
        <is>
          <t>Ada (web+mobile)</t>
        </is>
      </c>
      <c r="G13" s="5" t="inlineStr"/>
    </row>
    <row r="14" ht="27" customHeight="1">
      <c r="A14" s="35" t="n">
        <v>10</v>
      </c>
      <c r="B14" s="31" t="inlineStr">
        <is>
          <t>Effluent Plant</t>
        </is>
      </c>
      <c r="C14" s="32" t="inlineStr">
        <is>
          <t>ID unit</t>
        </is>
      </c>
      <c r="D14" s="35" t="inlineStr">
        <is>
          <t>14</t>
        </is>
      </c>
      <c r="E14" s="35" t="inlineStr">
        <is>
          <t>24 slot</t>
        </is>
      </c>
      <c r="F14" s="39" t="inlineStr">
        <is>
          <t>BELUM dibangun</t>
        </is>
      </c>
      <c r="G14" s="32" t="inlineStr">
        <is>
          <t>PALING BANYAK KOLOM. Ada 3 kolom status pilihan (on/off/fault, run/stop) dan 2 kolom teks bebas</t>
        </is>
      </c>
    </row>
    <row r="15" ht="27" customHeight="1">
      <c r="A15" s="27" t="n">
        <v>11</v>
      </c>
      <c r="B15" s="25" t="inlineStr">
        <is>
          <t>Depricarping</t>
        </is>
      </c>
      <c r="C15" s="5" t="inlineStr">
        <is>
          <t>ID Presser</t>
        </is>
      </c>
      <c r="D15" s="27" t="inlineStr">
        <is>
          <t>7</t>
        </is>
      </c>
      <c r="E15" s="27" t="inlineStr">
        <is>
          <t>24 slot</t>
        </is>
      </c>
      <c r="F15" s="27" t="inlineStr">
        <is>
          <t>Ada (web+mobile)</t>
        </is>
      </c>
      <c r="G15" s="5" t="inlineStr">
        <is>
          <t>Punya master target. Ada kolom Downtime (menit) berupa angka + kolom Temuan</t>
        </is>
      </c>
    </row>
    <row r="16" ht="16" customHeight="1">
      <c r="A16" s="35" t="n">
        <v>12</v>
      </c>
      <c r="B16" s="31" t="inlineStr">
        <is>
          <t>Engine Room</t>
        </is>
      </c>
      <c r="C16" s="32" t="inlineStr">
        <is>
          <t>ID unit</t>
        </is>
      </c>
      <c r="D16" s="35" t="inlineStr">
        <is>
          <t>±</t>
        </is>
      </c>
      <c r="E16" s="35" t="inlineStr">
        <is>
          <t>24 slot</t>
        </is>
      </c>
      <c r="F16" s="39" t="inlineStr">
        <is>
          <t>Belum</t>
        </is>
      </c>
      <c r="G16" s="32" t="inlineStr"/>
    </row>
    <row r="17" ht="16" customHeight="1">
      <c r="A17" s="27" t="n">
        <v>13</v>
      </c>
      <c r="B17" s="25" t="inlineStr">
        <is>
          <t>Process Water</t>
        </is>
      </c>
      <c r="C17" s="5" t="inlineStr">
        <is>
          <t>ID unit</t>
        </is>
      </c>
      <c r="D17" s="27" t="inlineStr">
        <is>
          <t>±</t>
        </is>
      </c>
      <c r="E17" s="27" t="inlineStr">
        <is>
          <t>24 slot</t>
        </is>
      </c>
      <c r="F17" s="40" t="inlineStr">
        <is>
          <t>Belum</t>
        </is>
      </c>
      <c r="G17" s="5" t="inlineStr">
        <is>
          <t>Ada kolom shift &amp; petugas</t>
        </is>
      </c>
    </row>
    <row r="18" ht="16" customHeight="1">
      <c r="A18" s="35" t="n">
        <v>14</v>
      </c>
      <c r="B18" s="31" t="inlineStr">
        <is>
          <t>Storage Tank</t>
        </is>
      </c>
      <c r="C18" s="32" t="inlineStr">
        <is>
          <t>ID tangki</t>
        </is>
      </c>
      <c r="D18" s="35" t="inlineStr">
        <is>
          <t>±</t>
        </is>
      </c>
      <c r="E18" s="35" t="inlineStr">
        <is>
          <t>24 slot</t>
        </is>
      </c>
      <c r="F18" s="35" t="inlineStr">
        <is>
          <t>Ada (web+mobile)</t>
        </is>
      </c>
      <c r="G18" s="32" t="inlineStr"/>
    </row>
    <row r="19" ht="16" customHeight="1">
      <c r="A19" s="27" t="n">
        <v>15</v>
      </c>
      <c r="B19" s="25" t="inlineStr">
        <is>
          <t>Solid Waste Disposal</t>
        </is>
      </c>
      <c r="C19" s="5" t="inlineStr">
        <is>
          <t>ID unit</t>
        </is>
      </c>
      <c r="D19" s="27" t="inlineStr">
        <is>
          <t>±</t>
        </is>
      </c>
      <c r="E19" s="27" t="inlineStr">
        <is>
          <t>24 slot</t>
        </is>
      </c>
      <c r="F19" s="40" t="inlineStr">
        <is>
          <t>Belum</t>
        </is>
      </c>
      <c r="G19" s="5" t="inlineStr"/>
    </row>
    <row r="20" ht="16" customHeight="1">
      <c r="A20" s="35" t="n">
        <v>16</v>
      </c>
      <c r="B20" s="31" t="inlineStr">
        <is>
          <t>Kernel Dispatch</t>
        </is>
      </c>
      <c r="C20" s="32" t="inlineStr">
        <is>
          <t>No. Kartu / Kendaraan</t>
        </is>
      </c>
      <c r="D20" s="35" t="inlineStr">
        <is>
          <t>per-transaksi</t>
        </is>
      </c>
      <c r="E20" s="36" t="inlineStr">
        <is>
          <t>Per-transaksi</t>
        </is>
      </c>
      <c r="F20" s="39" t="inlineStr">
        <is>
          <t>Belum</t>
        </is>
      </c>
      <c r="G20" s="32" t="inlineStr">
        <is>
          <t>Pola per-transaksi, ada kolom status pilihan</t>
        </is>
      </c>
    </row>
    <row r="21" ht="16" customHeight="1">
      <c r="A21" s="27" t="n">
        <v>17</v>
      </c>
      <c r="B21" s="25" t="inlineStr">
        <is>
          <t>CPO Dispatch</t>
        </is>
      </c>
      <c r="C21" s="5" t="inlineStr">
        <is>
          <t>No. Kartu / Kendaraan</t>
        </is>
      </c>
      <c r="D21" s="27" t="inlineStr">
        <is>
          <t>per-transaksi</t>
        </is>
      </c>
      <c r="E21" s="36" t="inlineStr">
        <is>
          <t>Per-transaksi</t>
        </is>
      </c>
      <c r="F21" s="40" t="inlineStr">
        <is>
          <t>Belum</t>
        </is>
      </c>
      <c r="G21" s="5" t="inlineStr">
        <is>
          <t>Pola per-transaksi</t>
        </is>
      </c>
    </row>
    <row r="22" ht="16" customHeight="1">
      <c r="A22" s="35" t="n">
        <v>18</v>
      </c>
      <c r="B22" s="31" t="inlineStr">
        <is>
          <t>Process Quality Control</t>
        </is>
      </c>
      <c r="C22" s="32" t="inlineStr">
        <is>
          <t>ID unit</t>
        </is>
      </c>
      <c r="D22" s="35" t="inlineStr">
        <is>
          <t>±</t>
        </is>
      </c>
      <c r="E22" s="35" t="inlineStr">
        <is>
          <t>24 slot</t>
        </is>
      </c>
      <c r="F22" s="39" t="inlineStr">
        <is>
          <t>Belum</t>
        </is>
      </c>
      <c r="G22" s="32" t="inlineStr"/>
    </row>
    <row r="24" ht="44" customHeight="1">
      <c r="A24" s="8" t="inlineStr">
        <is>
          <t>Weighbridge, Grading, Kernel Dispatch, dan CPO Dispatch tidak memakai 24 slot waktu. Untuk keempat stasiun ini LEWATI MB-FORM-03 dan MB-FORM-04 (aturan urutan slot) dan ganti dengan MB-FORM-11. Di sheet Kasus Uji baris-baris itu sudah ditandai "Tidak berlaku".</t>
        </is>
      </c>
      <c r="B24" s="6" t="n"/>
      <c r="C24" s="6" t="n"/>
      <c r="D24" s="6" t="n"/>
      <c r="E24" s="6" t="n"/>
      <c r="F24" s="6" t="n"/>
      <c r="G24" s="7" t="n"/>
    </row>
    <row r="25" ht="32" customHeight="1">
      <c r="A25" s="4" t="inlineStr">
        <is>
          <t>11 stasiun sudah punya laporan periode, jadi LP- dijalankan 11× untuk web dan 11× untuk mobile. Tile stasiun yang laporannya belum ada harus KELABU DAN TIDAK DAPAT DITEKAN — diuji oleh DS-04 dan DS-07, bukan hilang dari layar.</t>
        </is>
      </c>
      <c r="B25" s="6" t="n"/>
      <c r="C25" s="6" t="n"/>
      <c r="D25" s="6" t="n"/>
      <c r="E25" s="6" t="n"/>
      <c r="F25" s="6" t="n"/>
      <c r="G25" s="7" t="n"/>
    </row>
  </sheetData>
  <mergeCells count="4">
    <mergeCell ref="A24:G24"/>
    <mergeCell ref="A2:G2"/>
    <mergeCell ref="A1:G1"/>
    <mergeCell ref="A25:G2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2"/>
  <sheetViews>
    <sheetView showGridLines="0" workbookViewId="0">
      <selection activeCell="A1" sqref="A1"/>
    </sheetView>
  </sheetViews>
  <sheetFormatPr baseColWidth="8" defaultRowHeight="15"/>
  <cols>
    <col width="10" customWidth="1" min="1" max="1"/>
    <col width="58" customWidth="1" min="2" max="2"/>
    <col width="62" customWidth="1" min="3" max="3"/>
  </cols>
  <sheetData>
    <row r="1" ht="26" customHeight="1">
      <c r="A1" s="1" t="inlineStr">
        <is>
          <t>Catatan &amp; Batasan — baca sebelum melapor</t>
        </is>
      </c>
    </row>
    <row r="2" ht="30" customHeight="1">
      <c r="A2" s="2" t="inlineStr">
        <is>
          <t>Dua daftar. Yang pertama sudah diketahui tim dan bukan temuan baru. Yang kedua TERLIHAT seperti bug tetapi perilakunya benar — keenamnya akan dilaporkan oleh QA yang belum membaca halaman ini.</t>
        </is>
      </c>
    </row>
    <row r="4">
      <c r="A4" s="3" t="inlineStr">
        <is>
          <t>Batasan yang sudah diketahui</t>
        </is>
      </c>
    </row>
    <row r="5">
      <c r="A5" s="41" t="inlineStr">
        <is>
          <t>Hal-hal di bawah sudah diketahui dan bukan temuan baru. Kalau penguji menemukannya, cukup rujuk nomornya alih-alih membuat laporan bug baru.</t>
        </is>
      </c>
    </row>
    <row r="6">
      <c r="A6" s="10" t="inlineStr">
        <is>
          <t>No</t>
        </is>
      </c>
      <c r="B6" s="10" t="inlineStr">
        <is>
          <t>Hal</t>
        </is>
      </c>
      <c r="C6" s="10" t="inlineStr">
        <is>
          <t>Keterangan</t>
        </is>
      </c>
    </row>
    <row r="7" ht="83.19999999999999" customHeight="1">
      <c r="A7" s="26" t="inlineStr">
        <is>
          <t>B-1</t>
        </is>
      </c>
      <c r="B7" s="25" t="inlineStr">
        <is>
          <t>Laporan periode belum tersedia untuk 7 stasiun</t>
        </is>
      </c>
      <c r="C7" s="5" t="inlineStr">
        <is>
          <t>Engine Room, Process Water, Solid Waste Disposal, Kernel Dispatch, CPO Dispatch, Process Quality Control, dan Effluent Plant belum punya layar laporan periode. Tile-nya tetap TAMPIL di layar Laporan Stasiun dalam keadaan kelabu dan tidak dapat ditekan — supaya pembaca tahu stasiun itu ada. Input data untuk ketujuh stasiun tersebut SUDAH tersedia, baik di web maupun mobile.</t>
        </is>
      </c>
    </row>
    <row r="8" ht="56.8" customHeight="1">
      <c r="A8" s="42" t="inlineStr">
        <is>
          <t>B-2</t>
        </is>
      </c>
      <c r="B8" s="31" t="inlineStr">
        <is>
          <t>Layar "Data Saya" belum tersedia</t>
        </is>
      </c>
      <c r="C8" s="32" t="inlineStr">
        <is>
          <t>Daftar record yang dibuat pengguna itu sendiri belum ada. Akibatnya akses web untuk peran Station Operator terbatas pada dua layar: Beranda Operator dan Ganti Password. Operator tetap dapat menginput lewat aplikasi mobile seperti biasa.</t>
        </is>
      </c>
    </row>
    <row r="9" ht="96.39999999999999" customHeight="1">
      <c r="A9" s="26" t="inlineStr">
        <is>
          <t>B-3</t>
        </is>
      </c>
      <c r="B9" s="25" t="inlineStr">
        <is>
          <t>Dashboard adalah tampilan contoh, bukan laporan mill</t>
        </is>
      </c>
      <c r="C9" s="5" t="inlineStr">
        <is>
          <t>Halaman Dashboard menampilkan contoh laporan harian dengan angka tetap — tanpa filter tanggal dan tanpa pemilih mill, dan tidak membaca data stasiun. Ia MENYATAKAN dirinya contoh lewat judul "CPO Mill Demo" dan penanda "Data dummy". Kasus DS-01 justru memeriksa bahwa penanda itu ada; penanda yang hilang adalah temuan prioritas tinggi. Angka operasional yang sebenarnya ada di Laporan Periode per stasiun.</t>
        </is>
      </c>
    </row>
    <row r="10" ht="43.59999999999999" customHeight="1">
      <c r="A10" s="42" t="inlineStr">
        <is>
          <t>B-4</t>
        </is>
      </c>
      <c r="B10" s="31" t="inlineStr">
        <is>
          <t>Satuan suhu ditulis "C", bukan "°C"</t>
        </is>
      </c>
      <c r="C10" s="32" t="inlineStr">
        <is>
          <t>Pada laporan Kernel Plant, web maupun mobile. Disengaja: satuannya mengikuti data master apa adanya, dan mengubahnya di tampilan akan membuat web dan mobile berselisih.</t>
        </is>
      </c>
    </row>
    <row r="11" ht="30.4" customHeight="1">
      <c r="A11" s="26" t="inlineStr">
        <is>
          <t>B-5</t>
        </is>
      </c>
      <c r="B11" s="25" t="inlineStr">
        <is>
          <t>Laporan Depricarping (Mobile): tiga angka pada blok downtime tampil tanpa gaya</t>
        </is>
      </c>
      <c r="C11" s="5" t="inlineStr">
        <is>
          <t>Angkanya benar; hanya tampilannya yang belum rapi. Kosmetik, sudah tercatat.</t>
        </is>
      </c>
    </row>
    <row r="14">
      <c r="A14" s="3" t="inlineStr">
        <is>
          <t>Hal yang TERLIHAT seperti bug tetapi BUKAN</t>
        </is>
      </c>
    </row>
    <row r="15">
      <c r="A15" s="10" t="inlineStr">
        <is>
          <t>Kasus</t>
        </is>
      </c>
      <c r="B15" s="10" t="inlineStr">
        <is>
          <t>Kelihatan salah</t>
        </is>
      </c>
      <c r="C15" s="10" t="inlineStr">
        <is>
          <t>Sebenarnya</t>
        </is>
      </c>
    </row>
    <row r="16" ht="40.5" customHeight="1">
      <c r="A16" s="26" t="inlineStr">
        <is>
          <t>LS-16</t>
        </is>
      </c>
      <c r="B16" s="5" t="inlineStr">
        <is>
          <t>Laporan tidak menandai nilai yang jelas di luar batas</t>
        </is>
      </c>
      <c r="C16" s="30" t="inlineStr">
        <is>
          <t>DISENGAJA. Kolom targetnya teks bebas yang bentuknya tidak dibatasi, dan satu sel bisa memuat dua angka dengan satuan berbeda. Ada kalimat di layar yang menjelaskannya.</t>
        </is>
      </c>
    </row>
    <row r="17" ht="27" customHeight="1">
      <c r="A17" s="42" t="inlineStr">
        <is>
          <t>MB-FORM-04</t>
        </is>
      </c>
      <c r="B17" s="32" t="inlineStr">
        <is>
          <t>Slot waktu 01:00 dianggap SESUDAH 23:00</t>
        </is>
      </c>
      <c r="C17" s="30" t="inlineStr">
        <is>
          <t>BENAR. Shift dimulai 07:00, jadi urutannya 07:00 → 23:00 → 00:00 → 06:00.</t>
        </is>
      </c>
    </row>
    <row r="18" ht="40.5" customHeight="1">
      <c r="A18" s="26" t="inlineStr">
        <is>
          <t>DS-02</t>
        </is>
      </c>
      <c r="B18" s="5" t="inlineStr">
        <is>
          <t>Dashboard menampilkan angka yang sama untuk semua peran dan semua mill</t>
        </is>
      </c>
      <c r="C18" s="30" t="inlineStr">
        <is>
          <t>BENAR. Halaman itu tampilan contoh dengan angka tetap, dan menyatakannya lewat penanda "Data dummy". Jangan jalankan uji isolasi mill di sana — ia tidak membaca mill sama sekali.</t>
        </is>
      </c>
    </row>
    <row r="19" ht="40.5" customHeight="1">
      <c r="A19" s="42" t="inlineStr">
        <is>
          <t>DS-10</t>
        </is>
      </c>
      <c r="B19" s="32" t="inlineStr">
        <is>
          <t>Satu stasiun menunjukkan "belum ada input hari ini" DAN "input terakhir 3 menit lalu"</t>
        </is>
      </c>
      <c r="C19" s="30" t="inlineStr">
        <is>
          <t>BENAR. Dua jendela waktu yang berbeda: "hari ini" dibatasi tanggal, "input terakhir" tidak. Keterangan di halaman menjelaskannya.</t>
        </is>
      </c>
    </row>
    <row r="20" ht="27" customHeight="1">
      <c r="A20" s="26" t="inlineStr">
        <is>
          <t>LP-W-05</t>
        </is>
      </c>
      <c r="B20" s="5" t="inlineStr">
        <is>
          <t>Persen cakupan 0,0% di satu periode dan tanda pisah di periode lain, keduanya "tanpa data"</t>
        </is>
      </c>
      <c r="C20" s="30" t="inlineStr">
        <is>
          <t>BENAR, DAN KEDUANYA BERBEDA. 0,0% = penyebutnya ada, nol yang terisi. Tanda pisah = penyebutnya tidak terbentuk.</t>
        </is>
      </c>
    </row>
    <row r="21" ht="27" customHeight="1">
      <c r="A21" s="42" t="inlineStr">
        <is>
          <t>LP-W-03</t>
        </is>
      </c>
      <c r="B21" s="32" t="inlineStr">
        <is>
          <t>Jumlah slot terisi pada cakupan LEBIH BESAR daripada penyebut parameter mana pun</t>
        </is>
      </c>
      <c r="C21" s="30" t="inlineStr">
        <is>
          <t>BENAR. Slot yang hanya mengisi kolom temuan terhitung terisi tanpa menambah penyebut parameter.</t>
        </is>
      </c>
    </row>
    <row r="22" ht="27" customHeight="1">
      <c r="A22" s="26" t="inlineStr">
        <is>
          <t>LS-08</t>
        </is>
      </c>
      <c r="B22" s="5" t="inlineStr">
        <is>
          <t>Production Line tunggal tetap harus dipilih manual</t>
        </is>
      </c>
      <c r="C22" s="30" t="inlineStr">
        <is>
          <t>DISENGAJA. Memilihnya otomatis membuat pembaca mengira ia melihat seluruh mill.</t>
        </is>
      </c>
    </row>
  </sheetData>
  <mergeCells count="5">
    <mergeCell ref="A1:C1"/>
    <mergeCell ref="A5:C5"/>
    <mergeCell ref="A14:C14"/>
    <mergeCell ref="A4:C4"/>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2026-10-11T18:52:46Z</dcterms:created>
  <dcterms:modified xsi:type="dcterms:W3CDTF">2026-10-11T20:26:13Z</dcterms:modified>
</cp:coreProperties>
</file>