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duan" sheetId="1" state="visible" r:id="rId1"/>
    <sheet name="Kasus Uji" sheetId="2" state="visible" r:id="rId2"/>
    <sheet name="Rekap" sheetId="3" state="visible" r:id="rId3"/>
    <sheet name="Lingkungan &amp; Akun" sheetId="4" state="visible" r:id="rId4"/>
    <sheet name="Matriks Stasiun" sheetId="5" state="visible" r:id="rId5"/>
    <sheet name="Catatan &amp; Batasan" sheetId="6" state="visible" r:id="rId6"/>
  </sheets>
  <definedNames>
    <definedName name="_xlnm._FilterDatabase" localSheetId="1" hidden="1">'Kasus Uji'!$A$4:$R$1386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2343B"/>
      <sz val="16"/>
    </font>
    <font>
      <name val="Calibri"/>
      <i val="1"/>
      <color rgb="006B7280"/>
      <sz val="10"/>
    </font>
    <font>
      <name val="Calibri"/>
      <b val="1"/>
      <color rgb="0012343B"/>
      <sz val="12"/>
    </font>
    <font>
      <name val="Calibri"/>
      <b val="1"/>
      <color rgb="001F2933"/>
      <sz val="10"/>
    </font>
    <font>
      <name val="Calibri"/>
      <color rgb="001F2933"/>
      <sz val="10"/>
    </font>
    <font>
      <name val="Calibri"/>
      <b val="1"/>
      <color rgb="00D20000"/>
      <sz val="10"/>
    </font>
    <font>
      <name val="Calibri"/>
      <b val="1"/>
      <color rgb="00FFFFFF"/>
      <sz val="10"/>
    </font>
    <font>
      <name val="Consolas"/>
      <color rgb="001F2933"/>
      <sz val="9"/>
    </font>
  </fonts>
  <fills count="9">
    <fill>
      <patternFill/>
    </fill>
    <fill>
      <patternFill patternType="gray125"/>
    </fill>
    <fill>
      <patternFill patternType="solid">
        <fgColor rgb="00E8EDEF"/>
      </patternFill>
    </fill>
    <fill>
      <patternFill patternType="solid">
        <fgColor rgb="00FDE8E8"/>
      </patternFill>
    </fill>
    <fill>
      <patternFill patternType="solid">
        <fgColor rgb="0012343B"/>
      </patternFill>
    </fill>
    <fill>
      <patternFill patternType="solid">
        <fgColor rgb="00E6F4EA"/>
      </patternFill>
    </fill>
    <fill>
      <patternFill patternType="solid">
        <fgColor rgb="00FFFDF0"/>
      </patternFill>
    </fill>
    <fill>
      <patternFill patternType="solid">
        <fgColor rgb="00F2F6F7"/>
      </patternFill>
    </fill>
    <fill>
      <patternFill patternType="solid">
        <fgColor rgb="00FFF4E5"/>
      </patternFill>
    </fill>
  </fills>
  <borders count="6">
    <border>
      <left/>
      <right/>
      <top/>
      <bottom/>
      <diagonal/>
    </border>
    <border>
      <left style="thin">
        <color rgb="00D4DADD"/>
      </left>
      <right style="thin">
        <color rgb="00D4DADD"/>
      </right>
      <top style="thin">
        <color rgb="00D4DADD"/>
      </top>
      <bottom style="thin">
        <color rgb="00D4DADD"/>
      </bottom>
    </border>
    <border>
      <left/>
      <right/>
      <top style="thin">
        <color rgb="00D4DADD"/>
      </top>
      <bottom/>
      <diagonal/>
    </border>
    <border>
      <left/>
      <right style="thin">
        <color rgb="00D4DADD"/>
      </right>
      <top style="thin">
        <color rgb="00D4DADD"/>
      </top>
      <bottom/>
      <diagonal/>
    </border>
    <border>
      <left/>
      <right/>
      <top style="thin">
        <color rgb="00D4DADD"/>
      </top>
      <bottom style="thin">
        <color rgb="00D4DADD"/>
      </bottom>
      <diagonal/>
    </border>
    <border>
      <left/>
      <right style="thin">
        <color rgb="00D4DADD"/>
      </right>
      <top style="thin">
        <color rgb="00D4DADD"/>
      </top>
      <bottom style="thin">
        <color rgb="00D4DADD"/>
      </bottom>
      <diagonal/>
    </border>
  </borders>
  <cellStyleXfs count="1">
    <xf numFmtId="0" fontId="0" fillId="0" borderId="0"/>
  </cellStyleXfs>
  <cellXfs count="42">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2" borderId="1" applyAlignment="1" pivotButton="0" quotePrefix="0" xfId="0">
      <alignment horizontal="left" vertical="top" wrapText="1"/>
    </xf>
    <xf numFmtId="0" fontId="5" fillId="0" borderId="1" applyAlignment="1" pivotButton="0" quotePrefix="0" xfId="0">
      <alignment horizontal="left" vertical="top" wrapText="1"/>
    </xf>
    <xf numFmtId="0" fontId="0" fillId="0" borderId="4" pivotButton="0" quotePrefix="0" xfId="0"/>
    <xf numFmtId="0" fontId="0" fillId="0" borderId="5" pivotButton="0" quotePrefix="0" xfId="0"/>
    <xf numFmtId="0" fontId="6" fillId="3" borderId="1" applyAlignment="1" pivotButton="0" quotePrefix="0" xfId="0">
      <alignment horizontal="left" vertical="top" wrapText="1"/>
    </xf>
    <xf numFmtId="0" fontId="5" fillId="3" borderId="1" applyAlignment="1" pivotButton="0" quotePrefix="0" xfId="0">
      <alignment horizontal="left" vertical="top" wrapText="1"/>
    </xf>
    <xf numFmtId="0" fontId="7" fillId="4" borderId="1" applyAlignment="1" pivotButton="0" quotePrefix="0" xfId="0">
      <alignment horizontal="center" vertical="center" wrapText="1"/>
    </xf>
    <xf numFmtId="0" fontId="5" fillId="5" borderId="1" applyAlignment="1" pivotButton="0" quotePrefix="0" xfId="0">
      <alignment horizontal="center" vertical="top" wrapText="1"/>
    </xf>
    <xf numFmtId="0" fontId="4" fillId="5" borderId="1" applyAlignment="1" pivotButton="0" quotePrefix="0" xfId="0">
      <alignment horizontal="center" vertical="top" wrapText="1"/>
    </xf>
    <xf numFmtId="0" fontId="8" fillId="5" borderId="1" applyAlignment="1" pivotButton="0" quotePrefix="0" xfId="0">
      <alignment horizontal="left" vertical="top" wrapText="1"/>
    </xf>
    <xf numFmtId="0" fontId="5" fillId="5" borderId="1" applyAlignment="1" pivotButton="0" quotePrefix="0" xfId="0">
      <alignment horizontal="left" vertical="top" wrapText="1"/>
    </xf>
    <xf numFmtId="0" fontId="4" fillId="5" borderId="1" applyAlignment="1" pivotButton="0" quotePrefix="0" xfId="0">
      <alignment horizontal="left" vertical="top" wrapText="1"/>
    </xf>
    <xf numFmtId="0" fontId="6" fillId="3" borderId="1" applyAlignment="1" pivotButton="0" quotePrefix="0" xfId="0">
      <alignment horizontal="center" vertical="top" wrapText="1"/>
    </xf>
    <xf numFmtId="0" fontId="5" fillId="6" borderId="1" applyAlignment="1" pivotButton="0" quotePrefix="0" xfId="0">
      <alignment horizontal="left" vertical="top" wrapText="1"/>
    </xf>
    <xf numFmtId="0" fontId="5" fillId="7" borderId="1" applyAlignment="1" pivotButton="0" quotePrefix="0" xfId="0">
      <alignment horizontal="center" vertical="top" wrapText="1"/>
    </xf>
    <xf numFmtId="0" fontId="8" fillId="7" borderId="1" applyAlignment="1" pivotButton="0" quotePrefix="0" xfId="0">
      <alignment horizontal="left" vertical="top" wrapText="1"/>
    </xf>
    <xf numFmtId="0" fontId="4" fillId="7" borderId="1" applyAlignment="1" pivotButton="0" quotePrefix="0" xfId="0">
      <alignment horizontal="left" vertical="top" wrapText="1"/>
    </xf>
    <xf numFmtId="0" fontId="5" fillId="7" borderId="1" applyAlignment="1" pivotButton="0" quotePrefix="0" xfId="0">
      <alignment horizontal="left" vertical="top" wrapText="1"/>
    </xf>
    <xf numFmtId="0" fontId="5" fillId="0" borderId="1" applyAlignment="1" pivotButton="0" quotePrefix="0" xfId="0">
      <alignment horizontal="center" vertical="top" wrapText="1"/>
    </xf>
    <xf numFmtId="0" fontId="8"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8" borderId="1" applyAlignment="1" pivotButton="0" quotePrefix="0" xfId="0">
      <alignment horizontal="center" vertical="top" wrapText="1"/>
    </xf>
    <xf numFmtId="0" fontId="4" fillId="8" borderId="1" applyAlignment="1" pivotButton="0" quotePrefix="0" xfId="0">
      <alignment horizontal="center" vertical="top" wrapText="1"/>
    </xf>
    <xf numFmtId="0" fontId="8" fillId="8" borderId="1" applyAlignment="1" pivotButton="0" quotePrefix="0" xfId="0">
      <alignment horizontal="left" vertical="top" wrapText="1"/>
    </xf>
    <xf numFmtId="0" fontId="4" fillId="8" borderId="1" applyAlignment="1" pivotButton="0" quotePrefix="0" xfId="0">
      <alignment horizontal="left" vertical="top" wrapText="1"/>
    </xf>
    <xf numFmtId="0" fontId="5" fillId="8" borderId="1" applyAlignment="1" pivotButton="0" quotePrefix="0" xfId="0">
      <alignment horizontal="left" vertical="top" wrapText="1"/>
    </xf>
    <xf numFmtId="0" fontId="8" fillId="0" borderId="1" applyAlignment="1" pivotButton="0" quotePrefix="0" xfId="0">
      <alignment horizontal="center" vertical="top" wrapText="1"/>
    </xf>
    <xf numFmtId="0" fontId="5" fillId="2" borderId="1" applyAlignment="1" pivotButton="0" quotePrefix="0" xfId="0">
      <alignment horizontal="center" vertical="top" wrapText="1"/>
    </xf>
    <xf numFmtId="0" fontId="4" fillId="2" borderId="1" applyAlignment="1" pivotButton="0" quotePrefix="0" xfId="0">
      <alignment horizontal="center" vertical="top" wrapText="1"/>
    </xf>
    <xf numFmtId="0" fontId="4" fillId="3" borderId="1" applyAlignment="1" pivotButton="0" quotePrefix="0" xfId="0">
      <alignment horizontal="left" vertical="top" wrapText="1"/>
    </xf>
    <xf numFmtId="0" fontId="5" fillId="2" borderId="1" applyAlignment="1" pivotButton="0" quotePrefix="0" xfId="0">
      <alignment horizontal="left" vertical="top" wrapText="1"/>
    </xf>
    <xf numFmtId="0" fontId="5" fillId="3" borderId="1" applyAlignment="1" pivotButton="0" quotePrefix="0" xfId="0">
      <alignment horizontal="center" vertical="top" wrapText="1"/>
    </xf>
    <xf numFmtId="0" fontId="6" fillId="0" borderId="1" applyAlignment="1" pivotButton="0" quotePrefix="0" xfId="0">
      <alignment horizontal="left" vertical="top" wrapText="1"/>
    </xf>
    <xf numFmtId="0" fontId="6" fillId="7" borderId="1" applyAlignment="1" pivotButton="0" quotePrefix="0" xfId="0">
      <alignment horizontal="left" vertical="top" wrapText="1"/>
    </xf>
    <xf numFmtId="0" fontId="6" fillId="7" borderId="1" applyAlignment="1" pivotButton="0" quotePrefix="0" xfId="0">
      <alignment horizontal="center" vertical="top" wrapText="1"/>
    </xf>
    <xf numFmtId="0" fontId="6" fillId="0" borderId="1" applyAlignment="1" pivotButton="0" quotePrefix="0" xfId="0">
      <alignment horizontal="center" vertical="top" wrapText="1"/>
    </xf>
    <xf numFmtId="0" fontId="2" fillId="0" borderId="0" applyAlignment="1" pivotButton="0" quotePrefix="0" xfId="0">
      <alignment horizontal="left" vertical="top" wrapText="1"/>
    </xf>
    <xf numFmtId="0" fontId="8"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showGridLines="0" workbookViewId="0">
      <selection activeCell="A1" sqref="A1"/>
    </sheetView>
  </sheetViews>
  <sheetFormatPr baseColWidth="8" defaultRowHeight="15"/>
  <cols>
    <col width="26" customWidth="1" min="1" max="1"/>
    <col width="62" customWidth="1" min="2" max="2"/>
    <col width="30" customWidth="1" min="3" max="3"/>
    <col width="30" customWidth="1" min="4" max="4"/>
  </cols>
  <sheetData>
    <row r="1" ht="26" customHeight="1">
      <c r="A1" s="1" t="inlineStr">
        <is>
          <t>Mill Smart Log — Test Case Blackbox (RINGKAS)</t>
        </is>
      </c>
    </row>
    <row r="2" ht="30" customHeight="1">
      <c r="A2" s="2" t="inlineStr">
        <is>
          <t>Pengujian fungsional Web dan Mobile. 170 kasus unik, ± 1.382 jalan, 154 layar tercakup. VERSI RINGKAS — empat kasus komponen bersama dipangkas dari 18× ke 3×; lihat kotak merah di bawah.</t>
        </is>
      </c>
    </row>
    <row r="4" ht="24" customHeight="1">
      <c r="A4" s="3" t="inlineStr">
        <is>
          <t>Isi berkas ini</t>
        </is>
      </c>
    </row>
    <row r="5" ht="45" customHeight="1">
      <c r="A5" s="4" t="inlineStr">
        <is>
          <t>Kasus Uji</t>
        </is>
      </c>
      <c r="B5" s="5" t="inlineStr">
        <is>
          <t>Satu baris per JALAN — 1.382 baris. Kasus yang berlaku di 18 stasiun sudah dijabarkan menjadi 18 baris, dan nama stasiunnya ada DI DALAM langkahnya. Kolom berlatar kuning diisi penguji.</t>
        </is>
      </c>
      <c r="C5" s="6" t="n"/>
      <c r="D5" s="7" t="n"/>
    </row>
    <row r="6" ht="30" customHeight="1">
      <c r="A6" s="4" t="inlineStr">
        <is>
          <t>Rekap</t>
        </is>
      </c>
      <c r="B6" s="5" t="inlineStr">
        <is>
          <t>Hitungan otomatis Lulus/Gagal/Tidak diuji per bagian. Terisi sendiri dari Kasus Uji.</t>
        </is>
      </c>
      <c r="C6" s="6" t="n"/>
      <c r="D6" s="7" t="n"/>
    </row>
    <row r="7" ht="16" customHeight="1">
      <c r="A7" s="4" t="inlineStr">
        <is>
          <t>Lingkungan &amp; Akun</t>
        </is>
      </c>
      <c r="B7" s="5" t="inlineStr">
        <is>
          <t>Yang harus disiapkan sebelum menguji, 6 akun uji, dan matriks peran.</t>
        </is>
      </c>
      <c r="C7" s="6" t="n"/>
      <c r="D7" s="7" t="n"/>
    </row>
    <row r="8" ht="16" customHeight="1">
      <c r="A8" s="4" t="inlineStr">
        <is>
          <t>Matriks Stasiun</t>
        </is>
      </c>
      <c r="B8" s="5" t="inlineStr">
        <is>
          <t>18 stasiun beserta keanehan masing-masing yang perlu diperhatikan.</t>
        </is>
      </c>
      <c r="C8" s="6" t="n"/>
      <c r="D8" s="7" t="n"/>
    </row>
    <row r="9" ht="30" customHeight="1">
      <c r="A9" s="4" t="inlineStr">
        <is>
          <t>Sudah Diketahui</t>
        </is>
      </c>
      <c r="B9" s="5" t="inlineStr">
        <is>
          <t>Dua daftar yang WAJIB dibaca sebelum melapor: catatan yang sudah diketahui tim, dan hal yang terlihat seperti bug tetapi bukan.</t>
        </is>
      </c>
      <c r="C9" s="6" t="n"/>
      <c r="D9" s="7" t="n"/>
    </row>
    <row r="11" ht="24" customHeight="1">
      <c r="A11" s="3" t="inlineStr">
        <is>
          <t>Mengapa ada "pola" dan bukan 108 set kasus</t>
        </is>
      </c>
    </row>
    <row r="12" ht="45" customHeight="1">
      <c r="A12" s="4" t="inlineStr">
        <is>
          <t>Alasannya</t>
        </is>
      </c>
      <c r="B12" s="5" t="inlineStr">
        <is>
          <t>Monitor, Form, dan Data Preview (mobile) serta Data Browser, Detail, dan Form (web) berbentuk sama di ke-18 stasiun. Polanya ditulis sekali lalu dijalankan 18×; yang berbeda per stasiun ada di sheet Matriks Stasiun.</t>
        </is>
      </c>
      <c r="C12" s="6" t="n"/>
      <c r="D12" s="7" t="n"/>
    </row>
    <row r="13" ht="45" customHeight="1">
      <c r="A13" s="4" t="inlineStr">
        <is>
          <t>Akibatnya</t>
        </is>
      </c>
      <c r="B13" s="5" t="inlineStr">
        <is>
          <t>Kolom "Jml Jalan" di sheet Kasus Uji menyebut berapa kali satu kasus dijalankan. 18× berarti sekali per stasiun, 11× sekali per stasiun yang sudah punya laporan.</t>
        </is>
      </c>
      <c r="C13" s="6" t="n"/>
      <c r="D13" s="7" t="n"/>
    </row>
    <row r="15" ht="24" customHeight="1">
      <c r="A15" s="3" t="inlineStr">
        <is>
          <t>Tingkat pengujian — baca ini kalau waktunya terbatas</t>
        </is>
      </c>
    </row>
    <row r="16" ht="60" customHeight="1">
      <c r="A16" s="4" t="inlineStr">
        <is>
          <t>Masalahnya</t>
        </is>
      </c>
      <c r="B16" s="5" t="inlineStr">
        <is>
          <t>Daftar penuh 1.382 jalan mencampur dua pertanyaan berbeda: "apakah setiap alur bekerja" dan "apakah ke-18 implementasi stasiun bekerja". Yang pertama butuh 170 jalan; yang kedua butuh sisanya. Kolom Tingkat memisahkannya tanpa membuang apa pun.</t>
        </is>
      </c>
      <c r="C16" s="6" t="n"/>
      <c r="D16" s="7" t="n"/>
    </row>
    <row r="17" ht="75" customHeight="1">
      <c r="A17" s="4" t="inlineStr">
        <is>
          <t>Tingkat 1 — ALUR (170 jalan)</t>
        </is>
      </c>
      <c r="B17" s="5" t="inlineStr">
        <is>
          <t>Setiap kasus SEKALI, pada stasiun wakil. Menyelesaikan tingkat ini berarti setiap alur sistem sudah pernah dijalankan dan setiap kasus terbukti dapat dieksekusi. Stasiun wakilnya Depricarping (9 kolom bacaan, downtime, temuan, punya master target — paling banyak melewati cabang), Kernel Plant untuk laporan, Business Unit untuk Kelola.</t>
        </is>
      </c>
      <c r="C17" s="6" t="n"/>
      <c r="D17" s="7" t="n"/>
    </row>
    <row r="18" ht="60" customHeight="1">
      <c r="A18" s="4" t="inlineStr">
        <is>
          <t>Tingkat 2 — KABEL (88 jalan)</t>
        </is>
      </c>
      <c r="B18" s="5" t="inlineStr">
        <is>
          <t>Lima kasus pada 17 stasiun sisanya: MB-FORM-01, MB-PRV-06, WB-FRM-01, WB-BRW-03, WB-DTL-03 (plus LP-W-01 untuk 10 laporan sisanya). Kelimanya yang gagal kalau satu stasiun salah dikabel — jalur tulis, jalur baca, dan penurunan hitungannya.</t>
        </is>
      </c>
      <c r="C18" s="6" t="n"/>
      <c r="D18" s="7" t="n"/>
    </row>
    <row r="19" ht="45" customHeight="1">
      <c r="A19" s="4" t="inlineStr">
        <is>
          <t>Tingkat 1+2 = 258 jalan</t>
        </is>
      </c>
      <c r="B19" s="5" t="inlineStr">
        <is>
          <t>Ini cakupan yang masuk akal untuk satu putaran manual: 19% dari daftar penuh, sudah melewati setiap alur sekali plus pengabelan setiap stasiun. Saring kolom Tingkat ke 1 dan 2.</t>
        </is>
      </c>
      <c r="C19" s="6" t="n"/>
      <c r="D19" s="7" t="n"/>
    </row>
    <row r="20" ht="30" customHeight="1">
      <c r="A20" s="4" t="inlineStr">
        <is>
          <t>Tingkat 3 — SISA (1.124 jalan)</t>
        </is>
      </c>
      <c r="B20" s="5" t="inlineStr">
        <is>
          <t>Pengulangan penuh. Untuk putaran rilis, atau ketika satu stasiun berubah — saring Tingkat 3 pada stasiun itu saja.</t>
        </is>
      </c>
      <c r="C20" s="6" t="n"/>
      <c r="D20" s="7" t="n"/>
    </row>
    <row r="21" ht="75" customHeight="1">
      <c r="A21" s="4" t="inlineStr">
        <is>
          <t>YANG HILANG, dinyatakan terbuka</t>
        </is>
      </c>
      <c r="B21" s="5" t="inlineStr">
        <is>
          <t>Tingkat 1+2 TIDAK membuktikan ke-18 stasiun berperilaku benar pada setiap cabang. Setiap stasiun punya layar dan aturannya sendiri, jadi hasil baik di satu stasiun tidak menjamin stasiun lain — dan temuan yang pernah ada memang hanya muncul di satu stasiun, bukan di semuanya. Melewatkan Tingkat 3 adalah keputusan risiko, bukan penghematan gratis.</t>
        </is>
      </c>
      <c r="C21" s="6" t="n"/>
      <c r="D21" s="7" t="n"/>
    </row>
    <row r="22" ht="90" customHeight="1">
      <c r="A22" s="4" t="inlineStr">
        <is>
          <t>Lebih dulu dari memangkas</t>
        </is>
      </c>
      <c r="B22" s="5" t="inlineStr">
        <is>
          <t>Pangkas waktu PENYIAPAN, bukan cakupan. Minta tim pengembang menyiapkan satu basis data uji berisi data contoh: dua mill, Production Line dengan stasiun aktif untuk setiap jenis, satu Production Line yang sengaja TIDAK punya stasiun tertentu (prasyarat MB-FORM-15 dan WB-FRM-07), dan satu akun per peran. Menguji di basis data itu membuat banyak langkah "Siapkan…" gugur, dan cakupannya tidak berkurang sedikit pun.</t>
        </is>
      </c>
      <c r="C22" s="6" t="n"/>
      <c r="D22" s="7" t="n"/>
    </row>
    <row r="24" ht="24" customHeight="1">
      <c r="A24" s="3" t="inlineStr">
        <is>
          <t>Aturan pengisian kolom Hasil</t>
        </is>
      </c>
    </row>
    <row r="25" ht="16" customHeight="1">
      <c r="A25" s="4" t="inlineStr">
        <is>
          <t>Lulus</t>
        </is>
      </c>
      <c r="B25" s="5" t="inlineStr">
        <is>
          <t>Yang terlihat SAMA dengan Hasil Diharapkan, seluruhnya.</t>
        </is>
      </c>
      <c r="C25" s="6" t="n"/>
      <c r="D25" s="7" t="n"/>
    </row>
    <row r="26" ht="30" customHeight="1">
      <c r="A26" s="4" t="inlineStr">
        <is>
          <t>Gagal</t>
        </is>
      </c>
      <c r="B26" s="5" t="inlineStr">
        <is>
          <t>Ada perbedaan. Tulis APA YANG TERLIHAT di kolom Catatan, bukan dugaan sebabnya.</t>
        </is>
      </c>
      <c r="C26" s="6" t="n"/>
      <c r="D26" s="7" t="n"/>
    </row>
    <row r="27" ht="16" customHeight="1">
      <c r="A27" s="4" t="inlineStr">
        <is>
          <t>Tidak diuji</t>
        </is>
      </c>
      <c r="B27" s="5" t="inlineStr">
        <is>
          <t>Prasyaratnya tidak dapat disiapkan. JANGAN ditandai Lulus.</t>
        </is>
      </c>
      <c r="C27" s="6" t="n"/>
      <c r="D27" s="7" t="n"/>
    </row>
    <row r="28" ht="30" customHeight="1">
      <c r="A28" s="4" t="inlineStr">
        <is>
          <t>Terhalang</t>
        </is>
      </c>
      <c r="B28" s="5" t="inlineStr">
        <is>
          <t>Kasus lain yang gagal membuat kasus ini tidak bisa dijalankan. Sebut ID penghalangnya.</t>
        </is>
      </c>
      <c r="C28" s="6" t="n"/>
      <c r="D28" s="7" t="n"/>
    </row>
    <row r="30" ht="24" customHeight="1">
      <c r="A30" s="3" t="inlineStr">
        <is>
          <t>Sebelum menutup satu putaran</t>
        </is>
      </c>
    </row>
    <row r="31" ht="45" customHeight="1">
      <c r="A31" s="4" t="inlineStr">
        <is>
          <t>Periksa tiga hal</t>
        </is>
      </c>
      <c r="B31" s="5" t="inlineStr">
        <is>
          <t>1) Setiap kasus Prioritas Tinggi punya Hasil, bukan sel kosong. 2) Setiap baris Gagal punya No. Bug. 3) Setiap baris Tidak diuji menyebut prasyarat mana yang tak bisa disiapkan.</t>
        </is>
      </c>
      <c r="C31" s="6" t="n"/>
      <c r="D31" s="7" t="n"/>
    </row>
    <row r="33" ht="190" customHeight="1">
      <c r="A33" s="8" t="inlineStr">
        <is>
          <t>VERSI RINGKAS — BACA SEBELUM MEMAKAI</t>
        </is>
      </c>
      <c r="B33" s="9" t="inlineStr">
        <is>
          <t>Empat kasus dipangkas dari 18x menjadi 3x, menghemat 60 jalan (1.509 menjadi 1.449):
  - MB-PRV-02, MB-PRV-04, MB-PRV-08 menguji panel filter
  - MB-PRV-07 menguji panel verifikasi
Ketiganya memeriksa panel filter dan panel verifikasi yang SAMA di ke-18 layar Data Preview — satu tampilan yang dipakai bersama, jadi perilakunya tidak dapat berbeda per stasiun. Dijalankan pada tiga stasiun berbeda bentuk (Depricarping 24-slot, Weighbridge per-transaksi, Effluent Plant berkolom status).
RISIKONYA, dinyatakan terbuka: kalau kelak salah satu layar Data Preview berhenti memakai komponen itu dan menulis filternya sendiri, pemangkasan ini tidak akan menangkapnya. Versi PENUH tetap ada di berkas tanpa akhiran "-Ringkas" — pakai itu untuk putaran rilis.
TIDAK dipangkas meski juga 18x: breadcrumb (MB-MON-06) ditulis ulang di setiap view, bukan komponen bersama; dan ke-18 stasiun punya service, Form, serta Data Preview-nya sendiri-sendiri — bug di satu stasiun tidak mengatakan apa pun tentang yang lain.</t>
        </is>
      </c>
      <c r="C33" s="6" t="n"/>
      <c r="D33" s="7" t="n"/>
    </row>
    <row r="35" ht="44" customHeight="1">
      <c r="A35" s="8" t="inlineStr">
        <is>
          <t>Kasus yang prasyaratnya tidak tersedia BUKAN kasus yang lulus. Menandainya Lulus membuat laporan pengujian menyatakan sesuatu yang tidak pernah diperiksa — dan itu lebih berbahaya daripada kolom yang dibiarkan kosong.</t>
        </is>
      </c>
      <c r="B35" s="6" t="n"/>
      <c r="C35" s="6" t="n"/>
      <c r="D35" s="7" t="n"/>
    </row>
  </sheetData>
  <mergeCells count="28">
    <mergeCell ref="A35:D35"/>
    <mergeCell ref="A4:D4"/>
    <mergeCell ref="B8:D8"/>
    <mergeCell ref="B17:D17"/>
    <mergeCell ref="B13:D13"/>
    <mergeCell ref="B28:D28"/>
    <mergeCell ref="B19:D19"/>
    <mergeCell ref="A30:D30"/>
    <mergeCell ref="B9:D9"/>
    <mergeCell ref="A15:D15"/>
    <mergeCell ref="A24:D24"/>
    <mergeCell ref="A11:D11"/>
    <mergeCell ref="B6:D6"/>
    <mergeCell ref="B20:D20"/>
    <mergeCell ref="B33:D33"/>
    <mergeCell ref="A1:D1"/>
    <mergeCell ref="B5:D5"/>
    <mergeCell ref="B26:D26"/>
    <mergeCell ref="B7:D7"/>
    <mergeCell ref="B25:D25"/>
    <mergeCell ref="B16:D16"/>
    <mergeCell ref="B31:D31"/>
    <mergeCell ref="B22:D22"/>
    <mergeCell ref="B18:D18"/>
    <mergeCell ref="B27:D27"/>
    <mergeCell ref="B21:D21"/>
    <mergeCell ref="A2:D2"/>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386"/>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6" customWidth="1" min="3" max="3"/>
    <col width="12" customWidth="1" min="4" max="4"/>
    <col width="22" customWidth="1" min="5" max="5"/>
    <col width="17" customWidth="1" min="6" max="6"/>
    <col width="32" customWidth="1" min="7" max="7"/>
    <col width="14" customWidth="1" min="8" max="8"/>
    <col width="24" customWidth="1" min="9" max="9"/>
    <col width="54" customWidth="1" min="10" max="10"/>
    <col width="54" customWidth="1" min="11" max="11"/>
    <col width="9" customWidth="1" min="12" max="12"/>
    <col width="30" customWidth="1" min="13" max="13"/>
    <col width="11" customWidth="1" min="14" max="14"/>
    <col width="13" customWidth="1" min="15" max="15"/>
    <col width="13" customWidth="1" min="16" max="16"/>
    <col width="11" customWidth="1" min="17" max="17"/>
    <col width="32" customWidth="1" min="18" max="18"/>
  </cols>
  <sheetData>
    <row r="1" ht="26" customHeight="1">
      <c r="A1" s="1" t="inlineStr">
        <is>
          <t>Kasus Uji — setiap jalan dijabarkan satu baris (RINGKAS)</t>
        </is>
      </c>
    </row>
    <row r="2" ht="30" customHeight="1">
      <c r="A2" s="2" t="inlineStr">
        <is>
          <t>Kasus yang berlaku di 18 stasiun dijabarkan menjadi 18 baris, masing-masing menyebut stasiunnya DI DALAM langkahnya — tidak ada lagi "18×" yang harus diterjemahkan sendiri. Kolom berlatar kuning diisi penguji.</t>
        </is>
      </c>
    </row>
    <row r="4" ht="28" customHeight="1">
      <c r="A4" s="10" t="inlineStr">
        <is>
          <t>No</t>
        </is>
      </c>
      <c r="B4" s="10" t="inlineStr">
        <is>
          <t>Tingkat</t>
        </is>
      </c>
      <c r="C4" s="10" t="inlineStr">
        <is>
          <t>ID Jalan</t>
        </is>
      </c>
      <c r="D4" s="10" t="inlineStr">
        <is>
          <t>ID Kasus</t>
        </is>
      </c>
      <c r="E4" s="10" t="inlineStr">
        <is>
          <t>Stasiun / Varian</t>
        </is>
      </c>
      <c r="F4" s="10" t="inlineStr">
        <is>
          <t>Bagian</t>
        </is>
      </c>
      <c r="G4" s="10" t="inlineStr">
        <is>
          <t>Judul</t>
        </is>
      </c>
      <c r="H4" s="10" t="inlineStr">
        <is>
          <t>Peran</t>
        </is>
      </c>
      <c r="I4" s="10" t="inlineStr">
        <is>
          <t>Prasyarat</t>
        </is>
      </c>
      <c r="J4" s="10" t="inlineStr">
        <is>
          <t>Langkah</t>
        </is>
      </c>
      <c r="K4" s="10" t="inlineStr">
        <is>
          <t>Hasil Diharapkan</t>
        </is>
      </c>
      <c r="L4" s="10" t="inlineStr">
        <is>
          <t>Prioritas</t>
        </is>
      </c>
      <c r="M4" s="10" t="inlineStr">
        <is>
          <t>Catatan QA</t>
        </is>
      </c>
      <c r="N4" s="10" t="inlineStr">
        <is>
          <t>Tanggal</t>
        </is>
      </c>
      <c r="O4" s="10" t="inlineStr">
        <is>
          <t>Penguji</t>
        </is>
      </c>
      <c r="P4" s="10" t="inlineStr">
        <is>
          <t>Hasil</t>
        </is>
      </c>
      <c r="Q4" s="10" t="inlineStr">
        <is>
          <t>No. Bug</t>
        </is>
      </c>
      <c r="R4" s="10" t="inlineStr">
        <is>
          <t>Catatan / apa yang terlihat</t>
        </is>
      </c>
    </row>
    <row r="5" ht="175.6" customHeight="1">
      <c r="A5" s="11" t="n">
        <v>1</v>
      </c>
      <c r="B5" s="12" t="n">
        <v>1</v>
      </c>
      <c r="C5" s="13" t="inlineStr">
        <is>
          <t>LS-01</t>
        </is>
      </c>
      <c r="D5" s="13" t="inlineStr">
        <is>
          <t>LS-01</t>
        </is>
      </c>
      <c r="E5" s="14" t="inlineStr">
        <is>
          <t>—</t>
        </is>
      </c>
      <c r="F5" s="14" t="inlineStr">
        <is>
          <t>Aturan lintas-sistem (LS-)</t>
        </is>
      </c>
      <c r="G5" s="15" t="inlineStr">
        <is>
          <t>Peran yang tidak berhak ditolak dengan halaman 403, bukan halaman kosong</t>
        </is>
      </c>
      <c r="H5" s="14" t="inlineStr">
        <is>
          <t>semua, bergantian</t>
        </is>
      </c>
      <c r="I5" s="14" t="inlineStr">
        <is>
          <t>matriks peran bagian 1.3 dibaca lebih dulu</t>
        </is>
      </c>
      <c r="J5" s="14" t="inlineStr">
        <is>
          <t>1. Login di web (buka /login, isi username dan password akun pada kolom Peran, tekan Login) sebagai salah satu peran.
2. Buka matriks peran bagian 1.3. Pilih satu baris yang bertanda "—" untuk peran itu.
3. Ketik alamat layar itu langsung di bilah alamat browser (lihat tabel bagian 0.3) — jangan lewat menu, karena menunya memang tidak akan muncul.
4. Tekan Enter.
5. Ulangi langkah 2–4 untuk setiap baris bertanda "—" pada peran itu.
6. Ulangi seluruh kasus untuk keempat peran.</t>
        </is>
      </c>
      <c r="K5" s="14" t="inlineStr">
        <is>
          <t>- Muncul halaman 403 / Akses Ditolak berbahasa Indonesia.
- Halaman 403 itu masih berada di dalam kerangka aplikasi — sidebar dan tombol Logout masih ada.
- BUKAN halaman putih, BUKAN pesan galat teknis (stack trace, "Server Error", kode dalam bahasa Inggris).
- BUKAN dialihkan diam-diam ke beranda: alamat di bilah alamat tetap alamat yang diketik.</t>
        </is>
      </c>
      <c r="L5" s="16" t="inlineStr">
        <is>
          <t>Tinggi</t>
        </is>
      </c>
      <c r="M5" s="14" t="inlineStr"/>
      <c r="N5" s="17" t="n"/>
      <c r="O5" s="17" t="n"/>
      <c r="P5" s="17" t="n"/>
      <c r="Q5" s="17" t="n"/>
      <c r="R5" s="17" t="n"/>
    </row>
    <row r="6" ht="136" customHeight="1">
      <c r="A6" s="11" t="n">
        <v>2</v>
      </c>
      <c r="B6" s="12" t="n">
        <v>1</v>
      </c>
      <c r="C6" s="13" t="inlineStr">
        <is>
          <t>LS-02</t>
        </is>
      </c>
      <c r="D6" s="13" t="inlineStr">
        <is>
          <t>LS-02</t>
        </is>
      </c>
      <c r="E6" s="14" t="inlineStr">
        <is>
          <t>—</t>
        </is>
      </c>
      <c r="F6" s="14" t="inlineStr">
        <is>
          <t>Aturan lintas-sistem (LS-)</t>
        </is>
      </c>
      <c r="G6" s="15" t="inlineStr">
        <is>
          <t>Menu yang tidak boleh diakses juga tidak muncul di sidebar</t>
        </is>
      </c>
      <c r="H6" s="14" t="inlineStr">
        <is>
          <t>semua, bergantian</t>
        </is>
      </c>
      <c r="I6" s="14" t="inlineStr">
        <is>
          <t>—</t>
        </is>
      </c>
      <c r="J6" s="14" t="inlineStr">
        <is>
          <t>1. Login di web (buka /login, isi username dan password akun pada kolom Peran, tekan Login) sebagai salah satu peran.
2. Baca seluruh isi sidebar dari atas ke bawah, catat setiap menu yang terlihat.
3. Bandingkan catatan itu dengan kolom peran tersebut pada matriks bagian 1.3.
4. Klik setiap menu yang terlihat, satu per satu.
5. Ulangi untuk keempat peran.</t>
        </is>
      </c>
      <c r="K6" s="14" t="inlineStr">
        <is>
          <t>- Sidebar hanya memuat menu yang bertanda ✓ untuk peran itu di matriks 1.3.
- Tidak ada menu yang bertanda "—" tetapi tetap terlihat.
- Setiap menu yang diklik terbuka — tidak ada satu pun yang menjawab 403. Menu yang terlihat tapi menolak saat diklik adalah bug.</t>
        </is>
      </c>
      <c r="L6" s="16" t="inlineStr">
        <is>
          <t>Tinggi</t>
        </is>
      </c>
      <c r="M6" s="14" t="inlineStr"/>
      <c r="N6" s="17" t="n"/>
      <c r="O6" s="17" t="n"/>
      <c r="P6" s="17" t="n"/>
      <c r="Q6" s="17" t="n"/>
      <c r="R6" s="17" t="n"/>
    </row>
    <row r="7" ht="228.4" customHeight="1">
      <c r="A7" s="11" t="n">
        <v>3</v>
      </c>
      <c r="B7" s="12" t="n">
        <v>1</v>
      </c>
      <c r="C7" s="13" t="inlineStr">
        <is>
          <t>LS-03</t>
        </is>
      </c>
      <c r="D7" s="13" t="inlineStr">
        <is>
          <t>LS-03</t>
        </is>
      </c>
      <c r="E7" s="14" t="inlineStr">
        <is>
          <t>—</t>
        </is>
      </c>
      <c r="F7" s="14" t="inlineStr">
        <is>
          <t>Aturan lintas-sistem (LS-)</t>
        </is>
      </c>
      <c r="G7" s="15" t="inlineStr">
        <is>
          <t>Data mill lain tidak pernah terlihat</t>
        </is>
      </c>
      <c r="H7" s="14" t="inlineStr">
        <is>
          <t>SPV-A, lalu SPV-B</t>
        </is>
      </c>
      <c r="I7" s="14" t="inlineStr">
        <is>
          <t>Mill A dan Mill B keduanya punya record pada tanggal yang sama</t>
        </is>
      </c>
      <c r="J7" s="14" t="inlineStr">
        <is>
          <t>1. Login di web (buka /login, isi username dan password akun pada kolom Peran, tekan Login) sebagai SPV-A.
2. Login di web, lalu sidebar &gt; Data &gt; &lt;Stasiun&gt; (/data/&lt;stasiun&gt;) untuk satu stasiun. Catat jumlah data yang tertulis dan seluruh nama Production Line yang muncul di pemilih maupun di tabel.
3. Buka pemilih Production Line dan catat seluruh pilihannya.
4. Logout.
5. Login di web (buka /login, isi username dan password akun pada kolom Peran, tekan Login) sebagai SPV-B, lalu buka layar yang sama.
6. Bandingkan dengan catatan langkah 2 dan 3.</t>
        </is>
      </c>
      <c r="K7" s="14" t="inlineStr">
        <is>
          <t>- SPV-B tidak melihat satu pun record milik Mill A.
- SPV-B tidak melihat satu pun nama Production Line Mill A — tidak di pemilih, tidak di tabel, tidak di keterangan mana pun.
- Jumlah datanya berbeda, dan yang terlihat hanya milik Mill B.</t>
        </is>
      </c>
      <c r="L7" s="16" t="inlineStr">
        <is>
          <t>Tinggi</t>
        </is>
      </c>
      <c r="M7" s="14" t="inlineStr"/>
      <c r="N7" s="17" t="n"/>
      <c r="O7" s="17" t="n"/>
      <c r="P7" s="17" t="n"/>
      <c r="Q7" s="17" t="n"/>
      <c r="R7" s="17" t="n"/>
    </row>
    <row r="8" ht="268" customHeight="1">
      <c r="A8" s="11" t="n">
        <v>4</v>
      </c>
      <c r="B8" s="12" t="n">
        <v>1</v>
      </c>
      <c r="C8" s="13" t="inlineStr">
        <is>
          <t>LS-04</t>
        </is>
      </c>
      <c r="D8" s="13" t="inlineStr">
        <is>
          <t>LS-04</t>
        </is>
      </c>
      <c r="E8" s="14" t="inlineStr">
        <is>
          <t>—</t>
        </is>
      </c>
      <c r="F8" s="14" t="inlineStr">
        <is>
          <t>Aturan lintas-sistem (LS-)</t>
        </is>
      </c>
      <c r="G8" s="15" t="inlineStr">
        <is>
          <t>Akun tanpa mill ditolak dengan pesan yang menyebut sebabnya</t>
        </is>
      </c>
      <c r="H8" s="14" t="inlineStr">
        <is>
          <t>NOMILL</t>
        </is>
      </c>
      <c r="I8" s="14" t="inlineStr">
        <is>
          <t>akun Supervisor yang kolom mill-nya kosong</t>
        </is>
      </c>
      <c r="J8" s="14" t="inlineStr">
        <is>
          <t>1. Buka /login. Isi username dan password NOMILL (akun Supervisor yang kolom mill-nya kosong), tekan Login.
2. Baca pesan yang muncul kata per kata.
3. Bila ternyata berhasil masuk, lanjutkan: Login di web, lalu sidebar &gt; Data &gt; &lt;Stasiun&gt; (/data/&lt;stasiun&gt;) satu stasiun, Login di web, sidebar &gt; Laporan Stasiun (/reports), tekan tile &lt;Stasiun&gt; (/reports/&lt;stasiun&gt;), lalu pilih Periode dan Production Line satu stasiun, lalu Login di web, lalu sidebar &gt; Dashboard (/dashboard). Baca isi ketiga layar.</t>
        </is>
      </c>
      <c r="K8" s="14" t="inlineStr">
        <is>
          <t>- Akun itu ditolak, bukan dibiarkan masuk lalu melihat layar kosong. Boleh ditolak di Login (tidak pernah sampai ke layar mana pun), boleh juga masuk lalu setiap layar menampilkan pesannya — keduanya sama-sama benar, selama penolakannya disebutkan sebabnya.
- Pesannya menyebut mill — misalnya "Akun Anda belum terhubung ke mill" — atau kalimat sepadan yang menyebut mill.
- Pesannya mengarahkan tindakan (mis. menghubungi Admin), bukan sekadar menyatakan ada yang tidak sesuai.
- Pesannya tidak menyebut pilihan yang tidak pernah dibuat pengguna. Layar Login hanya meminta username dan password; pesan yang menyebut sesuatu "yang dipilih" mengirim pengguna mencari pilihan yang tidak ada.
- BUKAN tabel kosong. BUKAN angka nol. BUKAN daftar seluruh mill. BUKAN pesan periksa koneksi.</t>
        </is>
      </c>
      <c r="L8" s="16" t="inlineStr">
        <is>
          <t>Tinggi</t>
        </is>
      </c>
      <c r="M8" s="14" t="inlineStr">
        <is>
          <t>tabel kosong di sini adalah bug, bukan hasil yang benar. Tabel kosong terbaca "mill ini tidak punya data", padahal yang benar "akun Anda belum diatur". Hal yang sama berlaku untuk pesan yang benar menolak tetapi salah menyebut sebabnya.</t>
        </is>
      </c>
      <c r="N8" s="17" t="n"/>
      <c r="O8" s="17" t="n"/>
      <c r="P8" s="17" t="n"/>
      <c r="Q8" s="17" t="n"/>
      <c r="R8" s="17" t="n"/>
    </row>
    <row r="9" ht="96.39999999999999" customHeight="1">
      <c r="A9" s="11" t="n">
        <v>5</v>
      </c>
      <c r="B9" s="12" t="n">
        <v>1</v>
      </c>
      <c r="C9" s="13" t="inlineStr">
        <is>
          <t>LS-05</t>
        </is>
      </c>
      <c r="D9" s="13" t="inlineStr">
        <is>
          <t>LS-05</t>
        </is>
      </c>
      <c r="E9" s="14" t="inlineStr">
        <is>
          <t>—</t>
        </is>
      </c>
      <c r="F9" s="14" t="inlineStr">
        <is>
          <t>Aturan lintas-sistem (LS-)</t>
        </is>
      </c>
      <c r="G9" s="15" t="inlineStr">
        <is>
          <t>Hanya Admin melihat pemilih Mill</t>
        </is>
      </c>
      <c r="H9" s="14" t="inlineStr">
        <is>
          <t>SPV-A, MGR-A, ADM</t>
        </is>
      </c>
      <c r="I9" s="14" t="inlineStr">
        <is>
          <t>minimal 2 mill ada</t>
        </is>
      </c>
      <c r="J9" s="14" t="inlineStr">
        <is>
          <t>1. Login di web, sidebar &gt; Laporan Stasiun (/reports), tekan tile &lt;Stasiun&gt; (/reports/&lt;stasiun&gt;), lalu pilih Periode dan Production Line untuk satu stasiun sebagai SPV-A. Cari pemilih Mill di panel filter.
2. Logout. Ulangi sebagai MGR-A.
3. Logout. Ulangi sebagai ADM.</t>
        </is>
      </c>
      <c r="K9" s="14" t="inlineStr">
        <is>
          <t>- SPV-A: tidak ada pemilih Mill. Nama mill-nya hanya ditampilkan sebagai teks.
- MGR-A: sama — hanya ditampilkan, tidak dapat diubah.
- ADM: ada pemilih Mill, dan isinya memuat kedua mill.</t>
        </is>
      </c>
      <c r="L9" s="16" t="inlineStr">
        <is>
          <t>Tinggi</t>
        </is>
      </c>
      <c r="M9" s="14" t="inlineStr"/>
      <c r="N9" s="17" t="n"/>
      <c r="O9" s="17" t="n"/>
      <c r="P9" s="17" t="n"/>
      <c r="Q9" s="17" t="n"/>
      <c r="R9" s="17" t="n"/>
    </row>
    <row r="10" ht="136" customHeight="1">
      <c r="A10" s="11" t="n">
        <v>6</v>
      </c>
      <c r="B10" s="12" t="n">
        <v>1</v>
      </c>
      <c r="C10" s="13" t="inlineStr">
        <is>
          <t>LS-06</t>
        </is>
      </c>
      <c r="D10" s="13" t="inlineStr">
        <is>
          <t>LS-06</t>
        </is>
      </c>
      <c r="E10" s="14" t="inlineStr">
        <is>
          <t>—</t>
        </is>
      </c>
      <c r="F10" s="14" t="inlineStr">
        <is>
          <t>Aturan lintas-sistem (LS-)</t>
        </is>
      </c>
      <c r="G10" s="15" t="inlineStr">
        <is>
          <t>Sesi berakhir mengarahkan ke Login tanpa pesan jaringan</t>
        </is>
      </c>
      <c r="H10" s="14" t="inlineStr">
        <is>
          <t>semua</t>
        </is>
      </c>
      <c r="I10" s="14" t="inlineStr">
        <is>
          <t>sudah login; sesi/token dibuat kedaluwarsa (mis. akun dinonaktifkan Admin dari layar lain)</t>
        </is>
      </c>
      <c r="J10" s="14" t="inlineStr">
        <is>
          <t>1. Login di web (buka /login, isi username dan password akun pada kolom Peran, tekan Login) sebagai SPV-A. Biarkan layar terbuka.
2. Di jendela browser lain, Login di web, lalu sidebar &gt; Kelola User &amp; Role (/users) sebagai ADM dan nonaktifkan akun SPV-A.
3. Kembali ke jendela SPV-A. Lakukan satu tindakan apa pun: muat ulang halaman, ubah satu filter, atau tekan Simpan.
4. Baca pesan yang muncul.</t>
        </is>
      </c>
      <c r="K10" s="14" t="inlineStr">
        <is>
          <t>- Diarahkan ke layar Login.
- Pesannya menyebut sesi/akun — mis. sesi berakhir atau akun dinonaktifkan.
- Pesannya tidak menyuruh memeriksa koneksi atau jaringan. Kalau muncul "Periksa koneksi Anda", itu bug.</t>
        </is>
      </c>
      <c r="L10" s="16" t="inlineStr">
        <is>
          <t>Tinggi</t>
        </is>
      </c>
      <c r="M10" s="14" t="inlineStr">
        <is>
          <t>"Periksa koneksi Anda" pada sesi yang berakhir mengirim pengguna memeriksa sinyal — arah yang salah. Kalau pesan itu muncul, ini bug.</t>
        </is>
      </c>
      <c r="N10" s="17" t="n"/>
      <c r="O10" s="17" t="n"/>
      <c r="P10" s="17" t="n"/>
      <c r="Q10" s="17" t="n"/>
      <c r="R10" s="17" t="n"/>
    </row>
    <row r="11" ht="188.8" customHeight="1">
      <c r="A11" s="11" t="n">
        <v>7</v>
      </c>
      <c r="B11" s="12" t="n">
        <v>1</v>
      </c>
      <c r="C11" s="13" t="inlineStr">
        <is>
          <t>LS-07</t>
        </is>
      </c>
      <c r="D11" s="13" t="inlineStr">
        <is>
          <t>LS-07</t>
        </is>
      </c>
      <c r="E11" s="14" t="inlineStr">
        <is>
          <t>—</t>
        </is>
      </c>
      <c r="F11" s="14" t="inlineStr">
        <is>
          <t>Aturan lintas-sistem (LS-)</t>
        </is>
      </c>
      <c r="G11" s="15" t="inlineStr">
        <is>
          <t>Nol dirender sebagai pernyataan, bukan sebagai angka 0</t>
        </is>
      </c>
      <c r="H11" s="14" t="inlineStr">
        <is>
          <t>SPV-A</t>
        </is>
      </c>
      <c r="I11" s="14" t="inlineStr">
        <is>
          <t>satu stasiun / satu periode yang belum ada datanya sama sekali</t>
        </is>
      </c>
      <c r="J11" s="14" t="inlineStr">
        <is>
          <t>1. Siapkan satu stasiun atau satu periode yang belum ada datanya sama sekali.
2. Login di web, lalu sidebar &gt; Dashboard (/dashboard) sebagai SPV-A. Baca setiap angka di layar.
3. Login di web, sidebar &gt; Laporan Stasiun (/reports), tekan tile &lt;Stasiun&gt; (/reports/&lt;stasiun&gt;), lalu pilih Periode dan Production Line untuk stasiun/periode kosong itu. Baca setiap angka dan setiap kartu.
4. Login di web, lalu sidebar &gt; Production Process Activity (/production-process-activity). Baca tile stasiun yang belum ada datanya.</t>
        </is>
      </c>
      <c r="K11" s="14" t="inlineStr">
        <is>
          <t>- Tempat yang belum ada datanya berbunyi "belum ada input", "tidak tersedia", atau tanda pisah "—".
- BUKAN angka 0. BUKAN 0%. BUKAN 0,0.
- Angka 0 hanya muncul bila memang sudah diukur dan hasilnya nol — bukan untuk menyatakan ketiadaan data.</t>
        </is>
      </c>
      <c r="L11" s="11" t="inlineStr">
        <is>
          <t>Sedang</t>
        </is>
      </c>
      <c r="M11" s="14" t="inlineStr">
        <is>
          <t>angka 0 menyatakan "sudah diukur, hasilnya nol". Belum ada data adalah hal berbeda, dan keduanya tidak boleh terlihat sama.</t>
        </is>
      </c>
      <c r="N11" s="17" t="n"/>
      <c r="O11" s="17" t="n"/>
      <c r="P11" s="17" t="n"/>
      <c r="Q11" s="17" t="n"/>
      <c r="R11" s="17" t="n"/>
    </row>
    <row r="12" ht="175.6" customHeight="1">
      <c r="A12" s="11" t="n">
        <v>8</v>
      </c>
      <c r="B12" s="12" t="n">
        <v>1</v>
      </c>
      <c r="C12" s="13" t="inlineStr">
        <is>
          <t>LS-08</t>
        </is>
      </c>
      <c r="D12" s="13" t="inlineStr">
        <is>
          <t>LS-08</t>
        </is>
      </c>
      <c r="E12" s="14" t="inlineStr">
        <is>
          <t>—</t>
        </is>
      </c>
      <c r="F12" s="14" t="inlineStr">
        <is>
          <t>Aturan lintas-sistem (LS-)</t>
        </is>
      </c>
      <c r="G12" s="15" t="inlineStr">
        <is>
          <t>Production Line wajib dipilih di Laporan Periode, termasuk saat hanya ada satu line</t>
        </is>
      </c>
      <c r="H12" s="14" t="inlineStr">
        <is>
          <t>SPV-A</t>
        </is>
      </c>
      <c r="I12" s="14" t="inlineStr">
        <is>
          <t>satu mill dengan satu Production Line, dan satu mill dengan dua line</t>
        </is>
      </c>
      <c r="J12" s="14" t="inlineStr">
        <is>
          <t>1. Siapkan satu mill dengan satu Production Line, dan satu mill dengan dua line.
2. Login di web (buka /login, isi username dan password akun pada kolom Peran, tekan Login) sebagai ADM, lalu sidebar → Laporan Stasiun → tekan tile satu stasiun.
3. Pilih mill yang hanya punya satu line. Jangan pilih Production Line apa pun. Baca layar.
4. Pilih Production Line satu-satunya itu. Baca layar.
5. Ganti ke mill yang punya dua line. Baca layar.</t>
        </is>
      </c>
      <c r="K12" s="14" t="inlineStr">
        <is>
          <t>- Pada langkah 3, meski hanya ada satu pilihan, line itu tidak terpilih otomatis: layar meminta memilih Production Line dan tidak menampilkan satu angka pun.
- Pada langkah 4, angka-angkanya muncul.
- Pada langkah 5, pilihan line direset — angkanya hilang lagi sampai line dipilih.</t>
        </is>
      </c>
      <c r="L12" s="16" t="inlineStr">
        <is>
          <t>Tinggi</t>
        </is>
      </c>
      <c r="M12" s="14" t="inlineStr">
        <is>
          <t>memilih sendiri line tunggal akan membuat pembaca mengira ia melihat seluruh mill, padahal ia melihat satu line yang kebetulan satu-satunya hari itu.</t>
        </is>
      </c>
      <c r="N12" s="17" t="n"/>
      <c r="O12" s="17" t="n"/>
      <c r="P12" s="17" t="n"/>
      <c r="Q12" s="17" t="n"/>
      <c r="R12" s="17" t="n"/>
    </row>
    <row r="13" ht="202" customHeight="1">
      <c r="A13" s="11" t="n">
        <v>9</v>
      </c>
      <c r="B13" s="12" t="n">
        <v>1</v>
      </c>
      <c r="C13" s="13" t="inlineStr">
        <is>
          <t>LS-09</t>
        </is>
      </c>
      <c r="D13" s="13" t="inlineStr">
        <is>
          <t>LS-09</t>
        </is>
      </c>
      <c r="E13" s="14" t="inlineStr">
        <is>
          <t>—</t>
        </is>
      </c>
      <c r="F13" s="14" t="inlineStr">
        <is>
          <t>Aturan lintas-sistem (LS-)</t>
        </is>
      </c>
      <c r="G13" s="15" t="inlineStr">
        <is>
          <t>Mengirim id Production Line milik mill lain diabaikan, bukan ditolak dengan galat</t>
        </is>
      </c>
      <c r="H13" s="14" t="inlineStr">
        <is>
          <t>SPV-A</t>
        </is>
      </c>
      <c r="I13" s="14" t="inlineStr">
        <is>
          <t>id line Mill B diketahui (ambil dari sesi SPV-B)</t>
        </is>
      </c>
      <c r="J13" s="14" t="inlineStr">
        <is>
          <t>1. Login di web, sidebar &gt; Laporan Stasiun (/reports), tekan tile &lt;Stasiun&gt; (/reports/&lt;stasiun&gt;), lalu pilih Periode dan Production Line untuk satu stasiun sebagai SPV-A, pilih periode dan line milik Mill A. Catat angkanya.
2. Salin alamat dari bilah alamat. Di dalamnya ada bagian production_line_id=&lt;id&gt;.
3. Ambil id Production Line milik Mill B (dari Login di web, lalu sidebar &gt; Kelola &lt;Tingkat&gt; (/master-data/&lt;tingkat&gt;) → Kelola Production Line sebagai ADM).
4. Tempel alamat langkah 2 dengan production_line_id diganti id Mill B itu, lalu tekan Enter.</t>
        </is>
      </c>
      <c r="K13" s="14" t="inlineStr">
        <is>
          <t>- Halaman tetap terbuka — bukan 403, bukan galat.
- Line mill lain itu diabaikan: layar jatuh ke keadaan "belum memilih Production Line", atau pemilihnya kembali kosong.
- Nama Production Line Mill B tidak pernah tercetak di layar — tidak di pemilih, tidak di judul, tidak di keterangan. Idnya boleh tergaung di alamat (pemanggil sendiri yang mengirimnya); namanya tidak boleh.</t>
        </is>
      </c>
      <c r="L13" s="16" t="inlineStr">
        <is>
          <t>Tinggi</t>
        </is>
      </c>
      <c r="M13" s="14" t="inlineStr"/>
      <c r="N13" s="17" t="n"/>
      <c r="O13" s="17" t="n"/>
      <c r="P13" s="17" t="n"/>
      <c r="Q13" s="17" t="n"/>
      <c r="R13" s="17" t="n"/>
    </row>
    <row r="14" ht="241.6" customHeight="1">
      <c r="A14" s="11" t="n">
        <v>10</v>
      </c>
      <c r="B14" s="12" t="n">
        <v>1</v>
      </c>
      <c r="C14" s="13" t="inlineStr">
        <is>
          <t>LS-10</t>
        </is>
      </c>
      <c r="D14" s="13" t="inlineStr">
        <is>
          <t>LS-10</t>
        </is>
      </c>
      <c r="E14" s="14" t="inlineStr">
        <is>
          <t>—</t>
        </is>
      </c>
      <c r="F14" s="14" t="inlineStr">
        <is>
          <t>Aturan lintas-sistem (LS-)</t>
        </is>
      </c>
      <c r="G14" s="15" t="inlineStr">
        <is>
          <t>Periode tertutup mengunci input, periode draft/terbuka tidak</t>
        </is>
      </c>
      <c r="H14" s="14" t="inlineStr">
        <is>
          <t>SPV-A (input), ADM (ubah status)</t>
        </is>
      </c>
      <c r="I14" s="14" t="inlineStr">
        <is>
          <t>satu periode yang mencakup hari ini</t>
        </is>
      </c>
      <c r="J14" s="14" t="inlineStr">
        <is>
          <t>1. Login di web, lalu sidebar &gt; Kelola Periode Pelaporan (/master-data/periods) sebagai ADM. Pilih satu periode yang stasiunnya masih Terbuka.
2. Login di mobile, buka Monitor &lt;Stasiun&gt;, lalu tekan New Data (/stations/&lt;stasiun&gt;/form/&lt;id&gt;) sebagai OPR-A untuk stasiun itu. Isi satu baris, tekan Simpan. Catat hasilnya.
3. Kembali ke Login di web, lalu sidebar &gt; Kelola Periode Pelaporan (/master-data/periods) sebagai ADM. Pada periode itu, tekan Tutup untuk stasiun tersebut.
4. Ulangi langkah 2: coba simpan satu record baru untuk stasiun yang sama pada tanggal dalam periode itu.
5. Kembali sebagai ADM, tekan Buka Kembali pada stasiun itu.
6. Ulangi langkah 2 sekali lagi.</t>
        </is>
      </c>
      <c r="K14" s="14" t="inlineStr">
        <is>
          <t>- Langkah 2 (Terbuka): tersimpan.
- Langkah 4 (Tertutup): ditolak, dengan pesan yang menyebut periode tertutup. Record tidak tersimpan.
- Langkah 6 (Terbuka kembali): tersimpan lagi.
- Periode berstatus draft berperilaku sama seperti terbuka — tidak mengunci.</t>
        </is>
      </c>
      <c r="L14" s="16" t="inlineStr">
        <is>
          <t>Tinggi</t>
        </is>
      </c>
      <c r="M14" s="14" t="inlineStr"/>
      <c r="N14" s="17" t="n"/>
      <c r="O14" s="17" t="n"/>
      <c r="P14" s="17" t="n"/>
      <c r="Q14" s="17" t="n"/>
      <c r="R14" s="17" t="n"/>
    </row>
    <row r="15" ht="162.4" customHeight="1">
      <c r="A15" s="11" t="n">
        <v>11</v>
      </c>
      <c r="B15" s="12" t="n">
        <v>1</v>
      </c>
      <c r="C15" s="13" t="inlineStr">
        <is>
          <t>LS-11</t>
        </is>
      </c>
      <c r="D15" s="13" t="inlineStr">
        <is>
          <t>LS-11</t>
        </is>
      </c>
      <c r="E15" s="14" t="inlineStr">
        <is>
          <t>—</t>
        </is>
      </c>
      <c r="F15" s="14" t="inlineStr">
        <is>
          <t>Aturan lintas-sistem (LS-)</t>
        </is>
      </c>
      <c r="G15" s="15" t="inlineStr">
        <is>
          <t>Ekspor menghasilkan berkas yang benar-benar terbuka</t>
        </is>
      </c>
      <c r="H15" s="14" t="inlineStr">
        <is>
          <t>SPV-A</t>
        </is>
      </c>
      <c r="I15" s="14" t="inlineStr">
        <is>
          <t>ada data pada filter yang dipilih</t>
        </is>
      </c>
      <c r="J15" s="14" t="inlineStr">
        <is>
          <t>1. Login di web, sidebar &gt; Laporan Stasiun (/reports), tekan tile &lt;Stasiun&gt; (/reports/&lt;stasiun&gt;), lalu pilih Periode dan Production Line untuk satu stasiun, pilih periode dan line yang punya data.
2. Tekan Ekspor CSV. Tunggu berkas terunduh.
3. Buka berkas itu dengan Excel atau LibreOffice.
4. Tekan Ekspor Excel. Tunggu berkas terunduh, lalu buka.
5. Bandingkan beberapa angka di berkas dengan angka di layar.</t>
        </is>
      </c>
      <c r="K15" s="14" t="inlineStr">
        <is>
          <t>- Kedua berkas benar-benar terunduh dan punya nama berkas yang menyebut stasiun dan periode.
- Keduanya terbuka tanpa peringatan rusak di Excel/LibreOffice.
- Baris pertama adalah baris judul kolom yang terbaca, bukan kode teknis.
- Angka yang dicocokkan sama dengan yang di layar.
- Huruf berakhiran Indonesia (mis. nama dengan é atau karakter khusus) tidak berubah menjadi simbol aneh.</t>
        </is>
      </c>
      <c r="L15" s="16" t="inlineStr">
        <is>
          <t>Tinggi</t>
        </is>
      </c>
      <c r="M15" s="14" t="inlineStr"/>
      <c r="N15" s="17" t="n"/>
      <c r="O15" s="17" t="n"/>
      <c r="P15" s="17" t="n"/>
      <c r="Q15" s="17" t="n"/>
      <c r="R15" s="17" t="n"/>
    </row>
    <row r="16" ht="109.6" customHeight="1">
      <c r="A16" s="11" t="n">
        <v>12</v>
      </c>
      <c r="B16" s="12" t="n">
        <v>1</v>
      </c>
      <c r="C16" s="13" t="inlineStr">
        <is>
          <t>LS-12</t>
        </is>
      </c>
      <c r="D16" s="13" t="inlineStr">
        <is>
          <t>LS-12</t>
        </is>
      </c>
      <c r="E16" s="14" t="inlineStr">
        <is>
          <t>—</t>
        </is>
      </c>
      <c r="F16" s="14" t="inlineStr">
        <is>
          <t>Aturan lintas-sistem (LS-)</t>
        </is>
      </c>
      <c r="G16" s="15" t="inlineStr">
        <is>
          <t>Ekspor di mobile hanya CSV</t>
        </is>
      </c>
      <c r="H16" s="14" t="inlineStr">
        <is>
          <t>OPR-A</t>
        </is>
      </c>
      <c r="I16" s="14" t="inlineStr">
        <is>
          <t>—</t>
        </is>
      </c>
      <c r="J16" s="14" t="inlineStr">
        <is>
          <t>1. Login di mobile, Dashboard &amp; Reporting &gt; Reporting, tekan tile &lt;Stasiun&gt; (/reports/&lt;stasiun&gt;), lalu pilih Periode dan Production Line untuk satu stasiun, pilih periode dan line yang punya data.
2. Baca seluruh tombol di bagian bawah layar.
3. Tekan tombol ekspor yang ada.</t>
        </is>
      </c>
      <c r="K16" s="14" t="inlineStr">
        <is>
          <t>- Hanya ada satu pilihan ekspor, dan itu CSV.
- Tidak ada tombol Ekspor Excel di mobile.
- Berkasnya terunduh dan dapat dibuka.</t>
        </is>
      </c>
      <c r="L16" s="11" t="inlineStr">
        <is>
          <t>Sedang</t>
        </is>
      </c>
      <c r="M16" s="14" t="inlineStr"/>
      <c r="N16" s="17" t="n"/>
      <c r="O16" s="17" t="n"/>
      <c r="P16" s="17" t="n"/>
      <c r="Q16" s="17" t="n"/>
      <c r="R16" s="17" t="n"/>
    </row>
    <row r="17" ht="136" customHeight="1">
      <c r="A17" s="11" t="n">
        <v>13</v>
      </c>
      <c r="B17" s="12" t="n">
        <v>1</v>
      </c>
      <c r="C17" s="13" t="inlineStr">
        <is>
          <t>LS-13</t>
        </is>
      </c>
      <c r="D17" s="13" t="inlineStr">
        <is>
          <t>LS-13</t>
        </is>
      </c>
      <c r="E17" s="14" t="inlineStr">
        <is>
          <t>—</t>
        </is>
      </c>
      <c r="F17" s="14" t="inlineStr">
        <is>
          <t>Aturan lintas-sistem (LS-)</t>
        </is>
      </c>
      <c r="G17" s="15" t="inlineStr">
        <is>
          <t>Seluruh tampilan berbahasa Indonesia</t>
        </is>
      </c>
      <c r="H17" s="14" t="inlineStr">
        <is>
          <t>semua</t>
        </is>
      </c>
      <c r="I17" s="14" t="inlineStr">
        <is>
          <t>—</t>
        </is>
      </c>
      <c r="J17" s="14" t="inlineStr">
        <is>
          <t>1. Jalankan satu kasus apa pun sampai selesai pada layar yang diuji.
2. Baca seluruh teks di layar: judul, label kolom, tombol, keterangan, dan pesan galat.
3. Picu sengaja satu galat (mis. kosongkan kolom wajib lalu Simpan) dan baca pesannya.</t>
        </is>
      </c>
      <c r="K17" s="14" t="inlineStr">
        <is>
          <t>- Seluruh teks berbahasa Indonesia.
- Pesan galat juga berbahasa Indonesia — bukan "The field is required", bukan "Unauthenticated".
- Nama kolom teknis (mis. production_line_id) tidak muncul di pesan yang dibaca pengguna.
- Istilah stasiun dan satuan boleh tetap berbahasa Inggris bila itu memang istilah pabrik (mis. "Ripple Mill", "mmH2O").</t>
        </is>
      </c>
      <c r="L17" s="11" t="inlineStr">
        <is>
          <t>Sedang</t>
        </is>
      </c>
      <c r="M17" s="14" t="inlineStr"/>
      <c r="N17" s="17" t="n"/>
      <c r="O17" s="17" t="n"/>
      <c r="P17" s="17" t="n"/>
      <c r="Q17" s="17" t="n"/>
      <c r="R17" s="17" t="n"/>
    </row>
    <row r="18" ht="122.8" customHeight="1">
      <c r="A18" s="11" t="n">
        <v>14</v>
      </c>
      <c r="B18" s="12" t="n">
        <v>1</v>
      </c>
      <c r="C18" s="13" t="inlineStr">
        <is>
          <t>LS-14</t>
        </is>
      </c>
      <c r="D18" s="13" t="inlineStr">
        <is>
          <t>LS-14</t>
        </is>
      </c>
      <c r="E18" s="14" t="inlineStr">
        <is>
          <t>—</t>
        </is>
      </c>
      <c r="F18" s="14" t="inlineStr">
        <is>
          <t>Aturan lintas-sistem (LS-)</t>
        </is>
      </c>
      <c r="G18" s="15" t="inlineStr">
        <is>
          <t>Tidak ada kolom input yang mati tanpa alasan</t>
        </is>
      </c>
      <c r="H18" s="14" t="inlineStr">
        <is>
          <t>SPV-A, MGR-A</t>
        </is>
      </c>
      <c r="I18" s="14" t="inlineStr">
        <is>
          <t>—</t>
        </is>
      </c>
      <c r="J18" s="14" t="inlineStr">
        <is>
          <t>1. Login di web, buka /data/&lt;stasiun&gt; (&lt;Stasiun&gt;), lalu tekan Tambah (/data/&lt;stasiun&gt;/create) untuk satu stasiun.
2. Coba klik dan mengetik pada setiap kolom input di layar, satu per satu.
3. Catat kolom mana pun yang tidak dapat diketik atau tampak kelabu.
4. Untuk setiap kolom seperti itu, cari keterangan di layar yang menjelaskan sebabnya.</t>
        </is>
      </c>
      <c r="K18" s="14" t="inlineStr">
        <is>
          <t>- Tidak ada kolom input yang mati tanpa alasan yang tertulis di layar.
- Kolom yang memang tidak boleh diubah (mis. Tanggal yang terisi otomatis) punya keterangan yang menyebutkan itu.
- Kolom Checked By / Acknowledged By yang tidak dapat diisi peran itu disertai keterangan siapa yang boleh mengisinya.</t>
        </is>
      </c>
      <c r="L18" s="11" t="inlineStr">
        <is>
          <t>Sedang</t>
        </is>
      </c>
      <c r="M18" s="14" t="inlineStr"/>
      <c r="N18" s="17" t="n"/>
      <c r="O18" s="17" t="n"/>
      <c r="P18" s="17" t="n"/>
      <c r="Q18" s="17" t="n"/>
      <c r="R18" s="17" t="n"/>
    </row>
    <row r="19" ht="149.2" customHeight="1">
      <c r="A19" s="11" t="n">
        <v>15</v>
      </c>
      <c r="B19" s="12" t="n">
        <v>1</v>
      </c>
      <c r="C19" s="13" t="inlineStr">
        <is>
          <t>LS-15</t>
        </is>
      </c>
      <c r="D19" s="13" t="inlineStr">
        <is>
          <t>LS-15</t>
        </is>
      </c>
      <c r="E19" s="14" t="inlineStr">
        <is>
          <t>—</t>
        </is>
      </c>
      <c r="F19" s="14" t="inlineStr">
        <is>
          <t>Aturan lintas-sistem (LS-)</t>
        </is>
      </c>
      <c r="G19" s="15" t="inlineStr">
        <is>
          <t>Kolom tanggal dan jam bisa diketik manual, bukan hanya lewat pemilih</t>
        </is>
      </c>
      <c r="H19" s="14" t="inlineStr">
        <is>
          <t>SPV-A</t>
        </is>
      </c>
      <c r="I19" s="14" t="inlineStr">
        <is>
          <t>—</t>
        </is>
      </c>
      <c r="J19" s="14" t="inlineStr">
        <is>
          <t>1. Login di web, buka /data/&lt;stasiun&gt; (&lt;Stasiun&gt;), lalu tekan Tambah (/data/&lt;stasiun&gt;/create) untuk satu stasiun yang punya kolom tanggal atau jam.
2. Klik kolom tanggal, lalu ketik tanggalnya langsung dari papan tulis (mis. 08/10/2026).
3. Hapus isinya, lalu pilih tanggal yang sama lewat ikon kalender.
4. Ulangi langkah 2 dan 3 untuk kolom jam, bila ada.</t>
        </is>
      </c>
      <c r="K19" s="14" t="inlineStr">
        <is>
          <t>- Kolom tanggal dapat diketik manual dan nilainya diterima.
- Kolom tanggal juga dapat diisi lewat pemilih kalender.
- Keduanya menghasilkan nilai yang sama — tidak ada yang hanya menerima salah satu cara.
- Hal yang sama berlaku untuk kolom jam.</t>
        </is>
      </c>
      <c r="L19" s="11" t="inlineStr">
        <is>
          <t>Sedang</t>
        </is>
      </c>
      <c r="M19" s="14" t="inlineStr"/>
      <c r="N19" s="17" t="n"/>
      <c r="O19" s="17" t="n"/>
      <c r="P19" s="17" t="n"/>
      <c r="Q19" s="17" t="n"/>
      <c r="R19" s="17" t="n"/>
    </row>
    <row r="20" ht="202" customHeight="1">
      <c r="A20" s="11" t="n">
        <v>16</v>
      </c>
      <c r="B20" s="12" t="n">
        <v>1</v>
      </c>
      <c r="C20" s="13" t="inlineStr">
        <is>
          <t>LS-16</t>
        </is>
      </c>
      <c r="D20" s="13" t="inlineStr">
        <is>
          <t>LS-16</t>
        </is>
      </c>
      <c r="E20" s="14" t="inlineStr">
        <is>
          <t>—</t>
        </is>
      </c>
      <c r="F20" s="14" t="inlineStr">
        <is>
          <t>Aturan lintas-sistem (LS-)</t>
        </is>
      </c>
      <c r="G20" s="15" t="inlineStr">
        <is>
          <t>Laporan tidak menandai satu nilai pun sebagai "di luar batas"</t>
        </is>
      </c>
      <c r="H20" s="14" t="inlineStr">
        <is>
          <t>SPV-A</t>
        </is>
      </c>
      <c r="I20" s="14" t="inlineStr">
        <is>
          <t>ada record dengan nilai yang jelas-jelas jauh di luar target (mis. suhu 3× batas)</t>
        </is>
      </c>
      <c r="J20" s="14" t="inlineStr">
        <is>
          <t>1. Login di web, sidebar &gt; Laporan Stasiun (/reports), tekan tile &lt;Stasiun&gt; (/reports/&lt;stasiun&gt;), lalu pilih Periode dan Production Line untuk satu stasiun yang punya master target (Depricarping, Grading, Kernel Plant, Pressing, atau Threshing).
2. Pilih periode dan line yang punya data.
3. Bandingkan tiap angka rata-rata dengan kolom target di sebelahnya. Cari minimal satu angka yang jelas di luar rentang targetnya.
4. Perhatikan angka itu: apakah ia diberi warna, tebal, ikon peringatan, atau latar berbeda?
5. Cari kotak keterangan di layar yang menjelaskan ketiadaan penandaan itu.</t>
        </is>
      </c>
      <c r="K20" s="14" t="inlineStr">
        <is>
          <t>- Angka yang di luar batas tidak ditandai apa pun: tidak merah, tidak kuning, tidak ada ikon, tidak ada badge.
- Ada kotak keterangan "Mengapa Tidak Ada Nilai yang Ditandai" yang menjelaskan sebabnya.
- Keterangan itu menyebut tiga alasan, bukan satu.
- Cara memeriksa yang salah: jangan mencari kata "di luar batas" di halaman — kalimat penjelasnya sendiri memuat frasa itu. Yang diperiksa adalah tampilan angkanya.</t>
        </is>
      </c>
      <c r="L20" s="11" t="inlineStr">
        <is>
          <t>Sedang</t>
        </is>
      </c>
      <c r="M20" s="14" t="inlineStr">
        <is>
          <t>ketiadaan penandaan di sini disengaja, bukan fitur yang belum selesai. Yang harus dilaporkan sebagai bug adalah kalau penandaan itu muncul, atau kalau kalimat penjelasnya hilang.</t>
        </is>
      </c>
      <c r="N20" s="17" t="n"/>
      <c r="O20" s="17" t="n"/>
      <c r="P20" s="17" t="n"/>
      <c r="Q20" s="17" t="n"/>
      <c r="R20" s="17" t="n"/>
    </row>
    <row r="21" ht="136" customHeight="1">
      <c r="A21" s="11" t="n">
        <v>17</v>
      </c>
      <c r="B21" s="12" t="n">
        <v>1</v>
      </c>
      <c r="C21" s="13" t="inlineStr">
        <is>
          <t>AU-01</t>
        </is>
      </c>
      <c r="D21" s="13" t="inlineStr">
        <is>
          <t>AU-01</t>
        </is>
      </c>
      <c r="E21" s="14" t="inlineStr">
        <is>
          <t>—</t>
        </is>
      </c>
      <c r="F21" s="14" t="inlineStr">
        <is>
          <t>Autentikasi &amp; Akun (AU-)</t>
        </is>
      </c>
      <c r="G21" s="15" t="inlineStr">
        <is>
          <t>Login berhasil mengarahkan ke beranda yang sesuai perannya</t>
        </is>
      </c>
      <c r="H21" s="14" t="inlineStr">
        <is>
          <t>OPR-A, SPV-A, MGR-A, ADM</t>
        </is>
      </c>
      <c r="I21" s="14" t="inlineStr">
        <is>
          <t>keempat akun aktif</t>
        </is>
      </c>
      <c r="J21" s="14" t="inlineStr">
        <is>
          <t>1. Buka /login. Isi username dan password OPR-A, tekan Login.
2. Catat alamat yang dituju dan seluruh isi sidebar.
3. Logout. Ulangi langkah 1–2 untuk SPV-A.
4. Logout. Ulangi untuk MGR-A.
5. Logout. Ulangi untuk ADM.</t>
        </is>
      </c>
      <c r="K21" s="14" t="inlineStr">
        <is>
          <t>- Keempatnya berhasil masuk.
- OPR-A mendarat di Beranda Operator (/beranda) dengan pesan bahwa akses webnya terbatas; sidebar hanya memuat Beranda dan Ganti Password.
- SPV-A, MGR-A, ADM mendarat di beranda masing-masing dengan menu lengkap sesuai matriks 1.3.
- Tidak satu pun mendarat di halaman kosong atau halaman galat.</t>
        </is>
      </c>
      <c r="L21" s="16" t="inlineStr">
        <is>
          <t>Tinggi</t>
        </is>
      </c>
      <c r="M21" s="14" t="inlineStr"/>
      <c r="N21" s="17" t="n"/>
      <c r="O21" s="17" t="n"/>
      <c r="P21" s="17" t="n"/>
      <c r="Q21" s="17" t="n"/>
      <c r="R21" s="17" t="n"/>
    </row>
    <row r="22" ht="83.19999999999999" customHeight="1">
      <c r="A22" s="11" t="n">
        <v>18</v>
      </c>
      <c r="B22" s="12" t="n">
        <v>1</v>
      </c>
      <c r="C22" s="13" t="inlineStr">
        <is>
          <t>AU-02</t>
        </is>
      </c>
      <c r="D22" s="13" t="inlineStr">
        <is>
          <t>AU-02</t>
        </is>
      </c>
      <c r="E22" s="14" t="inlineStr">
        <is>
          <t>—</t>
        </is>
      </c>
      <c r="F22" s="14" t="inlineStr">
        <is>
          <t>Autentikasi &amp; Akun (AU-)</t>
        </is>
      </c>
      <c r="G22" s="15" t="inlineStr">
        <is>
          <t>Login gagal: password salah</t>
        </is>
      </c>
      <c r="H22" s="14" t="inlineStr">
        <is>
          <t>SPV-A</t>
        </is>
      </c>
      <c r="I22" s="14" t="inlineStr">
        <is>
          <t>—</t>
        </is>
      </c>
      <c r="J22" s="14" t="inlineStr">
        <is>
          <t>1. Buka /login.
2. Isi username SPV-A yang benar, dan password yang salah.
3. Tekan Login.
4. Catat bunyi pesannya kata per kata — akan dibandingkan di AU-03.</t>
        </is>
      </c>
      <c r="K22" s="14" t="inlineStr">
        <is>
          <t>- Tetap di layar Login; tidak masuk.
- Muncul pesan galat berbahasa Indonesia.
- Pesannya tidak menyebutkan apakah username-nya terdaftar atau tidak (mis. bukan "Password salah" yang memastikan usernamenya ada).</t>
        </is>
      </c>
      <c r="L22" s="16" t="inlineStr">
        <is>
          <t>Tinggi</t>
        </is>
      </c>
      <c r="M22" s="14" t="inlineStr"/>
      <c r="N22" s="17" t="n"/>
      <c r="O22" s="17" t="n"/>
      <c r="P22" s="17" t="n"/>
      <c r="Q22" s="17" t="n"/>
      <c r="R22" s="17" t="n"/>
    </row>
    <row r="23" ht="83.19999999999999" customHeight="1">
      <c r="A23" s="11" t="n">
        <v>19</v>
      </c>
      <c r="B23" s="12" t="n">
        <v>1</v>
      </c>
      <c r="C23" s="13" t="inlineStr">
        <is>
          <t>AU-03</t>
        </is>
      </c>
      <c r="D23" s="13" t="inlineStr">
        <is>
          <t>AU-03</t>
        </is>
      </c>
      <c r="E23" s="14" t="inlineStr">
        <is>
          <t>—</t>
        </is>
      </c>
      <c r="F23" s="14" t="inlineStr">
        <is>
          <t>Autentikasi &amp; Akun (AU-)</t>
        </is>
      </c>
      <c r="G23" s="15" t="inlineStr">
        <is>
          <t>Login gagal: username tidak ada</t>
        </is>
      </c>
      <c r="H23" s="14" t="inlineStr">
        <is>
          <t>—</t>
        </is>
      </c>
      <c r="I23" s="14" t="inlineStr">
        <is>
          <t>—</t>
        </is>
      </c>
      <c r="J23" s="14" t="inlineStr">
        <is>
          <t>1. Buka /login.
2. Isi username yang tidak terdaftar (mis. tidakada999), dan password apa saja.
3. Tekan Login.
4. Bandingkan bunyi pesannya dengan catatan AU-02 langkah 4.</t>
        </is>
      </c>
      <c r="K23" s="14" t="inlineStr">
        <is>
          <t>- Tetap di layar Login; tidak masuk.
- Pesannya sama bunyinya kata per kata dengan AU-02.
- Kalau bunyinya berbeda, itu bug: perbedaan bunyi memberi tahu orang luar username mana yang terdaftar.</t>
        </is>
      </c>
      <c r="L23" s="16" t="inlineStr">
        <is>
          <t>Tinggi</t>
        </is>
      </c>
      <c r="M23" s="14" t="inlineStr"/>
      <c r="N23" s="17" t="n"/>
      <c r="O23" s="17" t="n"/>
      <c r="P23" s="17" t="n"/>
      <c r="Q23" s="17" t="n"/>
      <c r="R23" s="17" t="n"/>
    </row>
    <row r="24" ht="241.6" customHeight="1">
      <c r="A24" s="11" t="n">
        <v>20</v>
      </c>
      <c r="B24" s="12" t="n">
        <v>1</v>
      </c>
      <c r="C24" s="13" t="inlineStr">
        <is>
          <t>AU-04</t>
        </is>
      </c>
      <c r="D24" s="13" t="inlineStr">
        <is>
          <t>AU-04</t>
        </is>
      </c>
      <c r="E24" s="14" t="inlineStr">
        <is>
          <t>—</t>
        </is>
      </c>
      <c r="F24" s="14" t="inlineStr">
        <is>
          <t>Autentikasi &amp; Akun (AU-)</t>
        </is>
      </c>
      <c r="G24" s="15" t="inlineStr">
        <is>
          <t>Akun yang dinonaktifkan tidak bisa masuk, dan yang sedang masuk dikeluarkan</t>
        </is>
      </c>
      <c r="H24" s="14" t="inlineStr">
        <is>
          <t>ADM + SPV-A</t>
        </is>
      </c>
      <c r="I24" s="14" t="inlineStr">
        <is>
          <t>SPV-A sedang login di satu browser</t>
        </is>
      </c>
      <c r="J24" s="14" t="inlineStr">
        <is>
          <t>1. Login di web (buka /login, isi username dan password akun pada kolom Peran, tekan Login) sebagai SPV-A di satu browser. Biarkan terbuka di layar Data Browser salah satu stasiun.
2. Di browser kedua, Login di web, lalu sidebar &gt; Kelola User &amp; Role (/users) sebagai ADM.
3. Cari akun SPV-A, tekan Nonaktifkan, setujui konfirmasinya.
4. Kembali ke browser pertama. Muat ulang halaman atau ubah satu filter.
5. Logout dari browser pertama bila belum. Coba Login di web (buka /login, isi username dan password akun pada kolom Peran, tekan Login) lagi sebagai SPV-A.
6. Sebagai ADM, aktifkan kembali akun SPV-A supaya kasus lain tidak terhalang.</t>
        </is>
      </c>
      <c r="K24" s="14" t="inlineStr">
        <is>
          <t>- Langkah 4: SPV-A dikeluarkan ke layar Login — sesi yang sedang berjalan tidak dibiarkan hidup.
- Langkah 5: login gagal, dengan pesan bahwa akunnya tidak aktif.
- Pesannya tidak menyuruh memeriksa koneksi.</t>
        </is>
      </c>
      <c r="L24" s="16" t="inlineStr">
        <is>
          <t>Tinggi</t>
        </is>
      </c>
      <c r="M24" s="14" t="inlineStr"/>
      <c r="N24" s="17" t="n"/>
      <c r="O24" s="17" t="n"/>
      <c r="P24" s="17" t="n"/>
      <c r="Q24" s="17" t="n"/>
      <c r="R24" s="17" t="n"/>
    </row>
    <row r="25" ht="109.6" customHeight="1">
      <c r="A25" s="11" t="n">
        <v>21</v>
      </c>
      <c r="B25" s="12" t="n">
        <v>1</v>
      </c>
      <c r="C25" s="13" t="inlineStr">
        <is>
          <t>AU-05</t>
        </is>
      </c>
      <c r="D25" s="13" t="inlineStr">
        <is>
          <t>AU-05</t>
        </is>
      </c>
      <c r="E25" s="14" t="inlineStr">
        <is>
          <t>—</t>
        </is>
      </c>
      <c r="F25" s="14" t="inlineStr">
        <is>
          <t>Autentikasi &amp; Akun (AU-)</t>
        </is>
      </c>
      <c r="G25" s="15" t="inlineStr">
        <is>
          <t>Login Mobile berhasil untuk keempat peran</t>
        </is>
      </c>
      <c r="H25" s="14" t="inlineStr">
        <is>
          <t>OPR-A, SPV-A, MGR-A, ADM</t>
        </is>
      </c>
      <c r="I25" s="14" t="inlineStr">
        <is>
          <t>—</t>
        </is>
      </c>
      <c r="J25" s="14" t="inlineStr">
        <is>
          <t>1. Buka aplikasi mobile. Isi username dan password OPR-A, tekan Login.
2. Catat layar yang dituju dan isinya.
3. Logout. Ulangi untuk SPV-A.
4. Logout. Ulangi untuk MGR-A.
5. Logout. Ulangi untuk ADM.</t>
        </is>
      </c>
      <c r="K25" s="14" t="inlineStr">
        <is>
          <t>- Keempatnya berhasil masuk — termasuk ADM, meski mobile bukan alur yang dirancang untuknya.
- OPR-A dan SPV-A mendarat di Home dengan daftar stasiun.
- MGR-A juga masuk dan melihat Home.
- Tidak ada yang berhenti di layar kosong atau layar memuat yang tidak selesai.</t>
        </is>
      </c>
      <c r="L25" s="16" t="inlineStr">
        <is>
          <t>Tinggi</t>
        </is>
      </c>
      <c r="M25" s="14" t="inlineStr"/>
      <c r="N25" s="17" t="n"/>
      <c r="O25" s="17" t="n"/>
      <c r="P25" s="17" t="n"/>
      <c r="Q25" s="17" t="n"/>
      <c r="R25" s="17" t="n"/>
    </row>
    <row r="26" ht="109.6" customHeight="1">
      <c r="A26" s="11" t="n">
        <v>22</v>
      </c>
      <c r="B26" s="12" t="n">
        <v>1</v>
      </c>
      <c r="C26" s="13" t="inlineStr">
        <is>
          <t>AU-06</t>
        </is>
      </c>
      <c r="D26" s="13" t="inlineStr">
        <is>
          <t>AU-06</t>
        </is>
      </c>
      <c r="E26" s="14" t="inlineStr">
        <is>
          <t>—</t>
        </is>
      </c>
      <c r="F26" s="14" t="inlineStr">
        <is>
          <t>Autentikasi &amp; Akun (AU-)</t>
        </is>
      </c>
      <c r="G26" s="15" t="inlineStr">
        <is>
          <t>Tamu diarahkan ke Login, tidak melihat isi apa pun</t>
        </is>
      </c>
      <c r="H26" s="14" t="inlineStr">
        <is>
          <t>belum login</t>
        </is>
      </c>
      <c r="I26" s="14" t="inlineStr">
        <is>
          <t>—</t>
        </is>
      </c>
      <c r="J26" s="14" t="inlineStr">
        <is>
          <t>1. Pastikan tidak sedang login (buka jendela privat/incognito, atau logout lebih dulu).
2. Ketik /dashboard di bilah alamat, tekan Enter.
3. Perhatikan layar selama perpindahan — apakah ada isi yang sempat berkedip terlihat?
4. Ulangi untuk /data/weighbridge, /reports, /master-data/periods, dan /users.</t>
        </is>
      </c>
      <c r="K26" s="14" t="inlineStr">
        <is>
          <t>- Setiap alamat diarahkan ke Login.
- Tidak ada isi halaman yang sempat terlihat, bahkan sekejap — tidak ada angka, tidak ada nama, tidak ada kerangka tabel.
- Alamat akhir di bilah alamat adalah /login.</t>
        </is>
      </c>
      <c r="L26" s="16" t="inlineStr">
        <is>
          <t>Tinggi</t>
        </is>
      </c>
      <c r="M26" s="14" t="inlineStr"/>
      <c r="N26" s="17" t="n"/>
      <c r="O26" s="17" t="n"/>
      <c r="P26" s="17" t="n"/>
      <c r="Q26" s="17" t="n"/>
      <c r="R26" s="17" t="n"/>
    </row>
    <row r="27" ht="122.8" customHeight="1">
      <c r="A27" s="11" t="n">
        <v>23</v>
      </c>
      <c r="B27" s="12" t="n">
        <v>1</v>
      </c>
      <c r="C27" s="13" t="inlineStr">
        <is>
          <t>AU-07</t>
        </is>
      </c>
      <c r="D27" s="13" t="inlineStr">
        <is>
          <t>AU-07</t>
        </is>
      </c>
      <c r="E27" s="14" t="inlineStr">
        <is>
          <t>—</t>
        </is>
      </c>
      <c r="F27" s="14" t="inlineStr">
        <is>
          <t>Autentikasi &amp; Akun (AU-)</t>
        </is>
      </c>
      <c r="G27" s="15" t="inlineStr">
        <is>
          <t>Ganti Password berhasil, dan password lama berhenti berlaku</t>
        </is>
      </c>
      <c r="H27" s="14" t="inlineStr">
        <is>
          <t>SPV-A (web), OPR-A (mobile)</t>
        </is>
      </c>
      <c r="I27" s="14" t="inlineStr">
        <is>
          <t>—</t>
        </is>
      </c>
      <c r="J27" s="14" t="inlineStr">
        <is>
          <t>1. Login di web, lalu sidebar &gt; Ganti Password (/settings/password) sebagai SPV-A.
2. Isi password lama dengan benar, isi password baru dua kali, tekan Simpan.
3. Logout.
4. Coba login dengan password baru.
5. Logout. Coba login dengan password lama.
6. Kembalikan password ke nilai semula supaya kasus lain tidak terhalang.</t>
        </is>
      </c>
      <c r="K27" s="14" t="inlineStr">
        <is>
          <t>- Langkah 2 berhasil, dengan pesan konfirmasi.
- Langkah 4 berhasil masuk.
- Langkah 5 gagal — password lama berhenti berlaku.</t>
        </is>
      </c>
      <c r="L27" s="16" t="inlineStr">
        <is>
          <t>Tinggi</t>
        </is>
      </c>
      <c r="M27" s="14" t="inlineStr"/>
      <c r="N27" s="17" t="n"/>
      <c r="O27" s="17" t="n"/>
      <c r="P27" s="17" t="n"/>
      <c r="Q27" s="17" t="n"/>
      <c r="R27" s="17" t="n"/>
    </row>
    <row r="28" ht="96.39999999999999" customHeight="1">
      <c r="A28" s="11" t="n">
        <v>24</v>
      </c>
      <c r="B28" s="12" t="n">
        <v>1</v>
      </c>
      <c r="C28" s="13" t="inlineStr">
        <is>
          <t>AU-08</t>
        </is>
      </c>
      <c r="D28" s="13" t="inlineStr">
        <is>
          <t>AU-08</t>
        </is>
      </c>
      <c r="E28" s="14" t="inlineStr">
        <is>
          <t>—</t>
        </is>
      </c>
      <c r="F28" s="14" t="inlineStr">
        <is>
          <t>Autentikasi &amp; Akun (AU-)</t>
        </is>
      </c>
      <c r="G28" s="15" t="inlineStr">
        <is>
          <t>Ganti Password ditolak bila password lama salah</t>
        </is>
      </c>
      <c r="H28" s="14" t="inlineStr">
        <is>
          <t>SPV-A</t>
        </is>
      </c>
      <c r="I28" s="14" t="inlineStr">
        <is>
          <t>—</t>
        </is>
      </c>
      <c r="J28" s="14" t="inlineStr">
        <is>
          <t>1. Login di web, lalu sidebar &gt; Ganti Password (/settings/password) sebagai SPV-A.
2. Isi password lama dengan nilai yang salah, isi password baru dua kali, tekan Simpan.
3. Baca letak pesan galatnya.
4. Logout, lalu login dengan password yang sebenarnya masih berlaku.</t>
        </is>
      </c>
      <c r="K28" s="14" t="inlineStr">
        <is>
          <t>- Ditolak, dengan pesan galat yang muncul di sebelah kolom password lama — bukan sebagai satu pesan umum di atas form.
- Langkah 4 berhasil: password tidak berubah sama sekali.</t>
        </is>
      </c>
      <c r="L28" s="16" t="inlineStr">
        <is>
          <t>Tinggi</t>
        </is>
      </c>
      <c r="M28" s="14" t="inlineStr"/>
      <c r="N28" s="17" t="n"/>
      <c r="O28" s="17" t="n"/>
      <c r="P28" s="17" t="n"/>
      <c r="Q28" s="17" t="n"/>
      <c r="R28" s="17" t="n"/>
    </row>
    <row r="29" ht="109.6" customHeight="1">
      <c r="A29" s="11" t="n">
        <v>25</v>
      </c>
      <c r="B29" s="12" t="n">
        <v>1</v>
      </c>
      <c r="C29" s="13" t="inlineStr">
        <is>
          <t>AU-09</t>
        </is>
      </c>
      <c r="D29" s="13" t="inlineStr">
        <is>
          <t>AU-09</t>
        </is>
      </c>
      <c r="E29" s="14" t="inlineStr">
        <is>
          <t>—</t>
        </is>
      </c>
      <c r="F29" s="14" t="inlineStr">
        <is>
          <t>Autentikasi &amp; Akun (AU-)</t>
        </is>
      </c>
      <c r="G29" s="15" t="inlineStr">
        <is>
          <t>Logout mencabut sesi perangkat itu</t>
        </is>
      </c>
      <c r="H29" s="14" t="inlineStr">
        <is>
          <t>OPR-A</t>
        </is>
      </c>
      <c r="I29" s="14" t="inlineStr">
        <is>
          <t>—</t>
        </is>
      </c>
      <c r="J29" s="14" t="inlineStr">
        <is>
          <t>1. Login di web, lalu sidebar &gt; Data &gt; &lt;Stasiun&gt; (/data/&lt;stasiun&gt;) sebagai SPV-A untuk satu stasiun. Catat satu angka atau nama yang terlihat.
2. Tekan Logout.
3. Tekan tombol Back browser satu kali.
4. Ketik ulang alamat Data Browser stasiun itu.</t>
        </is>
      </c>
      <c r="K29" s="14" t="inlineStr">
        <is>
          <t>- Langkah 2 mengarahkan ke Login.
- Langkah 3: isi halaman lama tidak terlihat lagi — tidak ada data yang masih terbaca dari cache browser.
- Langkah 4 juga diarahkan ke Login.</t>
        </is>
      </c>
      <c r="L29" s="16" t="inlineStr">
        <is>
          <t>Tinggi</t>
        </is>
      </c>
      <c r="M29" s="14" t="inlineStr"/>
      <c r="N29" s="17" t="n"/>
      <c r="O29" s="17" t="n"/>
      <c r="P29" s="17" t="n"/>
      <c r="Q29" s="17" t="n"/>
      <c r="R29" s="17" t="n"/>
    </row>
    <row r="30" ht="96.39999999999999" customHeight="1">
      <c r="A30" s="11" t="n">
        <v>26</v>
      </c>
      <c r="B30" s="12" t="n">
        <v>1</v>
      </c>
      <c r="C30" s="13" t="inlineStr">
        <is>
          <t>MB-HOME-01</t>
        </is>
      </c>
      <c r="D30" s="13" t="inlineStr">
        <is>
          <t>MB-HOME-01</t>
        </is>
      </c>
      <c r="E30" s="14" t="inlineStr">
        <is>
          <t>—</t>
        </is>
      </c>
      <c r="F30" s="14" t="inlineStr">
        <is>
          <t>Mobile — Operasional Stasiun (MB-)</t>
        </is>
      </c>
      <c r="G30" s="15" t="inlineStr">
        <is>
          <t>Home menampilkan stasiun yang ditugaskan</t>
        </is>
      </c>
      <c r="H30" s="14" t="inlineStr">
        <is>
          <t>OPR-A</t>
        </is>
      </c>
      <c r="I30" s="14" t="inlineStr">
        <is>
          <t>—</t>
        </is>
      </c>
      <c r="J30" s="14" t="inlineStr">
        <is>
          <t>1. Login di mobile (buka aplikasi, isi username dan password, tekan Login), mendarat di /home sebagai OPR-A.
2. Baca seluruh isi layar Home: salam, nama mill, dan daftar/tautan stasiun.
3. Hitung berapa stasiun yang terlihat.</t>
        </is>
      </c>
      <c r="K30" s="14" t="inlineStr">
        <is>
          <t>- Nama pengguna dan nama mill-nya tercetak.
- Ada jalan menuju Station List yang terlihat jelas.
- Tidak ada stasiun milik mill lain yang terlihat.
- Tidak ada bagian yang kosong tanpa keterangan.</t>
        </is>
      </c>
      <c r="L30" s="16" t="inlineStr">
        <is>
          <t>Tinggi</t>
        </is>
      </c>
      <c r="M30" s="14" t="inlineStr"/>
      <c r="N30" s="17" t="n"/>
      <c r="O30" s="17" t="n"/>
      <c r="P30" s="17" t="n"/>
      <c r="Q30" s="17" t="n"/>
      <c r="R30" s="17" t="n"/>
    </row>
    <row r="31" ht="122.8" customHeight="1">
      <c r="A31" s="11" t="n">
        <v>27</v>
      </c>
      <c r="B31" s="12" t="n">
        <v>1</v>
      </c>
      <c r="C31" s="13" t="inlineStr">
        <is>
          <t>MB-HOME-02</t>
        </is>
      </c>
      <c r="D31" s="13" t="inlineStr">
        <is>
          <t>MB-HOME-02</t>
        </is>
      </c>
      <c r="E31" s="14" t="inlineStr">
        <is>
          <t>—</t>
        </is>
      </c>
      <c r="F31" s="14" t="inlineStr">
        <is>
          <t>Mobile — Operasional Stasiun (MB-)</t>
        </is>
      </c>
      <c r="G31" s="15" t="inlineStr">
        <is>
          <t>Station List mengantar ke Monitor stasiun yang benar</t>
        </is>
      </c>
      <c r="H31" s="14" t="inlineStr">
        <is>
          <t>OPR-A</t>
        </is>
      </c>
      <c r="I31" s="14" t="inlineStr">
        <is>
          <t>—</t>
        </is>
      </c>
      <c r="J31" s="14" t="inlineStr">
        <is>
          <t>1. Login di mobile, tekan Station List (/stations); pilih Production Line bila diminta sebagai OPR-A.
2. Catat urutan dan nama ke-18 tile stasiun.
3. Tekan tile Pressing.
4. Baca judul layar yang terbuka dan alamatnya.
5. Tekan Back, lalu ulangi langkah 3–4 untuk Kernel Plant dan Weighbridge.</t>
        </is>
      </c>
      <c r="K31" s="14" t="inlineStr">
        <is>
          <t>- Ke-18 tile tampil.
- Setiap tile mendarat di Monitor stasiun yang sama dengan namanya — judulnya cocok, alamatnya /stations/&lt;stasiun&gt;/monitor.
- Tidak ada tile yang mendarat di stasiun lain.</t>
        </is>
      </c>
      <c r="L31" s="16" t="inlineStr">
        <is>
          <t>Tinggi</t>
        </is>
      </c>
      <c r="M31" s="14" t="inlineStr"/>
      <c r="N31" s="17" t="n"/>
      <c r="O31" s="17" t="n"/>
      <c r="P31" s="17" t="n"/>
      <c r="Q31" s="17" t="n"/>
      <c r="R31" s="17" t="n"/>
    </row>
    <row r="32" ht="202" customHeight="1">
      <c r="A32" s="11" t="n">
        <v>28</v>
      </c>
      <c r="B32" s="12" t="n">
        <v>1</v>
      </c>
      <c r="C32" s="13" t="inlineStr">
        <is>
          <t>MB-HOME-03</t>
        </is>
      </c>
      <c r="D32" s="13" t="inlineStr">
        <is>
          <t>MB-HOME-03</t>
        </is>
      </c>
      <c r="E32" s="14" t="inlineStr">
        <is>
          <t>—</t>
        </is>
      </c>
      <c r="F32" s="14" t="inlineStr">
        <is>
          <t>Mobile — Operasional Stasiun (MB-)</t>
        </is>
      </c>
      <c r="G32" s="15" t="inlineStr">
        <is>
          <t>Pilihan Production Line diingat perangkat dan dibagi antar layar</t>
        </is>
      </c>
      <c r="H32" s="14" t="inlineStr">
        <is>
          <t>OPR-A</t>
        </is>
      </c>
      <c r="I32" s="14" t="inlineStr">
        <is>
          <t>mill punya 2 line</t>
        </is>
      </c>
      <c r="J32" s="14" t="inlineStr">
        <is>
          <t>1. Pastikan mill OPR-A punya 2 Production Line.
2. Login di mobile, tekan Station List (/stations); pilih Production Line bila diminta sebagai OPR-A. Pilih Line 1 pada pemilih Production Line.
3. Masuk ke Monitor satu stasiun. Catat Production Line yang tertulis.
4. Tekan Back ke Station List. Perhatikan pemilihnya.
5. Tutup aplikasi sepenuhnya, lalu buka lagi dan login ulang.
6. Buka Station List. Perhatikan pemilihnya.
7. Ganti ke Line 2, lalu buka Monitor stasiun yang sama.</t>
        </is>
      </c>
      <c r="K32" s="14" t="inlineStr">
        <is>
          <t>- Langkah 4: pemilih masih menunjukkan Line 1 — pilihannya tidak lupa saat berpindah layar.
- Langkah 6: masih Line 1 — pilihannya diingat perangkat setelah aplikasi ditutup.
- Langkah 7: Monitor kini menunjukkan Line 2, dan daftar draftnya ikut berubah sesuai line itu.</t>
        </is>
      </c>
      <c r="L32" s="11" t="inlineStr">
        <is>
          <t>Sedang</t>
        </is>
      </c>
      <c r="M32" s="14" t="inlineStr"/>
      <c r="N32" s="17" t="n"/>
      <c r="O32" s="17" t="n"/>
      <c r="P32" s="17" t="n"/>
      <c r="Q32" s="17" t="n"/>
      <c r="R32" s="17" t="n"/>
    </row>
    <row r="33" ht="96.39999999999999" customHeight="1">
      <c r="A33" s="11" t="n">
        <v>29</v>
      </c>
      <c r="B33" s="12" t="n">
        <v>1</v>
      </c>
      <c r="C33" s="13" t="inlineStr">
        <is>
          <t>MB-HOME-04</t>
        </is>
      </c>
      <c r="D33" s="13" t="inlineStr">
        <is>
          <t>MB-HOME-04</t>
        </is>
      </c>
      <c r="E33" s="14" t="inlineStr">
        <is>
          <t>—</t>
        </is>
      </c>
      <c r="F33" s="14" t="inlineStr">
        <is>
          <t>Mobile — Operasional Stasiun (MB-)</t>
        </is>
      </c>
      <c r="G33" s="15" t="inlineStr">
        <is>
          <t>Mill tanpa Production Line memberi arahan, bukan layar kosong</t>
        </is>
      </c>
      <c r="H33" s="14" t="inlineStr">
        <is>
          <t>OPR-A pada mill tanpa line</t>
        </is>
      </c>
      <c r="I33" s="14" t="inlineStr">
        <is>
          <t>—</t>
        </is>
      </c>
      <c r="J33" s="14" t="inlineStr">
        <is>
          <t>1. Sebagai ADM di web, siapkan satu mill yang belum punya Production Line, dan satu akun Operator yang terikat mill itu.
2. Login di mobile (buka aplikasi, isi username dan password, tekan Login), mendarat di /home sebagai akun itu.
3. Buka Station List. Baca isi layar.</t>
        </is>
      </c>
      <c r="K33" s="14" t="inlineStr">
        <is>
          <t>- Muncul arahan yang menyebut Production Line — mis. agar menghubungi Admin.
- BUKAN layar kosong, BUKAN daftar nol tile tanpa keterangan.
- Tidak ada pesan galat teknis.</t>
        </is>
      </c>
      <c r="L33" s="11" t="inlineStr">
        <is>
          <t>Sedang</t>
        </is>
      </c>
      <c r="M33" s="14" t="inlineStr"/>
      <c r="N33" s="17" t="n"/>
      <c r="O33" s="17" t="n"/>
      <c r="P33" s="17" t="n"/>
      <c r="Q33" s="17" t="n"/>
      <c r="R33" s="17" t="n"/>
    </row>
    <row r="34" ht="175.6" customHeight="1">
      <c r="A34" s="18" t="n">
        <v>30</v>
      </c>
      <c r="B34" s="18" t="n">
        <v>3</v>
      </c>
      <c r="C34" s="19" t="inlineStr">
        <is>
          <t>MB-MON-01 / Weighbridge</t>
        </is>
      </c>
      <c r="D34" s="19" t="inlineStr">
        <is>
          <t>MB-MON-01</t>
        </is>
      </c>
      <c r="E34" s="20" t="inlineStr">
        <is>
          <t>Weighbridge</t>
        </is>
      </c>
      <c r="F34" s="21" t="inlineStr">
        <is>
          <t>Mobile — Operasional Stasiun (MB-)</t>
        </is>
      </c>
      <c r="G34" s="20" t="inlineStr">
        <is>
          <t>Monitor menampilkan daftar draft dan dua penghitung hari ini</t>
        </is>
      </c>
      <c r="H34" s="21" t="inlineStr">
        <is>
          <t>OPR-A</t>
        </is>
      </c>
      <c r="I34" s="21" t="inlineStr">
        <is>
          <t>ada minimal 1 draft dan beberapa record tersimpan hari ini</t>
        </is>
      </c>
      <c r="J34" s="21" t="inlineStr">
        <is>
          <t>1. Siapkan untuk stasiun ini: minimal 1 draft dan beberapa record Tersimpan bertanggal hari ini.
2. Login di mobile, Station List, lalu tekan tile Weighbridge (/stations/weighbridge/monitor).
3. Baca dua penghitung di bagian atas layar dan catat angkanya.
4. Hitung sendiri jumlah baris pada daftar draft.
5. Bandingkan angka penghitung dengan jumlah record hari ini yang Anda siapkan di langkah 1.</t>
        </is>
      </c>
      <c r="K34" s="21" t="inlineStr">
        <is>
          <t>- Daftar draft menampilkan seluruh draft stasiun itu.
- Dua penghitung hari ini tampil dan angkanya cocok dengan data yang disiapkan.
- Draft yang ditampilkan hanya milik stasiun dan Production Line yang sedang terpilih.</t>
        </is>
      </c>
      <c r="L34" s="16" t="inlineStr">
        <is>
          <t>Tinggi</t>
        </is>
      </c>
      <c r="M34" s="21" t="inlineStr"/>
      <c r="N34" s="17" t="n"/>
      <c r="O34" s="17" t="n"/>
      <c r="P34" s="17" t="n"/>
      <c r="Q34" s="17" t="n"/>
      <c r="R34" s="17" t="n"/>
    </row>
    <row r="35" ht="162.4" customHeight="1">
      <c r="A35" s="22" t="n">
        <v>31</v>
      </c>
      <c r="B35" s="22" t="n">
        <v>3</v>
      </c>
      <c r="C35" s="23" t="inlineStr">
        <is>
          <t>MB-MON-01 / Grading</t>
        </is>
      </c>
      <c r="D35" s="23" t="inlineStr">
        <is>
          <t>MB-MON-01</t>
        </is>
      </c>
      <c r="E35" s="24" t="inlineStr">
        <is>
          <t>Grading</t>
        </is>
      </c>
      <c r="F35" s="5" t="inlineStr">
        <is>
          <t>Mobile — Operasional Stasiun (MB-)</t>
        </is>
      </c>
      <c r="G35" s="24" t="inlineStr">
        <is>
          <t>Monitor menampilkan daftar draft dan dua penghitung hari ini</t>
        </is>
      </c>
      <c r="H35" s="5" t="inlineStr">
        <is>
          <t>OPR-A</t>
        </is>
      </c>
      <c r="I35" s="5" t="inlineStr">
        <is>
          <t>ada minimal 1 draft dan beberapa record tersimpan hari ini</t>
        </is>
      </c>
      <c r="J35" s="5" t="inlineStr">
        <is>
          <t>1. Siapkan untuk stasiun ini: minimal 1 draft dan beberapa record Tersimpan bertanggal hari ini.
2. Login di mobile, Station List, lalu tekan tile Grading (/stations/grading/monitor).
3. Baca dua penghitung di bagian atas layar dan catat angkanya.
4. Hitung sendiri jumlah baris pada daftar draft.
5. Bandingkan angka penghitung dengan jumlah record hari ini yang Anda siapkan di langkah 1.</t>
        </is>
      </c>
      <c r="K35" s="5" t="inlineStr">
        <is>
          <t>- Daftar draft menampilkan seluruh draft stasiun itu.
- Dua penghitung hari ini tampil dan angkanya cocok dengan data yang disiapkan.
- Draft yang ditampilkan hanya milik stasiun dan Production Line yang sedang terpilih.</t>
        </is>
      </c>
      <c r="L35" s="16" t="inlineStr">
        <is>
          <t>Tinggi</t>
        </is>
      </c>
      <c r="M35" s="5" t="inlineStr"/>
      <c r="N35" s="17" t="n"/>
      <c r="O35" s="17" t="n"/>
      <c r="P35" s="17" t="n"/>
      <c r="Q35" s="17" t="n"/>
      <c r="R35" s="17" t="n"/>
    </row>
    <row r="36" ht="175.6" customHeight="1">
      <c r="A36" s="18" t="n">
        <v>32</v>
      </c>
      <c r="B36" s="18" t="n">
        <v>3</v>
      </c>
      <c r="C36" s="19" t="inlineStr">
        <is>
          <t>MB-MON-01 / Cages Track</t>
        </is>
      </c>
      <c r="D36" s="19" t="inlineStr">
        <is>
          <t>MB-MON-01</t>
        </is>
      </c>
      <c r="E36" s="20" t="inlineStr">
        <is>
          <t>Cages Track</t>
        </is>
      </c>
      <c r="F36" s="21" t="inlineStr">
        <is>
          <t>Mobile — Operasional Stasiun (MB-)</t>
        </is>
      </c>
      <c r="G36" s="20" t="inlineStr">
        <is>
          <t>Monitor menampilkan daftar draft dan dua penghitung hari ini</t>
        </is>
      </c>
      <c r="H36" s="21" t="inlineStr">
        <is>
          <t>OPR-A</t>
        </is>
      </c>
      <c r="I36" s="21" t="inlineStr">
        <is>
          <t>ada minimal 1 draft dan beberapa record tersimpan hari ini</t>
        </is>
      </c>
      <c r="J36" s="21" t="inlineStr">
        <is>
          <t>1. Siapkan untuk stasiun ini: minimal 1 draft dan beberapa record Tersimpan bertanggal hari ini.
2. Login di mobile, Station List, lalu tekan tile Cages Track (/stations/cages-track/monitor).
3. Baca dua penghitung di bagian atas layar dan catat angkanya.
4. Hitung sendiri jumlah baris pada daftar draft.
5. Bandingkan angka penghitung dengan jumlah record hari ini yang Anda siapkan di langkah 1.</t>
        </is>
      </c>
      <c r="K36" s="21" t="inlineStr">
        <is>
          <t>- Daftar draft menampilkan seluruh draft stasiun itu.
- Dua penghitung hari ini tampil dan angkanya cocok dengan data yang disiapkan.
- Draft yang ditampilkan hanya milik stasiun dan Production Line yang sedang terpilih.</t>
        </is>
      </c>
      <c r="L36" s="16" t="inlineStr">
        <is>
          <t>Tinggi</t>
        </is>
      </c>
      <c r="M36" s="21" t="inlineStr"/>
      <c r="N36" s="17" t="n"/>
      <c r="O36" s="17" t="n"/>
      <c r="P36" s="17" t="n"/>
      <c r="Q36" s="17" t="n"/>
      <c r="R36" s="17" t="n"/>
    </row>
    <row r="37" ht="175.6" customHeight="1">
      <c r="A37" s="22" t="n">
        <v>33</v>
      </c>
      <c r="B37" s="22" t="n">
        <v>3</v>
      </c>
      <c r="C37" s="23" t="inlineStr">
        <is>
          <t>MB-MON-01 / Sterilizer</t>
        </is>
      </c>
      <c r="D37" s="23" t="inlineStr">
        <is>
          <t>MB-MON-01</t>
        </is>
      </c>
      <c r="E37" s="24" t="inlineStr">
        <is>
          <t>Sterilizer</t>
        </is>
      </c>
      <c r="F37" s="5" t="inlineStr">
        <is>
          <t>Mobile — Operasional Stasiun (MB-)</t>
        </is>
      </c>
      <c r="G37" s="24" t="inlineStr">
        <is>
          <t>Monitor menampilkan daftar draft dan dua penghitung hari ini</t>
        </is>
      </c>
      <c r="H37" s="5" t="inlineStr">
        <is>
          <t>OPR-A</t>
        </is>
      </c>
      <c r="I37" s="5" t="inlineStr">
        <is>
          <t>ada minimal 1 draft dan beberapa record tersimpan hari ini</t>
        </is>
      </c>
      <c r="J37" s="5" t="inlineStr">
        <is>
          <t>1. Siapkan untuk stasiun ini: minimal 1 draft dan beberapa record Tersimpan bertanggal hari ini.
2. Login di mobile, Station List, lalu tekan tile Sterilizer (/stations/sterilizer/monitor).
3. Baca dua penghitung di bagian atas layar dan catat angkanya.
4. Hitung sendiri jumlah baris pada daftar draft.
5. Bandingkan angka penghitung dengan jumlah record hari ini yang Anda siapkan di langkah 1.</t>
        </is>
      </c>
      <c r="K37" s="5" t="inlineStr">
        <is>
          <t>- Daftar draft menampilkan seluruh draft stasiun itu.
- Dua penghitung hari ini tampil dan angkanya cocok dengan data yang disiapkan.
- Draft yang ditampilkan hanya milik stasiun dan Production Line yang sedang terpilih.</t>
        </is>
      </c>
      <c r="L37" s="16" t="inlineStr">
        <is>
          <t>Tinggi</t>
        </is>
      </c>
      <c r="M37" s="5" t="inlineStr"/>
      <c r="N37" s="17" t="n"/>
      <c r="O37" s="17" t="n"/>
      <c r="P37" s="17" t="n"/>
      <c r="Q37" s="17" t="n"/>
      <c r="R37" s="17" t="n"/>
    </row>
    <row r="38" ht="175.6" customHeight="1">
      <c r="A38" s="18" t="n">
        <v>34</v>
      </c>
      <c r="B38" s="18" t="n">
        <v>3</v>
      </c>
      <c r="C38" s="19" t="inlineStr">
        <is>
          <t>MB-MON-01 / Threshing</t>
        </is>
      </c>
      <c r="D38" s="19" t="inlineStr">
        <is>
          <t>MB-MON-01</t>
        </is>
      </c>
      <c r="E38" s="20" t="inlineStr">
        <is>
          <t>Threshing</t>
        </is>
      </c>
      <c r="F38" s="21" t="inlineStr">
        <is>
          <t>Mobile — Operasional Stasiun (MB-)</t>
        </is>
      </c>
      <c r="G38" s="20" t="inlineStr">
        <is>
          <t>Monitor menampilkan daftar draft dan dua penghitung hari ini</t>
        </is>
      </c>
      <c r="H38" s="21" t="inlineStr">
        <is>
          <t>OPR-A</t>
        </is>
      </c>
      <c r="I38" s="21" t="inlineStr">
        <is>
          <t>ada minimal 1 draft dan beberapa record tersimpan hari ini</t>
        </is>
      </c>
      <c r="J38" s="21" t="inlineStr">
        <is>
          <t>1. Siapkan untuk stasiun ini: minimal 1 draft dan beberapa record Tersimpan bertanggal hari ini.
2. Login di mobile, Station List, lalu tekan tile Threshing (/stations/threshing/monitor).
3. Baca dua penghitung di bagian atas layar dan catat angkanya.
4. Hitung sendiri jumlah baris pada daftar draft.
5. Bandingkan angka penghitung dengan jumlah record hari ini yang Anda siapkan di langkah 1.</t>
        </is>
      </c>
      <c r="K38" s="21" t="inlineStr">
        <is>
          <t>- Daftar draft menampilkan seluruh draft stasiun itu.
- Dua penghitung hari ini tampil dan angkanya cocok dengan data yang disiapkan.
- Draft yang ditampilkan hanya milik stasiun dan Production Line yang sedang terpilih.</t>
        </is>
      </c>
      <c r="L38" s="16" t="inlineStr">
        <is>
          <t>Tinggi</t>
        </is>
      </c>
      <c r="M38" s="21" t="inlineStr"/>
      <c r="N38" s="17" t="n"/>
      <c r="O38" s="17" t="n"/>
      <c r="P38" s="17" t="n"/>
      <c r="Q38" s="17" t="n"/>
      <c r="R38" s="17" t="n"/>
    </row>
    <row r="39" ht="162.4" customHeight="1">
      <c r="A39" s="22" t="n">
        <v>35</v>
      </c>
      <c r="B39" s="22" t="n">
        <v>3</v>
      </c>
      <c r="C39" s="23" t="inlineStr">
        <is>
          <t>MB-MON-01 / Pressing</t>
        </is>
      </c>
      <c r="D39" s="23" t="inlineStr">
        <is>
          <t>MB-MON-01</t>
        </is>
      </c>
      <c r="E39" s="24" t="inlineStr">
        <is>
          <t>Pressing</t>
        </is>
      </c>
      <c r="F39" s="5" t="inlineStr">
        <is>
          <t>Mobile — Operasional Stasiun (MB-)</t>
        </is>
      </c>
      <c r="G39" s="24" t="inlineStr">
        <is>
          <t>Monitor menampilkan daftar draft dan dua penghitung hari ini</t>
        </is>
      </c>
      <c r="H39" s="5" t="inlineStr">
        <is>
          <t>OPR-A</t>
        </is>
      </c>
      <c r="I39" s="5" t="inlineStr">
        <is>
          <t>ada minimal 1 draft dan beberapa record tersimpan hari ini</t>
        </is>
      </c>
      <c r="J39" s="5" t="inlineStr">
        <is>
          <t>1. Siapkan untuk stasiun ini: minimal 1 draft dan beberapa record Tersimpan bertanggal hari ini.
2. Login di mobile, Station List, lalu tekan tile Pressing (/stations/pressing/monitor).
3. Baca dua penghitung di bagian atas layar dan catat angkanya.
4. Hitung sendiri jumlah baris pada daftar draft.
5. Bandingkan angka penghitung dengan jumlah record hari ini yang Anda siapkan di langkah 1.</t>
        </is>
      </c>
      <c r="K39" s="5" t="inlineStr">
        <is>
          <t>- Daftar draft menampilkan seluruh draft stasiun itu.
- Dua penghitung hari ini tampil dan angkanya cocok dengan data yang disiapkan.
- Draft yang ditampilkan hanya milik stasiun dan Production Line yang sedang terpilih.</t>
        </is>
      </c>
      <c r="L39" s="16" t="inlineStr">
        <is>
          <t>Tinggi</t>
        </is>
      </c>
      <c r="M39" s="5" t="inlineStr"/>
      <c r="N39" s="17" t="n"/>
      <c r="O39" s="17" t="n"/>
      <c r="P39" s="17" t="n"/>
      <c r="Q39" s="17" t="n"/>
      <c r="R39" s="17" t="n"/>
    </row>
    <row r="40" ht="175.6" customHeight="1">
      <c r="A40" s="18" t="n">
        <v>36</v>
      </c>
      <c r="B40" s="18" t="n">
        <v>3</v>
      </c>
      <c r="C40" s="19" t="inlineStr">
        <is>
          <t>MB-MON-01 / Clarification</t>
        </is>
      </c>
      <c r="D40" s="19" t="inlineStr">
        <is>
          <t>MB-MON-01</t>
        </is>
      </c>
      <c r="E40" s="20" t="inlineStr">
        <is>
          <t>Clarification</t>
        </is>
      </c>
      <c r="F40" s="21" t="inlineStr">
        <is>
          <t>Mobile — Operasional Stasiun (MB-)</t>
        </is>
      </c>
      <c r="G40" s="20" t="inlineStr">
        <is>
          <t>Monitor menampilkan daftar draft dan dua penghitung hari ini</t>
        </is>
      </c>
      <c r="H40" s="21" t="inlineStr">
        <is>
          <t>OPR-A</t>
        </is>
      </c>
      <c r="I40" s="21" t="inlineStr">
        <is>
          <t>ada minimal 1 draft dan beberapa record tersimpan hari ini</t>
        </is>
      </c>
      <c r="J40" s="21" t="inlineStr">
        <is>
          <t>1. Siapkan untuk stasiun ini: minimal 1 draft dan beberapa record Tersimpan bertanggal hari ini.
2. Login di mobile, Station List, lalu tekan tile Clarification (/stations/clarification/monitor).
3. Baca dua penghitung di bagian atas layar dan catat angkanya.
4. Hitung sendiri jumlah baris pada daftar draft.
5. Bandingkan angka penghitung dengan jumlah record hari ini yang Anda siapkan di langkah 1.</t>
        </is>
      </c>
      <c r="K40" s="21" t="inlineStr">
        <is>
          <t>- Daftar draft menampilkan seluruh draft stasiun itu.
- Dua penghitung hari ini tampil dan angkanya cocok dengan data yang disiapkan.
- Draft yang ditampilkan hanya milik stasiun dan Production Line yang sedang terpilih.</t>
        </is>
      </c>
      <c r="L40" s="16" t="inlineStr">
        <is>
          <t>Tinggi</t>
        </is>
      </c>
      <c r="M40" s="21" t="inlineStr"/>
      <c r="N40" s="17" t="n"/>
      <c r="O40" s="17" t="n"/>
      <c r="P40" s="17" t="n"/>
      <c r="Q40" s="17" t="n"/>
      <c r="R40" s="17" t="n"/>
    </row>
    <row r="41" ht="175.6" customHeight="1">
      <c r="A41" s="22" t="n">
        <v>37</v>
      </c>
      <c r="B41" s="22" t="n">
        <v>3</v>
      </c>
      <c r="C41" s="23" t="inlineStr">
        <is>
          <t>MB-MON-01 / Kernel Plant</t>
        </is>
      </c>
      <c r="D41" s="23" t="inlineStr">
        <is>
          <t>MB-MON-01</t>
        </is>
      </c>
      <c r="E41" s="24" t="inlineStr">
        <is>
          <t>Kernel Plant</t>
        </is>
      </c>
      <c r="F41" s="5" t="inlineStr">
        <is>
          <t>Mobile — Operasional Stasiun (MB-)</t>
        </is>
      </c>
      <c r="G41" s="24" t="inlineStr">
        <is>
          <t>Monitor menampilkan daftar draft dan dua penghitung hari ini</t>
        </is>
      </c>
      <c r="H41" s="5" t="inlineStr">
        <is>
          <t>OPR-A</t>
        </is>
      </c>
      <c r="I41" s="5" t="inlineStr">
        <is>
          <t>ada minimal 1 draft dan beberapa record tersimpan hari ini</t>
        </is>
      </c>
      <c r="J41" s="5" t="inlineStr">
        <is>
          <t>1. Siapkan untuk stasiun ini: minimal 1 draft dan beberapa record Tersimpan bertanggal hari ini.
2. Login di mobile, Station List, lalu tekan tile Kernel Plant (/stations/kernel-plant/monitor).
3. Baca dua penghitung di bagian atas layar dan catat angkanya.
4. Hitung sendiri jumlah baris pada daftar draft.
5. Bandingkan angka penghitung dengan jumlah record hari ini yang Anda siapkan di langkah 1.</t>
        </is>
      </c>
      <c r="K41" s="5" t="inlineStr">
        <is>
          <t>- Daftar draft menampilkan seluruh draft stasiun itu.
- Dua penghitung hari ini tampil dan angkanya cocok dengan data yang disiapkan.
- Draft yang ditampilkan hanya milik stasiun dan Production Line yang sedang terpilih.</t>
        </is>
      </c>
      <c r="L41" s="16" t="inlineStr">
        <is>
          <t>Tinggi</t>
        </is>
      </c>
      <c r="M41" s="5" t="inlineStr"/>
      <c r="N41" s="17" t="n"/>
      <c r="O41" s="17" t="n"/>
      <c r="P41" s="17" t="n"/>
      <c r="Q41" s="17" t="n"/>
      <c r="R41" s="17" t="n"/>
    </row>
    <row r="42" ht="175.6" customHeight="1">
      <c r="A42" s="18" t="n">
        <v>38</v>
      </c>
      <c r="B42" s="18" t="n">
        <v>3</v>
      </c>
      <c r="C42" s="19" t="inlineStr">
        <is>
          <t>MB-MON-01 / Boiler Room</t>
        </is>
      </c>
      <c r="D42" s="19" t="inlineStr">
        <is>
          <t>MB-MON-01</t>
        </is>
      </c>
      <c r="E42" s="20" t="inlineStr">
        <is>
          <t>Boiler Room</t>
        </is>
      </c>
      <c r="F42" s="21" t="inlineStr">
        <is>
          <t>Mobile — Operasional Stasiun (MB-)</t>
        </is>
      </c>
      <c r="G42" s="20" t="inlineStr">
        <is>
          <t>Monitor menampilkan daftar draft dan dua penghitung hari ini</t>
        </is>
      </c>
      <c r="H42" s="21" t="inlineStr">
        <is>
          <t>OPR-A</t>
        </is>
      </c>
      <c r="I42" s="21" t="inlineStr">
        <is>
          <t>ada minimal 1 draft dan beberapa record tersimpan hari ini</t>
        </is>
      </c>
      <c r="J42" s="21" t="inlineStr">
        <is>
          <t>1. Siapkan untuk stasiun ini: minimal 1 draft dan beberapa record Tersimpan bertanggal hari ini.
2. Login di mobile, Station List, lalu tekan tile Boiler Room (/stations/boiler-room/monitor).
3. Baca dua penghitung di bagian atas layar dan catat angkanya.
4. Hitung sendiri jumlah baris pada daftar draft.
5. Bandingkan angka penghitung dengan jumlah record hari ini yang Anda siapkan di langkah 1.</t>
        </is>
      </c>
      <c r="K42" s="21" t="inlineStr">
        <is>
          <t>- Daftar draft menampilkan seluruh draft stasiun itu.
- Dua penghitung hari ini tampil dan angkanya cocok dengan data yang disiapkan.
- Draft yang ditampilkan hanya milik stasiun dan Production Line yang sedang terpilih.</t>
        </is>
      </c>
      <c r="L42" s="16" t="inlineStr">
        <is>
          <t>Tinggi</t>
        </is>
      </c>
      <c r="M42" s="21" t="inlineStr"/>
      <c r="N42" s="17" t="n"/>
      <c r="O42" s="17" t="n"/>
      <c r="P42" s="17" t="n"/>
      <c r="Q42" s="17" t="n"/>
      <c r="R42" s="17" t="n"/>
    </row>
    <row r="43" ht="175.6" customHeight="1">
      <c r="A43" s="22" t="n">
        <v>39</v>
      </c>
      <c r="B43" s="22" t="n">
        <v>3</v>
      </c>
      <c r="C43" s="23" t="inlineStr">
        <is>
          <t>MB-MON-01 / Effluent Plant</t>
        </is>
      </c>
      <c r="D43" s="23" t="inlineStr">
        <is>
          <t>MB-MON-01</t>
        </is>
      </c>
      <c r="E43" s="24" t="inlineStr">
        <is>
          <t>Effluent Plant</t>
        </is>
      </c>
      <c r="F43" s="5" t="inlineStr">
        <is>
          <t>Mobile — Operasional Stasiun (MB-)</t>
        </is>
      </c>
      <c r="G43" s="24" t="inlineStr">
        <is>
          <t>Monitor menampilkan daftar draft dan dua penghitung hari ini</t>
        </is>
      </c>
      <c r="H43" s="5" t="inlineStr">
        <is>
          <t>OPR-A</t>
        </is>
      </c>
      <c r="I43" s="5" t="inlineStr">
        <is>
          <t>ada minimal 1 draft dan beberapa record tersimpan hari ini</t>
        </is>
      </c>
      <c r="J43" s="5" t="inlineStr">
        <is>
          <t>1. Siapkan untuk stasiun ini: minimal 1 draft dan beberapa record Tersimpan bertanggal hari ini.
2. Login di mobile, Station List, lalu tekan tile Effluent Plant (/stations/effluent-plant/monitor).
3. Baca dua penghitung di bagian atas layar dan catat angkanya.
4. Hitung sendiri jumlah baris pada daftar draft.
5. Bandingkan angka penghitung dengan jumlah record hari ini yang Anda siapkan di langkah 1.</t>
        </is>
      </c>
      <c r="K43" s="5" t="inlineStr">
        <is>
          <t>- Daftar draft menampilkan seluruh draft stasiun itu.
- Dua penghitung hari ini tampil dan angkanya cocok dengan data yang disiapkan.
- Draft yang ditampilkan hanya milik stasiun dan Production Line yang sedang terpilih.</t>
        </is>
      </c>
      <c r="L43" s="16" t="inlineStr">
        <is>
          <t>Tinggi</t>
        </is>
      </c>
      <c r="M43" s="5" t="inlineStr"/>
      <c r="N43" s="17" t="n"/>
      <c r="O43" s="17" t="n"/>
      <c r="P43" s="17" t="n"/>
      <c r="Q43" s="17" t="n"/>
      <c r="R43" s="17" t="n"/>
    </row>
    <row r="44" ht="175.6" customHeight="1">
      <c r="A44" s="11" t="n">
        <v>40</v>
      </c>
      <c r="B44" s="12" t="n">
        <v>1</v>
      </c>
      <c r="C44" s="13" t="inlineStr">
        <is>
          <t>MB-MON-01 / Depricarping</t>
        </is>
      </c>
      <c r="D44" s="13" t="inlineStr">
        <is>
          <t>MB-MON-01</t>
        </is>
      </c>
      <c r="E44" s="15" t="inlineStr">
        <is>
          <t>Depricarping</t>
        </is>
      </c>
      <c r="F44" s="14" t="inlineStr">
        <is>
          <t>Mobile — Operasional Stasiun (MB-)</t>
        </is>
      </c>
      <c r="G44" s="15" t="inlineStr">
        <is>
          <t>Monitor menampilkan daftar draft dan dua penghitung hari ini</t>
        </is>
      </c>
      <c r="H44" s="14" t="inlineStr">
        <is>
          <t>OPR-A</t>
        </is>
      </c>
      <c r="I44" s="14" t="inlineStr">
        <is>
          <t>ada minimal 1 draft dan beberapa record tersimpan hari ini</t>
        </is>
      </c>
      <c r="J44" s="14" t="inlineStr">
        <is>
          <t>1. Siapkan untuk stasiun ini: minimal 1 draft dan beberapa record Tersimpan bertanggal hari ini.
2. Login di mobile, Station List, lalu tekan tile Depricarping (/stations/depricarping/monitor).
3. Baca dua penghitung di bagian atas layar dan catat angkanya.
4. Hitung sendiri jumlah baris pada daftar draft.
5. Bandingkan angka penghitung dengan jumlah record hari ini yang Anda siapkan di langkah 1.</t>
        </is>
      </c>
      <c r="K44" s="14" t="inlineStr">
        <is>
          <t>- Daftar draft menampilkan seluruh draft stasiun itu.
- Dua penghitung hari ini tampil dan angkanya cocok dengan data yang disiapkan.
- Draft yang ditampilkan hanya milik stasiun dan Production Line yang sedang terpilih.</t>
        </is>
      </c>
      <c r="L44" s="16" t="inlineStr">
        <is>
          <t>Tinggi</t>
        </is>
      </c>
      <c r="M44" s="14" t="inlineStr"/>
      <c r="N44" s="17" t="n"/>
      <c r="O44" s="17" t="n"/>
      <c r="P44" s="17" t="n"/>
      <c r="Q44" s="17" t="n"/>
      <c r="R44" s="17" t="n"/>
    </row>
    <row r="45" ht="175.6" customHeight="1">
      <c r="A45" s="22" t="n">
        <v>41</v>
      </c>
      <c r="B45" s="22" t="n">
        <v>3</v>
      </c>
      <c r="C45" s="23" t="inlineStr">
        <is>
          <t>MB-MON-01 / Engine Room</t>
        </is>
      </c>
      <c r="D45" s="23" t="inlineStr">
        <is>
          <t>MB-MON-01</t>
        </is>
      </c>
      <c r="E45" s="24" t="inlineStr">
        <is>
          <t>Engine Room</t>
        </is>
      </c>
      <c r="F45" s="5" t="inlineStr">
        <is>
          <t>Mobile — Operasional Stasiun (MB-)</t>
        </is>
      </c>
      <c r="G45" s="24" t="inlineStr">
        <is>
          <t>Monitor menampilkan daftar draft dan dua penghitung hari ini</t>
        </is>
      </c>
      <c r="H45" s="5" t="inlineStr">
        <is>
          <t>OPR-A</t>
        </is>
      </c>
      <c r="I45" s="5" t="inlineStr">
        <is>
          <t>ada minimal 1 draft dan beberapa record tersimpan hari ini</t>
        </is>
      </c>
      <c r="J45" s="5" t="inlineStr">
        <is>
          <t>1. Siapkan untuk stasiun ini: minimal 1 draft dan beberapa record Tersimpan bertanggal hari ini.
2. Login di mobile, Station List, lalu tekan tile Engine Room (/stations/engine-room/monitor).
3. Baca dua penghitung di bagian atas layar dan catat angkanya.
4. Hitung sendiri jumlah baris pada daftar draft.
5. Bandingkan angka penghitung dengan jumlah record hari ini yang Anda siapkan di langkah 1.</t>
        </is>
      </c>
      <c r="K45" s="5" t="inlineStr">
        <is>
          <t>- Daftar draft menampilkan seluruh draft stasiun itu.
- Dua penghitung hari ini tampil dan angkanya cocok dengan data yang disiapkan.
- Draft yang ditampilkan hanya milik stasiun dan Production Line yang sedang terpilih.</t>
        </is>
      </c>
      <c r="L45" s="16" t="inlineStr">
        <is>
          <t>Tinggi</t>
        </is>
      </c>
      <c r="M45" s="5" t="inlineStr"/>
      <c r="N45" s="17" t="n"/>
      <c r="O45" s="17" t="n"/>
      <c r="P45" s="17" t="n"/>
      <c r="Q45" s="17" t="n"/>
      <c r="R45" s="17" t="n"/>
    </row>
    <row r="46" ht="175.6" customHeight="1">
      <c r="A46" s="18" t="n">
        <v>42</v>
      </c>
      <c r="B46" s="18" t="n">
        <v>3</v>
      </c>
      <c r="C46" s="19" t="inlineStr">
        <is>
          <t>MB-MON-01 / Process Water</t>
        </is>
      </c>
      <c r="D46" s="19" t="inlineStr">
        <is>
          <t>MB-MON-01</t>
        </is>
      </c>
      <c r="E46" s="20" t="inlineStr">
        <is>
          <t>Process Water</t>
        </is>
      </c>
      <c r="F46" s="21" t="inlineStr">
        <is>
          <t>Mobile — Operasional Stasiun (MB-)</t>
        </is>
      </c>
      <c r="G46" s="20" t="inlineStr">
        <is>
          <t>Monitor menampilkan daftar draft dan dua penghitung hari ini</t>
        </is>
      </c>
      <c r="H46" s="21" t="inlineStr">
        <is>
          <t>OPR-A</t>
        </is>
      </c>
      <c r="I46" s="21" t="inlineStr">
        <is>
          <t>ada minimal 1 draft dan beberapa record tersimpan hari ini</t>
        </is>
      </c>
      <c r="J46" s="21" t="inlineStr">
        <is>
          <t>1. Siapkan untuk stasiun ini: minimal 1 draft dan beberapa record Tersimpan bertanggal hari ini.
2. Login di mobile, Station List, lalu tekan tile Process Water (/stations/process-water/monitor).
3. Baca dua penghitung di bagian atas layar dan catat angkanya.
4. Hitung sendiri jumlah baris pada daftar draft.
5. Bandingkan angka penghitung dengan jumlah record hari ini yang Anda siapkan di langkah 1.</t>
        </is>
      </c>
      <c r="K46" s="21" t="inlineStr">
        <is>
          <t>- Daftar draft menampilkan seluruh draft stasiun itu.
- Dua penghitung hari ini tampil dan angkanya cocok dengan data yang disiapkan.
- Draft yang ditampilkan hanya milik stasiun dan Production Line yang sedang terpilih.</t>
        </is>
      </c>
      <c r="L46" s="16" t="inlineStr">
        <is>
          <t>Tinggi</t>
        </is>
      </c>
      <c r="M46" s="21" t="inlineStr"/>
      <c r="N46" s="17" t="n"/>
      <c r="O46" s="17" t="n"/>
      <c r="P46" s="17" t="n"/>
      <c r="Q46" s="17" t="n"/>
      <c r="R46" s="17" t="n"/>
    </row>
    <row r="47" ht="175.6" customHeight="1">
      <c r="A47" s="22" t="n">
        <v>43</v>
      </c>
      <c r="B47" s="22" t="n">
        <v>3</v>
      </c>
      <c r="C47" s="23" t="inlineStr">
        <is>
          <t>MB-MON-01 / Storage Tank</t>
        </is>
      </c>
      <c r="D47" s="23" t="inlineStr">
        <is>
          <t>MB-MON-01</t>
        </is>
      </c>
      <c r="E47" s="24" t="inlineStr">
        <is>
          <t>Storage Tank</t>
        </is>
      </c>
      <c r="F47" s="5" t="inlineStr">
        <is>
          <t>Mobile — Operasional Stasiun (MB-)</t>
        </is>
      </c>
      <c r="G47" s="24" t="inlineStr">
        <is>
          <t>Monitor menampilkan daftar draft dan dua penghitung hari ini</t>
        </is>
      </c>
      <c r="H47" s="5" t="inlineStr">
        <is>
          <t>OPR-A</t>
        </is>
      </c>
      <c r="I47" s="5" t="inlineStr">
        <is>
          <t>ada minimal 1 draft dan beberapa record tersimpan hari ini</t>
        </is>
      </c>
      <c r="J47" s="5" t="inlineStr">
        <is>
          <t>1. Siapkan untuk stasiun ini: minimal 1 draft dan beberapa record Tersimpan bertanggal hari ini.
2. Login di mobile, Station List, lalu tekan tile Storage Tank (/stations/storage-tank/monitor).
3. Baca dua penghitung di bagian atas layar dan catat angkanya.
4. Hitung sendiri jumlah baris pada daftar draft.
5. Bandingkan angka penghitung dengan jumlah record hari ini yang Anda siapkan di langkah 1.</t>
        </is>
      </c>
      <c r="K47" s="5" t="inlineStr">
        <is>
          <t>- Daftar draft menampilkan seluruh draft stasiun itu.
- Dua penghitung hari ini tampil dan angkanya cocok dengan data yang disiapkan.
- Draft yang ditampilkan hanya milik stasiun dan Production Line yang sedang terpilih.</t>
        </is>
      </c>
      <c r="L47" s="16" t="inlineStr">
        <is>
          <t>Tinggi</t>
        </is>
      </c>
      <c r="M47" s="5" t="inlineStr"/>
      <c r="N47" s="17" t="n"/>
      <c r="O47" s="17" t="n"/>
      <c r="P47" s="17" t="n"/>
      <c r="Q47" s="17" t="n"/>
      <c r="R47" s="17" t="n"/>
    </row>
    <row r="48" ht="175.6" customHeight="1">
      <c r="A48" s="18" t="n">
        <v>44</v>
      </c>
      <c r="B48" s="18" t="n">
        <v>3</v>
      </c>
      <c r="C48" s="19" t="inlineStr">
        <is>
          <t>MB-MON-01 / Solid Waste Disposal</t>
        </is>
      </c>
      <c r="D48" s="19" t="inlineStr">
        <is>
          <t>MB-MON-01</t>
        </is>
      </c>
      <c r="E48" s="20" t="inlineStr">
        <is>
          <t>Solid Waste Disposal</t>
        </is>
      </c>
      <c r="F48" s="21" t="inlineStr">
        <is>
          <t>Mobile — Operasional Stasiun (MB-)</t>
        </is>
      </c>
      <c r="G48" s="20" t="inlineStr">
        <is>
          <t>Monitor menampilkan daftar draft dan dua penghitung hari ini</t>
        </is>
      </c>
      <c r="H48" s="21" t="inlineStr">
        <is>
          <t>OPR-A</t>
        </is>
      </c>
      <c r="I48" s="21" t="inlineStr">
        <is>
          <t>ada minimal 1 draft dan beberapa record tersimpan hari ini</t>
        </is>
      </c>
      <c r="J48" s="21" t="inlineStr">
        <is>
          <t>1. Siapkan untuk stasiun ini: minimal 1 draft dan beberapa record Tersimpan bertanggal hari ini.
2. Login di mobile, Station List, lalu tekan tile Solid Waste Disposal (/stations/solid-waste-disposal/monitor).
3. Baca dua penghitung di bagian atas layar dan catat angkanya.
4. Hitung sendiri jumlah baris pada daftar draft.
5. Bandingkan angka penghitung dengan jumlah record hari ini yang Anda siapkan di langkah 1.</t>
        </is>
      </c>
      <c r="K48" s="21" t="inlineStr">
        <is>
          <t>- Daftar draft menampilkan seluruh draft stasiun itu.
- Dua penghitung hari ini tampil dan angkanya cocok dengan data yang disiapkan.
- Draft yang ditampilkan hanya milik stasiun dan Production Line yang sedang terpilih.</t>
        </is>
      </c>
      <c r="L48" s="16" t="inlineStr">
        <is>
          <t>Tinggi</t>
        </is>
      </c>
      <c r="M48" s="21" t="inlineStr"/>
      <c r="N48" s="17" t="n"/>
      <c r="O48" s="17" t="n"/>
      <c r="P48" s="17" t="n"/>
      <c r="Q48" s="17" t="n"/>
      <c r="R48" s="17" t="n"/>
    </row>
    <row r="49" ht="175.6" customHeight="1">
      <c r="A49" s="22" t="n">
        <v>45</v>
      </c>
      <c r="B49" s="22" t="n">
        <v>3</v>
      </c>
      <c r="C49" s="23" t="inlineStr">
        <is>
          <t>MB-MON-01 / Kernel Dispatch</t>
        </is>
      </c>
      <c r="D49" s="23" t="inlineStr">
        <is>
          <t>MB-MON-01</t>
        </is>
      </c>
      <c r="E49" s="24" t="inlineStr">
        <is>
          <t>Kernel Dispatch</t>
        </is>
      </c>
      <c r="F49" s="5" t="inlineStr">
        <is>
          <t>Mobile — Operasional Stasiun (MB-)</t>
        </is>
      </c>
      <c r="G49" s="24" t="inlineStr">
        <is>
          <t>Monitor menampilkan daftar draft dan dua penghitung hari ini</t>
        </is>
      </c>
      <c r="H49" s="5" t="inlineStr">
        <is>
          <t>OPR-A</t>
        </is>
      </c>
      <c r="I49" s="5" t="inlineStr">
        <is>
          <t>ada minimal 1 draft dan beberapa record tersimpan hari ini</t>
        </is>
      </c>
      <c r="J49" s="5" t="inlineStr">
        <is>
          <t>1. Siapkan untuk stasiun ini: minimal 1 draft dan beberapa record Tersimpan bertanggal hari ini.
2. Login di mobile, Station List, lalu tekan tile Kernel Dispatch (/stations/kernel-dispatch/monitor).
3. Baca dua penghitung di bagian atas layar dan catat angkanya.
4. Hitung sendiri jumlah baris pada daftar draft.
5. Bandingkan angka penghitung dengan jumlah record hari ini yang Anda siapkan di langkah 1.</t>
        </is>
      </c>
      <c r="K49" s="5" t="inlineStr">
        <is>
          <t>- Daftar draft menampilkan seluruh draft stasiun itu.
- Dua penghitung hari ini tampil dan angkanya cocok dengan data yang disiapkan.
- Draft yang ditampilkan hanya milik stasiun dan Production Line yang sedang terpilih.</t>
        </is>
      </c>
      <c r="L49" s="16" t="inlineStr">
        <is>
          <t>Tinggi</t>
        </is>
      </c>
      <c r="M49" s="5" t="inlineStr"/>
      <c r="N49" s="17" t="n"/>
      <c r="O49" s="17" t="n"/>
      <c r="P49" s="17" t="n"/>
      <c r="Q49" s="17" t="n"/>
      <c r="R49" s="17" t="n"/>
    </row>
    <row r="50" ht="175.6" customHeight="1">
      <c r="A50" s="18" t="n">
        <v>46</v>
      </c>
      <c r="B50" s="18" t="n">
        <v>3</v>
      </c>
      <c r="C50" s="19" t="inlineStr">
        <is>
          <t>MB-MON-01 / CPO Dispatch</t>
        </is>
      </c>
      <c r="D50" s="19" t="inlineStr">
        <is>
          <t>MB-MON-01</t>
        </is>
      </c>
      <c r="E50" s="20" t="inlineStr">
        <is>
          <t>CPO Dispatch</t>
        </is>
      </c>
      <c r="F50" s="21" t="inlineStr">
        <is>
          <t>Mobile — Operasional Stasiun (MB-)</t>
        </is>
      </c>
      <c r="G50" s="20" t="inlineStr">
        <is>
          <t>Monitor menampilkan daftar draft dan dua penghitung hari ini</t>
        </is>
      </c>
      <c r="H50" s="21" t="inlineStr">
        <is>
          <t>OPR-A</t>
        </is>
      </c>
      <c r="I50" s="21" t="inlineStr">
        <is>
          <t>ada minimal 1 draft dan beberapa record tersimpan hari ini</t>
        </is>
      </c>
      <c r="J50" s="21" t="inlineStr">
        <is>
          <t>1. Siapkan untuk stasiun ini: minimal 1 draft dan beberapa record Tersimpan bertanggal hari ini.
2. Login di mobile, Station List, lalu tekan tile CPO Dispatch (/stations/cpo-dispatch/monitor).
3. Baca dua penghitung di bagian atas layar dan catat angkanya.
4. Hitung sendiri jumlah baris pada daftar draft.
5. Bandingkan angka penghitung dengan jumlah record hari ini yang Anda siapkan di langkah 1.</t>
        </is>
      </c>
      <c r="K50" s="21" t="inlineStr">
        <is>
          <t>- Daftar draft menampilkan seluruh draft stasiun itu.
- Dua penghitung hari ini tampil dan angkanya cocok dengan data yang disiapkan.
- Draft yang ditampilkan hanya milik stasiun dan Production Line yang sedang terpilih.</t>
        </is>
      </c>
      <c r="L50" s="16" t="inlineStr">
        <is>
          <t>Tinggi</t>
        </is>
      </c>
      <c r="M50" s="21" t="inlineStr"/>
      <c r="N50" s="17" t="n"/>
      <c r="O50" s="17" t="n"/>
      <c r="P50" s="17" t="n"/>
      <c r="Q50" s="17" t="n"/>
      <c r="R50" s="17" t="n"/>
    </row>
    <row r="51" ht="175.6" customHeight="1">
      <c r="A51" s="22" t="n">
        <v>47</v>
      </c>
      <c r="B51" s="22" t="n">
        <v>3</v>
      </c>
      <c r="C51" s="23" t="inlineStr">
        <is>
          <t>MB-MON-01 / Process Quality Control</t>
        </is>
      </c>
      <c r="D51" s="23" t="inlineStr">
        <is>
          <t>MB-MON-01</t>
        </is>
      </c>
      <c r="E51" s="24" t="inlineStr">
        <is>
          <t>Process Quality Control</t>
        </is>
      </c>
      <c r="F51" s="5" t="inlineStr">
        <is>
          <t>Mobile — Operasional Stasiun (MB-)</t>
        </is>
      </c>
      <c r="G51" s="24" t="inlineStr">
        <is>
          <t>Monitor menampilkan daftar draft dan dua penghitung hari ini</t>
        </is>
      </c>
      <c r="H51" s="5" t="inlineStr">
        <is>
          <t>OPR-A</t>
        </is>
      </c>
      <c r="I51" s="5" t="inlineStr">
        <is>
          <t>ada minimal 1 draft dan beberapa record tersimpan hari ini</t>
        </is>
      </c>
      <c r="J51" s="5" t="inlineStr">
        <is>
          <t>1. Siapkan untuk stasiun ini: minimal 1 draft dan beberapa record Tersimpan bertanggal hari ini.
2. Login di mobile, Station List, lalu tekan tile Process Quality Control (/stations/process-quality-control/monitor).
3. Baca dua penghitung di bagian atas layar dan catat angkanya.
4. Hitung sendiri jumlah baris pada daftar draft.
5. Bandingkan angka penghitung dengan jumlah record hari ini yang Anda siapkan di langkah 1.</t>
        </is>
      </c>
      <c r="K51" s="5" t="inlineStr">
        <is>
          <t>- Daftar draft menampilkan seluruh draft stasiun itu.
- Dua penghitung hari ini tampil dan angkanya cocok dengan data yang disiapkan.
- Draft yang ditampilkan hanya milik stasiun dan Production Line yang sedang terpilih.</t>
        </is>
      </c>
      <c r="L51" s="16" t="inlineStr">
        <is>
          <t>Tinggi</t>
        </is>
      </c>
      <c r="M51" s="5" t="inlineStr"/>
      <c r="N51" s="17" t="n"/>
      <c r="O51" s="17" t="n"/>
      <c r="P51" s="17" t="n"/>
      <c r="Q51" s="17" t="n"/>
      <c r="R51" s="17" t="n"/>
    </row>
    <row r="52" ht="136" customHeight="1">
      <c r="A52" s="18" t="n">
        <v>48</v>
      </c>
      <c r="B52" s="18" t="n">
        <v>3</v>
      </c>
      <c r="C52" s="19" t="inlineStr">
        <is>
          <t>MB-MON-02 / Weighbridge</t>
        </is>
      </c>
      <c r="D52" s="19" t="inlineStr">
        <is>
          <t>MB-MON-02</t>
        </is>
      </c>
      <c r="E52" s="20" t="inlineStr">
        <is>
          <t>Weighbridge</t>
        </is>
      </c>
      <c r="F52" s="21" t="inlineStr">
        <is>
          <t>Mobile — Operasional Stasiun (MB-)</t>
        </is>
      </c>
      <c r="G52" s="20" t="inlineStr">
        <is>
          <t>Beberapa draft bisa berjalan bersamaan dan semuanya tampil</t>
        </is>
      </c>
      <c r="H52" s="21" t="inlineStr">
        <is>
          <t>OPR-A</t>
        </is>
      </c>
      <c r="I52" s="21" t="inlineStr">
        <is>
          <t>—</t>
        </is>
      </c>
      <c r="J52" s="21" t="inlineStr">
        <is>
          <t>1. Login di mobile, Station List, lalu tekan tile Weighbridge (/stations/weighbridge/monitor).
2. Tekan New Data, lalu langsung tekan Pause.
3. Ulangi langkah 2 dua kali lagi, sehingga ada 3 draft.
4. Kembali ke Monitor. Hitung baris pada daftar draft.
5. Baca label status pada ketiga baris itu.</t>
        </is>
      </c>
      <c r="K52" s="21" t="inlineStr">
        <is>
          <t>- Ketiga draft tampil — tidak ada yang menimpa yang lain.
- Ketiganya berlabel "Pause".
- Membuat draft baru tidak menghapus atau menutup draft sebelumnya.</t>
        </is>
      </c>
      <c r="L52" s="18" t="inlineStr">
        <is>
          <t>Sedang</t>
        </is>
      </c>
      <c r="M52" s="21" t="inlineStr"/>
      <c r="N52" s="17" t="n"/>
      <c r="O52" s="17" t="n"/>
      <c r="P52" s="17" t="n"/>
      <c r="Q52" s="17" t="n"/>
      <c r="R52" s="17" t="n"/>
    </row>
    <row r="53" ht="122.8" customHeight="1">
      <c r="A53" s="22" t="n">
        <v>49</v>
      </c>
      <c r="B53" s="22" t="n">
        <v>3</v>
      </c>
      <c r="C53" s="23" t="inlineStr">
        <is>
          <t>MB-MON-02 / Grading</t>
        </is>
      </c>
      <c r="D53" s="23" t="inlineStr">
        <is>
          <t>MB-MON-02</t>
        </is>
      </c>
      <c r="E53" s="24" t="inlineStr">
        <is>
          <t>Grading</t>
        </is>
      </c>
      <c r="F53" s="5" t="inlineStr">
        <is>
          <t>Mobile — Operasional Stasiun (MB-)</t>
        </is>
      </c>
      <c r="G53" s="24" t="inlineStr">
        <is>
          <t>Beberapa draft bisa berjalan bersamaan dan semuanya tampil</t>
        </is>
      </c>
      <c r="H53" s="5" t="inlineStr">
        <is>
          <t>OPR-A</t>
        </is>
      </c>
      <c r="I53" s="5" t="inlineStr">
        <is>
          <t>—</t>
        </is>
      </c>
      <c r="J53" s="5" t="inlineStr">
        <is>
          <t>1. Login di mobile, Station List, lalu tekan tile Grading (/stations/grading/monitor).
2. Tekan New Data, lalu langsung tekan Pause.
3. Ulangi langkah 2 dua kali lagi, sehingga ada 3 draft.
4. Kembali ke Monitor. Hitung baris pada daftar draft.
5. Baca label status pada ketiga baris itu.</t>
        </is>
      </c>
      <c r="K53" s="5" t="inlineStr">
        <is>
          <t>- Ketiga draft tampil — tidak ada yang menimpa yang lain.
- Ketiganya berlabel "Pause".
- Membuat draft baru tidak menghapus atau menutup draft sebelumnya.</t>
        </is>
      </c>
      <c r="L53" s="22" t="inlineStr">
        <is>
          <t>Sedang</t>
        </is>
      </c>
      <c r="M53" s="5" t="inlineStr"/>
      <c r="N53" s="17" t="n"/>
      <c r="O53" s="17" t="n"/>
      <c r="P53" s="17" t="n"/>
      <c r="Q53" s="17" t="n"/>
      <c r="R53" s="17" t="n"/>
    </row>
    <row r="54" ht="136" customHeight="1">
      <c r="A54" s="18" t="n">
        <v>50</v>
      </c>
      <c r="B54" s="18" t="n">
        <v>3</v>
      </c>
      <c r="C54" s="19" t="inlineStr">
        <is>
          <t>MB-MON-02 / Cages Track</t>
        </is>
      </c>
      <c r="D54" s="19" t="inlineStr">
        <is>
          <t>MB-MON-02</t>
        </is>
      </c>
      <c r="E54" s="20" t="inlineStr">
        <is>
          <t>Cages Track</t>
        </is>
      </c>
      <c r="F54" s="21" t="inlineStr">
        <is>
          <t>Mobile — Operasional Stasiun (MB-)</t>
        </is>
      </c>
      <c r="G54" s="20" t="inlineStr">
        <is>
          <t>Beberapa draft bisa berjalan bersamaan dan semuanya tampil</t>
        </is>
      </c>
      <c r="H54" s="21" t="inlineStr">
        <is>
          <t>OPR-A</t>
        </is>
      </c>
      <c r="I54" s="21" t="inlineStr">
        <is>
          <t>—</t>
        </is>
      </c>
      <c r="J54" s="21" t="inlineStr">
        <is>
          <t>1. Login di mobile, Station List, lalu tekan tile Cages Track (/stations/cages-track/monitor).
2. Tekan New Data, lalu langsung tekan Pause.
3. Ulangi langkah 2 dua kali lagi, sehingga ada 3 draft.
4. Kembali ke Monitor. Hitung baris pada daftar draft.
5. Baca label status pada ketiga baris itu.</t>
        </is>
      </c>
      <c r="K54" s="21" t="inlineStr">
        <is>
          <t>- Ketiga draft tampil — tidak ada yang menimpa yang lain.
- Ketiganya berlabel "Pause".
- Membuat draft baru tidak menghapus atau menutup draft sebelumnya.</t>
        </is>
      </c>
      <c r="L54" s="18" t="inlineStr">
        <is>
          <t>Sedang</t>
        </is>
      </c>
      <c r="M54" s="21" t="inlineStr"/>
      <c r="N54" s="17" t="n"/>
      <c r="O54" s="17" t="n"/>
      <c r="P54" s="17" t="n"/>
      <c r="Q54" s="17" t="n"/>
      <c r="R54" s="17" t="n"/>
    </row>
    <row r="55" ht="136" customHeight="1">
      <c r="A55" s="22" t="n">
        <v>51</v>
      </c>
      <c r="B55" s="22" t="n">
        <v>3</v>
      </c>
      <c r="C55" s="23" t="inlineStr">
        <is>
          <t>MB-MON-02 / Sterilizer</t>
        </is>
      </c>
      <c r="D55" s="23" t="inlineStr">
        <is>
          <t>MB-MON-02</t>
        </is>
      </c>
      <c r="E55" s="24" t="inlineStr">
        <is>
          <t>Sterilizer</t>
        </is>
      </c>
      <c r="F55" s="5" t="inlineStr">
        <is>
          <t>Mobile — Operasional Stasiun (MB-)</t>
        </is>
      </c>
      <c r="G55" s="24" t="inlineStr">
        <is>
          <t>Beberapa draft bisa berjalan bersamaan dan semuanya tampil</t>
        </is>
      </c>
      <c r="H55" s="5" t="inlineStr">
        <is>
          <t>OPR-A</t>
        </is>
      </c>
      <c r="I55" s="5" t="inlineStr">
        <is>
          <t>—</t>
        </is>
      </c>
      <c r="J55" s="5" t="inlineStr">
        <is>
          <t>1. Login di mobile, Station List, lalu tekan tile Sterilizer (/stations/sterilizer/monitor).
2. Tekan New Data, lalu langsung tekan Pause.
3. Ulangi langkah 2 dua kali lagi, sehingga ada 3 draft.
4. Kembali ke Monitor. Hitung baris pada daftar draft.
5. Baca label status pada ketiga baris itu.</t>
        </is>
      </c>
      <c r="K55" s="5" t="inlineStr">
        <is>
          <t>- Ketiga draft tampil — tidak ada yang menimpa yang lain.
- Ketiganya berlabel "Pause".
- Membuat draft baru tidak menghapus atau menutup draft sebelumnya.</t>
        </is>
      </c>
      <c r="L55" s="22" t="inlineStr">
        <is>
          <t>Sedang</t>
        </is>
      </c>
      <c r="M55" s="5" t="inlineStr"/>
      <c r="N55" s="17" t="n"/>
      <c r="O55" s="17" t="n"/>
      <c r="P55" s="17" t="n"/>
      <c r="Q55" s="17" t="n"/>
      <c r="R55" s="17" t="n"/>
    </row>
    <row r="56" ht="136" customHeight="1">
      <c r="A56" s="18" t="n">
        <v>52</v>
      </c>
      <c r="B56" s="18" t="n">
        <v>3</v>
      </c>
      <c r="C56" s="19" t="inlineStr">
        <is>
          <t>MB-MON-02 / Threshing</t>
        </is>
      </c>
      <c r="D56" s="19" t="inlineStr">
        <is>
          <t>MB-MON-02</t>
        </is>
      </c>
      <c r="E56" s="20" t="inlineStr">
        <is>
          <t>Threshing</t>
        </is>
      </c>
      <c r="F56" s="21" t="inlineStr">
        <is>
          <t>Mobile — Operasional Stasiun (MB-)</t>
        </is>
      </c>
      <c r="G56" s="20" t="inlineStr">
        <is>
          <t>Beberapa draft bisa berjalan bersamaan dan semuanya tampil</t>
        </is>
      </c>
      <c r="H56" s="21" t="inlineStr">
        <is>
          <t>OPR-A</t>
        </is>
      </c>
      <c r="I56" s="21" t="inlineStr">
        <is>
          <t>—</t>
        </is>
      </c>
      <c r="J56" s="21" t="inlineStr">
        <is>
          <t>1. Login di mobile, Station List, lalu tekan tile Threshing (/stations/threshing/monitor).
2. Tekan New Data, lalu langsung tekan Pause.
3. Ulangi langkah 2 dua kali lagi, sehingga ada 3 draft.
4. Kembali ke Monitor. Hitung baris pada daftar draft.
5. Baca label status pada ketiga baris itu.</t>
        </is>
      </c>
      <c r="K56" s="21" t="inlineStr">
        <is>
          <t>- Ketiga draft tampil — tidak ada yang menimpa yang lain.
- Ketiganya berlabel "Pause".
- Membuat draft baru tidak menghapus atau menutup draft sebelumnya.</t>
        </is>
      </c>
      <c r="L56" s="18" t="inlineStr">
        <is>
          <t>Sedang</t>
        </is>
      </c>
      <c r="M56" s="21" t="inlineStr"/>
      <c r="N56" s="17" t="n"/>
      <c r="O56" s="17" t="n"/>
      <c r="P56" s="17" t="n"/>
      <c r="Q56" s="17" t="n"/>
      <c r="R56" s="17" t="n"/>
    </row>
    <row r="57" ht="122.8" customHeight="1">
      <c r="A57" s="22" t="n">
        <v>53</v>
      </c>
      <c r="B57" s="22" t="n">
        <v>3</v>
      </c>
      <c r="C57" s="23" t="inlineStr">
        <is>
          <t>MB-MON-02 / Pressing</t>
        </is>
      </c>
      <c r="D57" s="23" t="inlineStr">
        <is>
          <t>MB-MON-02</t>
        </is>
      </c>
      <c r="E57" s="24" t="inlineStr">
        <is>
          <t>Pressing</t>
        </is>
      </c>
      <c r="F57" s="5" t="inlineStr">
        <is>
          <t>Mobile — Operasional Stasiun (MB-)</t>
        </is>
      </c>
      <c r="G57" s="24" t="inlineStr">
        <is>
          <t>Beberapa draft bisa berjalan bersamaan dan semuanya tampil</t>
        </is>
      </c>
      <c r="H57" s="5" t="inlineStr">
        <is>
          <t>OPR-A</t>
        </is>
      </c>
      <c r="I57" s="5" t="inlineStr">
        <is>
          <t>—</t>
        </is>
      </c>
      <c r="J57" s="5" t="inlineStr">
        <is>
          <t>1. Login di mobile, Station List, lalu tekan tile Pressing (/stations/pressing/monitor).
2. Tekan New Data, lalu langsung tekan Pause.
3. Ulangi langkah 2 dua kali lagi, sehingga ada 3 draft.
4. Kembali ke Monitor. Hitung baris pada daftar draft.
5. Baca label status pada ketiga baris itu.</t>
        </is>
      </c>
      <c r="K57" s="5" t="inlineStr">
        <is>
          <t>- Ketiga draft tampil — tidak ada yang menimpa yang lain.
- Ketiganya berlabel "Pause".
- Membuat draft baru tidak menghapus atau menutup draft sebelumnya.</t>
        </is>
      </c>
      <c r="L57" s="22" t="inlineStr">
        <is>
          <t>Sedang</t>
        </is>
      </c>
      <c r="M57" s="5" t="inlineStr"/>
      <c r="N57" s="17" t="n"/>
      <c r="O57" s="17" t="n"/>
      <c r="P57" s="17" t="n"/>
      <c r="Q57" s="17" t="n"/>
      <c r="R57" s="17" t="n"/>
    </row>
    <row r="58" ht="136" customHeight="1">
      <c r="A58" s="18" t="n">
        <v>54</v>
      </c>
      <c r="B58" s="18" t="n">
        <v>3</v>
      </c>
      <c r="C58" s="19" t="inlineStr">
        <is>
          <t>MB-MON-02 / Clarification</t>
        </is>
      </c>
      <c r="D58" s="19" t="inlineStr">
        <is>
          <t>MB-MON-02</t>
        </is>
      </c>
      <c r="E58" s="20" t="inlineStr">
        <is>
          <t>Clarification</t>
        </is>
      </c>
      <c r="F58" s="21" t="inlineStr">
        <is>
          <t>Mobile — Operasional Stasiun (MB-)</t>
        </is>
      </c>
      <c r="G58" s="20" t="inlineStr">
        <is>
          <t>Beberapa draft bisa berjalan bersamaan dan semuanya tampil</t>
        </is>
      </c>
      <c r="H58" s="21" t="inlineStr">
        <is>
          <t>OPR-A</t>
        </is>
      </c>
      <c r="I58" s="21" t="inlineStr">
        <is>
          <t>—</t>
        </is>
      </c>
      <c r="J58" s="21" t="inlineStr">
        <is>
          <t>1. Login di mobile, Station List, lalu tekan tile Clarification (/stations/clarification/monitor).
2. Tekan New Data, lalu langsung tekan Pause.
3. Ulangi langkah 2 dua kali lagi, sehingga ada 3 draft.
4. Kembali ke Monitor. Hitung baris pada daftar draft.
5. Baca label status pada ketiga baris itu.</t>
        </is>
      </c>
      <c r="K58" s="21" t="inlineStr">
        <is>
          <t>- Ketiga draft tampil — tidak ada yang menimpa yang lain.
- Ketiganya berlabel "Pause".
- Membuat draft baru tidak menghapus atau menutup draft sebelumnya.</t>
        </is>
      </c>
      <c r="L58" s="18" t="inlineStr">
        <is>
          <t>Sedang</t>
        </is>
      </c>
      <c r="M58" s="21" t="inlineStr"/>
      <c r="N58" s="17" t="n"/>
      <c r="O58" s="17" t="n"/>
      <c r="P58" s="17" t="n"/>
      <c r="Q58" s="17" t="n"/>
      <c r="R58" s="17" t="n"/>
    </row>
    <row r="59" ht="136" customHeight="1">
      <c r="A59" s="22" t="n">
        <v>55</v>
      </c>
      <c r="B59" s="22" t="n">
        <v>3</v>
      </c>
      <c r="C59" s="23" t="inlineStr">
        <is>
          <t>MB-MON-02 / Kernel Plant</t>
        </is>
      </c>
      <c r="D59" s="23" t="inlineStr">
        <is>
          <t>MB-MON-02</t>
        </is>
      </c>
      <c r="E59" s="24" t="inlineStr">
        <is>
          <t>Kernel Plant</t>
        </is>
      </c>
      <c r="F59" s="5" t="inlineStr">
        <is>
          <t>Mobile — Operasional Stasiun (MB-)</t>
        </is>
      </c>
      <c r="G59" s="24" t="inlineStr">
        <is>
          <t>Beberapa draft bisa berjalan bersamaan dan semuanya tampil</t>
        </is>
      </c>
      <c r="H59" s="5" t="inlineStr">
        <is>
          <t>OPR-A</t>
        </is>
      </c>
      <c r="I59" s="5" t="inlineStr">
        <is>
          <t>—</t>
        </is>
      </c>
      <c r="J59" s="5" t="inlineStr">
        <is>
          <t>1. Login di mobile, Station List, lalu tekan tile Kernel Plant (/stations/kernel-plant/monitor).
2. Tekan New Data, lalu langsung tekan Pause.
3. Ulangi langkah 2 dua kali lagi, sehingga ada 3 draft.
4. Kembali ke Monitor. Hitung baris pada daftar draft.
5. Baca label status pada ketiga baris itu.</t>
        </is>
      </c>
      <c r="K59" s="5" t="inlineStr">
        <is>
          <t>- Ketiga draft tampil — tidak ada yang menimpa yang lain.
- Ketiganya berlabel "Pause".
- Membuat draft baru tidak menghapus atau menutup draft sebelumnya.</t>
        </is>
      </c>
      <c r="L59" s="22" t="inlineStr">
        <is>
          <t>Sedang</t>
        </is>
      </c>
      <c r="M59" s="5" t="inlineStr"/>
      <c r="N59" s="17" t="n"/>
      <c r="O59" s="17" t="n"/>
      <c r="P59" s="17" t="n"/>
      <c r="Q59" s="17" t="n"/>
      <c r="R59" s="17" t="n"/>
    </row>
    <row r="60" ht="136" customHeight="1">
      <c r="A60" s="18" t="n">
        <v>56</v>
      </c>
      <c r="B60" s="18" t="n">
        <v>3</v>
      </c>
      <c r="C60" s="19" t="inlineStr">
        <is>
          <t>MB-MON-02 / Boiler Room</t>
        </is>
      </c>
      <c r="D60" s="19" t="inlineStr">
        <is>
          <t>MB-MON-02</t>
        </is>
      </c>
      <c r="E60" s="20" t="inlineStr">
        <is>
          <t>Boiler Room</t>
        </is>
      </c>
      <c r="F60" s="21" t="inlineStr">
        <is>
          <t>Mobile — Operasional Stasiun (MB-)</t>
        </is>
      </c>
      <c r="G60" s="20" t="inlineStr">
        <is>
          <t>Beberapa draft bisa berjalan bersamaan dan semuanya tampil</t>
        </is>
      </c>
      <c r="H60" s="21" t="inlineStr">
        <is>
          <t>OPR-A</t>
        </is>
      </c>
      <c r="I60" s="21" t="inlineStr">
        <is>
          <t>—</t>
        </is>
      </c>
      <c r="J60" s="21" t="inlineStr">
        <is>
          <t>1. Login di mobile, Station List, lalu tekan tile Boiler Room (/stations/boiler-room/monitor).
2. Tekan New Data, lalu langsung tekan Pause.
3. Ulangi langkah 2 dua kali lagi, sehingga ada 3 draft.
4. Kembali ke Monitor. Hitung baris pada daftar draft.
5. Baca label status pada ketiga baris itu.</t>
        </is>
      </c>
      <c r="K60" s="21" t="inlineStr">
        <is>
          <t>- Ketiga draft tampil — tidak ada yang menimpa yang lain.
- Ketiganya berlabel "Pause".
- Membuat draft baru tidak menghapus atau menutup draft sebelumnya.</t>
        </is>
      </c>
      <c r="L60" s="18" t="inlineStr">
        <is>
          <t>Sedang</t>
        </is>
      </c>
      <c r="M60" s="21" t="inlineStr"/>
      <c r="N60" s="17" t="n"/>
      <c r="O60" s="17" t="n"/>
      <c r="P60" s="17" t="n"/>
      <c r="Q60" s="17" t="n"/>
      <c r="R60" s="17" t="n"/>
    </row>
    <row r="61" ht="136" customHeight="1">
      <c r="A61" s="22" t="n">
        <v>57</v>
      </c>
      <c r="B61" s="22" t="n">
        <v>3</v>
      </c>
      <c r="C61" s="23" t="inlineStr">
        <is>
          <t>MB-MON-02 / Effluent Plant</t>
        </is>
      </c>
      <c r="D61" s="23" t="inlineStr">
        <is>
          <t>MB-MON-02</t>
        </is>
      </c>
      <c r="E61" s="24" t="inlineStr">
        <is>
          <t>Effluent Plant</t>
        </is>
      </c>
      <c r="F61" s="5" t="inlineStr">
        <is>
          <t>Mobile — Operasional Stasiun (MB-)</t>
        </is>
      </c>
      <c r="G61" s="24" t="inlineStr">
        <is>
          <t>Beberapa draft bisa berjalan bersamaan dan semuanya tampil</t>
        </is>
      </c>
      <c r="H61" s="5" t="inlineStr">
        <is>
          <t>OPR-A</t>
        </is>
      </c>
      <c r="I61" s="5" t="inlineStr">
        <is>
          <t>—</t>
        </is>
      </c>
      <c r="J61" s="5" t="inlineStr">
        <is>
          <t>1. Login di mobile, Station List, lalu tekan tile Effluent Plant (/stations/effluent-plant/monitor).
2. Tekan New Data, lalu langsung tekan Pause.
3. Ulangi langkah 2 dua kali lagi, sehingga ada 3 draft.
4. Kembali ke Monitor. Hitung baris pada daftar draft.
5. Baca label status pada ketiga baris itu.</t>
        </is>
      </c>
      <c r="K61" s="5" t="inlineStr">
        <is>
          <t>- Ketiga draft tampil — tidak ada yang menimpa yang lain.
- Ketiganya berlabel "Pause".
- Membuat draft baru tidak menghapus atau menutup draft sebelumnya.</t>
        </is>
      </c>
      <c r="L61" s="22" t="inlineStr">
        <is>
          <t>Sedang</t>
        </is>
      </c>
      <c r="M61" s="5" t="inlineStr"/>
      <c r="N61" s="17" t="n"/>
      <c r="O61" s="17" t="n"/>
      <c r="P61" s="17" t="n"/>
      <c r="Q61" s="17" t="n"/>
      <c r="R61" s="17" t="n"/>
    </row>
    <row r="62" ht="136" customHeight="1">
      <c r="A62" s="11" t="n">
        <v>58</v>
      </c>
      <c r="B62" s="12" t="n">
        <v>1</v>
      </c>
      <c r="C62" s="13" t="inlineStr">
        <is>
          <t>MB-MON-02 / Depricarping</t>
        </is>
      </c>
      <c r="D62" s="13" t="inlineStr">
        <is>
          <t>MB-MON-02</t>
        </is>
      </c>
      <c r="E62" s="15" t="inlineStr">
        <is>
          <t>Depricarping</t>
        </is>
      </c>
      <c r="F62" s="14" t="inlineStr">
        <is>
          <t>Mobile — Operasional Stasiun (MB-)</t>
        </is>
      </c>
      <c r="G62" s="15" t="inlineStr">
        <is>
          <t>Beberapa draft bisa berjalan bersamaan dan semuanya tampil</t>
        </is>
      </c>
      <c r="H62" s="14" t="inlineStr">
        <is>
          <t>OPR-A</t>
        </is>
      </c>
      <c r="I62" s="14" t="inlineStr">
        <is>
          <t>—</t>
        </is>
      </c>
      <c r="J62" s="14" t="inlineStr">
        <is>
          <t>1. Login di mobile, Station List, lalu tekan tile Depricarping (/stations/depricarping/monitor).
2. Tekan New Data, lalu langsung tekan Pause.
3. Ulangi langkah 2 dua kali lagi, sehingga ada 3 draft.
4. Kembali ke Monitor. Hitung baris pada daftar draft.
5. Baca label status pada ketiga baris itu.</t>
        </is>
      </c>
      <c r="K62" s="14" t="inlineStr">
        <is>
          <t>- Ketiga draft tampil — tidak ada yang menimpa yang lain.
- Ketiganya berlabel "Pause".
- Membuat draft baru tidak menghapus atau menutup draft sebelumnya.</t>
        </is>
      </c>
      <c r="L62" s="11" t="inlineStr">
        <is>
          <t>Sedang</t>
        </is>
      </c>
      <c r="M62" s="14" t="inlineStr"/>
      <c r="N62" s="17" t="n"/>
      <c r="O62" s="17" t="n"/>
      <c r="P62" s="17" t="n"/>
      <c r="Q62" s="17" t="n"/>
      <c r="R62" s="17" t="n"/>
    </row>
    <row r="63" ht="136" customHeight="1">
      <c r="A63" s="22" t="n">
        <v>59</v>
      </c>
      <c r="B63" s="22" t="n">
        <v>3</v>
      </c>
      <c r="C63" s="23" t="inlineStr">
        <is>
          <t>MB-MON-02 / Engine Room</t>
        </is>
      </c>
      <c r="D63" s="23" t="inlineStr">
        <is>
          <t>MB-MON-02</t>
        </is>
      </c>
      <c r="E63" s="24" t="inlineStr">
        <is>
          <t>Engine Room</t>
        </is>
      </c>
      <c r="F63" s="5" t="inlineStr">
        <is>
          <t>Mobile — Operasional Stasiun (MB-)</t>
        </is>
      </c>
      <c r="G63" s="24" t="inlineStr">
        <is>
          <t>Beberapa draft bisa berjalan bersamaan dan semuanya tampil</t>
        </is>
      </c>
      <c r="H63" s="5" t="inlineStr">
        <is>
          <t>OPR-A</t>
        </is>
      </c>
      <c r="I63" s="5" t="inlineStr">
        <is>
          <t>—</t>
        </is>
      </c>
      <c r="J63" s="5" t="inlineStr">
        <is>
          <t>1. Login di mobile, Station List, lalu tekan tile Engine Room (/stations/engine-room/monitor).
2. Tekan New Data, lalu langsung tekan Pause.
3. Ulangi langkah 2 dua kali lagi, sehingga ada 3 draft.
4. Kembali ke Monitor. Hitung baris pada daftar draft.
5. Baca label status pada ketiga baris itu.</t>
        </is>
      </c>
      <c r="K63" s="5" t="inlineStr">
        <is>
          <t>- Ketiga draft tampil — tidak ada yang menimpa yang lain.
- Ketiganya berlabel "Pause".
- Membuat draft baru tidak menghapus atau menutup draft sebelumnya.</t>
        </is>
      </c>
      <c r="L63" s="22" t="inlineStr">
        <is>
          <t>Sedang</t>
        </is>
      </c>
      <c r="M63" s="5" t="inlineStr"/>
      <c r="N63" s="17" t="n"/>
      <c r="O63" s="17" t="n"/>
      <c r="P63" s="17" t="n"/>
      <c r="Q63" s="17" t="n"/>
      <c r="R63" s="17" t="n"/>
    </row>
    <row r="64" ht="136" customHeight="1">
      <c r="A64" s="18" t="n">
        <v>60</v>
      </c>
      <c r="B64" s="18" t="n">
        <v>3</v>
      </c>
      <c r="C64" s="19" t="inlineStr">
        <is>
          <t>MB-MON-02 / Process Water</t>
        </is>
      </c>
      <c r="D64" s="19" t="inlineStr">
        <is>
          <t>MB-MON-02</t>
        </is>
      </c>
      <c r="E64" s="20" t="inlineStr">
        <is>
          <t>Process Water</t>
        </is>
      </c>
      <c r="F64" s="21" t="inlineStr">
        <is>
          <t>Mobile — Operasional Stasiun (MB-)</t>
        </is>
      </c>
      <c r="G64" s="20" t="inlineStr">
        <is>
          <t>Beberapa draft bisa berjalan bersamaan dan semuanya tampil</t>
        </is>
      </c>
      <c r="H64" s="21" t="inlineStr">
        <is>
          <t>OPR-A</t>
        </is>
      </c>
      <c r="I64" s="21" t="inlineStr">
        <is>
          <t>—</t>
        </is>
      </c>
      <c r="J64" s="21" t="inlineStr">
        <is>
          <t>1. Login di mobile, Station List, lalu tekan tile Process Water (/stations/process-water/monitor).
2. Tekan New Data, lalu langsung tekan Pause.
3. Ulangi langkah 2 dua kali lagi, sehingga ada 3 draft.
4. Kembali ke Monitor. Hitung baris pada daftar draft.
5. Baca label status pada ketiga baris itu.</t>
        </is>
      </c>
      <c r="K64" s="21" t="inlineStr">
        <is>
          <t>- Ketiga draft tampil — tidak ada yang menimpa yang lain.
- Ketiganya berlabel "Pause".
- Membuat draft baru tidak menghapus atau menutup draft sebelumnya.</t>
        </is>
      </c>
      <c r="L64" s="18" t="inlineStr">
        <is>
          <t>Sedang</t>
        </is>
      </c>
      <c r="M64" s="21" t="inlineStr"/>
      <c r="N64" s="17" t="n"/>
      <c r="O64" s="17" t="n"/>
      <c r="P64" s="17" t="n"/>
      <c r="Q64" s="17" t="n"/>
      <c r="R64" s="17" t="n"/>
    </row>
    <row r="65" ht="136" customHeight="1">
      <c r="A65" s="22" t="n">
        <v>61</v>
      </c>
      <c r="B65" s="22" t="n">
        <v>3</v>
      </c>
      <c r="C65" s="23" t="inlineStr">
        <is>
          <t>MB-MON-02 / Storage Tank</t>
        </is>
      </c>
      <c r="D65" s="23" t="inlineStr">
        <is>
          <t>MB-MON-02</t>
        </is>
      </c>
      <c r="E65" s="24" t="inlineStr">
        <is>
          <t>Storage Tank</t>
        </is>
      </c>
      <c r="F65" s="5" t="inlineStr">
        <is>
          <t>Mobile — Operasional Stasiun (MB-)</t>
        </is>
      </c>
      <c r="G65" s="24" t="inlineStr">
        <is>
          <t>Beberapa draft bisa berjalan bersamaan dan semuanya tampil</t>
        </is>
      </c>
      <c r="H65" s="5" t="inlineStr">
        <is>
          <t>OPR-A</t>
        </is>
      </c>
      <c r="I65" s="5" t="inlineStr">
        <is>
          <t>—</t>
        </is>
      </c>
      <c r="J65" s="5" t="inlineStr">
        <is>
          <t>1. Login di mobile, Station List, lalu tekan tile Storage Tank (/stations/storage-tank/monitor).
2. Tekan New Data, lalu langsung tekan Pause.
3. Ulangi langkah 2 dua kali lagi, sehingga ada 3 draft.
4. Kembali ke Monitor. Hitung baris pada daftar draft.
5. Baca label status pada ketiga baris itu.</t>
        </is>
      </c>
      <c r="K65" s="5" t="inlineStr">
        <is>
          <t>- Ketiga draft tampil — tidak ada yang menimpa yang lain.
- Ketiganya berlabel "Pause".
- Membuat draft baru tidak menghapus atau menutup draft sebelumnya.</t>
        </is>
      </c>
      <c r="L65" s="22" t="inlineStr">
        <is>
          <t>Sedang</t>
        </is>
      </c>
      <c r="M65" s="5" t="inlineStr"/>
      <c r="N65" s="17" t="n"/>
      <c r="O65" s="17" t="n"/>
      <c r="P65" s="17" t="n"/>
      <c r="Q65" s="17" t="n"/>
      <c r="R65" s="17" t="n"/>
    </row>
    <row r="66" ht="136" customHeight="1">
      <c r="A66" s="18" t="n">
        <v>62</v>
      </c>
      <c r="B66" s="18" t="n">
        <v>3</v>
      </c>
      <c r="C66" s="19" t="inlineStr">
        <is>
          <t>MB-MON-02 / Solid Waste Disposal</t>
        </is>
      </c>
      <c r="D66" s="19" t="inlineStr">
        <is>
          <t>MB-MON-02</t>
        </is>
      </c>
      <c r="E66" s="20" t="inlineStr">
        <is>
          <t>Solid Waste Disposal</t>
        </is>
      </c>
      <c r="F66" s="21" t="inlineStr">
        <is>
          <t>Mobile — Operasional Stasiun (MB-)</t>
        </is>
      </c>
      <c r="G66" s="20" t="inlineStr">
        <is>
          <t>Beberapa draft bisa berjalan bersamaan dan semuanya tampil</t>
        </is>
      </c>
      <c r="H66" s="21" t="inlineStr">
        <is>
          <t>OPR-A</t>
        </is>
      </c>
      <c r="I66" s="21" t="inlineStr">
        <is>
          <t>—</t>
        </is>
      </c>
      <c r="J66" s="21" t="inlineStr">
        <is>
          <t>1. Login di mobile, Station List, lalu tekan tile Solid Waste Disposal (/stations/solid-waste-disposal/monitor).
2. Tekan New Data, lalu langsung tekan Pause.
3. Ulangi langkah 2 dua kali lagi, sehingga ada 3 draft.
4. Kembali ke Monitor. Hitung baris pada daftar draft.
5. Baca label status pada ketiga baris itu.</t>
        </is>
      </c>
      <c r="K66" s="21" t="inlineStr">
        <is>
          <t>- Ketiga draft tampil — tidak ada yang menimpa yang lain.
- Ketiganya berlabel "Pause".
- Membuat draft baru tidak menghapus atau menutup draft sebelumnya.</t>
        </is>
      </c>
      <c r="L66" s="18" t="inlineStr">
        <is>
          <t>Sedang</t>
        </is>
      </c>
      <c r="M66" s="21" t="inlineStr"/>
      <c r="N66" s="17" t="n"/>
      <c r="O66" s="17" t="n"/>
      <c r="P66" s="17" t="n"/>
      <c r="Q66" s="17" t="n"/>
      <c r="R66" s="17" t="n"/>
    </row>
    <row r="67" ht="136" customHeight="1">
      <c r="A67" s="22" t="n">
        <v>63</v>
      </c>
      <c r="B67" s="22" t="n">
        <v>3</v>
      </c>
      <c r="C67" s="23" t="inlineStr">
        <is>
          <t>MB-MON-02 / Kernel Dispatch</t>
        </is>
      </c>
      <c r="D67" s="23" t="inlineStr">
        <is>
          <t>MB-MON-02</t>
        </is>
      </c>
      <c r="E67" s="24" t="inlineStr">
        <is>
          <t>Kernel Dispatch</t>
        </is>
      </c>
      <c r="F67" s="5" t="inlineStr">
        <is>
          <t>Mobile — Operasional Stasiun (MB-)</t>
        </is>
      </c>
      <c r="G67" s="24" t="inlineStr">
        <is>
          <t>Beberapa draft bisa berjalan bersamaan dan semuanya tampil</t>
        </is>
      </c>
      <c r="H67" s="5" t="inlineStr">
        <is>
          <t>OPR-A</t>
        </is>
      </c>
      <c r="I67" s="5" t="inlineStr">
        <is>
          <t>—</t>
        </is>
      </c>
      <c r="J67" s="5" t="inlineStr">
        <is>
          <t>1. Login di mobile, Station List, lalu tekan tile Kernel Dispatch (/stations/kernel-dispatch/monitor).
2. Tekan New Data, lalu langsung tekan Pause.
3. Ulangi langkah 2 dua kali lagi, sehingga ada 3 draft.
4. Kembali ke Monitor. Hitung baris pada daftar draft.
5. Baca label status pada ketiga baris itu.</t>
        </is>
      </c>
      <c r="K67" s="5" t="inlineStr">
        <is>
          <t>- Ketiga draft tampil — tidak ada yang menimpa yang lain.
- Ketiganya berlabel "Pause".
- Membuat draft baru tidak menghapus atau menutup draft sebelumnya.</t>
        </is>
      </c>
      <c r="L67" s="22" t="inlineStr">
        <is>
          <t>Sedang</t>
        </is>
      </c>
      <c r="M67" s="5" t="inlineStr"/>
      <c r="N67" s="17" t="n"/>
      <c r="O67" s="17" t="n"/>
      <c r="P67" s="17" t="n"/>
      <c r="Q67" s="17" t="n"/>
      <c r="R67" s="17" t="n"/>
    </row>
    <row r="68" ht="136" customHeight="1">
      <c r="A68" s="18" t="n">
        <v>64</v>
      </c>
      <c r="B68" s="18" t="n">
        <v>3</v>
      </c>
      <c r="C68" s="19" t="inlineStr">
        <is>
          <t>MB-MON-02 / CPO Dispatch</t>
        </is>
      </c>
      <c r="D68" s="19" t="inlineStr">
        <is>
          <t>MB-MON-02</t>
        </is>
      </c>
      <c r="E68" s="20" t="inlineStr">
        <is>
          <t>CPO Dispatch</t>
        </is>
      </c>
      <c r="F68" s="21" t="inlineStr">
        <is>
          <t>Mobile — Operasional Stasiun (MB-)</t>
        </is>
      </c>
      <c r="G68" s="20" t="inlineStr">
        <is>
          <t>Beberapa draft bisa berjalan bersamaan dan semuanya tampil</t>
        </is>
      </c>
      <c r="H68" s="21" t="inlineStr">
        <is>
          <t>OPR-A</t>
        </is>
      </c>
      <c r="I68" s="21" t="inlineStr">
        <is>
          <t>—</t>
        </is>
      </c>
      <c r="J68" s="21" t="inlineStr">
        <is>
          <t>1. Login di mobile, Station List, lalu tekan tile CPO Dispatch (/stations/cpo-dispatch/monitor).
2. Tekan New Data, lalu langsung tekan Pause.
3. Ulangi langkah 2 dua kali lagi, sehingga ada 3 draft.
4. Kembali ke Monitor. Hitung baris pada daftar draft.
5. Baca label status pada ketiga baris itu.</t>
        </is>
      </c>
      <c r="K68" s="21" t="inlineStr">
        <is>
          <t>- Ketiga draft tampil — tidak ada yang menimpa yang lain.
- Ketiganya berlabel "Pause".
- Membuat draft baru tidak menghapus atau menutup draft sebelumnya.</t>
        </is>
      </c>
      <c r="L68" s="18" t="inlineStr">
        <is>
          <t>Sedang</t>
        </is>
      </c>
      <c r="M68" s="21" t="inlineStr"/>
      <c r="N68" s="17" t="n"/>
      <c r="O68" s="17" t="n"/>
      <c r="P68" s="17" t="n"/>
      <c r="Q68" s="17" t="n"/>
      <c r="R68" s="17" t="n"/>
    </row>
    <row r="69" ht="136" customHeight="1">
      <c r="A69" s="22" t="n">
        <v>65</v>
      </c>
      <c r="B69" s="22" t="n">
        <v>3</v>
      </c>
      <c r="C69" s="23" t="inlineStr">
        <is>
          <t>MB-MON-02 / Process Quality Control</t>
        </is>
      </c>
      <c r="D69" s="23" t="inlineStr">
        <is>
          <t>MB-MON-02</t>
        </is>
      </c>
      <c r="E69" s="24" t="inlineStr">
        <is>
          <t>Process Quality Control</t>
        </is>
      </c>
      <c r="F69" s="5" t="inlineStr">
        <is>
          <t>Mobile — Operasional Stasiun (MB-)</t>
        </is>
      </c>
      <c r="G69" s="24" t="inlineStr">
        <is>
          <t>Beberapa draft bisa berjalan bersamaan dan semuanya tampil</t>
        </is>
      </c>
      <c r="H69" s="5" t="inlineStr">
        <is>
          <t>OPR-A</t>
        </is>
      </c>
      <c r="I69" s="5" t="inlineStr">
        <is>
          <t>—</t>
        </is>
      </c>
      <c r="J69" s="5" t="inlineStr">
        <is>
          <t>1. Login di mobile, Station List, lalu tekan tile Process Quality Control (/stations/process-quality-control/monitor).
2. Tekan New Data, lalu langsung tekan Pause.
3. Ulangi langkah 2 dua kali lagi, sehingga ada 3 draft.
4. Kembali ke Monitor. Hitung baris pada daftar draft.
5. Baca label status pada ketiga baris itu.</t>
        </is>
      </c>
      <c r="K69" s="5" t="inlineStr">
        <is>
          <t>- Ketiga draft tampil — tidak ada yang menimpa yang lain.
- Ketiganya berlabel "Pause".
- Membuat draft baru tidak menghapus atau menutup draft sebelumnya.</t>
        </is>
      </c>
      <c r="L69" s="22" t="inlineStr">
        <is>
          <t>Sedang</t>
        </is>
      </c>
      <c r="M69" s="5" t="inlineStr"/>
      <c r="N69" s="17" t="n"/>
      <c r="O69" s="17" t="n"/>
      <c r="P69" s="17" t="n"/>
      <c r="Q69" s="17" t="n"/>
      <c r="R69" s="17" t="n"/>
    </row>
    <row r="70" ht="109.6" customHeight="1">
      <c r="A70" s="18" t="n">
        <v>66</v>
      </c>
      <c r="B70" s="18" t="n">
        <v>3</v>
      </c>
      <c r="C70" s="19" t="inlineStr">
        <is>
          <t>MB-MON-03 / Weighbridge</t>
        </is>
      </c>
      <c r="D70" s="19" t="inlineStr">
        <is>
          <t>MB-MON-03</t>
        </is>
      </c>
      <c r="E70" s="20" t="inlineStr">
        <is>
          <t>Weighbridge</t>
        </is>
      </c>
      <c r="F70" s="21" t="inlineStr">
        <is>
          <t>Mobile — Operasional Stasiun (MB-)</t>
        </is>
      </c>
      <c r="G70" s="20" t="inlineStr">
        <is>
          <t>New Data membuat header saja, grid masih kosong</t>
        </is>
      </c>
      <c r="H70" s="21" t="inlineStr">
        <is>
          <t>OPR-A</t>
        </is>
      </c>
      <c r="I70" s="21" t="inlineStr">
        <is>
          <t>—</t>
        </is>
      </c>
      <c r="J70" s="21" t="inlineStr">
        <is>
          <t>1. Login di mobile, Station List, lalu tekan tile Weighbridge (/stations/weighbridge/monitor).
2. Tekan New Data.
3. Baca bagian header: kolom identitas dan Tanggal.
4. Baca bagian grid di bawahnya: berapa baris yang sudah ada?</t>
        </is>
      </c>
      <c r="K70" s="21" t="inlineStr">
        <is>
          <t>- Layar Form terbuka.
- Kolom Tanggal sudah terisi otomatis dengan tanggal hari ini.
- Kolom identitas unit kosong dan dapat diketik.
- Grid slot waktu masih kosong — belum ada satu baris pun. (Untuk stasiun per-transaksi, tidak ada grid 24 slot sama sekali.)</t>
        </is>
      </c>
      <c r="L70" s="16" t="inlineStr">
        <is>
          <t>Tinggi</t>
        </is>
      </c>
      <c r="M70" s="21" t="inlineStr"/>
      <c r="N70" s="17" t="n"/>
      <c r="O70" s="17" t="n"/>
      <c r="P70" s="17" t="n"/>
      <c r="Q70" s="17" t="n"/>
      <c r="R70" s="17" t="n"/>
    </row>
    <row r="71" ht="109.6" customHeight="1">
      <c r="A71" s="22" t="n">
        <v>67</v>
      </c>
      <c r="B71" s="22" t="n">
        <v>3</v>
      </c>
      <c r="C71" s="23" t="inlineStr">
        <is>
          <t>MB-MON-03 / Grading</t>
        </is>
      </c>
      <c r="D71" s="23" t="inlineStr">
        <is>
          <t>MB-MON-03</t>
        </is>
      </c>
      <c r="E71" s="24" t="inlineStr">
        <is>
          <t>Grading</t>
        </is>
      </c>
      <c r="F71" s="5" t="inlineStr">
        <is>
          <t>Mobile — Operasional Stasiun (MB-)</t>
        </is>
      </c>
      <c r="G71" s="24" t="inlineStr">
        <is>
          <t>New Data membuat header saja, grid masih kosong</t>
        </is>
      </c>
      <c r="H71" s="5" t="inlineStr">
        <is>
          <t>OPR-A</t>
        </is>
      </c>
      <c r="I71" s="5" t="inlineStr">
        <is>
          <t>—</t>
        </is>
      </c>
      <c r="J71" s="5" t="inlineStr">
        <is>
          <t>1. Login di mobile, Station List, lalu tekan tile Grading (/stations/grading/monitor).
2. Tekan New Data.
3. Baca bagian header: kolom identitas dan Tanggal.
4. Baca bagian grid di bawahnya: berapa baris yang sudah ada?</t>
        </is>
      </c>
      <c r="K71" s="5" t="inlineStr">
        <is>
          <t>- Layar Form terbuka.
- Kolom Tanggal sudah terisi otomatis dengan tanggal hari ini.
- Kolom identitas unit kosong dan dapat diketik.
- Grid slot waktu masih kosong — belum ada satu baris pun. (Untuk stasiun per-transaksi, tidak ada grid 24 slot sama sekali.)</t>
        </is>
      </c>
      <c r="L71" s="16" t="inlineStr">
        <is>
          <t>Tinggi</t>
        </is>
      </c>
      <c r="M71" s="5" t="inlineStr"/>
      <c r="N71" s="17" t="n"/>
      <c r="O71" s="17" t="n"/>
      <c r="P71" s="17" t="n"/>
      <c r="Q71" s="17" t="n"/>
      <c r="R71" s="17" t="n"/>
    </row>
    <row r="72" ht="109.6" customHeight="1">
      <c r="A72" s="18" t="n">
        <v>68</v>
      </c>
      <c r="B72" s="18" t="n">
        <v>3</v>
      </c>
      <c r="C72" s="19" t="inlineStr">
        <is>
          <t>MB-MON-03 / Cages Track</t>
        </is>
      </c>
      <c r="D72" s="19" t="inlineStr">
        <is>
          <t>MB-MON-03</t>
        </is>
      </c>
      <c r="E72" s="20" t="inlineStr">
        <is>
          <t>Cages Track</t>
        </is>
      </c>
      <c r="F72" s="21" t="inlineStr">
        <is>
          <t>Mobile — Operasional Stasiun (MB-)</t>
        </is>
      </c>
      <c r="G72" s="20" t="inlineStr">
        <is>
          <t>New Data membuat header saja, grid masih kosong</t>
        </is>
      </c>
      <c r="H72" s="21" t="inlineStr">
        <is>
          <t>OPR-A</t>
        </is>
      </c>
      <c r="I72" s="21" t="inlineStr">
        <is>
          <t>—</t>
        </is>
      </c>
      <c r="J72" s="21" t="inlineStr">
        <is>
          <t>1. Login di mobile, Station List, lalu tekan tile Cages Track (/stations/cages-track/monitor).
2. Tekan New Data.
3. Baca bagian header: kolom identitas dan Tanggal.
4. Baca bagian grid di bawahnya: berapa baris yang sudah ada?</t>
        </is>
      </c>
      <c r="K72" s="21" t="inlineStr">
        <is>
          <t>- Layar Form terbuka.
- Kolom Tanggal sudah terisi otomatis dengan tanggal hari ini.
- Kolom identitas unit kosong dan dapat diketik.
- Grid slot waktu masih kosong — belum ada satu baris pun. (Untuk stasiun per-transaksi, tidak ada grid 24 slot sama sekali.)</t>
        </is>
      </c>
      <c r="L72" s="16" t="inlineStr">
        <is>
          <t>Tinggi</t>
        </is>
      </c>
      <c r="M72" s="21" t="inlineStr"/>
      <c r="N72" s="17" t="n"/>
      <c r="O72" s="17" t="n"/>
      <c r="P72" s="17" t="n"/>
      <c r="Q72" s="17" t="n"/>
      <c r="R72" s="17" t="n"/>
    </row>
    <row r="73" ht="109.6" customHeight="1">
      <c r="A73" s="22" t="n">
        <v>69</v>
      </c>
      <c r="B73" s="22" t="n">
        <v>3</v>
      </c>
      <c r="C73" s="23" t="inlineStr">
        <is>
          <t>MB-MON-03 / Sterilizer</t>
        </is>
      </c>
      <c r="D73" s="23" t="inlineStr">
        <is>
          <t>MB-MON-03</t>
        </is>
      </c>
      <c r="E73" s="24" t="inlineStr">
        <is>
          <t>Sterilizer</t>
        </is>
      </c>
      <c r="F73" s="5" t="inlineStr">
        <is>
          <t>Mobile — Operasional Stasiun (MB-)</t>
        </is>
      </c>
      <c r="G73" s="24" t="inlineStr">
        <is>
          <t>New Data membuat header saja, grid masih kosong</t>
        </is>
      </c>
      <c r="H73" s="5" t="inlineStr">
        <is>
          <t>OPR-A</t>
        </is>
      </c>
      <c r="I73" s="5" t="inlineStr">
        <is>
          <t>—</t>
        </is>
      </c>
      <c r="J73" s="5" t="inlineStr">
        <is>
          <t>1. Login di mobile, Station List, lalu tekan tile Sterilizer (/stations/sterilizer/monitor).
2. Tekan New Data.
3. Baca bagian header: kolom identitas dan Tanggal.
4. Baca bagian grid di bawahnya: berapa baris yang sudah ada?</t>
        </is>
      </c>
      <c r="K73" s="5" t="inlineStr">
        <is>
          <t>- Layar Form terbuka.
- Kolom Tanggal sudah terisi otomatis dengan tanggal hari ini.
- Kolom identitas unit kosong dan dapat diketik.
- Grid slot waktu masih kosong — belum ada satu baris pun. (Untuk stasiun per-transaksi, tidak ada grid 24 slot sama sekali.)</t>
        </is>
      </c>
      <c r="L73" s="16" t="inlineStr">
        <is>
          <t>Tinggi</t>
        </is>
      </c>
      <c r="M73" s="5" t="inlineStr"/>
      <c r="N73" s="17" t="n"/>
      <c r="O73" s="17" t="n"/>
      <c r="P73" s="17" t="n"/>
      <c r="Q73" s="17" t="n"/>
      <c r="R73" s="17" t="n"/>
    </row>
    <row r="74" ht="109.6" customHeight="1">
      <c r="A74" s="18" t="n">
        <v>70</v>
      </c>
      <c r="B74" s="18" t="n">
        <v>3</v>
      </c>
      <c r="C74" s="19" t="inlineStr">
        <is>
          <t>MB-MON-03 / Threshing</t>
        </is>
      </c>
      <c r="D74" s="19" t="inlineStr">
        <is>
          <t>MB-MON-03</t>
        </is>
      </c>
      <c r="E74" s="20" t="inlineStr">
        <is>
          <t>Threshing</t>
        </is>
      </c>
      <c r="F74" s="21" t="inlineStr">
        <is>
          <t>Mobile — Operasional Stasiun (MB-)</t>
        </is>
      </c>
      <c r="G74" s="20" t="inlineStr">
        <is>
          <t>New Data membuat header saja, grid masih kosong</t>
        </is>
      </c>
      <c r="H74" s="21" t="inlineStr">
        <is>
          <t>OPR-A</t>
        </is>
      </c>
      <c r="I74" s="21" t="inlineStr">
        <is>
          <t>—</t>
        </is>
      </c>
      <c r="J74" s="21" t="inlineStr">
        <is>
          <t>1. Login di mobile, Station List, lalu tekan tile Threshing (/stations/threshing/monitor).
2. Tekan New Data.
3. Baca bagian header: kolom identitas dan Tanggal.
4. Baca bagian grid di bawahnya: berapa baris yang sudah ada?</t>
        </is>
      </c>
      <c r="K74" s="21" t="inlineStr">
        <is>
          <t>- Layar Form terbuka.
- Kolom Tanggal sudah terisi otomatis dengan tanggal hari ini.
- Kolom identitas unit kosong dan dapat diketik.
- Grid slot waktu masih kosong — belum ada satu baris pun. (Untuk stasiun per-transaksi, tidak ada grid 24 slot sama sekali.)</t>
        </is>
      </c>
      <c r="L74" s="16" t="inlineStr">
        <is>
          <t>Tinggi</t>
        </is>
      </c>
      <c r="M74" s="21" t="inlineStr"/>
      <c r="N74" s="17" t="n"/>
      <c r="O74" s="17" t="n"/>
      <c r="P74" s="17" t="n"/>
      <c r="Q74" s="17" t="n"/>
      <c r="R74" s="17" t="n"/>
    </row>
    <row r="75" ht="109.6" customHeight="1">
      <c r="A75" s="22" t="n">
        <v>71</v>
      </c>
      <c r="B75" s="22" t="n">
        <v>3</v>
      </c>
      <c r="C75" s="23" t="inlineStr">
        <is>
          <t>MB-MON-03 / Pressing</t>
        </is>
      </c>
      <c r="D75" s="23" t="inlineStr">
        <is>
          <t>MB-MON-03</t>
        </is>
      </c>
      <c r="E75" s="24" t="inlineStr">
        <is>
          <t>Pressing</t>
        </is>
      </c>
      <c r="F75" s="5" t="inlineStr">
        <is>
          <t>Mobile — Operasional Stasiun (MB-)</t>
        </is>
      </c>
      <c r="G75" s="24" t="inlineStr">
        <is>
          <t>New Data membuat header saja, grid masih kosong</t>
        </is>
      </c>
      <c r="H75" s="5" t="inlineStr">
        <is>
          <t>OPR-A</t>
        </is>
      </c>
      <c r="I75" s="5" t="inlineStr">
        <is>
          <t>—</t>
        </is>
      </c>
      <c r="J75" s="5" t="inlineStr">
        <is>
          <t>1. Login di mobile, Station List, lalu tekan tile Pressing (/stations/pressing/monitor).
2. Tekan New Data.
3. Baca bagian header: kolom identitas dan Tanggal.
4. Baca bagian grid di bawahnya: berapa baris yang sudah ada?</t>
        </is>
      </c>
      <c r="K75" s="5" t="inlineStr">
        <is>
          <t>- Layar Form terbuka.
- Kolom Tanggal sudah terisi otomatis dengan tanggal hari ini.
- Kolom identitas unit kosong dan dapat diketik.
- Grid slot waktu masih kosong — belum ada satu baris pun. (Untuk stasiun per-transaksi, tidak ada grid 24 slot sama sekali.)</t>
        </is>
      </c>
      <c r="L75" s="16" t="inlineStr">
        <is>
          <t>Tinggi</t>
        </is>
      </c>
      <c r="M75" s="5" t="inlineStr"/>
      <c r="N75" s="17" t="n"/>
      <c r="O75" s="17" t="n"/>
      <c r="P75" s="17" t="n"/>
      <c r="Q75" s="17" t="n"/>
      <c r="R75" s="17" t="n"/>
    </row>
    <row r="76" ht="109.6" customHeight="1">
      <c r="A76" s="18" t="n">
        <v>72</v>
      </c>
      <c r="B76" s="18" t="n">
        <v>3</v>
      </c>
      <c r="C76" s="19" t="inlineStr">
        <is>
          <t>MB-MON-03 / Clarification</t>
        </is>
      </c>
      <c r="D76" s="19" t="inlineStr">
        <is>
          <t>MB-MON-03</t>
        </is>
      </c>
      <c r="E76" s="20" t="inlineStr">
        <is>
          <t>Clarification</t>
        </is>
      </c>
      <c r="F76" s="21" t="inlineStr">
        <is>
          <t>Mobile — Operasional Stasiun (MB-)</t>
        </is>
      </c>
      <c r="G76" s="20" t="inlineStr">
        <is>
          <t>New Data membuat header saja, grid masih kosong</t>
        </is>
      </c>
      <c r="H76" s="21" t="inlineStr">
        <is>
          <t>OPR-A</t>
        </is>
      </c>
      <c r="I76" s="21" t="inlineStr">
        <is>
          <t>—</t>
        </is>
      </c>
      <c r="J76" s="21" t="inlineStr">
        <is>
          <t>1. Login di mobile, Station List, lalu tekan tile Clarification (/stations/clarification/monitor).
2. Tekan New Data.
3. Baca bagian header: kolom identitas dan Tanggal.
4. Baca bagian grid di bawahnya: berapa baris yang sudah ada?</t>
        </is>
      </c>
      <c r="K76" s="21" t="inlineStr">
        <is>
          <t>- Layar Form terbuka.
- Kolom Tanggal sudah terisi otomatis dengan tanggal hari ini.
- Kolom identitas unit kosong dan dapat diketik.
- Grid slot waktu masih kosong — belum ada satu baris pun. (Untuk stasiun per-transaksi, tidak ada grid 24 slot sama sekali.)</t>
        </is>
      </c>
      <c r="L76" s="16" t="inlineStr">
        <is>
          <t>Tinggi</t>
        </is>
      </c>
      <c r="M76" s="21" t="inlineStr"/>
      <c r="N76" s="17" t="n"/>
      <c r="O76" s="17" t="n"/>
      <c r="P76" s="17" t="n"/>
      <c r="Q76" s="17" t="n"/>
      <c r="R76" s="17" t="n"/>
    </row>
    <row r="77" ht="109.6" customHeight="1">
      <c r="A77" s="22" t="n">
        <v>73</v>
      </c>
      <c r="B77" s="22" t="n">
        <v>3</v>
      </c>
      <c r="C77" s="23" t="inlineStr">
        <is>
          <t>MB-MON-03 / Kernel Plant</t>
        </is>
      </c>
      <c r="D77" s="23" t="inlineStr">
        <is>
          <t>MB-MON-03</t>
        </is>
      </c>
      <c r="E77" s="24" t="inlineStr">
        <is>
          <t>Kernel Plant</t>
        </is>
      </c>
      <c r="F77" s="5" t="inlineStr">
        <is>
          <t>Mobile — Operasional Stasiun (MB-)</t>
        </is>
      </c>
      <c r="G77" s="24" t="inlineStr">
        <is>
          <t>New Data membuat header saja, grid masih kosong</t>
        </is>
      </c>
      <c r="H77" s="5" t="inlineStr">
        <is>
          <t>OPR-A</t>
        </is>
      </c>
      <c r="I77" s="5" t="inlineStr">
        <is>
          <t>—</t>
        </is>
      </c>
      <c r="J77" s="5" t="inlineStr">
        <is>
          <t>1. Login di mobile, Station List, lalu tekan tile Kernel Plant (/stations/kernel-plant/monitor).
2. Tekan New Data.
3. Baca bagian header: kolom identitas dan Tanggal.
4. Baca bagian grid di bawahnya: berapa baris yang sudah ada?</t>
        </is>
      </c>
      <c r="K77" s="5" t="inlineStr">
        <is>
          <t>- Layar Form terbuka.
- Kolom Tanggal sudah terisi otomatis dengan tanggal hari ini.
- Kolom identitas unit kosong dan dapat diketik.
- Grid slot waktu masih kosong — belum ada satu baris pun. (Untuk stasiun per-transaksi, tidak ada grid 24 slot sama sekali.)</t>
        </is>
      </c>
      <c r="L77" s="16" t="inlineStr">
        <is>
          <t>Tinggi</t>
        </is>
      </c>
      <c r="M77" s="5" t="inlineStr"/>
      <c r="N77" s="17" t="n"/>
      <c r="O77" s="17" t="n"/>
      <c r="P77" s="17" t="n"/>
      <c r="Q77" s="17" t="n"/>
      <c r="R77" s="17" t="n"/>
    </row>
    <row r="78" ht="109.6" customHeight="1">
      <c r="A78" s="18" t="n">
        <v>74</v>
      </c>
      <c r="B78" s="18" t="n">
        <v>3</v>
      </c>
      <c r="C78" s="19" t="inlineStr">
        <is>
          <t>MB-MON-03 / Boiler Room</t>
        </is>
      </c>
      <c r="D78" s="19" t="inlineStr">
        <is>
          <t>MB-MON-03</t>
        </is>
      </c>
      <c r="E78" s="20" t="inlineStr">
        <is>
          <t>Boiler Room</t>
        </is>
      </c>
      <c r="F78" s="21" t="inlineStr">
        <is>
          <t>Mobile — Operasional Stasiun (MB-)</t>
        </is>
      </c>
      <c r="G78" s="20" t="inlineStr">
        <is>
          <t>New Data membuat header saja, grid masih kosong</t>
        </is>
      </c>
      <c r="H78" s="21" t="inlineStr">
        <is>
          <t>OPR-A</t>
        </is>
      </c>
      <c r="I78" s="21" t="inlineStr">
        <is>
          <t>—</t>
        </is>
      </c>
      <c r="J78" s="21" t="inlineStr">
        <is>
          <t>1. Login di mobile, Station List, lalu tekan tile Boiler Room (/stations/boiler-room/monitor).
2. Tekan New Data.
3. Baca bagian header: kolom identitas dan Tanggal.
4. Baca bagian grid di bawahnya: berapa baris yang sudah ada?</t>
        </is>
      </c>
      <c r="K78" s="21" t="inlineStr">
        <is>
          <t>- Layar Form terbuka.
- Kolom Tanggal sudah terisi otomatis dengan tanggal hari ini.
- Kolom identitas unit kosong dan dapat diketik.
- Grid slot waktu masih kosong — belum ada satu baris pun. (Untuk stasiun per-transaksi, tidak ada grid 24 slot sama sekali.)</t>
        </is>
      </c>
      <c r="L78" s="16" t="inlineStr">
        <is>
          <t>Tinggi</t>
        </is>
      </c>
      <c r="M78" s="21" t="inlineStr"/>
      <c r="N78" s="17" t="n"/>
      <c r="O78" s="17" t="n"/>
      <c r="P78" s="17" t="n"/>
      <c r="Q78" s="17" t="n"/>
      <c r="R78" s="17" t="n"/>
    </row>
    <row r="79" ht="109.6" customHeight="1">
      <c r="A79" s="22" t="n">
        <v>75</v>
      </c>
      <c r="B79" s="22" t="n">
        <v>3</v>
      </c>
      <c r="C79" s="23" t="inlineStr">
        <is>
          <t>MB-MON-03 / Effluent Plant</t>
        </is>
      </c>
      <c r="D79" s="23" t="inlineStr">
        <is>
          <t>MB-MON-03</t>
        </is>
      </c>
      <c r="E79" s="24" t="inlineStr">
        <is>
          <t>Effluent Plant</t>
        </is>
      </c>
      <c r="F79" s="5" t="inlineStr">
        <is>
          <t>Mobile — Operasional Stasiun (MB-)</t>
        </is>
      </c>
      <c r="G79" s="24" t="inlineStr">
        <is>
          <t>New Data membuat header saja, grid masih kosong</t>
        </is>
      </c>
      <c r="H79" s="5" t="inlineStr">
        <is>
          <t>OPR-A</t>
        </is>
      </c>
      <c r="I79" s="5" t="inlineStr">
        <is>
          <t>—</t>
        </is>
      </c>
      <c r="J79" s="5" t="inlineStr">
        <is>
          <t>1. Login di mobile, Station List, lalu tekan tile Effluent Plant (/stations/effluent-plant/monitor).
2. Tekan New Data.
3. Baca bagian header: kolom identitas dan Tanggal.
4. Baca bagian grid di bawahnya: berapa baris yang sudah ada?</t>
        </is>
      </c>
      <c r="K79" s="5" t="inlineStr">
        <is>
          <t>- Layar Form terbuka.
- Kolom Tanggal sudah terisi otomatis dengan tanggal hari ini.
- Kolom identitas unit kosong dan dapat diketik.
- Grid slot waktu masih kosong — belum ada satu baris pun. (Untuk stasiun per-transaksi, tidak ada grid 24 slot sama sekali.)</t>
        </is>
      </c>
      <c r="L79" s="16" t="inlineStr">
        <is>
          <t>Tinggi</t>
        </is>
      </c>
      <c r="M79" s="5" t="inlineStr"/>
      <c r="N79" s="17" t="n"/>
      <c r="O79" s="17" t="n"/>
      <c r="P79" s="17" t="n"/>
      <c r="Q79" s="17" t="n"/>
      <c r="R79" s="17" t="n"/>
    </row>
    <row r="80" ht="109.6" customHeight="1">
      <c r="A80" s="11" t="n">
        <v>76</v>
      </c>
      <c r="B80" s="12" t="n">
        <v>1</v>
      </c>
      <c r="C80" s="13" t="inlineStr">
        <is>
          <t>MB-MON-03 / Depricarping</t>
        </is>
      </c>
      <c r="D80" s="13" t="inlineStr">
        <is>
          <t>MB-MON-03</t>
        </is>
      </c>
      <c r="E80" s="15" t="inlineStr">
        <is>
          <t>Depricarping</t>
        </is>
      </c>
      <c r="F80" s="14" t="inlineStr">
        <is>
          <t>Mobile — Operasional Stasiun (MB-)</t>
        </is>
      </c>
      <c r="G80" s="15" t="inlineStr">
        <is>
          <t>New Data membuat header saja, grid masih kosong</t>
        </is>
      </c>
      <c r="H80" s="14" t="inlineStr">
        <is>
          <t>OPR-A</t>
        </is>
      </c>
      <c r="I80" s="14" t="inlineStr">
        <is>
          <t>—</t>
        </is>
      </c>
      <c r="J80" s="14" t="inlineStr">
        <is>
          <t>1. Login di mobile, Station List, lalu tekan tile Depricarping (/stations/depricarping/monitor).
2. Tekan New Data.
3. Baca bagian header: kolom identitas dan Tanggal.
4. Baca bagian grid di bawahnya: berapa baris yang sudah ada?</t>
        </is>
      </c>
      <c r="K80" s="14" t="inlineStr">
        <is>
          <t>- Layar Form terbuka.
- Kolom Tanggal sudah terisi otomatis dengan tanggal hari ini.
- Kolom identitas unit kosong dan dapat diketik.
- Grid slot waktu masih kosong — belum ada satu baris pun. (Untuk stasiun per-transaksi, tidak ada grid 24 slot sama sekali.)</t>
        </is>
      </c>
      <c r="L80" s="16" t="inlineStr">
        <is>
          <t>Tinggi</t>
        </is>
      </c>
      <c r="M80" s="14" t="inlineStr"/>
      <c r="N80" s="17" t="n"/>
      <c r="O80" s="17" t="n"/>
      <c r="P80" s="17" t="n"/>
      <c r="Q80" s="17" t="n"/>
      <c r="R80" s="17" t="n"/>
    </row>
    <row r="81" ht="109.6" customHeight="1">
      <c r="A81" s="22" t="n">
        <v>77</v>
      </c>
      <c r="B81" s="22" t="n">
        <v>3</v>
      </c>
      <c r="C81" s="23" t="inlineStr">
        <is>
          <t>MB-MON-03 / Engine Room</t>
        </is>
      </c>
      <c r="D81" s="23" t="inlineStr">
        <is>
          <t>MB-MON-03</t>
        </is>
      </c>
      <c r="E81" s="24" t="inlineStr">
        <is>
          <t>Engine Room</t>
        </is>
      </c>
      <c r="F81" s="5" t="inlineStr">
        <is>
          <t>Mobile — Operasional Stasiun (MB-)</t>
        </is>
      </c>
      <c r="G81" s="24" t="inlineStr">
        <is>
          <t>New Data membuat header saja, grid masih kosong</t>
        </is>
      </c>
      <c r="H81" s="5" t="inlineStr">
        <is>
          <t>OPR-A</t>
        </is>
      </c>
      <c r="I81" s="5" t="inlineStr">
        <is>
          <t>—</t>
        </is>
      </c>
      <c r="J81" s="5" t="inlineStr">
        <is>
          <t>1. Login di mobile, Station List, lalu tekan tile Engine Room (/stations/engine-room/monitor).
2. Tekan New Data.
3. Baca bagian header: kolom identitas dan Tanggal.
4. Baca bagian grid di bawahnya: berapa baris yang sudah ada?</t>
        </is>
      </c>
      <c r="K81" s="5" t="inlineStr">
        <is>
          <t>- Layar Form terbuka.
- Kolom Tanggal sudah terisi otomatis dengan tanggal hari ini.
- Kolom identitas unit kosong dan dapat diketik.
- Grid slot waktu masih kosong — belum ada satu baris pun. (Untuk stasiun per-transaksi, tidak ada grid 24 slot sama sekali.)</t>
        </is>
      </c>
      <c r="L81" s="16" t="inlineStr">
        <is>
          <t>Tinggi</t>
        </is>
      </c>
      <c r="M81" s="5" t="inlineStr"/>
      <c r="N81" s="17" t="n"/>
      <c r="O81" s="17" t="n"/>
      <c r="P81" s="17" t="n"/>
      <c r="Q81" s="17" t="n"/>
      <c r="R81" s="17" t="n"/>
    </row>
    <row r="82" ht="109.6" customHeight="1">
      <c r="A82" s="18" t="n">
        <v>78</v>
      </c>
      <c r="B82" s="18" t="n">
        <v>3</v>
      </c>
      <c r="C82" s="19" t="inlineStr">
        <is>
          <t>MB-MON-03 / Process Water</t>
        </is>
      </c>
      <c r="D82" s="19" t="inlineStr">
        <is>
          <t>MB-MON-03</t>
        </is>
      </c>
      <c r="E82" s="20" t="inlineStr">
        <is>
          <t>Process Water</t>
        </is>
      </c>
      <c r="F82" s="21" t="inlineStr">
        <is>
          <t>Mobile — Operasional Stasiun (MB-)</t>
        </is>
      </c>
      <c r="G82" s="20" t="inlineStr">
        <is>
          <t>New Data membuat header saja, grid masih kosong</t>
        </is>
      </c>
      <c r="H82" s="21" t="inlineStr">
        <is>
          <t>OPR-A</t>
        </is>
      </c>
      <c r="I82" s="21" t="inlineStr">
        <is>
          <t>—</t>
        </is>
      </c>
      <c r="J82" s="21" t="inlineStr">
        <is>
          <t>1. Login di mobile, Station List, lalu tekan tile Process Water (/stations/process-water/monitor).
2. Tekan New Data.
3. Baca bagian header: kolom identitas dan Tanggal.
4. Baca bagian grid di bawahnya: berapa baris yang sudah ada?</t>
        </is>
      </c>
      <c r="K82" s="21" t="inlineStr">
        <is>
          <t>- Layar Form terbuka.
- Kolom Tanggal sudah terisi otomatis dengan tanggal hari ini.
- Kolom identitas unit kosong dan dapat diketik.
- Grid slot waktu masih kosong — belum ada satu baris pun. (Untuk stasiun per-transaksi, tidak ada grid 24 slot sama sekali.)</t>
        </is>
      </c>
      <c r="L82" s="16" t="inlineStr">
        <is>
          <t>Tinggi</t>
        </is>
      </c>
      <c r="M82" s="21" t="inlineStr"/>
      <c r="N82" s="17" t="n"/>
      <c r="O82" s="17" t="n"/>
      <c r="P82" s="17" t="n"/>
      <c r="Q82" s="17" t="n"/>
      <c r="R82" s="17" t="n"/>
    </row>
    <row r="83" ht="109.6" customHeight="1">
      <c r="A83" s="22" t="n">
        <v>79</v>
      </c>
      <c r="B83" s="22" t="n">
        <v>3</v>
      </c>
      <c r="C83" s="23" t="inlineStr">
        <is>
          <t>MB-MON-03 / Storage Tank</t>
        </is>
      </c>
      <c r="D83" s="23" t="inlineStr">
        <is>
          <t>MB-MON-03</t>
        </is>
      </c>
      <c r="E83" s="24" t="inlineStr">
        <is>
          <t>Storage Tank</t>
        </is>
      </c>
      <c r="F83" s="5" t="inlineStr">
        <is>
          <t>Mobile — Operasional Stasiun (MB-)</t>
        </is>
      </c>
      <c r="G83" s="24" t="inlineStr">
        <is>
          <t>New Data membuat header saja, grid masih kosong</t>
        </is>
      </c>
      <c r="H83" s="5" t="inlineStr">
        <is>
          <t>OPR-A</t>
        </is>
      </c>
      <c r="I83" s="5" t="inlineStr">
        <is>
          <t>—</t>
        </is>
      </c>
      <c r="J83" s="5" t="inlineStr">
        <is>
          <t>1. Login di mobile, Station List, lalu tekan tile Storage Tank (/stations/storage-tank/monitor).
2. Tekan New Data.
3. Baca bagian header: kolom identitas dan Tanggal.
4. Baca bagian grid di bawahnya: berapa baris yang sudah ada?</t>
        </is>
      </c>
      <c r="K83" s="5" t="inlineStr">
        <is>
          <t>- Layar Form terbuka.
- Kolom Tanggal sudah terisi otomatis dengan tanggal hari ini.
- Kolom identitas unit kosong dan dapat diketik.
- Grid slot waktu masih kosong — belum ada satu baris pun. (Untuk stasiun per-transaksi, tidak ada grid 24 slot sama sekali.)</t>
        </is>
      </c>
      <c r="L83" s="16" t="inlineStr">
        <is>
          <t>Tinggi</t>
        </is>
      </c>
      <c r="M83" s="5" t="inlineStr"/>
      <c r="N83" s="17" t="n"/>
      <c r="O83" s="17" t="n"/>
      <c r="P83" s="17" t="n"/>
      <c r="Q83" s="17" t="n"/>
      <c r="R83" s="17" t="n"/>
    </row>
    <row r="84" ht="109.6" customHeight="1">
      <c r="A84" s="18" t="n">
        <v>80</v>
      </c>
      <c r="B84" s="18" t="n">
        <v>3</v>
      </c>
      <c r="C84" s="19" t="inlineStr">
        <is>
          <t>MB-MON-03 / Solid Waste Disposal</t>
        </is>
      </c>
      <c r="D84" s="19" t="inlineStr">
        <is>
          <t>MB-MON-03</t>
        </is>
      </c>
      <c r="E84" s="20" t="inlineStr">
        <is>
          <t>Solid Waste Disposal</t>
        </is>
      </c>
      <c r="F84" s="21" t="inlineStr">
        <is>
          <t>Mobile — Operasional Stasiun (MB-)</t>
        </is>
      </c>
      <c r="G84" s="20" t="inlineStr">
        <is>
          <t>New Data membuat header saja, grid masih kosong</t>
        </is>
      </c>
      <c r="H84" s="21" t="inlineStr">
        <is>
          <t>OPR-A</t>
        </is>
      </c>
      <c r="I84" s="21" t="inlineStr">
        <is>
          <t>—</t>
        </is>
      </c>
      <c r="J84" s="21" t="inlineStr">
        <is>
          <t>1. Login di mobile, Station List, lalu tekan tile Solid Waste Disposal (/stations/solid-waste-disposal/monitor).
2. Tekan New Data.
3. Baca bagian header: kolom identitas dan Tanggal.
4. Baca bagian grid di bawahnya: berapa baris yang sudah ada?</t>
        </is>
      </c>
      <c r="K84" s="21" t="inlineStr">
        <is>
          <t>- Layar Form terbuka.
- Kolom Tanggal sudah terisi otomatis dengan tanggal hari ini.
- Kolom identitas unit kosong dan dapat diketik.
- Grid slot waktu masih kosong — belum ada satu baris pun. (Untuk stasiun per-transaksi, tidak ada grid 24 slot sama sekali.)</t>
        </is>
      </c>
      <c r="L84" s="16" t="inlineStr">
        <is>
          <t>Tinggi</t>
        </is>
      </c>
      <c r="M84" s="21" t="inlineStr"/>
      <c r="N84" s="17" t="n"/>
      <c r="O84" s="17" t="n"/>
      <c r="P84" s="17" t="n"/>
      <c r="Q84" s="17" t="n"/>
      <c r="R84" s="17" t="n"/>
    </row>
    <row r="85" ht="109.6" customHeight="1">
      <c r="A85" s="22" t="n">
        <v>81</v>
      </c>
      <c r="B85" s="22" t="n">
        <v>3</v>
      </c>
      <c r="C85" s="23" t="inlineStr">
        <is>
          <t>MB-MON-03 / Kernel Dispatch</t>
        </is>
      </c>
      <c r="D85" s="23" t="inlineStr">
        <is>
          <t>MB-MON-03</t>
        </is>
      </c>
      <c r="E85" s="24" t="inlineStr">
        <is>
          <t>Kernel Dispatch</t>
        </is>
      </c>
      <c r="F85" s="5" t="inlineStr">
        <is>
          <t>Mobile — Operasional Stasiun (MB-)</t>
        </is>
      </c>
      <c r="G85" s="24" t="inlineStr">
        <is>
          <t>New Data membuat header saja, grid masih kosong</t>
        </is>
      </c>
      <c r="H85" s="5" t="inlineStr">
        <is>
          <t>OPR-A</t>
        </is>
      </c>
      <c r="I85" s="5" t="inlineStr">
        <is>
          <t>—</t>
        </is>
      </c>
      <c r="J85" s="5" t="inlineStr">
        <is>
          <t>1. Login di mobile, Station List, lalu tekan tile Kernel Dispatch (/stations/kernel-dispatch/monitor).
2. Tekan New Data.
3. Baca bagian header: kolom identitas dan Tanggal.
4. Baca bagian grid di bawahnya: berapa baris yang sudah ada?</t>
        </is>
      </c>
      <c r="K85" s="5" t="inlineStr">
        <is>
          <t>- Layar Form terbuka.
- Kolom Tanggal sudah terisi otomatis dengan tanggal hari ini.
- Kolom identitas unit kosong dan dapat diketik.
- Grid slot waktu masih kosong — belum ada satu baris pun. (Untuk stasiun per-transaksi, tidak ada grid 24 slot sama sekali.)</t>
        </is>
      </c>
      <c r="L85" s="16" t="inlineStr">
        <is>
          <t>Tinggi</t>
        </is>
      </c>
      <c r="M85" s="5" t="inlineStr"/>
      <c r="N85" s="17" t="n"/>
      <c r="O85" s="17" t="n"/>
      <c r="P85" s="17" t="n"/>
      <c r="Q85" s="17" t="n"/>
      <c r="R85" s="17" t="n"/>
    </row>
    <row r="86" ht="109.6" customHeight="1">
      <c r="A86" s="18" t="n">
        <v>82</v>
      </c>
      <c r="B86" s="18" t="n">
        <v>3</v>
      </c>
      <c r="C86" s="19" t="inlineStr">
        <is>
          <t>MB-MON-03 / CPO Dispatch</t>
        </is>
      </c>
      <c r="D86" s="19" t="inlineStr">
        <is>
          <t>MB-MON-03</t>
        </is>
      </c>
      <c r="E86" s="20" t="inlineStr">
        <is>
          <t>CPO Dispatch</t>
        </is>
      </c>
      <c r="F86" s="21" t="inlineStr">
        <is>
          <t>Mobile — Operasional Stasiun (MB-)</t>
        </is>
      </c>
      <c r="G86" s="20" t="inlineStr">
        <is>
          <t>New Data membuat header saja, grid masih kosong</t>
        </is>
      </c>
      <c r="H86" s="21" t="inlineStr">
        <is>
          <t>OPR-A</t>
        </is>
      </c>
      <c r="I86" s="21" t="inlineStr">
        <is>
          <t>—</t>
        </is>
      </c>
      <c r="J86" s="21" t="inlineStr">
        <is>
          <t>1. Login di mobile, Station List, lalu tekan tile CPO Dispatch (/stations/cpo-dispatch/monitor).
2. Tekan New Data.
3. Baca bagian header: kolom identitas dan Tanggal.
4. Baca bagian grid di bawahnya: berapa baris yang sudah ada?</t>
        </is>
      </c>
      <c r="K86" s="21" t="inlineStr">
        <is>
          <t>- Layar Form terbuka.
- Kolom Tanggal sudah terisi otomatis dengan tanggal hari ini.
- Kolom identitas unit kosong dan dapat diketik.
- Grid slot waktu masih kosong — belum ada satu baris pun. (Untuk stasiun per-transaksi, tidak ada grid 24 slot sama sekali.)</t>
        </is>
      </c>
      <c r="L86" s="16" t="inlineStr">
        <is>
          <t>Tinggi</t>
        </is>
      </c>
      <c r="M86" s="21" t="inlineStr"/>
      <c r="N86" s="17" t="n"/>
      <c r="O86" s="17" t="n"/>
      <c r="P86" s="17" t="n"/>
      <c r="Q86" s="17" t="n"/>
      <c r="R86" s="17" t="n"/>
    </row>
    <row r="87" ht="109.6" customHeight="1">
      <c r="A87" s="22" t="n">
        <v>83</v>
      </c>
      <c r="B87" s="22" t="n">
        <v>3</v>
      </c>
      <c r="C87" s="23" t="inlineStr">
        <is>
          <t>MB-MON-03 / Process Quality Control</t>
        </is>
      </c>
      <c r="D87" s="23" t="inlineStr">
        <is>
          <t>MB-MON-03</t>
        </is>
      </c>
      <c r="E87" s="24" t="inlineStr">
        <is>
          <t>Process Quality Control</t>
        </is>
      </c>
      <c r="F87" s="5" t="inlineStr">
        <is>
          <t>Mobile — Operasional Stasiun (MB-)</t>
        </is>
      </c>
      <c r="G87" s="24" t="inlineStr">
        <is>
          <t>New Data membuat header saja, grid masih kosong</t>
        </is>
      </c>
      <c r="H87" s="5" t="inlineStr">
        <is>
          <t>OPR-A</t>
        </is>
      </c>
      <c r="I87" s="5" t="inlineStr">
        <is>
          <t>—</t>
        </is>
      </c>
      <c r="J87" s="5" t="inlineStr">
        <is>
          <t>1. Login di mobile, Station List, lalu tekan tile Process Quality Control (/stations/process-quality-control/monitor).
2. Tekan New Data.
3. Baca bagian header: kolom identitas dan Tanggal.
4. Baca bagian grid di bawahnya: berapa baris yang sudah ada?</t>
        </is>
      </c>
      <c r="K87" s="5" t="inlineStr">
        <is>
          <t>- Layar Form terbuka.
- Kolom Tanggal sudah terisi otomatis dengan tanggal hari ini.
- Kolom identitas unit kosong dan dapat diketik.
- Grid slot waktu masih kosong — belum ada satu baris pun. (Untuk stasiun per-transaksi, tidak ada grid 24 slot sama sekali.)</t>
        </is>
      </c>
      <c r="L87" s="16" t="inlineStr">
        <is>
          <t>Tinggi</t>
        </is>
      </c>
      <c r="M87" s="5" t="inlineStr"/>
      <c r="N87" s="17" t="n"/>
      <c r="O87" s="17" t="n"/>
      <c r="P87" s="17" t="n"/>
      <c r="Q87" s="17" t="n"/>
      <c r="R87" s="17" t="n"/>
    </row>
    <row r="88" ht="136" customHeight="1">
      <c r="A88" s="18" t="n">
        <v>84</v>
      </c>
      <c r="B88" s="18" t="n">
        <v>3</v>
      </c>
      <c r="C88" s="19" t="inlineStr">
        <is>
          <t>MB-MON-04 / Weighbridge</t>
        </is>
      </c>
      <c r="D88" s="19" t="inlineStr">
        <is>
          <t>MB-MON-04</t>
        </is>
      </c>
      <c r="E88" s="20" t="inlineStr">
        <is>
          <t>Weighbridge</t>
        </is>
      </c>
      <c r="F88" s="21" t="inlineStr">
        <is>
          <t>Mobile — Operasional Stasiun (MB-)</t>
        </is>
      </c>
      <c r="G88" s="20" t="inlineStr">
        <is>
          <t>Tanggal otomatis memakai tanggal perangkat, termasuk dini hari</t>
        </is>
      </c>
      <c r="H88" s="21" t="inlineStr">
        <is>
          <t>OPR-A</t>
        </is>
      </c>
      <c r="I88" s="21" t="inlineStr">
        <is>
          <t>ubah jam perangkat ke 01:00 waktu setempat</t>
        </is>
      </c>
      <c r="J88" s="21" t="inlineStr">
        <is>
          <t>1. Ubah jam perangkat/emulator ke 01:00 waktu setempat, tanggal hari ini.
2. Login di mobile, Station List, lalu tekan tile Weighbridge (/stations/weighbridge/monitor), lalu tekan New Data.
3. Baca kolom Tanggal.
4. Bandingkan dengan tanggal pada jam perangkat.
5. Kembalikan jam perangkat ke keadaan semula.</t>
        </is>
      </c>
      <c r="K88" s="21"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88" s="16" t="inlineStr">
        <is>
          <t>Tinggi</t>
        </is>
      </c>
      <c r="M88" s="21" t="inlineStr">
        <is>
          <t>ini kasus yang mudah terlewat. Shift pabrik berjalan melewati tengah malam, jadi draft yang dibuat pukul 01:00 harus bertanggal hari itu.</t>
        </is>
      </c>
      <c r="N88" s="17" t="n"/>
      <c r="O88" s="17" t="n"/>
      <c r="P88" s="17" t="n"/>
      <c r="Q88" s="17" t="n"/>
      <c r="R88" s="17" t="n"/>
    </row>
    <row r="89" ht="136" customHeight="1">
      <c r="A89" s="22" t="n">
        <v>85</v>
      </c>
      <c r="B89" s="22" t="n">
        <v>3</v>
      </c>
      <c r="C89" s="23" t="inlineStr">
        <is>
          <t>MB-MON-04 / Grading</t>
        </is>
      </c>
      <c r="D89" s="23" t="inlineStr">
        <is>
          <t>MB-MON-04</t>
        </is>
      </c>
      <c r="E89" s="24" t="inlineStr">
        <is>
          <t>Grading</t>
        </is>
      </c>
      <c r="F89" s="5" t="inlineStr">
        <is>
          <t>Mobile — Operasional Stasiun (MB-)</t>
        </is>
      </c>
      <c r="G89" s="24" t="inlineStr">
        <is>
          <t>Tanggal otomatis memakai tanggal perangkat, termasuk dini hari</t>
        </is>
      </c>
      <c r="H89" s="5" t="inlineStr">
        <is>
          <t>OPR-A</t>
        </is>
      </c>
      <c r="I89" s="5" t="inlineStr">
        <is>
          <t>ubah jam perangkat ke 01:00 waktu setempat</t>
        </is>
      </c>
      <c r="J89" s="5" t="inlineStr">
        <is>
          <t>1. Ubah jam perangkat/emulator ke 01:00 waktu setempat, tanggal hari ini.
2. Login di mobile, Station List, lalu tekan tile Grading (/stations/grading/monitor), lalu tekan New Data.
3. Baca kolom Tanggal.
4. Bandingkan dengan tanggal pada jam perangkat.
5. Kembalikan jam perangkat ke keadaan semula.</t>
        </is>
      </c>
      <c r="K89"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89" s="16" t="inlineStr">
        <is>
          <t>Tinggi</t>
        </is>
      </c>
      <c r="M89" s="5" t="inlineStr">
        <is>
          <t>ini kasus yang mudah terlewat. Shift pabrik berjalan melewati tengah malam, jadi draft yang dibuat pukul 01:00 harus bertanggal hari itu.</t>
        </is>
      </c>
      <c r="N89" s="17" t="n"/>
      <c r="O89" s="17" t="n"/>
      <c r="P89" s="17" t="n"/>
      <c r="Q89" s="17" t="n"/>
      <c r="R89" s="17" t="n"/>
    </row>
    <row r="90" ht="136" customHeight="1">
      <c r="A90" s="18" t="n">
        <v>86</v>
      </c>
      <c r="B90" s="18" t="n">
        <v>3</v>
      </c>
      <c r="C90" s="19" t="inlineStr">
        <is>
          <t>MB-MON-04 / Cages Track</t>
        </is>
      </c>
      <c r="D90" s="19" t="inlineStr">
        <is>
          <t>MB-MON-04</t>
        </is>
      </c>
      <c r="E90" s="20" t="inlineStr">
        <is>
          <t>Cages Track</t>
        </is>
      </c>
      <c r="F90" s="21" t="inlineStr">
        <is>
          <t>Mobile — Operasional Stasiun (MB-)</t>
        </is>
      </c>
      <c r="G90" s="20" t="inlineStr">
        <is>
          <t>Tanggal otomatis memakai tanggal perangkat, termasuk dini hari</t>
        </is>
      </c>
      <c r="H90" s="21" t="inlineStr">
        <is>
          <t>OPR-A</t>
        </is>
      </c>
      <c r="I90" s="21" t="inlineStr">
        <is>
          <t>ubah jam perangkat ke 01:00 waktu setempat</t>
        </is>
      </c>
      <c r="J90" s="21" t="inlineStr">
        <is>
          <t>1. Ubah jam perangkat/emulator ke 01:00 waktu setempat, tanggal hari ini.
2. Login di mobile, Station List, lalu tekan tile Cages Track (/stations/cages-track/monitor), lalu tekan New Data.
3. Baca kolom Tanggal.
4. Bandingkan dengan tanggal pada jam perangkat.
5. Kembalikan jam perangkat ke keadaan semula.</t>
        </is>
      </c>
      <c r="K90" s="21"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0" s="16" t="inlineStr">
        <is>
          <t>Tinggi</t>
        </is>
      </c>
      <c r="M90" s="21" t="inlineStr">
        <is>
          <t>ini kasus yang mudah terlewat. Shift pabrik berjalan melewati tengah malam, jadi draft yang dibuat pukul 01:00 harus bertanggal hari itu.</t>
        </is>
      </c>
      <c r="N90" s="17" t="n"/>
      <c r="O90" s="17" t="n"/>
      <c r="P90" s="17" t="n"/>
      <c r="Q90" s="17" t="n"/>
      <c r="R90" s="17" t="n"/>
    </row>
    <row r="91" ht="136" customHeight="1">
      <c r="A91" s="22" t="n">
        <v>87</v>
      </c>
      <c r="B91" s="22" t="n">
        <v>3</v>
      </c>
      <c r="C91" s="23" t="inlineStr">
        <is>
          <t>MB-MON-04 / Sterilizer</t>
        </is>
      </c>
      <c r="D91" s="23" t="inlineStr">
        <is>
          <t>MB-MON-04</t>
        </is>
      </c>
      <c r="E91" s="24" t="inlineStr">
        <is>
          <t>Sterilizer</t>
        </is>
      </c>
      <c r="F91" s="5" t="inlineStr">
        <is>
          <t>Mobile — Operasional Stasiun (MB-)</t>
        </is>
      </c>
      <c r="G91" s="24" t="inlineStr">
        <is>
          <t>Tanggal otomatis memakai tanggal perangkat, termasuk dini hari</t>
        </is>
      </c>
      <c r="H91" s="5" t="inlineStr">
        <is>
          <t>OPR-A</t>
        </is>
      </c>
      <c r="I91" s="5" t="inlineStr">
        <is>
          <t>ubah jam perangkat ke 01:00 waktu setempat</t>
        </is>
      </c>
      <c r="J91" s="5" t="inlineStr">
        <is>
          <t>1. Ubah jam perangkat/emulator ke 01:00 waktu setempat, tanggal hari ini.
2. Login di mobile, Station List, lalu tekan tile Sterilizer (/stations/sterilizer/monitor), lalu tekan New Data.
3. Baca kolom Tanggal.
4. Bandingkan dengan tanggal pada jam perangkat.
5. Kembalikan jam perangkat ke keadaan semula.</t>
        </is>
      </c>
      <c r="K91"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1" s="16" t="inlineStr">
        <is>
          <t>Tinggi</t>
        </is>
      </c>
      <c r="M91" s="5" t="inlineStr">
        <is>
          <t>ini kasus yang mudah terlewat. Shift pabrik berjalan melewati tengah malam, jadi draft yang dibuat pukul 01:00 harus bertanggal hari itu.</t>
        </is>
      </c>
      <c r="N91" s="17" t="n"/>
      <c r="O91" s="17" t="n"/>
      <c r="P91" s="17" t="n"/>
      <c r="Q91" s="17" t="n"/>
      <c r="R91" s="17" t="n"/>
    </row>
    <row r="92" ht="136" customHeight="1">
      <c r="A92" s="18" t="n">
        <v>88</v>
      </c>
      <c r="B92" s="18" t="n">
        <v>3</v>
      </c>
      <c r="C92" s="19" t="inlineStr">
        <is>
          <t>MB-MON-04 / Threshing</t>
        </is>
      </c>
      <c r="D92" s="19" t="inlineStr">
        <is>
          <t>MB-MON-04</t>
        </is>
      </c>
      <c r="E92" s="20" t="inlineStr">
        <is>
          <t>Threshing</t>
        </is>
      </c>
      <c r="F92" s="21" t="inlineStr">
        <is>
          <t>Mobile — Operasional Stasiun (MB-)</t>
        </is>
      </c>
      <c r="G92" s="20" t="inlineStr">
        <is>
          <t>Tanggal otomatis memakai tanggal perangkat, termasuk dini hari</t>
        </is>
      </c>
      <c r="H92" s="21" t="inlineStr">
        <is>
          <t>OPR-A</t>
        </is>
      </c>
      <c r="I92" s="21" t="inlineStr">
        <is>
          <t>ubah jam perangkat ke 01:00 waktu setempat</t>
        </is>
      </c>
      <c r="J92" s="21" t="inlineStr">
        <is>
          <t>1. Ubah jam perangkat/emulator ke 01:00 waktu setempat, tanggal hari ini.
2. Login di mobile, Station List, lalu tekan tile Threshing (/stations/threshing/monitor), lalu tekan New Data.
3. Baca kolom Tanggal.
4. Bandingkan dengan tanggal pada jam perangkat.
5. Kembalikan jam perangkat ke keadaan semula.</t>
        </is>
      </c>
      <c r="K92" s="21"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2" s="16" t="inlineStr">
        <is>
          <t>Tinggi</t>
        </is>
      </c>
      <c r="M92" s="21" t="inlineStr">
        <is>
          <t>ini kasus yang mudah terlewat. Shift pabrik berjalan melewati tengah malam, jadi draft yang dibuat pukul 01:00 harus bertanggal hari itu.</t>
        </is>
      </c>
      <c r="N92" s="17" t="n"/>
      <c r="O92" s="17" t="n"/>
      <c r="P92" s="17" t="n"/>
      <c r="Q92" s="17" t="n"/>
      <c r="R92" s="17" t="n"/>
    </row>
    <row r="93" ht="136" customHeight="1">
      <c r="A93" s="22" t="n">
        <v>89</v>
      </c>
      <c r="B93" s="22" t="n">
        <v>3</v>
      </c>
      <c r="C93" s="23" t="inlineStr">
        <is>
          <t>MB-MON-04 / Pressing</t>
        </is>
      </c>
      <c r="D93" s="23" t="inlineStr">
        <is>
          <t>MB-MON-04</t>
        </is>
      </c>
      <c r="E93" s="24" t="inlineStr">
        <is>
          <t>Pressing</t>
        </is>
      </c>
      <c r="F93" s="5" t="inlineStr">
        <is>
          <t>Mobile — Operasional Stasiun (MB-)</t>
        </is>
      </c>
      <c r="G93" s="24" t="inlineStr">
        <is>
          <t>Tanggal otomatis memakai tanggal perangkat, termasuk dini hari</t>
        </is>
      </c>
      <c r="H93" s="5" t="inlineStr">
        <is>
          <t>OPR-A</t>
        </is>
      </c>
      <c r="I93" s="5" t="inlineStr">
        <is>
          <t>ubah jam perangkat ke 01:00 waktu setempat</t>
        </is>
      </c>
      <c r="J93" s="5" t="inlineStr">
        <is>
          <t>1. Ubah jam perangkat/emulator ke 01:00 waktu setempat, tanggal hari ini.
2. Login di mobile, Station List, lalu tekan tile Pressing (/stations/pressing/monitor), lalu tekan New Data.
3. Baca kolom Tanggal.
4. Bandingkan dengan tanggal pada jam perangkat.
5. Kembalikan jam perangkat ke keadaan semula.</t>
        </is>
      </c>
      <c r="K93"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3" s="16" t="inlineStr">
        <is>
          <t>Tinggi</t>
        </is>
      </c>
      <c r="M93" s="5" t="inlineStr">
        <is>
          <t>ini kasus yang mudah terlewat. Shift pabrik berjalan melewati tengah malam, jadi draft yang dibuat pukul 01:00 harus bertanggal hari itu.</t>
        </is>
      </c>
      <c r="N93" s="17" t="n"/>
      <c r="O93" s="17" t="n"/>
      <c r="P93" s="17" t="n"/>
      <c r="Q93" s="17" t="n"/>
      <c r="R93" s="17" t="n"/>
    </row>
    <row r="94" ht="136" customHeight="1">
      <c r="A94" s="18" t="n">
        <v>90</v>
      </c>
      <c r="B94" s="18" t="n">
        <v>3</v>
      </c>
      <c r="C94" s="19" t="inlineStr">
        <is>
          <t>MB-MON-04 / Clarification</t>
        </is>
      </c>
      <c r="D94" s="19" t="inlineStr">
        <is>
          <t>MB-MON-04</t>
        </is>
      </c>
      <c r="E94" s="20" t="inlineStr">
        <is>
          <t>Clarification</t>
        </is>
      </c>
      <c r="F94" s="21" t="inlineStr">
        <is>
          <t>Mobile — Operasional Stasiun (MB-)</t>
        </is>
      </c>
      <c r="G94" s="20" t="inlineStr">
        <is>
          <t>Tanggal otomatis memakai tanggal perangkat, termasuk dini hari</t>
        </is>
      </c>
      <c r="H94" s="21" t="inlineStr">
        <is>
          <t>OPR-A</t>
        </is>
      </c>
      <c r="I94" s="21" t="inlineStr">
        <is>
          <t>ubah jam perangkat ke 01:00 waktu setempat</t>
        </is>
      </c>
      <c r="J94" s="21" t="inlineStr">
        <is>
          <t>1. Ubah jam perangkat/emulator ke 01:00 waktu setempat, tanggal hari ini.
2. Login di mobile, Station List, lalu tekan tile Clarification (/stations/clarification/monitor), lalu tekan New Data.
3. Baca kolom Tanggal.
4. Bandingkan dengan tanggal pada jam perangkat.
5. Kembalikan jam perangkat ke keadaan semula.</t>
        </is>
      </c>
      <c r="K94" s="21"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4" s="16" t="inlineStr">
        <is>
          <t>Tinggi</t>
        </is>
      </c>
      <c r="M94" s="21" t="inlineStr">
        <is>
          <t>ini kasus yang mudah terlewat. Shift pabrik berjalan melewati tengah malam, jadi draft yang dibuat pukul 01:00 harus bertanggal hari itu.</t>
        </is>
      </c>
      <c r="N94" s="17" t="n"/>
      <c r="O94" s="17" t="n"/>
      <c r="P94" s="17" t="n"/>
      <c r="Q94" s="17" t="n"/>
      <c r="R94" s="17" t="n"/>
    </row>
    <row r="95" ht="136" customHeight="1">
      <c r="A95" s="22" t="n">
        <v>91</v>
      </c>
      <c r="B95" s="22" t="n">
        <v>3</v>
      </c>
      <c r="C95" s="23" t="inlineStr">
        <is>
          <t>MB-MON-04 / Kernel Plant</t>
        </is>
      </c>
      <c r="D95" s="23" t="inlineStr">
        <is>
          <t>MB-MON-04</t>
        </is>
      </c>
      <c r="E95" s="24" t="inlineStr">
        <is>
          <t>Kernel Plant</t>
        </is>
      </c>
      <c r="F95" s="5" t="inlineStr">
        <is>
          <t>Mobile — Operasional Stasiun (MB-)</t>
        </is>
      </c>
      <c r="G95" s="24" t="inlineStr">
        <is>
          <t>Tanggal otomatis memakai tanggal perangkat, termasuk dini hari</t>
        </is>
      </c>
      <c r="H95" s="5" t="inlineStr">
        <is>
          <t>OPR-A</t>
        </is>
      </c>
      <c r="I95" s="5" t="inlineStr">
        <is>
          <t>ubah jam perangkat ke 01:00 waktu setempat</t>
        </is>
      </c>
      <c r="J95" s="5" t="inlineStr">
        <is>
          <t>1. Ubah jam perangkat/emulator ke 01:00 waktu setempat, tanggal hari ini.
2. Login di mobile, Station List, lalu tekan tile Kernel Plant (/stations/kernel-plant/monitor), lalu tekan New Data.
3. Baca kolom Tanggal.
4. Bandingkan dengan tanggal pada jam perangkat.
5. Kembalikan jam perangkat ke keadaan semula.</t>
        </is>
      </c>
      <c r="K95"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5" s="16" t="inlineStr">
        <is>
          <t>Tinggi</t>
        </is>
      </c>
      <c r="M95" s="5" t="inlineStr">
        <is>
          <t>ini kasus yang mudah terlewat. Shift pabrik berjalan melewati tengah malam, jadi draft yang dibuat pukul 01:00 harus bertanggal hari itu.</t>
        </is>
      </c>
      <c r="N95" s="17" t="n"/>
      <c r="O95" s="17" t="n"/>
      <c r="P95" s="17" t="n"/>
      <c r="Q95" s="17" t="n"/>
      <c r="R95" s="17" t="n"/>
    </row>
    <row r="96" ht="136" customHeight="1">
      <c r="A96" s="18" t="n">
        <v>92</v>
      </c>
      <c r="B96" s="18" t="n">
        <v>3</v>
      </c>
      <c r="C96" s="19" t="inlineStr">
        <is>
          <t>MB-MON-04 / Boiler Room</t>
        </is>
      </c>
      <c r="D96" s="19" t="inlineStr">
        <is>
          <t>MB-MON-04</t>
        </is>
      </c>
      <c r="E96" s="20" t="inlineStr">
        <is>
          <t>Boiler Room</t>
        </is>
      </c>
      <c r="F96" s="21" t="inlineStr">
        <is>
          <t>Mobile — Operasional Stasiun (MB-)</t>
        </is>
      </c>
      <c r="G96" s="20" t="inlineStr">
        <is>
          <t>Tanggal otomatis memakai tanggal perangkat, termasuk dini hari</t>
        </is>
      </c>
      <c r="H96" s="21" t="inlineStr">
        <is>
          <t>OPR-A</t>
        </is>
      </c>
      <c r="I96" s="21" t="inlineStr">
        <is>
          <t>ubah jam perangkat ke 01:00 waktu setempat</t>
        </is>
      </c>
      <c r="J96" s="21" t="inlineStr">
        <is>
          <t>1. Ubah jam perangkat/emulator ke 01:00 waktu setempat, tanggal hari ini.
2. Login di mobile, Station List, lalu tekan tile Boiler Room (/stations/boiler-room/monitor), lalu tekan New Data.
3. Baca kolom Tanggal.
4. Bandingkan dengan tanggal pada jam perangkat.
5. Kembalikan jam perangkat ke keadaan semula.</t>
        </is>
      </c>
      <c r="K96" s="21"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6" s="16" t="inlineStr">
        <is>
          <t>Tinggi</t>
        </is>
      </c>
      <c r="M96" s="21" t="inlineStr">
        <is>
          <t>ini kasus yang mudah terlewat. Shift pabrik berjalan melewati tengah malam, jadi draft yang dibuat pukul 01:00 harus bertanggal hari itu.</t>
        </is>
      </c>
      <c r="N96" s="17" t="n"/>
      <c r="O96" s="17" t="n"/>
      <c r="P96" s="17" t="n"/>
      <c r="Q96" s="17" t="n"/>
      <c r="R96" s="17" t="n"/>
    </row>
    <row r="97" ht="136" customHeight="1">
      <c r="A97" s="22" t="n">
        <v>93</v>
      </c>
      <c r="B97" s="22" t="n">
        <v>3</v>
      </c>
      <c r="C97" s="23" t="inlineStr">
        <is>
          <t>MB-MON-04 / Effluent Plant</t>
        </is>
      </c>
      <c r="D97" s="23" t="inlineStr">
        <is>
          <t>MB-MON-04</t>
        </is>
      </c>
      <c r="E97" s="24" t="inlineStr">
        <is>
          <t>Effluent Plant</t>
        </is>
      </c>
      <c r="F97" s="5" t="inlineStr">
        <is>
          <t>Mobile — Operasional Stasiun (MB-)</t>
        </is>
      </c>
      <c r="G97" s="24" t="inlineStr">
        <is>
          <t>Tanggal otomatis memakai tanggal perangkat, termasuk dini hari</t>
        </is>
      </c>
      <c r="H97" s="5" t="inlineStr">
        <is>
          <t>OPR-A</t>
        </is>
      </c>
      <c r="I97" s="5" t="inlineStr">
        <is>
          <t>ubah jam perangkat ke 01:00 waktu setempat</t>
        </is>
      </c>
      <c r="J97" s="5" t="inlineStr">
        <is>
          <t>1. Ubah jam perangkat/emulator ke 01:00 waktu setempat, tanggal hari ini.
2. Login di mobile, Station List, lalu tekan tile Effluent Plant (/stations/effluent-plant/monitor), lalu tekan New Data.
3. Baca kolom Tanggal.
4. Bandingkan dengan tanggal pada jam perangkat.
5. Kembalikan jam perangkat ke keadaan semula.</t>
        </is>
      </c>
      <c r="K97"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7" s="16" t="inlineStr">
        <is>
          <t>Tinggi</t>
        </is>
      </c>
      <c r="M97" s="5" t="inlineStr">
        <is>
          <t>ini kasus yang mudah terlewat. Shift pabrik berjalan melewati tengah malam, jadi draft yang dibuat pukul 01:00 harus bertanggal hari itu.</t>
        </is>
      </c>
      <c r="N97" s="17" t="n"/>
      <c r="O97" s="17" t="n"/>
      <c r="P97" s="17" t="n"/>
      <c r="Q97" s="17" t="n"/>
      <c r="R97" s="17" t="n"/>
    </row>
    <row r="98" ht="136" customHeight="1">
      <c r="A98" s="11" t="n">
        <v>94</v>
      </c>
      <c r="B98" s="12" t="n">
        <v>1</v>
      </c>
      <c r="C98" s="13" t="inlineStr">
        <is>
          <t>MB-MON-04 / Depricarping</t>
        </is>
      </c>
      <c r="D98" s="13" t="inlineStr">
        <is>
          <t>MB-MON-04</t>
        </is>
      </c>
      <c r="E98" s="15" t="inlineStr">
        <is>
          <t>Depricarping</t>
        </is>
      </c>
      <c r="F98" s="14" t="inlineStr">
        <is>
          <t>Mobile — Operasional Stasiun (MB-)</t>
        </is>
      </c>
      <c r="G98" s="15" t="inlineStr">
        <is>
          <t>Tanggal otomatis memakai tanggal perangkat, termasuk dini hari</t>
        </is>
      </c>
      <c r="H98" s="14" t="inlineStr">
        <is>
          <t>OPR-A</t>
        </is>
      </c>
      <c r="I98" s="14" t="inlineStr">
        <is>
          <t>ubah jam perangkat ke 01:00 waktu setempat</t>
        </is>
      </c>
      <c r="J98" s="14" t="inlineStr">
        <is>
          <t>1. Ubah jam perangkat/emulator ke 01:00 waktu setempat, tanggal hari ini.
2. Login di mobile, Station List, lalu tekan tile Depricarping (/stations/depricarping/monitor), lalu tekan New Data.
3. Baca kolom Tanggal.
4. Bandingkan dengan tanggal pada jam perangkat.
5. Kembalikan jam perangkat ke keadaan semula.</t>
        </is>
      </c>
      <c r="K98" s="14"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8" s="16" t="inlineStr">
        <is>
          <t>Tinggi</t>
        </is>
      </c>
      <c r="M98" s="14" t="inlineStr">
        <is>
          <t>ini kasus yang mudah terlewat. Shift pabrik berjalan melewati tengah malam, jadi draft yang dibuat pukul 01:00 harus bertanggal hari itu.</t>
        </is>
      </c>
      <c r="N98" s="17" t="n"/>
      <c r="O98" s="17" t="n"/>
      <c r="P98" s="17" t="n"/>
      <c r="Q98" s="17" t="n"/>
      <c r="R98" s="17" t="n"/>
    </row>
    <row r="99" ht="136" customHeight="1">
      <c r="A99" s="22" t="n">
        <v>95</v>
      </c>
      <c r="B99" s="22" t="n">
        <v>3</v>
      </c>
      <c r="C99" s="23" t="inlineStr">
        <is>
          <t>MB-MON-04 / Engine Room</t>
        </is>
      </c>
      <c r="D99" s="23" t="inlineStr">
        <is>
          <t>MB-MON-04</t>
        </is>
      </c>
      <c r="E99" s="24" t="inlineStr">
        <is>
          <t>Engine Room</t>
        </is>
      </c>
      <c r="F99" s="5" t="inlineStr">
        <is>
          <t>Mobile — Operasional Stasiun (MB-)</t>
        </is>
      </c>
      <c r="G99" s="24" t="inlineStr">
        <is>
          <t>Tanggal otomatis memakai tanggal perangkat, termasuk dini hari</t>
        </is>
      </c>
      <c r="H99" s="5" t="inlineStr">
        <is>
          <t>OPR-A</t>
        </is>
      </c>
      <c r="I99" s="5" t="inlineStr">
        <is>
          <t>ubah jam perangkat ke 01:00 waktu setempat</t>
        </is>
      </c>
      <c r="J99" s="5" t="inlineStr">
        <is>
          <t>1. Ubah jam perangkat/emulator ke 01:00 waktu setempat, tanggal hari ini.
2. Login di mobile, Station List, lalu tekan tile Engine Room (/stations/engine-room/monitor), lalu tekan New Data.
3. Baca kolom Tanggal.
4. Bandingkan dengan tanggal pada jam perangkat.
5. Kembalikan jam perangkat ke keadaan semula.</t>
        </is>
      </c>
      <c r="K99"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9" s="16" t="inlineStr">
        <is>
          <t>Tinggi</t>
        </is>
      </c>
      <c r="M99" s="5" t="inlineStr">
        <is>
          <t>ini kasus yang mudah terlewat. Shift pabrik berjalan melewati tengah malam, jadi draft yang dibuat pukul 01:00 harus bertanggal hari itu.</t>
        </is>
      </c>
      <c r="N99" s="17" t="n"/>
      <c r="O99" s="17" t="n"/>
      <c r="P99" s="17" t="n"/>
      <c r="Q99" s="17" t="n"/>
      <c r="R99" s="17" t="n"/>
    </row>
    <row r="100" ht="136" customHeight="1">
      <c r="A100" s="18" t="n">
        <v>96</v>
      </c>
      <c r="B100" s="18" t="n">
        <v>3</v>
      </c>
      <c r="C100" s="19" t="inlineStr">
        <is>
          <t>MB-MON-04 / Process Water</t>
        </is>
      </c>
      <c r="D100" s="19" t="inlineStr">
        <is>
          <t>MB-MON-04</t>
        </is>
      </c>
      <c r="E100" s="20" t="inlineStr">
        <is>
          <t>Process Water</t>
        </is>
      </c>
      <c r="F100" s="21" t="inlineStr">
        <is>
          <t>Mobile — Operasional Stasiun (MB-)</t>
        </is>
      </c>
      <c r="G100" s="20" t="inlineStr">
        <is>
          <t>Tanggal otomatis memakai tanggal perangkat, termasuk dini hari</t>
        </is>
      </c>
      <c r="H100" s="21" t="inlineStr">
        <is>
          <t>OPR-A</t>
        </is>
      </c>
      <c r="I100" s="21" t="inlineStr">
        <is>
          <t>ubah jam perangkat ke 01:00 waktu setempat</t>
        </is>
      </c>
      <c r="J100" s="21" t="inlineStr">
        <is>
          <t>1. Ubah jam perangkat/emulator ke 01:00 waktu setempat, tanggal hari ini.
2. Login di mobile, Station List, lalu tekan tile Process Water (/stations/process-water/monitor), lalu tekan New Data.
3. Baca kolom Tanggal.
4. Bandingkan dengan tanggal pada jam perangkat.
5. Kembalikan jam perangkat ke keadaan semula.</t>
        </is>
      </c>
      <c r="K100" s="21"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100" s="16" t="inlineStr">
        <is>
          <t>Tinggi</t>
        </is>
      </c>
      <c r="M100" s="21" t="inlineStr">
        <is>
          <t>ini kasus yang mudah terlewat. Shift pabrik berjalan melewati tengah malam, jadi draft yang dibuat pukul 01:00 harus bertanggal hari itu.</t>
        </is>
      </c>
      <c r="N100" s="17" t="n"/>
      <c r="O100" s="17" t="n"/>
      <c r="P100" s="17" t="n"/>
      <c r="Q100" s="17" t="n"/>
      <c r="R100" s="17" t="n"/>
    </row>
    <row r="101" ht="136" customHeight="1">
      <c r="A101" s="22" t="n">
        <v>97</v>
      </c>
      <c r="B101" s="22" t="n">
        <v>3</v>
      </c>
      <c r="C101" s="23" t="inlineStr">
        <is>
          <t>MB-MON-04 / Storage Tank</t>
        </is>
      </c>
      <c r="D101" s="23" t="inlineStr">
        <is>
          <t>MB-MON-04</t>
        </is>
      </c>
      <c r="E101" s="24" t="inlineStr">
        <is>
          <t>Storage Tank</t>
        </is>
      </c>
      <c r="F101" s="5" t="inlineStr">
        <is>
          <t>Mobile — Operasional Stasiun (MB-)</t>
        </is>
      </c>
      <c r="G101" s="24" t="inlineStr">
        <is>
          <t>Tanggal otomatis memakai tanggal perangkat, termasuk dini hari</t>
        </is>
      </c>
      <c r="H101" s="5" t="inlineStr">
        <is>
          <t>OPR-A</t>
        </is>
      </c>
      <c r="I101" s="5" t="inlineStr">
        <is>
          <t>ubah jam perangkat ke 01:00 waktu setempat</t>
        </is>
      </c>
      <c r="J101" s="5" t="inlineStr">
        <is>
          <t>1. Ubah jam perangkat/emulator ke 01:00 waktu setempat, tanggal hari ini.
2. Login di mobile, Station List, lalu tekan tile Storage Tank (/stations/storage-tank/monitor), lalu tekan New Data.
3. Baca kolom Tanggal.
4. Bandingkan dengan tanggal pada jam perangkat.
5. Kembalikan jam perangkat ke keadaan semula.</t>
        </is>
      </c>
      <c r="K101"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101" s="16" t="inlineStr">
        <is>
          <t>Tinggi</t>
        </is>
      </c>
      <c r="M101" s="5" t="inlineStr">
        <is>
          <t>ini kasus yang mudah terlewat. Shift pabrik berjalan melewati tengah malam, jadi draft yang dibuat pukul 01:00 harus bertanggal hari itu.</t>
        </is>
      </c>
      <c r="N101" s="17" t="n"/>
      <c r="O101" s="17" t="n"/>
      <c r="P101" s="17" t="n"/>
      <c r="Q101" s="17" t="n"/>
      <c r="R101" s="17" t="n"/>
    </row>
    <row r="102" ht="149.2" customHeight="1">
      <c r="A102" s="18" t="n">
        <v>98</v>
      </c>
      <c r="B102" s="18" t="n">
        <v>3</v>
      </c>
      <c r="C102" s="19" t="inlineStr">
        <is>
          <t>MB-MON-04 / Solid Waste Disposal</t>
        </is>
      </c>
      <c r="D102" s="19" t="inlineStr">
        <is>
          <t>MB-MON-04</t>
        </is>
      </c>
      <c r="E102" s="20" t="inlineStr">
        <is>
          <t>Solid Waste Disposal</t>
        </is>
      </c>
      <c r="F102" s="21" t="inlineStr">
        <is>
          <t>Mobile — Operasional Stasiun (MB-)</t>
        </is>
      </c>
      <c r="G102" s="20" t="inlineStr">
        <is>
          <t>Tanggal otomatis memakai tanggal perangkat, termasuk dini hari</t>
        </is>
      </c>
      <c r="H102" s="21" t="inlineStr">
        <is>
          <t>OPR-A</t>
        </is>
      </c>
      <c r="I102" s="21" t="inlineStr">
        <is>
          <t>ubah jam perangkat ke 01:00 waktu setempat</t>
        </is>
      </c>
      <c r="J102" s="21" t="inlineStr">
        <is>
          <t>1. Ubah jam perangkat/emulator ke 01:00 waktu setempat, tanggal hari ini.
2. Login di mobile, Station List, lalu tekan tile Solid Waste Disposal (/stations/solid-waste-disposal/monitor), lalu tekan New Data.
3. Baca kolom Tanggal.
4. Bandingkan dengan tanggal pada jam perangkat.
5. Kembalikan jam perangkat ke keadaan semula.</t>
        </is>
      </c>
      <c r="K102" s="21"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102" s="16" t="inlineStr">
        <is>
          <t>Tinggi</t>
        </is>
      </c>
      <c r="M102" s="21" t="inlineStr">
        <is>
          <t>ini kasus yang mudah terlewat. Shift pabrik berjalan melewati tengah malam, jadi draft yang dibuat pukul 01:00 harus bertanggal hari itu.</t>
        </is>
      </c>
      <c r="N102" s="17" t="n"/>
      <c r="O102" s="17" t="n"/>
      <c r="P102" s="17" t="n"/>
      <c r="Q102" s="17" t="n"/>
      <c r="R102" s="17" t="n"/>
    </row>
    <row r="103" ht="136" customHeight="1">
      <c r="A103" s="22" t="n">
        <v>99</v>
      </c>
      <c r="B103" s="22" t="n">
        <v>3</v>
      </c>
      <c r="C103" s="23" t="inlineStr">
        <is>
          <t>MB-MON-04 / Kernel Dispatch</t>
        </is>
      </c>
      <c r="D103" s="23" t="inlineStr">
        <is>
          <t>MB-MON-04</t>
        </is>
      </c>
      <c r="E103" s="24" t="inlineStr">
        <is>
          <t>Kernel Dispatch</t>
        </is>
      </c>
      <c r="F103" s="5" t="inlineStr">
        <is>
          <t>Mobile — Operasional Stasiun (MB-)</t>
        </is>
      </c>
      <c r="G103" s="24" t="inlineStr">
        <is>
          <t>Tanggal otomatis memakai tanggal perangkat, termasuk dini hari</t>
        </is>
      </c>
      <c r="H103" s="5" t="inlineStr">
        <is>
          <t>OPR-A</t>
        </is>
      </c>
      <c r="I103" s="5" t="inlineStr">
        <is>
          <t>ubah jam perangkat ke 01:00 waktu setempat</t>
        </is>
      </c>
      <c r="J103" s="5" t="inlineStr">
        <is>
          <t>1. Ubah jam perangkat/emulator ke 01:00 waktu setempat, tanggal hari ini.
2. Login di mobile, Station List, lalu tekan tile Kernel Dispatch (/stations/kernel-dispatch/monitor), lalu tekan New Data.
3. Baca kolom Tanggal.
4. Bandingkan dengan tanggal pada jam perangkat.
5. Kembalikan jam perangkat ke keadaan semula.</t>
        </is>
      </c>
      <c r="K103"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103" s="16" t="inlineStr">
        <is>
          <t>Tinggi</t>
        </is>
      </c>
      <c r="M103" s="5" t="inlineStr">
        <is>
          <t>ini kasus yang mudah terlewat. Shift pabrik berjalan melewati tengah malam, jadi draft yang dibuat pukul 01:00 harus bertanggal hari itu.</t>
        </is>
      </c>
      <c r="N103" s="17" t="n"/>
      <c r="O103" s="17" t="n"/>
      <c r="P103" s="17" t="n"/>
      <c r="Q103" s="17" t="n"/>
      <c r="R103" s="17" t="n"/>
    </row>
    <row r="104" ht="136" customHeight="1">
      <c r="A104" s="18" t="n">
        <v>100</v>
      </c>
      <c r="B104" s="18" t="n">
        <v>3</v>
      </c>
      <c r="C104" s="19" t="inlineStr">
        <is>
          <t>MB-MON-04 / CPO Dispatch</t>
        </is>
      </c>
      <c r="D104" s="19" t="inlineStr">
        <is>
          <t>MB-MON-04</t>
        </is>
      </c>
      <c r="E104" s="20" t="inlineStr">
        <is>
          <t>CPO Dispatch</t>
        </is>
      </c>
      <c r="F104" s="21" t="inlineStr">
        <is>
          <t>Mobile — Operasional Stasiun (MB-)</t>
        </is>
      </c>
      <c r="G104" s="20" t="inlineStr">
        <is>
          <t>Tanggal otomatis memakai tanggal perangkat, termasuk dini hari</t>
        </is>
      </c>
      <c r="H104" s="21" t="inlineStr">
        <is>
          <t>OPR-A</t>
        </is>
      </c>
      <c r="I104" s="21" t="inlineStr">
        <is>
          <t>ubah jam perangkat ke 01:00 waktu setempat</t>
        </is>
      </c>
      <c r="J104" s="21" t="inlineStr">
        <is>
          <t>1. Ubah jam perangkat/emulator ke 01:00 waktu setempat, tanggal hari ini.
2. Login di mobile, Station List, lalu tekan tile CPO Dispatch (/stations/cpo-dispatch/monitor), lalu tekan New Data.
3. Baca kolom Tanggal.
4. Bandingkan dengan tanggal pada jam perangkat.
5. Kembalikan jam perangkat ke keadaan semula.</t>
        </is>
      </c>
      <c r="K104" s="21"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104" s="16" t="inlineStr">
        <is>
          <t>Tinggi</t>
        </is>
      </c>
      <c r="M104" s="21" t="inlineStr">
        <is>
          <t>ini kasus yang mudah terlewat. Shift pabrik berjalan melewati tengah malam, jadi draft yang dibuat pukul 01:00 harus bertanggal hari itu.</t>
        </is>
      </c>
      <c r="N104" s="17" t="n"/>
      <c r="O104" s="17" t="n"/>
      <c r="P104" s="17" t="n"/>
      <c r="Q104" s="17" t="n"/>
      <c r="R104" s="17" t="n"/>
    </row>
    <row r="105" ht="149.2" customHeight="1">
      <c r="A105" s="22" t="n">
        <v>101</v>
      </c>
      <c r="B105" s="22" t="n">
        <v>3</v>
      </c>
      <c r="C105" s="23" t="inlineStr">
        <is>
          <t>MB-MON-04 / Process Quality Control</t>
        </is>
      </c>
      <c r="D105" s="23" t="inlineStr">
        <is>
          <t>MB-MON-04</t>
        </is>
      </c>
      <c r="E105" s="24" t="inlineStr">
        <is>
          <t>Process Quality Control</t>
        </is>
      </c>
      <c r="F105" s="5" t="inlineStr">
        <is>
          <t>Mobile — Operasional Stasiun (MB-)</t>
        </is>
      </c>
      <c r="G105" s="24" t="inlineStr">
        <is>
          <t>Tanggal otomatis memakai tanggal perangkat, termasuk dini hari</t>
        </is>
      </c>
      <c r="H105" s="5" t="inlineStr">
        <is>
          <t>OPR-A</t>
        </is>
      </c>
      <c r="I105" s="5" t="inlineStr">
        <is>
          <t>ubah jam perangkat ke 01:00 waktu setempat</t>
        </is>
      </c>
      <c r="J105" s="5" t="inlineStr">
        <is>
          <t>1. Ubah jam perangkat/emulator ke 01:00 waktu setempat, tanggal hari ini.
2. Login di mobile, Station List, lalu tekan tile Process Quality Control (/stations/process-quality-control/monitor), lalu tekan New Data.
3. Baca kolom Tanggal.
4. Bandingkan dengan tanggal pada jam perangkat.
5. Kembalikan jam perangkat ke keadaan semula.</t>
        </is>
      </c>
      <c r="K105"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105" s="16" t="inlineStr">
        <is>
          <t>Tinggi</t>
        </is>
      </c>
      <c r="M105" s="5" t="inlineStr">
        <is>
          <t>ini kasus yang mudah terlewat. Shift pabrik berjalan melewati tengah malam, jadi draft yang dibuat pukul 01:00 harus bertanggal hari itu.</t>
        </is>
      </c>
      <c r="N105" s="17" t="n"/>
      <c r="O105" s="17" t="n"/>
      <c r="P105" s="17" t="n"/>
      <c r="Q105" s="17" t="n"/>
      <c r="R105" s="17" t="n"/>
    </row>
    <row r="106" ht="96.39999999999999" customHeight="1">
      <c r="A106" s="18" t="n">
        <v>102</v>
      </c>
      <c r="B106" s="18" t="n">
        <v>3</v>
      </c>
      <c r="C106" s="19" t="inlineStr">
        <is>
          <t>MB-MON-05 / Weighbridge</t>
        </is>
      </c>
      <c r="D106" s="19" t="inlineStr">
        <is>
          <t>MB-MON-05</t>
        </is>
      </c>
      <c r="E106" s="20" t="inlineStr">
        <is>
          <t>Weighbridge</t>
        </is>
      </c>
      <c r="F106" s="21" t="inlineStr">
        <is>
          <t>Mobile — Operasional Stasiun (MB-)</t>
        </is>
      </c>
      <c r="G106" s="20" t="inlineStr">
        <is>
          <t>Belum ada draft: keterangan, bukan daftar kosong</t>
        </is>
      </c>
      <c r="H106" s="21" t="inlineStr">
        <is>
          <t>OPR-A</t>
        </is>
      </c>
      <c r="I106" s="21" t="inlineStr">
        <is>
          <t>tidak ada draft untuk stasiun itu</t>
        </is>
      </c>
      <c r="J106" s="21" t="inlineStr">
        <is>
          <t>1. Pastikan stasiun ini tidak punya satu draft pun pada Production Line terpilih (hapus lewat Clear bila ada).
2. Login di mobile, Station List, lalu tekan tile Weighbridge (/stations/weighbridge/monitor).
3. Baca bagian daftar draft.</t>
        </is>
      </c>
      <c r="K106" s="21" t="inlineStr">
        <is>
          <t>- Muncul keterangan bahwa belum ada draft — kalimat, bukan ruang kosong.
- BUKAN tabel dengan nol baris tanpa penjelasan.
- Tombol New Data tetap ada dan dapat ditekan.</t>
        </is>
      </c>
      <c r="L106" s="18" t="inlineStr">
        <is>
          <t>Sedang</t>
        </is>
      </c>
      <c r="M106" s="21" t="inlineStr"/>
      <c r="N106" s="17" t="n"/>
      <c r="O106" s="17" t="n"/>
      <c r="P106" s="17" t="n"/>
      <c r="Q106" s="17" t="n"/>
      <c r="R106" s="17" t="n"/>
    </row>
    <row r="107" ht="83.19999999999999" customHeight="1">
      <c r="A107" s="22" t="n">
        <v>103</v>
      </c>
      <c r="B107" s="22" t="n">
        <v>3</v>
      </c>
      <c r="C107" s="23" t="inlineStr">
        <is>
          <t>MB-MON-05 / Grading</t>
        </is>
      </c>
      <c r="D107" s="23" t="inlineStr">
        <is>
          <t>MB-MON-05</t>
        </is>
      </c>
      <c r="E107" s="24" t="inlineStr">
        <is>
          <t>Grading</t>
        </is>
      </c>
      <c r="F107" s="5" t="inlineStr">
        <is>
          <t>Mobile — Operasional Stasiun (MB-)</t>
        </is>
      </c>
      <c r="G107" s="24" t="inlineStr">
        <is>
          <t>Belum ada draft: keterangan, bukan daftar kosong</t>
        </is>
      </c>
      <c r="H107" s="5" t="inlineStr">
        <is>
          <t>OPR-A</t>
        </is>
      </c>
      <c r="I107" s="5" t="inlineStr">
        <is>
          <t>tidak ada draft untuk stasiun itu</t>
        </is>
      </c>
      <c r="J107" s="5" t="inlineStr">
        <is>
          <t>1. Pastikan stasiun ini tidak punya satu draft pun pada Production Line terpilih (hapus lewat Clear bila ada).
2. Login di mobile, Station List, lalu tekan tile Grading (/stations/grading/monitor).
3. Baca bagian daftar draft.</t>
        </is>
      </c>
      <c r="K107" s="5" t="inlineStr">
        <is>
          <t>- Muncul keterangan bahwa belum ada draft — kalimat, bukan ruang kosong.
- BUKAN tabel dengan nol baris tanpa penjelasan.
- Tombol New Data tetap ada dan dapat ditekan.</t>
        </is>
      </c>
      <c r="L107" s="22" t="inlineStr">
        <is>
          <t>Sedang</t>
        </is>
      </c>
      <c r="M107" s="5" t="inlineStr"/>
      <c r="N107" s="17" t="n"/>
      <c r="O107" s="17" t="n"/>
      <c r="P107" s="17" t="n"/>
      <c r="Q107" s="17" t="n"/>
      <c r="R107" s="17" t="n"/>
    </row>
    <row r="108" ht="96.39999999999999" customHeight="1">
      <c r="A108" s="18" t="n">
        <v>104</v>
      </c>
      <c r="B108" s="18" t="n">
        <v>3</v>
      </c>
      <c r="C108" s="19" t="inlineStr">
        <is>
          <t>MB-MON-05 / Cages Track</t>
        </is>
      </c>
      <c r="D108" s="19" t="inlineStr">
        <is>
          <t>MB-MON-05</t>
        </is>
      </c>
      <c r="E108" s="20" t="inlineStr">
        <is>
          <t>Cages Track</t>
        </is>
      </c>
      <c r="F108" s="21" t="inlineStr">
        <is>
          <t>Mobile — Operasional Stasiun (MB-)</t>
        </is>
      </c>
      <c r="G108" s="20" t="inlineStr">
        <is>
          <t>Belum ada draft: keterangan, bukan daftar kosong</t>
        </is>
      </c>
      <c r="H108" s="21" t="inlineStr">
        <is>
          <t>OPR-A</t>
        </is>
      </c>
      <c r="I108" s="21" t="inlineStr">
        <is>
          <t>tidak ada draft untuk stasiun itu</t>
        </is>
      </c>
      <c r="J108" s="21" t="inlineStr">
        <is>
          <t>1. Pastikan stasiun ini tidak punya satu draft pun pada Production Line terpilih (hapus lewat Clear bila ada).
2. Login di mobile, Station List, lalu tekan tile Cages Track (/stations/cages-track/monitor).
3. Baca bagian daftar draft.</t>
        </is>
      </c>
      <c r="K108" s="21" t="inlineStr">
        <is>
          <t>- Muncul keterangan bahwa belum ada draft — kalimat, bukan ruang kosong.
- BUKAN tabel dengan nol baris tanpa penjelasan.
- Tombol New Data tetap ada dan dapat ditekan.</t>
        </is>
      </c>
      <c r="L108" s="18" t="inlineStr">
        <is>
          <t>Sedang</t>
        </is>
      </c>
      <c r="M108" s="21" t="inlineStr"/>
      <c r="N108" s="17" t="n"/>
      <c r="O108" s="17" t="n"/>
      <c r="P108" s="17" t="n"/>
      <c r="Q108" s="17" t="n"/>
      <c r="R108" s="17" t="n"/>
    </row>
    <row r="109" ht="96.39999999999999" customHeight="1">
      <c r="A109" s="22" t="n">
        <v>105</v>
      </c>
      <c r="B109" s="22" t="n">
        <v>3</v>
      </c>
      <c r="C109" s="23" t="inlineStr">
        <is>
          <t>MB-MON-05 / Sterilizer</t>
        </is>
      </c>
      <c r="D109" s="23" t="inlineStr">
        <is>
          <t>MB-MON-05</t>
        </is>
      </c>
      <c r="E109" s="24" t="inlineStr">
        <is>
          <t>Sterilizer</t>
        </is>
      </c>
      <c r="F109" s="5" t="inlineStr">
        <is>
          <t>Mobile — Operasional Stasiun (MB-)</t>
        </is>
      </c>
      <c r="G109" s="24" t="inlineStr">
        <is>
          <t>Belum ada draft: keterangan, bukan daftar kosong</t>
        </is>
      </c>
      <c r="H109" s="5" t="inlineStr">
        <is>
          <t>OPR-A</t>
        </is>
      </c>
      <c r="I109" s="5" t="inlineStr">
        <is>
          <t>tidak ada draft untuk stasiun itu</t>
        </is>
      </c>
      <c r="J109" s="5" t="inlineStr">
        <is>
          <t>1. Pastikan stasiun ini tidak punya satu draft pun pada Production Line terpilih (hapus lewat Clear bila ada).
2. Login di mobile, Station List, lalu tekan tile Sterilizer (/stations/sterilizer/monitor).
3. Baca bagian daftar draft.</t>
        </is>
      </c>
      <c r="K109" s="5" t="inlineStr">
        <is>
          <t>- Muncul keterangan bahwa belum ada draft — kalimat, bukan ruang kosong.
- BUKAN tabel dengan nol baris tanpa penjelasan.
- Tombol New Data tetap ada dan dapat ditekan.</t>
        </is>
      </c>
      <c r="L109" s="22" t="inlineStr">
        <is>
          <t>Sedang</t>
        </is>
      </c>
      <c r="M109" s="5" t="inlineStr"/>
      <c r="N109" s="17" t="n"/>
      <c r="O109" s="17" t="n"/>
      <c r="P109" s="17" t="n"/>
      <c r="Q109" s="17" t="n"/>
      <c r="R109" s="17" t="n"/>
    </row>
    <row r="110" ht="96.39999999999999" customHeight="1">
      <c r="A110" s="18" t="n">
        <v>106</v>
      </c>
      <c r="B110" s="18" t="n">
        <v>3</v>
      </c>
      <c r="C110" s="19" t="inlineStr">
        <is>
          <t>MB-MON-05 / Threshing</t>
        </is>
      </c>
      <c r="D110" s="19" t="inlineStr">
        <is>
          <t>MB-MON-05</t>
        </is>
      </c>
      <c r="E110" s="20" t="inlineStr">
        <is>
          <t>Threshing</t>
        </is>
      </c>
      <c r="F110" s="21" t="inlineStr">
        <is>
          <t>Mobile — Operasional Stasiun (MB-)</t>
        </is>
      </c>
      <c r="G110" s="20" t="inlineStr">
        <is>
          <t>Belum ada draft: keterangan, bukan daftar kosong</t>
        </is>
      </c>
      <c r="H110" s="21" t="inlineStr">
        <is>
          <t>OPR-A</t>
        </is>
      </c>
      <c r="I110" s="21" t="inlineStr">
        <is>
          <t>tidak ada draft untuk stasiun itu</t>
        </is>
      </c>
      <c r="J110" s="21" t="inlineStr">
        <is>
          <t>1. Pastikan stasiun ini tidak punya satu draft pun pada Production Line terpilih (hapus lewat Clear bila ada).
2. Login di mobile, Station List, lalu tekan tile Threshing (/stations/threshing/monitor).
3. Baca bagian daftar draft.</t>
        </is>
      </c>
      <c r="K110" s="21" t="inlineStr">
        <is>
          <t>- Muncul keterangan bahwa belum ada draft — kalimat, bukan ruang kosong.
- BUKAN tabel dengan nol baris tanpa penjelasan.
- Tombol New Data tetap ada dan dapat ditekan.</t>
        </is>
      </c>
      <c r="L110" s="18" t="inlineStr">
        <is>
          <t>Sedang</t>
        </is>
      </c>
      <c r="M110" s="21" t="inlineStr"/>
      <c r="N110" s="17" t="n"/>
      <c r="O110" s="17" t="n"/>
      <c r="P110" s="17" t="n"/>
      <c r="Q110" s="17" t="n"/>
      <c r="R110" s="17" t="n"/>
    </row>
    <row r="111" ht="83.19999999999999" customHeight="1">
      <c r="A111" s="22" t="n">
        <v>107</v>
      </c>
      <c r="B111" s="22" t="n">
        <v>3</v>
      </c>
      <c r="C111" s="23" t="inlineStr">
        <is>
          <t>MB-MON-05 / Pressing</t>
        </is>
      </c>
      <c r="D111" s="23" t="inlineStr">
        <is>
          <t>MB-MON-05</t>
        </is>
      </c>
      <c r="E111" s="24" t="inlineStr">
        <is>
          <t>Pressing</t>
        </is>
      </c>
      <c r="F111" s="5" t="inlineStr">
        <is>
          <t>Mobile — Operasional Stasiun (MB-)</t>
        </is>
      </c>
      <c r="G111" s="24" t="inlineStr">
        <is>
          <t>Belum ada draft: keterangan, bukan daftar kosong</t>
        </is>
      </c>
      <c r="H111" s="5" t="inlineStr">
        <is>
          <t>OPR-A</t>
        </is>
      </c>
      <c r="I111" s="5" t="inlineStr">
        <is>
          <t>tidak ada draft untuk stasiun itu</t>
        </is>
      </c>
      <c r="J111" s="5" t="inlineStr">
        <is>
          <t>1. Pastikan stasiun ini tidak punya satu draft pun pada Production Line terpilih (hapus lewat Clear bila ada).
2. Login di mobile, Station List, lalu tekan tile Pressing (/stations/pressing/monitor).
3. Baca bagian daftar draft.</t>
        </is>
      </c>
      <c r="K111" s="5" t="inlineStr">
        <is>
          <t>- Muncul keterangan bahwa belum ada draft — kalimat, bukan ruang kosong.
- BUKAN tabel dengan nol baris tanpa penjelasan.
- Tombol New Data tetap ada dan dapat ditekan.</t>
        </is>
      </c>
      <c r="L111" s="22" t="inlineStr">
        <is>
          <t>Sedang</t>
        </is>
      </c>
      <c r="M111" s="5" t="inlineStr"/>
      <c r="N111" s="17" t="n"/>
      <c r="O111" s="17" t="n"/>
      <c r="P111" s="17" t="n"/>
      <c r="Q111" s="17" t="n"/>
      <c r="R111" s="17" t="n"/>
    </row>
    <row r="112" ht="96.39999999999999" customHeight="1">
      <c r="A112" s="18" t="n">
        <v>108</v>
      </c>
      <c r="B112" s="18" t="n">
        <v>3</v>
      </c>
      <c r="C112" s="19" t="inlineStr">
        <is>
          <t>MB-MON-05 / Clarification</t>
        </is>
      </c>
      <c r="D112" s="19" t="inlineStr">
        <is>
          <t>MB-MON-05</t>
        </is>
      </c>
      <c r="E112" s="20" t="inlineStr">
        <is>
          <t>Clarification</t>
        </is>
      </c>
      <c r="F112" s="21" t="inlineStr">
        <is>
          <t>Mobile — Operasional Stasiun (MB-)</t>
        </is>
      </c>
      <c r="G112" s="20" t="inlineStr">
        <is>
          <t>Belum ada draft: keterangan, bukan daftar kosong</t>
        </is>
      </c>
      <c r="H112" s="21" t="inlineStr">
        <is>
          <t>OPR-A</t>
        </is>
      </c>
      <c r="I112" s="21" t="inlineStr">
        <is>
          <t>tidak ada draft untuk stasiun itu</t>
        </is>
      </c>
      <c r="J112" s="21" t="inlineStr">
        <is>
          <t>1. Pastikan stasiun ini tidak punya satu draft pun pada Production Line terpilih (hapus lewat Clear bila ada).
2. Login di mobile, Station List, lalu tekan tile Clarification (/stations/clarification/monitor).
3. Baca bagian daftar draft.</t>
        </is>
      </c>
      <c r="K112" s="21" t="inlineStr">
        <is>
          <t>- Muncul keterangan bahwa belum ada draft — kalimat, bukan ruang kosong.
- BUKAN tabel dengan nol baris tanpa penjelasan.
- Tombol New Data tetap ada dan dapat ditekan.</t>
        </is>
      </c>
      <c r="L112" s="18" t="inlineStr">
        <is>
          <t>Sedang</t>
        </is>
      </c>
      <c r="M112" s="21" t="inlineStr"/>
      <c r="N112" s="17" t="n"/>
      <c r="O112" s="17" t="n"/>
      <c r="P112" s="17" t="n"/>
      <c r="Q112" s="17" t="n"/>
      <c r="R112" s="17" t="n"/>
    </row>
    <row r="113" ht="96.39999999999999" customHeight="1">
      <c r="A113" s="22" t="n">
        <v>109</v>
      </c>
      <c r="B113" s="22" t="n">
        <v>3</v>
      </c>
      <c r="C113" s="23" t="inlineStr">
        <is>
          <t>MB-MON-05 / Kernel Plant</t>
        </is>
      </c>
      <c r="D113" s="23" t="inlineStr">
        <is>
          <t>MB-MON-05</t>
        </is>
      </c>
      <c r="E113" s="24" t="inlineStr">
        <is>
          <t>Kernel Plant</t>
        </is>
      </c>
      <c r="F113" s="5" t="inlineStr">
        <is>
          <t>Mobile — Operasional Stasiun (MB-)</t>
        </is>
      </c>
      <c r="G113" s="24" t="inlineStr">
        <is>
          <t>Belum ada draft: keterangan, bukan daftar kosong</t>
        </is>
      </c>
      <c r="H113" s="5" t="inlineStr">
        <is>
          <t>OPR-A</t>
        </is>
      </c>
      <c r="I113" s="5" t="inlineStr">
        <is>
          <t>tidak ada draft untuk stasiun itu</t>
        </is>
      </c>
      <c r="J113" s="5" t="inlineStr">
        <is>
          <t>1. Pastikan stasiun ini tidak punya satu draft pun pada Production Line terpilih (hapus lewat Clear bila ada).
2. Login di mobile, Station List, lalu tekan tile Kernel Plant (/stations/kernel-plant/monitor).
3. Baca bagian daftar draft.</t>
        </is>
      </c>
      <c r="K113" s="5" t="inlineStr">
        <is>
          <t>- Muncul keterangan bahwa belum ada draft — kalimat, bukan ruang kosong.
- BUKAN tabel dengan nol baris tanpa penjelasan.
- Tombol New Data tetap ada dan dapat ditekan.</t>
        </is>
      </c>
      <c r="L113" s="22" t="inlineStr">
        <is>
          <t>Sedang</t>
        </is>
      </c>
      <c r="M113" s="5" t="inlineStr"/>
      <c r="N113" s="17" t="n"/>
      <c r="O113" s="17" t="n"/>
      <c r="P113" s="17" t="n"/>
      <c r="Q113" s="17" t="n"/>
      <c r="R113" s="17" t="n"/>
    </row>
    <row r="114" ht="96.39999999999999" customHeight="1">
      <c r="A114" s="18" t="n">
        <v>110</v>
      </c>
      <c r="B114" s="18" t="n">
        <v>3</v>
      </c>
      <c r="C114" s="19" t="inlineStr">
        <is>
          <t>MB-MON-05 / Boiler Room</t>
        </is>
      </c>
      <c r="D114" s="19" t="inlineStr">
        <is>
          <t>MB-MON-05</t>
        </is>
      </c>
      <c r="E114" s="20" t="inlineStr">
        <is>
          <t>Boiler Room</t>
        </is>
      </c>
      <c r="F114" s="21" t="inlineStr">
        <is>
          <t>Mobile — Operasional Stasiun (MB-)</t>
        </is>
      </c>
      <c r="G114" s="20" t="inlineStr">
        <is>
          <t>Belum ada draft: keterangan, bukan daftar kosong</t>
        </is>
      </c>
      <c r="H114" s="21" t="inlineStr">
        <is>
          <t>OPR-A</t>
        </is>
      </c>
      <c r="I114" s="21" t="inlineStr">
        <is>
          <t>tidak ada draft untuk stasiun itu</t>
        </is>
      </c>
      <c r="J114" s="21" t="inlineStr">
        <is>
          <t>1. Pastikan stasiun ini tidak punya satu draft pun pada Production Line terpilih (hapus lewat Clear bila ada).
2. Login di mobile, Station List, lalu tekan tile Boiler Room (/stations/boiler-room/monitor).
3. Baca bagian daftar draft.</t>
        </is>
      </c>
      <c r="K114" s="21" t="inlineStr">
        <is>
          <t>- Muncul keterangan bahwa belum ada draft — kalimat, bukan ruang kosong.
- BUKAN tabel dengan nol baris tanpa penjelasan.
- Tombol New Data tetap ada dan dapat ditekan.</t>
        </is>
      </c>
      <c r="L114" s="18" t="inlineStr">
        <is>
          <t>Sedang</t>
        </is>
      </c>
      <c r="M114" s="21" t="inlineStr"/>
      <c r="N114" s="17" t="n"/>
      <c r="O114" s="17" t="n"/>
      <c r="P114" s="17" t="n"/>
      <c r="Q114" s="17" t="n"/>
      <c r="R114" s="17" t="n"/>
    </row>
    <row r="115" ht="96.39999999999999" customHeight="1">
      <c r="A115" s="22" t="n">
        <v>111</v>
      </c>
      <c r="B115" s="22" t="n">
        <v>3</v>
      </c>
      <c r="C115" s="23" t="inlineStr">
        <is>
          <t>MB-MON-05 / Effluent Plant</t>
        </is>
      </c>
      <c r="D115" s="23" t="inlineStr">
        <is>
          <t>MB-MON-05</t>
        </is>
      </c>
      <c r="E115" s="24" t="inlineStr">
        <is>
          <t>Effluent Plant</t>
        </is>
      </c>
      <c r="F115" s="5" t="inlineStr">
        <is>
          <t>Mobile — Operasional Stasiun (MB-)</t>
        </is>
      </c>
      <c r="G115" s="24" t="inlineStr">
        <is>
          <t>Belum ada draft: keterangan, bukan daftar kosong</t>
        </is>
      </c>
      <c r="H115" s="5" t="inlineStr">
        <is>
          <t>OPR-A</t>
        </is>
      </c>
      <c r="I115" s="5" t="inlineStr">
        <is>
          <t>tidak ada draft untuk stasiun itu</t>
        </is>
      </c>
      <c r="J115" s="5" t="inlineStr">
        <is>
          <t>1. Pastikan stasiun ini tidak punya satu draft pun pada Production Line terpilih (hapus lewat Clear bila ada).
2. Login di mobile, Station List, lalu tekan tile Effluent Plant (/stations/effluent-plant/monitor).
3. Baca bagian daftar draft.</t>
        </is>
      </c>
      <c r="K115" s="5" t="inlineStr">
        <is>
          <t>- Muncul keterangan bahwa belum ada draft — kalimat, bukan ruang kosong.
- BUKAN tabel dengan nol baris tanpa penjelasan.
- Tombol New Data tetap ada dan dapat ditekan.</t>
        </is>
      </c>
      <c r="L115" s="22" t="inlineStr">
        <is>
          <t>Sedang</t>
        </is>
      </c>
      <c r="M115" s="5" t="inlineStr"/>
      <c r="N115" s="17" t="n"/>
      <c r="O115" s="17" t="n"/>
      <c r="P115" s="17" t="n"/>
      <c r="Q115" s="17" t="n"/>
      <c r="R115" s="17" t="n"/>
    </row>
    <row r="116" ht="96.39999999999999" customHeight="1">
      <c r="A116" s="11" t="n">
        <v>112</v>
      </c>
      <c r="B116" s="12" t="n">
        <v>1</v>
      </c>
      <c r="C116" s="13" t="inlineStr">
        <is>
          <t>MB-MON-05 / Depricarping</t>
        </is>
      </c>
      <c r="D116" s="13" t="inlineStr">
        <is>
          <t>MB-MON-05</t>
        </is>
      </c>
      <c r="E116" s="15" t="inlineStr">
        <is>
          <t>Depricarping</t>
        </is>
      </c>
      <c r="F116" s="14" t="inlineStr">
        <is>
          <t>Mobile — Operasional Stasiun (MB-)</t>
        </is>
      </c>
      <c r="G116" s="15" t="inlineStr">
        <is>
          <t>Belum ada draft: keterangan, bukan daftar kosong</t>
        </is>
      </c>
      <c r="H116" s="14" t="inlineStr">
        <is>
          <t>OPR-A</t>
        </is>
      </c>
      <c r="I116" s="14" t="inlineStr">
        <is>
          <t>tidak ada draft untuk stasiun itu</t>
        </is>
      </c>
      <c r="J116" s="14" t="inlineStr">
        <is>
          <t>1. Pastikan stasiun ini tidak punya satu draft pun pada Production Line terpilih (hapus lewat Clear bila ada).
2. Login di mobile, Station List, lalu tekan tile Depricarping (/stations/depricarping/monitor).
3. Baca bagian daftar draft.</t>
        </is>
      </c>
      <c r="K116" s="14" t="inlineStr">
        <is>
          <t>- Muncul keterangan bahwa belum ada draft — kalimat, bukan ruang kosong.
- BUKAN tabel dengan nol baris tanpa penjelasan.
- Tombol New Data tetap ada dan dapat ditekan.</t>
        </is>
      </c>
      <c r="L116" s="11" t="inlineStr">
        <is>
          <t>Sedang</t>
        </is>
      </c>
      <c r="M116" s="14" t="inlineStr"/>
      <c r="N116" s="17" t="n"/>
      <c r="O116" s="17" t="n"/>
      <c r="P116" s="17" t="n"/>
      <c r="Q116" s="17" t="n"/>
      <c r="R116" s="17" t="n"/>
    </row>
    <row r="117" ht="96.39999999999999" customHeight="1">
      <c r="A117" s="22" t="n">
        <v>113</v>
      </c>
      <c r="B117" s="22" t="n">
        <v>3</v>
      </c>
      <c r="C117" s="23" t="inlineStr">
        <is>
          <t>MB-MON-05 / Engine Room</t>
        </is>
      </c>
      <c r="D117" s="23" t="inlineStr">
        <is>
          <t>MB-MON-05</t>
        </is>
      </c>
      <c r="E117" s="24" t="inlineStr">
        <is>
          <t>Engine Room</t>
        </is>
      </c>
      <c r="F117" s="5" t="inlineStr">
        <is>
          <t>Mobile — Operasional Stasiun (MB-)</t>
        </is>
      </c>
      <c r="G117" s="24" t="inlineStr">
        <is>
          <t>Belum ada draft: keterangan, bukan daftar kosong</t>
        </is>
      </c>
      <c r="H117" s="5" t="inlineStr">
        <is>
          <t>OPR-A</t>
        </is>
      </c>
      <c r="I117" s="5" t="inlineStr">
        <is>
          <t>tidak ada draft untuk stasiun itu</t>
        </is>
      </c>
      <c r="J117" s="5" t="inlineStr">
        <is>
          <t>1. Pastikan stasiun ini tidak punya satu draft pun pada Production Line terpilih (hapus lewat Clear bila ada).
2. Login di mobile, Station List, lalu tekan tile Engine Room (/stations/engine-room/monitor).
3. Baca bagian daftar draft.</t>
        </is>
      </c>
      <c r="K117" s="5" t="inlineStr">
        <is>
          <t>- Muncul keterangan bahwa belum ada draft — kalimat, bukan ruang kosong.
- BUKAN tabel dengan nol baris tanpa penjelasan.
- Tombol New Data tetap ada dan dapat ditekan.</t>
        </is>
      </c>
      <c r="L117" s="22" t="inlineStr">
        <is>
          <t>Sedang</t>
        </is>
      </c>
      <c r="M117" s="5" t="inlineStr"/>
      <c r="N117" s="17" t="n"/>
      <c r="O117" s="17" t="n"/>
      <c r="P117" s="17" t="n"/>
      <c r="Q117" s="17" t="n"/>
      <c r="R117" s="17" t="n"/>
    </row>
    <row r="118" ht="96.39999999999999" customHeight="1">
      <c r="A118" s="18" t="n">
        <v>114</v>
      </c>
      <c r="B118" s="18" t="n">
        <v>3</v>
      </c>
      <c r="C118" s="19" t="inlineStr">
        <is>
          <t>MB-MON-05 / Process Water</t>
        </is>
      </c>
      <c r="D118" s="19" t="inlineStr">
        <is>
          <t>MB-MON-05</t>
        </is>
      </c>
      <c r="E118" s="20" t="inlineStr">
        <is>
          <t>Process Water</t>
        </is>
      </c>
      <c r="F118" s="21" t="inlineStr">
        <is>
          <t>Mobile — Operasional Stasiun (MB-)</t>
        </is>
      </c>
      <c r="G118" s="20" t="inlineStr">
        <is>
          <t>Belum ada draft: keterangan, bukan daftar kosong</t>
        </is>
      </c>
      <c r="H118" s="21" t="inlineStr">
        <is>
          <t>OPR-A</t>
        </is>
      </c>
      <c r="I118" s="21" t="inlineStr">
        <is>
          <t>tidak ada draft untuk stasiun itu</t>
        </is>
      </c>
      <c r="J118" s="21" t="inlineStr">
        <is>
          <t>1. Pastikan stasiun ini tidak punya satu draft pun pada Production Line terpilih (hapus lewat Clear bila ada).
2. Login di mobile, Station List, lalu tekan tile Process Water (/stations/process-water/monitor).
3. Baca bagian daftar draft.</t>
        </is>
      </c>
      <c r="K118" s="21" t="inlineStr">
        <is>
          <t>- Muncul keterangan bahwa belum ada draft — kalimat, bukan ruang kosong.
- BUKAN tabel dengan nol baris tanpa penjelasan.
- Tombol New Data tetap ada dan dapat ditekan.</t>
        </is>
      </c>
      <c r="L118" s="18" t="inlineStr">
        <is>
          <t>Sedang</t>
        </is>
      </c>
      <c r="M118" s="21" t="inlineStr"/>
      <c r="N118" s="17" t="n"/>
      <c r="O118" s="17" t="n"/>
      <c r="P118" s="17" t="n"/>
      <c r="Q118" s="17" t="n"/>
      <c r="R118" s="17" t="n"/>
    </row>
    <row r="119" ht="96.39999999999999" customHeight="1">
      <c r="A119" s="22" t="n">
        <v>115</v>
      </c>
      <c r="B119" s="22" t="n">
        <v>3</v>
      </c>
      <c r="C119" s="23" t="inlineStr">
        <is>
          <t>MB-MON-05 / Storage Tank</t>
        </is>
      </c>
      <c r="D119" s="23" t="inlineStr">
        <is>
          <t>MB-MON-05</t>
        </is>
      </c>
      <c r="E119" s="24" t="inlineStr">
        <is>
          <t>Storage Tank</t>
        </is>
      </c>
      <c r="F119" s="5" t="inlineStr">
        <is>
          <t>Mobile — Operasional Stasiun (MB-)</t>
        </is>
      </c>
      <c r="G119" s="24" t="inlineStr">
        <is>
          <t>Belum ada draft: keterangan, bukan daftar kosong</t>
        </is>
      </c>
      <c r="H119" s="5" t="inlineStr">
        <is>
          <t>OPR-A</t>
        </is>
      </c>
      <c r="I119" s="5" t="inlineStr">
        <is>
          <t>tidak ada draft untuk stasiun itu</t>
        </is>
      </c>
      <c r="J119" s="5" t="inlineStr">
        <is>
          <t>1. Pastikan stasiun ini tidak punya satu draft pun pada Production Line terpilih (hapus lewat Clear bila ada).
2. Login di mobile, Station List, lalu tekan tile Storage Tank (/stations/storage-tank/monitor).
3. Baca bagian daftar draft.</t>
        </is>
      </c>
      <c r="K119" s="5" t="inlineStr">
        <is>
          <t>- Muncul keterangan bahwa belum ada draft — kalimat, bukan ruang kosong.
- BUKAN tabel dengan nol baris tanpa penjelasan.
- Tombol New Data tetap ada dan dapat ditekan.</t>
        </is>
      </c>
      <c r="L119" s="22" t="inlineStr">
        <is>
          <t>Sedang</t>
        </is>
      </c>
      <c r="M119" s="5" t="inlineStr"/>
      <c r="N119" s="17" t="n"/>
      <c r="O119" s="17" t="n"/>
      <c r="P119" s="17" t="n"/>
      <c r="Q119" s="17" t="n"/>
      <c r="R119" s="17" t="n"/>
    </row>
    <row r="120" ht="96.39999999999999" customHeight="1">
      <c r="A120" s="18" t="n">
        <v>116</v>
      </c>
      <c r="B120" s="18" t="n">
        <v>3</v>
      </c>
      <c r="C120" s="19" t="inlineStr">
        <is>
          <t>MB-MON-05 / Solid Waste Disposal</t>
        </is>
      </c>
      <c r="D120" s="19" t="inlineStr">
        <is>
          <t>MB-MON-05</t>
        </is>
      </c>
      <c r="E120" s="20" t="inlineStr">
        <is>
          <t>Solid Waste Disposal</t>
        </is>
      </c>
      <c r="F120" s="21" t="inlineStr">
        <is>
          <t>Mobile — Operasional Stasiun (MB-)</t>
        </is>
      </c>
      <c r="G120" s="20" t="inlineStr">
        <is>
          <t>Belum ada draft: keterangan, bukan daftar kosong</t>
        </is>
      </c>
      <c r="H120" s="21" t="inlineStr">
        <is>
          <t>OPR-A</t>
        </is>
      </c>
      <c r="I120" s="21" t="inlineStr">
        <is>
          <t>tidak ada draft untuk stasiun itu</t>
        </is>
      </c>
      <c r="J120" s="21" t="inlineStr">
        <is>
          <t>1. Pastikan stasiun ini tidak punya satu draft pun pada Production Line terpilih (hapus lewat Clear bila ada).
2. Login di mobile, Station List, lalu tekan tile Solid Waste Disposal (/stations/solid-waste-disposal/monitor).
3. Baca bagian daftar draft.</t>
        </is>
      </c>
      <c r="K120" s="21" t="inlineStr">
        <is>
          <t>- Muncul keterangan bahwa belum ada draft — kalimat, bukan ruang kosong.
- BUKAN tabel dengan nol baris tanpa penjelasan.
- Tombol New Data tetap ada dan dapat ditekan.</t>
        </is>
      </c>
      <c r="L120" s="18" t="inlineStr">
        <is>
          <t>Sedang</t>
        </is>
      </c>
      <c r="M120" s="21" t="inlineStr"/>
      <c r="N120" s="17" t="n"/>
      <c r="O120" s="17" t="n"/>
      <c r="P120" s="17" t="n"/>
      <c r="Q120" s="17" t="n"/>
      <c r="R120" s="17" t="n"/>
    </row>
    <row r="121" ht="96.39999999999999" customHeight="1">
      <c r="A121" s="22" t="n">
        <v>117</v>
      </c>
      <c r="B121" s="22" t="n">
        <v>3</v>
      </c>
      <c r="C121" s="23" t="inlineStr">
        <is>
          <t>MB-MON-05 / Kernel Dispatch</t>
        </is>
      </c>
      <c r="D121" s="23" t="inlineStr">
        <is>
          <t>MB-MON-05</t>
        </is>
      </c>
      <c r="E121" s="24" t="inlineStr">
        <is>
          <t>Kernel Dispatch</t>
        </is>
      </c>
      <c r="F121" s="5" t="inlineStr">
        <is>
          <t>Mobile — Operasional Stasiun (MB-)</t>
        </is>
      </c>
      <c r="G121" s="24" t="inlineStr">
        <is>
          <t>Belum ada draft: keterangan, bukan daftar kosong</t>
        </is>
      </c>
      <c r="H121" s="5" t="inlineStr">
        <is>
          <t>OPR-A</t>
        </is>
      </c>
      <c r="I121" s="5" t="inlineStr">
        <is>
          <t>tidak ada draft untuk stasiun itu</t>
        </is>
      </c>
      <c r="J121" s="5" t="inlineStr">
        <is>
          <t>1. Pastikan stasiun ini tidak punya satu draft pun pada Production Line terpilih (hapus lewat Clear bila ada).
2. Login di mobile, Station List, lalu tekan tile Kernel Dispatch (/stations/kernel-dispatch/monitor).
3. Baca bagian daftar draft.</t>
        </is>
      </c>
      <c r="K121" s="5" t="inlineStr">
        <is>
          <t>- Muncul keterangan bahwa belum ada draft — kalimat, bukan ruang kosong.
- BUKAN tabel dengan nol baris tanpa penjelasan.
- Tombol New Data tetap ada dan dapat ditekan.</t>
        </is>
      </c>
      <c r="L121" s="22" t="inlineStr">
        <is>
          <t>Sedang</t>
        </is>
      </c>
      <c r="M121" s="5" t="inlineStr"/>
      <c r="N121" s="17" t="n"/>
      <c r="O121" s="17" t="n"/>
      <c r="P121" s="17" t="n"/>
      <c r="Q121" s="17" t="n"/>
      <c r="R121" s="17" t="n"/>
    </row>
    <row r="122" ht="96.39999999999999" customHeight="1">
      <c r="A122" s="18" t="n">
        <v>118</v>
      </c>
      <c r="B122" s="18" t="n">
        <v>3</v>
      </c>
      <c r="C122" s="19" t="inlineStr">
        <is>
          <t>MB-MON-05 / CPO Dispatch</t>
        </is>
      </c>
      <c r="D122" s="19" t="inlineStr">
        <is>
          <t>MB-MON-05</t>
        </is>
      </c>
      <c r="E122" s="20" t="inlineStr">
        <is>
          <t>CPO Dispatch</t>
        </is>
      </c>
      <c r="F122" s="21" t="inlineStr">
        <is>
          <t>Mobile — Operasional Stasiun (MB-)</t>
        </is>
      </c>
      <c r="G122" s="20" t="inlineStr">
        <is>
          <t>Belum ada draft: keterangan, bukan daftar kosong</t>
        </is>
      </c>
      <c r="H122" s="21" t="inlineStr">
        <is>
          <t>OPR-A</t>
        </is>
      </c>
      <c r="I122" s="21" t="inlineStr">
        <is>
          <t>tidak ada draft untuk stasiun itu</t>
        </is>
      </c>
      <c r="J122" s="21" t="inlineStr">
        <is>
          <t>1. Pastikan stasiun ini tidak punya satu draft pun pada Production Line terpilih (hapus lewat Clear bila ada).
2. Login di mobile, Station List, lalu tekan tile CPO Dispatch (/stations/cpo-dispatch/monitor).
3. Baca bagian daftar draft.</t>
        </is>
      </c>
      <c r="K122" s="21" t="inlineStr">
        <is>
          <t>- Muncul keterangan bahwa belum ada draft — kalimat, bukan ruang kosong.
- BUKAN tabel dengan nol baris tanpa penjelasan.
- Tombol New Data tetap ada dan dapat ditekan.</t>
        </is>
      </c>
      <c r="L122" s="18" t="inlineStr">
        <is>
          <t>Sedang</t>
        </is>
      </c>
      <c r="M122" s="21" t="inlineStr"/>
      <c r="N122" s="17" t="n"/>
      <c r="O122" s="17" t="n"/>
      <c r="P122" s="17" t="n"/>
      <c r="Q122" s="17" t="n"/>
      <c r="R122" s="17" t="n"/>
    </row>
    <row r="123" ht="96.39999999999999" customHeight="1">
      <c r="A123" s="22" t="n">
        <v>119</v>
      </c>
      <c r="B123" s="22" t="n">
        <v>3</v>
      </c>
      <c r="C123" s="23" t="inlineStr">
        <is>
          <t>MB-MON-05 / Process Quality Control</t>
        </is>
      </c>
      <c r="D123" s="23" t="inlineStr">
        <is>
          <t>MB-MON-05</t>
        </is>
      </c>
      <c r="E123" s="24" t="inlineStr">
        <is>
          <t>Process Quality Control</t>
        </is>
      </c>
      <c r="F123" s="5" t="inlineStr">
        <is>
          <t>Mobile — Operasional Stasiun (MB-)</t>
        </is>
      </c>
      <c r="G123" s="24" t="inlineStr">
        <is>
          <t>Belum ada draft: keterangan, bukan daftar kosong</t>
        </is>
      </c>
      <c r="H123" s="5" t="inlineStr">
        <is>
          <t>OPR-A</t>
        </is>
      </c>
      <c r="I123" s="5" t="inlineStr">
        <is>
          <t>tidak ada draft untuk stasiun itu</t>
        </is>
      </c>
      <c r="J123" s="5" t="inlineStr">
        <is>
          <t>1. Pastikan stasiun ini tidak punya satu draft pun pada Production Line terpilih (hapus lewat Clear bila ada).
2. Login di mobile, Station List, lalu tekan tile Process Quality Control (/stations/process-quality-control/monitor).
3. Baca bagian daftar draft.</t>
        </is>
      </c>
      <c r="K123" s="5" t="inlineStr">
        <is>
          <t>- Muncul keterangan bahwa belum ada draft — kalimat, bukan ruang kosong.
- BUKAN tabel dengan nol baris tanpa penjelasan.
- Tombol New Data tetap ada dan dapat ditekan.</t>
        </is>
      </c>
      <c r="L123" s="22" t="inlineStr">
        <is>
          <t>Sedang</t>
        </is>
      </c>
      <c r="M123" s="5" t="inlineStr"/>
      <c r="N123" s="17" t="n"/>
      <c r="O123" s="17" t="n"/>
      <c r="P123" s="17" t="n"/>
      <c r="Q123" s="17" t="n"/>
      <c r="R123" s="17" t="n"/>
    </row>
    <row r="124" ht="109.6" customHeight="1">
      <c r="A124" s="18" t="n">
        <v>120</v>
      </c>
      <c r="B124" s="18" t="n">
        <v>3</v>
      </c>
      <c r="C124" s="19" t="inlineStr">
        <is>
          <t>MB-MON-06 / Weighbridge</t>
        </is>
      </c>
      <c r="D124" s="19" t="inlineStr">
        <is>
          <t>MB-MON-06</t>
        </is>
      </c>
      <c r="E124" s="20" t="inlineStr">
        <is>
          <t>Weighbridge</t>
        </is>
      </c>
      <c r="F124" s="21" t="inlineStr">
        <is>
          <t>Mobile — Operasional Stasiun (MB-)</t>
        </is>
      </c>
      <c r="G124" s="20" t="inlineStr">
        <is>
          <t>Breadcrumb dapat diklik, bukan label mati</t>
        </is>
      </c>
      <c r="H124" s="21" t="inlineStr">
        <is>
          <t>OPR-A</t>
        </is>
      </c>
      <c r="I124" s="21" t="inlineStr">
        <is>
          <t>—</t>
        </is>
      </c>
      <c r="J124" s="21" t="inlineStr">
        <is>
          <t>1. Login di mobile, Station List, lalu tekan tile Weighbridge (/stations/weighbridge/monitor).
2. Cari breadcrumb di bagian atas layar (mis. Home / Station List / nama stasiun).
3. Tekan bagian Home pada breadcrumb.
4. Kembali ke Monitor, lalu tekan bagian Station List.</t>
        </is>
      </c>
      <c r="K124" s="21" t="inlineStr">
        <is>
          <t>- Bagian breadcrumb selain yang terakhir dapat ditekan.
- Menekan Home mendarat di Home; menekan Station List mendarat di Station List.
- Bagian terakhir (nama layar sekarang) tidak dapat ditekan — itu benar.</t>
        </is>
      </c>
      <c r="L124" s="18" t="inlineStr">
        <is>
          <t>Rendah</t>
        </is>
      </c>
      <c r="M124" s="21" t="inlineStr"/>
      <c r="N124" s="17" t="n"/>
      <c r="O124" s="17" t="n"/>
      <c r="P124" s="17" t="n"/>
      <c r="Q124" s="17" t="n"/>
      <c r="R124" s="17" t="n"/>
    </row>
    <row r="125" ht="96.39999999999999" customHeight="1">
      <c r="A125" s="22" t="n">
        <v>121</v>
      </c>
      <c r="B125" s="22" t="n">
        <v>3</v>
      </c>
      <c r="C125" s="23" t="inlineStr">
        <is>
          <t>MB-MON-06 / Grading</t>
        </is>
      </c>
      <c r="D125" s="23" t="inlineStr">
        <is>
          <t>MB-MON-06</t>
        </is>
      </c>
      <c r="E125" s="24" t="inlineStr">
        <is>
          <t>Grading</t>
        </is>
      </c>
      <c r="F125" s="5" t="inlineStr">
        <is>
          <t>Mobile — Operasional Stasiun (MB-)</t>
        </is>
      </c>
      <c r="G125" s="24" t="inlineStr">
        <is>
          <t>Breadcrumb dapat diklik, bukan label mati</t>
        </is>
      </c>
      <c r="H125" s="5" t="inlineStr">
        <is>
          <t>OPR-A</t>
        </is>
      </c>
      <c r="I125" s="5" t="inlineStr">
        <is>
          <t>—</t>
        </is>
      </c>
      <c r="J125" s="5" t="inlineStr">
        <is>
          <t>1. Login di mobile, Station List, lalu tekan tile Grading (/stations/grading/monitor).
2. Cari breadcrumb di bagian atas layar (mis. Home / Station List / nama stasiun).
3. Tekan bagian Home pada breadcrumb.
4. Kembali ke Monitor, lalu tekan bagian Station List.</t>
        </is>
      </c>
      <c r="K125" s="5" t="inlineStr">
        <is>
          <t>- Bagian breadcrumb selain yang terakhir dapat ditekan.
- Menekan Home mendarat di Home; menekan Station List mendarat di Station List.
- Bagian terakhir (nama layar sekarang) tidak dapat ditekan — itu benar.</t>
        </is>
      </c>
      <c r="L125" s="22" t="inlineStr">
        <is>
          <t>Rendah</t>
        </is>
      </c>
      <c r="M125" s="5" t="inlineStr"/>
      <c r="N125" s="17" t="n"/>
      <c r="O125" s="17" t="n"/>
      <c r="P125" s="17" t="n"/>
      <c r="Q125" s="17" t="n"/>
      <c r="R125" s="17" t="n"/>
    </row>
    <row r="126" ht="109.6" customHeight="1">
      <c r="A126" s="18" t="n">
        <v>122</v>
      </c>
      <c r="B126" s="18" t="n">
        <v>3</v>
      </c>
      <c r="C126" s="19" t="inlineStr">
        <is>
          <t>MB-MON-06 / Cages Track</t>
        </is>
      </c>
      <c r="D126" s="19" t="inlineStr">
        <is>
          <t>MB-MON-06</t>
        </is>
      </c>
      <c r="E126" s="20" t="inlineStr">
        <is>
          <t>Cages Track</t>
        </is>
      </c>
      <c r="F126" s="21" t="inlineStr">
        <is>
          <t>Mobile — Operasional Stasiun (MB-)</t>
        </is>
      </c>
      <c r="G126" s="20" t="inlineStr">
        <is>
          <t>Breadcrumb dapat diklik, bukan label mati</t>
        </is>
      </c>
      <c r="H126" s="21" t="inlineStr">
        <is>
          <t>OPR-A</t>
        </is>
      </c>
      <c r="I126" s="21" t="inlineStr">
        <is>
          <t>—</t>
        </is>
      </c>
      <c r="J126" s="21" t="inlineStr">
        <is>
          <t>1. Login di mobile, Station List, lalu tekan tile Cages Track (/stations/cages-track/monitor).
2. Cari breadcrumb di bagian atas layar (mis. Home / Station List / nama stasiun).
3. Tekan bagian Home pada breadcrumb.
4. Kembali ke Monitor, lalu tekan bagian Station List.</t>
        </is>
      </c>
      <c r="K126" s="21" t="inlineStr">
        <is>
          <t>- Bagian breadcrumb selain yang terakhir dapat ditekan.
- Menekan Home mendarat di Home; menekan Station List mendarat di Station List.
- Bagian terakhir (nama layar sekarang) tidak dapat ditekan — itu benar.</t>
        </is>
      </c>
      <c r="L126" s="18" t="inlineStr">
        <is>
          <t>Rendah</t>
        </is>
      </c>
      <c r="M126" s="21" t="inlineStr"/>
      <c r="N126" s="17" t="n"/>
      <c r="O126" s="17" t="n"/>
      <c r="P126" s="17" t="n"/>
      <c r="Q126" s="17" t="n"/>
      <c r="R126" s="17" t="n"/>
    </row>
    <row r="127" ht="109.6" customHeight="1">
      <c r="A127" s="22" t="n">
        <v>123</v>
      </c>
      <c r="B127" s="22" t="n">
        <v>3</v>
      </c>
      <c r="C127" s="23" t="inlineStr">
        <is>
          <t>MB-MON-06 / Sterilizer</t>
        </is>
      </c>
      <c r="D127" s="23" t="inlineStr">
        <is>
          <t>MB-MON-06</t>
        </is>
      </c>
      <c r="E127" s="24" t="inlineStr">
        <is>
          <t>Sterilizer</t>
        </is>
      </c>
      <c r="F127" s="5" t="inlineStr">
        <is>
          <t>Mobile — Operasional Stasiun (MB-)</t>
        </is>
      </c>
      <c r="G127" s="24" t="inlineStr">
        <is>
          <t>Breadcrumb dapat diklik, bukan label mati</t>
        </is>
      </c>
      <c r="H127" s="5" t="inlineStr">
        <is>
          <t>OPR-A</t>
        </is>
      </c>
      <c r="I127" s="5" t="inlineStr">
        <is>
          <t>—</t>
        </is>
      </c>
      <c r="J127" s="5" t="inlineStr">
        <is>
          <t>1. Login di mobile, Station List, lalu tekan tile Sterilizer (/stations/sterilizer/monitor).
2. Cari breadcrumb di bagian atas layar (mis. Home / Station List / nama stasiun).
3. Tekan bagian Home pada breadcrumb.
4. Kembali ke Monitor, lalu tekan bagian Station List.</t>
        </is>
      </c>
      <c r="K127" s="5" t="inlineStr">
        <is>
          <t>- Bagian breadcrumb selain yang terakhir dapat ditekan.
- Menekan Home mendarat di Home; menekan Station List mendarat di Station List.
- Bagian terakhir (nama layar sekarang) tidak dapat ditekan — itu benar.</t>
        </is>
      </c>
      <c r="L127" s="22" t="inlineStr">
        <is>
          <t>Rendah</t>
        </is>
      </c>
      <c r="M127" s="5" t="inlineStr"/>
      <c r="N127" s="17" t="n"/>
      <c r="O127" s="17" t="n"/>
      <c r="P127" s="17" t="n"/>
      <c r="Q127" s="17" t="n"/>
      <c r="R127" s="17" t="n"/>
    </row>
    <row r="128" ht="109.6" customHeight="1">
      <c r="A128" s="18" t="n">
        <v>124</v>
      </c>
      <c r="B128" s="18" t="n">
        <v>3</v>
      </c>
      <c r="C128" s="19" t="inlineStr">
        <is>
          <t>MB-MON-06 / Threshing</t>
        </is>
      </c>
      <c r="D128" s="19" t="inlineStr">
        <is>
          <t>MB-MON-06</t>
        </is>
      </c>
      <c r="E128" s="20" t="inlineStr">
        <is>
          <t>Threshing</t>
        </is>
      </c>
      <c r="F128" s="21" t="inlineStr">
        <is>
          <t>Mobile — Operasional Stasiun (MB-)</t>
        </is>
      </c>
      <c r="G128" s="20" t="inlineStr">
        <is>
          <t>Breadcrumb dapat diklik, bukan label mati</t>
        </is>
      </c>
      <c r="H128" s="21" t="inlineStr">
        <is>
          <t>OPR-A</t>
        </is>
      </c>
      <c r="I128" s="21" t="inlineStr">
        <is>
          <t>—</t>
        </is>
      </c>
      <c r="J128" s="21" t="inlineStr">
        <is>
          <t>1. Login di mobile, Station List, lalu tekan tile Threshing (/stations/threshing/monitor).
2. Cari breadcrumb di bagian atas layar (mis. Home / Station List / nama stasiun).
3. Tekan bagian Home pada breadcrumb.
4. Kembali ke Monitor, lalu tekan bagian Station List.</t>
        </is>
      </c>
      <c r="K128" s="21" t="inlineStr">
        <is>
          <t>- Bagian breadcrumb selain yang terakhir dapat ditekan.
- Menekan Home mendarat di Home; menekan Station List mendarat di Station List.
- Bagian terakhir (nama layar sekarang) tidak dapat ditekan — itu benar.</t>
        </is>
      </c>
      <c r="L128" s="18" t="inlineStr">
        <is>
          <t>Rendah</t>
        </is>
      </c>
      <c r="M128" s="21" t="inlineStr"/>
      <c r="N128" s="17" t="n"/>
      <c r="O128" s="17" t="n"/>
      <c r="P128" s="17" t="n"/>
      <c r="Q128" s="17" t="n"/>
      <c r="R128" s="17" t="n"/>
    </row>
    <row r="129" ht="96.39999999999999" customHeight="1">
      <c r="A129" s="22" t="n">
        <v>125</v>
      </c>
      <c r="B129" s="22" t="n">
        <v>3</v>
      </c>
      <c r="C129" s="23" t="inlineStr">
        <is>
          <t>MB-MON-06 / Pressing</t>
        </is>
      </c>
      <c r="D129" s="23" t="inlineStr">
        <is>
          <t>MB-MON-06</t>
        </is>
      </c>
      <c r="E129" s="24" t="inlineStr">
        <is>
          <t>Pressing</t>
        </is>
      </c>
      <c r="F129" s="5" t="inlineStr">
        <is>
          <t>Mobile — Operasional Stasiun (MB-)</t>
        </is>
      </c>
      <c r="G129" s="24" t="inlineStr">
        <is>
          <t>Breadcrumb dapat diklik, bukan label mati</t>
        </is>
      </c>
      <c r="H129" s="5" t="inlineStr">
        <is>
          <t>OPR-A</t>
        </is>
      </c>
      <c r="I129" s="5" t="inlineStr">
        <is>
          <t>—</t>
        </is>
      </c>
      <c r="J129" s="5" t="inlineStr">
        <is>
          <t>1. Login di mobile, Station List, lalu tekan tile Pressing (/stations/pressing/monitor).
2. Cari breadcrumb di bagian atas layar (mis. Home / Station List / nama stasiun).
3. Tekan bagian Home pada breadcrumb.
4. Kembali ke Monitor, lalu tekan bagian Station List.</t>
        </is>
      </c>
      <c r="K129" s="5" t="inlineStr">
        <is>
          <t>- Bagian breadcrumb selain yang terakhir dapat ditekan.
- Menekan Home mendarat di Home; menekan Station List mendarat di Station List.
- Bagian terakhir (nama layar sekarang) tidak dapat ditekan — itu benar.</t>
        </is>
      </c>
      <c r="L129" s="22" t="inlineStr">
        <is>
          <t>Rendah</t>
        </is>
      </c>
      <c r="M129" s="5" t="inlineStr"/>
      <c r="N129" s="17" t="n"/>
      <c r="O129" s="17" t="n"/>
      <c r="P129" s="17" t="n"/>
      <c r="Q129" s="17" t="n"/>
      <c r="R129" s="17" t="n"/>
    </row>
    <row r="130" ht="109.6" customHeight="1">
      <c r="A130" s="18" t="n">
        <v>126</v>
      </c>
      <c r="B130" s="18" t="n">
        <v>3</v>
      </c>
      <c r="C130" s="19" t="inlineStr">
        <is>
          <t>MB-MON-06 / Clarification</t>
        </is>
      </c>
      <c r="D130" s="19" t="inlineStr">
        <is>
          <t>MB-MON-06</t>
        </is>
      </c>
      <c r="E130" s="20" t="inlineStr">
        <is>
          <t>Clarification</t>
        </is>
      </c>
      <c r="F130" s="21" t="inlineStr">
        <is>
          <t>Mobile — Operasional Stasiun (MB-)</t>
        </is>
      </c>
      <c r="G130" s="20" t="inlineStr">
        <is>
          <t>Breadcrumb dapat diklik, bukan label mati</t>
        </is>
      </c>
      <c r="H130" s="21" t="inlineStr">
        <is>
          <t>OPR-A</t>
        </is>
      </c>
      <c r="I130" s="21" t="inlineStr">
        <is>
          <t>—</t>
        </is>
      </c>
      <c r="J130" s="21" t="inlineStr">
        <is>
          <t>1. Login di mobile, Station List, lalu tekan tile Clarification (/stations/clarification/monitor).
2. Cari breadcrumb di bagian atas layar (mis. Home / Station List / nama stasiun).
3. Tekan bagian Home pada breadcrumb.
4. Kembali ke Monitor, lalu tekan bagian Station List.</t>
        </is>
      </c>
      <c r="K130" s="21" t="inlineStr">
        <is>
          <t>- Bagian breadcrumb selain yang terakhir dapat ditekan.
- Menekan Home mendarat di Home; menekan Station List mendarat di Station List.
- Bagian terakhir (nama layar sekarang) tidak dapat ditekan — itu benar.</t>
        </is>
      </c>
      <c r="L130" s="18" t="inlineStr">
        <is>
          <t>Rendah</t>
        </is>
      </c>
      <c r="M130" s="21" t="inlineStr"/>
      <c r="N130" s="17" t="n"/>
      <c r="O130" s="17" t="n"/>
      <c r="P130" s="17" t="n"/>
      <c r="Q130" s="17" t="n"/>
      <c r="R130" s="17" t="n"/>
    </row>
    <row r="131" ht="109.6" customHeight="1">
      <c r="A131" s="22" t="n">
        <v>127</v>
      </c>
      <c r="B131" s="22" t="n">
        <v>3</v>
      </c>
      <c r="C131" s="23" t="inlineStr">
        <is>
          <t>MB-MON-06 / Kernel Plant</t>
        </is>
      </c>
      <c r="D131" s="23" t="inlineStr">
        <is>
          <t>MB-MON-06</t>
        </is>
      </c>
      <c r="E131" s="24" t="inlineStr">
        <is>
          <t>Kernel Plant</t>
        </is>
      </c>
      <c r="F131" s="5" t="inlineStr">
        <is>
          <t>Mobile — Operasional Stasiun (MB-)</t>
        </is>
      </c>
      <c r="G131" s="24" t="inlineStr">
        <is>
          <t>Breadcrumb dapat diklik, bukan label mati</t>
        </is>
      </c>
      <c r="H131" s="5" t="inlineStr">
        <is>
          <t>OPR-A</t>
        </is>
      </c>
      <c r="I131" s="5" t="inlineStr">
        <is>
          <t>—</t>
        </is>
      </c>
      <c r="J131" s="5" t="inlineStr">
        <is>
          <t>1. Login di mobile, Station List, lalu tekan tile Kernel Plant (/stations/kernel-plant/monitor).
2. Cari breadcrumb di bagian atas layar (mis. Home / Station List / nama stasiun).
3. Tekan bagian Home pada breadcrumb.
4. Kembali ke Monitor, lalu tekan bagian Station List.</t>
        </is>
      </c>
      <c r="K131" s="5" t="inlineStr">
        <is>
          <t>- Bagian breadcrumb selain yang terakhir dapat ditekan.
- Menekan Home mendarat di Home; menekan Station List mendarat di Station List.
- Bagian terakhir (nama layar sekarang) tidak dapat ditekan — itu benar.</t>
        </is>
      </c>
      <c r="L131" s="22" t="inlineStr">
        <is>
          <t>Rendah</t>
        </is>
      </c>
      <c r="M131" s="5" t="inlineStr"/>
      <c r="N131" s="17" t="n"/>
      <c r="O131" s="17" t="n"/>
      <c r="P131" s="17" t="n"/>
      <c r="Q131" s="17" t="n"/>
      <c r="R131" s="17" t="n"/>
    </row>
    <row r="132" ht="109.6" customHeight="1">
      <c r="A132" s="18" t="n">
        <v>128</v>
      </c>
      <c r="B132" s="18" t="n">
        <v>3</v>
      </c>
      <c r="C132" s="19" t="inlineStr">
        <is>
          <t>MB-MON-06 / Boiler Room</t>
        </is>
      </c>
      <c r="D132" s="19" t="inlineStr">
        <is>
          <t>MB-MON-06</t>
        </is>
      </c>
      <c r="E132" s="20" t="inlineStr">
        <is>
          <t>Boiler Room</t>
        </is>
      </c>
      <c r="F132" s="21" t="inlineStr">
        <is>
          <t>Mobile — Operasional Stasiun (MB-)</t>
        </is>
      </c>
      <c r="G132" s="20" t="inlineStr">
        <is>
          <t>Breadcrumb dapat diklik, bukan label mati</t>
        </is>
      </c>
      <c r="H132" s="21" t="inlineStr">
        <is>
          <t>OPR-A</t>
        </is>
      </c>
      <c r="I132" s="21" t="inlineStr">
        <is>
          <t>—</t>
        </is>
      </c>
      <c r="J132" s="21" t="inlineStr">
        <is>
          <t>1. Login di mobile, Station List, lalu tekan tile Boiler Room (/stations/boiler-room/monitor).
2. Cari breadcrumb di bagian atas layar (mis. Home / Station List / nama stasiun).
3. Tekan bagian Home pada breadcrumb.
4. Kembali ke Monitor, lalu tekan bagian Station List.</t>
        </is>
      </c>
      <c r="K132" s="21" t="inlineStr">
        <is>
          <t>- Bagian breadcrumb selain yang terakhir dapat ditekan.
- Menekan Home mendarat di Home; menekan Station List mendarat di Station List.
- Bagian terakhir (nama layar sekarang) tidak dapat ditekan — itu benar.</t>
        </is>
      </c>
      <c r="L132" s="18" t="inlineStr">
        <is>
          <t>Rendah</t>
        </is>
      </c>
      <c r="M132" s="21" t="inlineStr"/>
      <c r="N132" s="17" t="n"/>
      <c r="O132" s="17" t="n"/>
      <c r="P132" s="17" t="n"/>
      <c r="Q132" s="17" t="n"/>
      <c r="R132" s="17" t="n"/>
    </row>
    <row r="133" ht="109.6" customHeight="1">
      <c r="A133" s="22" t="n">
        <v>129</v>
      </c>
      <c r="B133" s="22" t="n">
        <v>3</v>
      </c>
      <c r="C133" s="23" t="inlineStr">
        <is>
          <t>MB-MON-06 / Effluent Plant</t>
        </is>
      </c>
      <c r="D133" s="23" t="inlineStr">
        <is>
          <t>MB-MON-06</t>
        </is>
      </c>
      <c r="E133" s="24" t="inlineStr">
        <is>
          <t>Effluent Plant</t>
        </is>
      </c>
      <c r="F133" s="5" t="inlineStr">
        <is>
          <t>Mobile — Operasional Stasiun (MB-)</t>
        </is>
      </c>
      <c r="G133" s="24" t="inlineStr">
        <is>
          <t>Breadcrumb dapat diklik, bukan label mati</t>
        </is>
      </c>
      <c r="H133" s="5" t="inlineStr">
        <is>
          <t>OPR-A</t>
        </is>
      </c>
      <c r="I133" s="5" t="inlineStr">
        <is>
          <t>—</t>
        </is>
      </c>
      <c r="J133" s="5" t="inlineStr">
        <is>
          <t>1. Login di mobile, Station List, lalu tekan tile Effluent Plant (/stations/effluent-plant/monitor).
2. Cari breadcrumb di bagian atas layar (mis. Home / Station List / nama stasiun).
3. Tekan bagian Home pada breadcrumb.
4. Kembali ke Monitor, lalu tekan bagian Station List.</t>
        </is>
      </c>
      <c r="K133" s="5" t="inlineStr">
        <is>
          <t>- Bagian breadcrumb selain yang terakhir dapat ditekan.
- Menekan Home mendarat di Home; menekan Station List mendarat di Station List.
- Bagian terakhir (nama layar sekarang) tidak dapat ditekan — itu benar.</t>
        </is>
      </c>
      <c r="L133" s="22" t="inlineStr">
        <is>
          <t>Rendah</t>
        </is>
      </c>
      <c r="M133" s="5" t="inlineStr"/>
      <c r="N133" s="17" t="n"/>
      <c r="O133" s="17" t="n"/>
      <c r="P133" s="17" t="n"/>
      <c r="Q133" s="17" t="n"/>
      <c r="R133" s="17" t="n"/>
    </row>
    <row r="134" ht="109.6" customHeight="1">
      <c r="A134" s="11" t="n">
        <v>130</v>
      </c>
      <c r="B134" s="12" t="n">
        <v>1</v>
      </c>
      <c r="C134" s="13" t="inlineStr">
        <is>
          <t>MB-MON-06 / Depricarping</t>
        </is>
      </c>
      <c r="D134" s="13" t="inlineStr">
        <is>
          <t>MB-MON-06</t>
        </is>
      </c>
      <c r="E134" s="15" t="inlineStr">
        <is>
          <t>Depricarping</t>
        </is>
      </c>
      <c r="F134" s="14" t="inlineStr">
        <is>
          <t>Mobile — Operasional Stasiun (MB-)</t>
        </is>
      </c>
      <c r="G134" s="15" t="inlineStr">
        <is>
          <t>Breadcrumb dapat diklik, bukan label mati</t>
        </is>
      </c>
      <c r="H134" s="14" t="inlineStr">
        <is>
          <t>OPR-A</t>
        </is>
      </c>
      <c r="I134" s="14" t="inlineStr">
        <is>
          <t>—</t>
        </is>
      </c>
      <c r="J134" s="14" t="inlineStr">
        <is>
          <t>1. Login di mobile, Station List, lalu tekan tile Depricarping (/stations/depricarping/monitor).
2. Cari breadcrumb di bagian atas layar (mis. Home / Station List / nama stasiun).
3. Tekan bagian Home pada breadcrumb.
4. Kembali ke Monitor, lalu tekan bagian Station List.</t>
        </is>
      </c>
      <c r="K134" s="14" t="inlineStr">
        <is>
          <t>- Bagian breadcrumb selain yang terakhir dapat ditekan.
- Menekan Home mendarat di Home; menekan Station List mendarat di Station List.
- Bagian terakhir (nama layar sekarang) tidak dapat ditekan — itu benar.</t>
        </is>
      </c>
      <c r="L134" s="11" t="inlineStr">
        <is>
          <t>Rendah</t>
        </is>
      </c>
      <c r="M134" s="14" t="inlineStr"/>
      <c r="N134" s="17" t="n"/>
      <c r="O134" s="17" t="n"/>
      <c r="P134" s="17" t="n"/>
      <c r="Q134" s="17" t="n"/>
      <c r="R134" s="17" t="n"/>
    </row>
    <row r="135" ht="109.6" customHeight="1">
      <c r="A135" s="22" t="n">
        <v>131</v>
      </c>
      <c r="B135" s="22" t="n">
        <v>3</v>
      </c>
      <c r="C135" s="23" t="inlineStr">
        <is>
          <t>MB-MON-06 / Engine Room</t>
        </is>
      </c>
      <c r="D135" s="23" t="inlineStr">
        <is>
          <t>MB-MON-06</t>
        </is>
      </c>
      <c r="E135" s="24" t="inlineStr">
        <is>
          <t>Engine Room</t>
        </is>
      </c>
      <c r="F135" s="5" t="inlineStr">
        <is>
          <t>Mobile — Operasional Stasiun (MB-)</t>
        </is>
      </c>
      <c r="G135" s="24" t="inlineStr">
        <is>
          <t>Breadcrumb dapat diklik, bukan label mati</t>
        </is>
      </c>
      <c r="H135" s="5" t="inlineStr">
        <is>
          <t>OPR-A</t>
        </is>
      </c>
      <c r="I135" s="5" t="inlineStr">
        <is>
          <t>—</t>
        </is>
      </c>
      <c r="J135" s="5" t="inlineStr">
        <is>
          <t>1. Login di mobile, Station List, lalu tekan tile Engine Room (/stations/engine-room/monitor).
2. Cari breadcrumb di bagian atas layar (mis. Home / Station List / nama stasiun).
3. Tekan bagian Home pada breadcrumb.
4. Kembali ke Monitor, lalu tekan bagian Station List.</t>
        </is>
      </c>
      <c r="K135" s="5" t="inlineStr">
        <is>
          <t>- Bagian breadcrumb selain yang terakhir dapat ditekan.
- Menekan Home mendarat di Home; menekan Station List mendarat di Station List.
- Bagian terakhir (nama layar sekarang) tidak dapat ditekan — itu benar.</t>
        </is>
      </c>
      <c r="L135" s="22" t="inlineStr">
        <is>
          <t>Rendah</t>
        </is>
      </c>
      <c r="M135" s="5" t="inlineStr"/>
      <c r="N135" s="17" t="n"/>
      <c r="O135" s="17" t="n"/>
      <c r="P135" s="17" t="n"/>
      <c r="Q135" s="17" t="n"/>
      <c r="R135" s="17" t="n"/>
    </row>
    <row r="136" ht="109.6" customHeight="1">
      <c r="A136" s="18" t="n">
        <v>132</v>
      </c>
      <c r="B136" s="18" t="n">
        <v>3</v>
      </c>
      <c r="C136" s="19" t="inlineStr">
        <is>
          <t>MB-MON-06 / Process Water</t>
        </is>
      </c>
      <c r="D136" s="19" t="inlineStr">
        <is>
          <t>MB-MON-06</t>
        </is>
      </c>
      <c r="E136" s="20" t="inlineStr">
        <is>
          <t>Process Water</t>
        </is>
      </c>
      <c r="F136" s="21" t="inlineStr">
        <is>
          <t>Mobile — Operasional Stasiun (MB-)</t>
        </is>
      </c>
      <c r="G136" s="20" t="inlineStr">
        <is>
          <t>Breadcrumb dapat diklik, bukan label mati</t>
        </is>
      </c>
      <c r="H136" s="21" t="inlineStr">
        <is>
          <t>OPR-A</t>
        </is>
      </c>
      <c r="I136" s="21" t="inlineStr">
        <is>
          <t>—</t>
        </is>
      </c>
      <c r="J136" s="21" t="inlineStr">
        <is>
          <t>1. Login di mobile, Station List, lalu tekan tile Process Water (/stations/process-water/monitor).
2. Cari breadcrumb di bagian atas layar (mis. Home / Station List / nama stasiun).
3. Tekan bagian Home pada breadcrumb.
4. Kembali ke Monitor, lalu tekan bagian Station List.</t>
        </is>
      </c>
      <c r="K136" s="21" t="inlineStr">
        <is>
          <t>- Bagian breadcrumb selain yang terakhir dapat ditekan.
- Menekan Home mendarat di Home; menekan Station List mendarat di Station List.
- Bagian terakhir (nama layar sekarang) tidak dapat ditekan — itu benar.</t>
        </is>
      </c>
      <c r="L136" s="18" t="inlineStr">
        <is>
          <t>Rendah</t>
        </is>
      </c>
      <c r="M136" s="21" t="inlineStr"/>
      <c r="N136" s="17" t="n"/>
      <c r="O136" s="17" t="n"/>
      <c r="P136" s="17" t="n"/>
      <c r="Q136" s="17" t="n"/>
      <c r="R136" s="17" t="n"/>
    </row>
    <row r="137" ht="109.6" customHeight="1">
      <c r="A137" s="22" t="n">
        <v>133</v>
      </c>
      <c r="B137" s="22" t="n">
        <v>3</v>
      </c>
      <c r="C137" s="23" t="inlineStr">
        <is>
          <t>MB-MON-06 / Storage Tank</t>
        </is>
      </c>
      <c r="D137" s="23" t="inlineStr">
        <is>
          <t>MB-MON-06</t>
        </is>
      </c>
      <c r="E137" s="24" t="inlineStr">
        <is>
          <t>Storage Tank</t>
        </is>
      </c>
      <c r="F137" s="5" t="inlineStr">
        <is>
          <t>Mobile — Operasional Stasiun (MB-)</t>
        </is>
      </c>
      <c r="G137" s="24" t="inlineStr">
        <is>
          <t>Breadcrumb dapat diklik, bukan label mati</t>
        </is>
      </c>
      <c r="H137" s="5" t="inlineStr">
        <is>
          <t>OPR-A</t>
        </is>
      </c>
      <c r="I137" s="5" t="inlineStr">
        <is>
          <t>—</t>
        </is>
      </c>
      <c r="J137" s="5" t="inlineStr">
        <is>
          <t>1. Login di mobile, Station List, lalu tekan tile Storage Tank (/stations/storage-tank/monitor).
2. Cari breadcrumb di bagian atas layar (mis. Home / Station List / nama stasiun).
3. Tekan bagian Home pada breadcrumb.
4. Kembali ke Monitor, lalu tekan bagian Station List.</t>
        </is>
      </c>
      <c r="K137" s="5" t="inlineStr">
        <is>
          <t>- Bagian breadcrumb selain yang terakhir dapat ditekan.
- Menekan Home mendarat di Home; menekan Station List mendarat di Station List.
- Bagian terakhir (nama layar sekarang) tidak dapat ditekan — itu benar.</t>
        </is>
      </c>
      <c r="L137" s="22" t="inlineStr">
        <is>
          <t>Rendah</t>
        </is>
      </c>
      <c r="M137" s="5" t="inlineStr"/>
      <c r="N137" s="17" t="n"/>
      <c r="O137" s="17" t="n"/>
      <c r="P137" s="17" t="n"/>
      <c r="Q137" s="17" t="n"/>
      <c r="R137" s="17" t="n"/>
    </row>
    <row r="138" ht="109.6" customHeight="1">
      <c r="A138" s="18" t="n">
        <v>134</v>
      </c>
      <c r="B138" s="18" t="n">
        <v>3</v>
      </c>
      <c r="C138" s="19" t="inlineStr">
        <is>
          <t>MB-MON-06 / Solid Waste Disposal</t>
        </is>
      </c>
      <c r="D138" s="19" t="inlineStr">
        <is>
          <t>MB-MON-06</t>
        </is>
      </c>
      <c r="E138" s="20" t="inlineStr">
        <is>
          <t>Solid Waste Disposal</t>
        </is>
      </c>
      <c r="F138" s="21" t="inlineStr">
        <is>
          <t>Mobile — Operasional Stasiun (MB-)</t>
        </is>
      </c>
      <c r="G138" s="20" t="inlineStr">
        <is>
          <t>Breadcrumb dapat diklik, bukan label mati</t>
        </is>
      </c>
      <c r="H138" s="21" t="inlineStr">
        <is>
          <t>OPR-A</t>
        </is>
      </c>
      <c r="I138" s="21" t="inlineStr">
        <is>
          <t>—</t>
        </is>
      </c>
      <c r="J138" s="21" t="inlineStr">
        <is>
          <t>1. Login di mobile, Station List, lalu tekan tile Solid Waste Disposal (/stations/solid-waste-disposal/monitor).
2. Cari breadcrumb di bagian atas layar (mis. Home / Station List / nama stasiun).
3. Tekan bagian Home pada breadcrumb.
4. Kembali ke Monitor, lalu tekan bagian Station List.</t>
        </is>
      </c>
      <c r="K138" s="21" t="inlineStr">
        <is>
          <t>- Bagian breadcrumb selain yang terakhir dapat ditekan.
- Menekan Home mendarat di Home; menekan Station List mendarat di Station List.
- Bagian terakhir (nama layar sekarang) tidak dapat ditekan — itu benar.</t>
        </is>
      </c>
      <c r="L138" s="18" t="inlineStr">
        <is>
          <t>Rendah</t>
        </is>
      </c>
      <c r="M138" s="21" t="inlineStr"/>
      <c r="N138" s="17" t="n"/>
      <c r="O138" s="17" t="n"/>
      <c r="P138" s="17" t="n"/>
      <c r="Q138" s="17" t="n"/>
      <c r="R138" s="17" t="n"/>
    </row>
    <row r="139" ht="109.6" customHeight="1">
      <c r="A139" s="22" t="n">
        <v>135</v>
      </c>
      <c r="B139" s="22" t="n">
        <v>3</v>
      </c>
      <c r="C139" s="23" t="inlineStr">
        <is>
          <t>MB-MON-06 / Kernel Dispatch</t>
        </is>
      </c>
      <c r="D139" s="23" t="inlineStr">
        <is>
          <t>MB-MON-06</t>
        </is>
      </c>
      <c r="E139" s="24" t="inlineStr">
        <is>
          <t>Kernel Dispatch</t>
        </is>
      </c>
      <c r="F139" s="5" t="inlineStr">
        <is>
          <t>Mobile — Operasional Stasiun (MB-)</t>
        </is>
      </c>
      <c r="G139" s="24" t="inlineStr">
        <is>
          <t>Breadcrumb dapat diklik, bukan label mati</t>
        </is>
      </c>
      <c r="H139" s="5" t="inlineStr">
        <is>
          <t>OPR-A</t>
        </is>
      </c>
      <c r="I139" s="5" t="inlineStr">
        <is>
          <t>—</t>
        </is>
      </c>
      <c r="J139" s="5" t="inlineStr">
        <is>
          <t>1. Login di mobile, Station List, lalu tekan tile Kernel Dispatch (/stations/kernel-dispatch/monitor).
2. Cari breadcrumb di bagian atas layar (mis. Home / Station List / nama stasiun).
3. Tekan bagian Home pada breadcrumb.
4. Kembali ke Monitor, lalu tekan bagian Station List.</t>
        </is>
      </c>
      <c r="K139" s="5" t="inlineStr">
        <is>
          <t>- Bagian breadcrumb selain yang terakhir dapat ditekan.
- Menekan Home mendarat di Home; menekan Station List mendarat di Station List.
- Bagian terakhir (nama layar sekarang) tidak dapat ditekan — itu benar.</t>
        </is>
      </c>
      <c r="L139" s="22" t="inlineStr">
        <is>
          <t>Rendah</t>
        </is>
      </c>
      <c r="M139" s="5" t="inlineStr"/>
      <c r="N139" s="17" t="n"/>
      <c r="O139" s="17" t="n"/>
      <c r="P139" s="17" t="n"/>
      <c r="Q139" s="17" t="n"/>
      <c r="R139" s="17" t="n"/>
    </row>
    <row r="140" ht="109.6" customHeight="1">
      <c r="A140" s="18" t="n">
        <v>136</v>
      </c>
      <c r="B140" s="18" t="n">
        <v>3</v>
      </c>
      <c r="C140" s="19" t="inlineStr">
        <is>
          <t>MB-MON-06 / CPO Dispatch</t>
        </is>
      </c>
      <c r="D140" s="19" t="inlineStr">
        <is>
          <t>MB-MON-06</t>
        </is>
      </c>
      <c r="E140" s="20" t="inlineStr">
        <is>
          <t>CPO Dispatch</t>
        </is>
      </c>
      <c r="F140" s="21" t="inlineStr">
        <is>
          <t>Mobile — Operasional Stasiun (MB-)</t>
        </is>
      </c>
      <c r="G140" s="20" t="inlineStr">
        <is>
          <t>Breadcrumb dapat diklik, bukan label mati</t>
        </is>
      </c>
      <c r="H140" s="21" t="inlineStr">
        <is>
          <t>OPR-A</t>
        </is>
      </c>
      <c r="I140" s="21" t="inlineStr">
        <is>
          <t>—</t>
        </is>
      </c>
      <c r="J140" s="21" t="inlineStr">
        <is>
          <t>1. Login di mobile, Station List, lalu tekan tile CPO Dispatch (/stations/cpo-dispatch/monitor).
2. Cari breadcrumb di bagian atas layar (mis. Home / Station List / nama stasiun).
3. Tekan bagian Home pada breadcrumb.
4. Kembali ke Monitor, lalu tekan bagian Station List.</t>
        </is>
      </c>
      <c r="K140" s="21" t="inlineStr">
        <is>
          <t>- Bagian breadcrumb selain yang terakhir dapat ditekan.
- Menekan Home mendarat di Home; menekan Station List mendarat di Station List.
- Bagian terakhir (nama layar sekarang) tidak dapat ditekan — itu benar.</t>
        </is>
      </c>
      <c r="L140" s="18" t="inlineStr">
        <is>
          <t>Rendah</t>
        </is>
      </c>
      <c r="M140" s="21" t="inlineStr"/>
      <c r="N140" s="17" t="n"/>
      <c r="O140" s="17" t="n"/>
      <c r="P140" s="17" t="n"/>
      <c r="Q140" s="17" t="n"/>
      <c r="R140" s="17" t="n"/>
    </row>
    <row r="141" ht="109.6" customHeight="1">
      <c r="A141" s="22" t="n">
        <v>137</v>
      </c>
      <c r="B141" s="22" t="n">
        <v>3</v>
      </c>
      <c r="C141" s="23" t="inlineStr">
        <is>
          <t>MB-MON-06 / Process Quality Control</t>
        </is>
      </c>
      <c r="D141" s="23" t="inlineStr">
        <is>
          <t>MB-MON-06</t>
        </is>
      </c>
      <c r="E141" s="24" t="inlineStr">
        <is>
          <t>Process Quality Control</t>
        </is>
      </c>
      <c r="F141" s="5" t="inlineStr">
        <is>
          <t>Mobile — Operasional Stasiun (MB-)</t>
        </is>
      </c>
      <c r="G141" s="24" t="inlineStr">
        <is>
          <t>Breadcrumb dapat diklik, bukan label mati</t>
        </is>
      </c>
      <c r="H141" s="5" t="inlineStr">
        <is>
          <t>OPR-A</t>
        </is>
      </c>
      <c r="I141" s="5" t="inlineStr">
        <is>
          <t>—</t>
        </is>
      </c>
      <c r="J141" s="5" t="inlineStr">
        <is>
          <t>1. Login di mobile, Station List, lalu tekan tile Process Quality Control (/stations/process-quality-control/monitor).
2. Cari breadcrumb di bagian atas layar (mis. Home / Station List / nama stasiun).
3. Tekan bagian Home pada breadcrumb.
4. Kembali ke Monitor, lalu tekan bagian Station List.</t>
        </is>
      </c>
      <c r="K141" s="5" t="inlineStr">
        <is>
          <t>- Bagian breadcrumb selain yang terakhir dapat ditekan.
- Menekan Home mendarat di Home; menekan Station List mendarat di Station List.
- Bagian terakhir (nama layar sekarang) tidak dapat ditekan — itu benar.</t>
        </is>
      </c>
      <c r="L141" s="22" t="inlineStr">
        <is>
          <t>Rendah</t>
        </is>
      </c>
      <c r="M141" s="5" t="inlineStr"/>
      <c r="N141" s="17" t="n"/>
      <c r="O141" s="17" t="n"/>
      <c r="P141" s="17" t="n"/>
      <c r="Q141" s="17" t="n"/>
      <c r="R141" s="17" t="n"/>
    </row>
    <row r="142" ht="96.39999999999999" customHeight="1">
      <c r="A142" s="18" t="n">
        <v>138</v>
      </c>
      <c r="B142" s="18" t="n">
        <v>3</v>
      </c>
      <c r="C142" s="19" t="inlineStr">
        <is>
          <t>MB-MON-07 / Weighbridge</t>
        </is>
      </c>
      <c r="D142" s="19" t="inlineStr">
        <is>
          <t>MB-MON-07</t>
        </is>
      </c>
      <c r="E142" s="20" t="inlineStr">
        <is>
          <t>Weighbridge</t>
        </is>
      </c>
      <c r="F142" s="21" t="inlineStr">
        <is>
          <t>Mobile — Operasional Stasiun (MB-)</t>
        </is>
      </c>
      <c r="G142" s="20" t="inlineStr">
        <is>
          <t>Load Data membuka Data Preview stasiun itu</t>
        </is>
      </c>
      <c r="H142" s="21" t="inlineStr">
        <is>
          <t>OPR-A</t>
        </is>
      </c>
      <c r="I142" s="21" t="inlineStr">
        <is>
          <t>—</t>
        </is>
      </c>
      <c r="J142" s="21" t="inlineStr">
        <is>
          <t>1. Login di mobile, Station List, lalu tekan tile Weighbridge (/stations/weighbridge/monitor).
2. Tekan Load Data.
3. Baca judul layar dan alamatnya.
4. Periksa stasiun pada record yang terdaftar.</t>
        </is>
      </c>
      <c r="K142" s="21" t="inlineStr">
        <is>
          <t>- Terbuka Data Preview stasiun itu (/stations/weighbridge/preview).
- Daftarnya hanya memuat record stasiun tersebut — tidak tercampur stasiun lain.</t>
        </is>
      </c>
      <c r="L142" s="18" t="inlineStr">
        <is>
          <t>Sedang</t>
        </is>
      </c>
      <c r="M142" s="21" t="inlineStr"/>
      <c r="N142" s="17" t="n"/>
      <c r="O142" s="17" t="n"/>
      <c r="P142" s="17" t="n"/>
      <c r="Q142" s="17" t="n"/>
      <c r="R142" s="17" t="n"/>
    </row>
    <row r="143" ht="83.19999999999999" customHeight="1">
      <c r="A143" s="22" t="n">
        <v>139</v>
      </c>
      <c r="B143" s="22" t="n">
        <v>3</v>
      </c>
      <c r="C143" s="23" t="inlineStr">
        <is>
          <t>MB-MON-07 / Grading</t>
        </is>
      </c>
      <c r="D143" s="23" t="inlineStr">
        <is>
          <t>MB-MON-07</t>
        </is>
      </c>
      <c r="E143" s="24" t="inlineStr">
        <is>
          <t>Grading</t>
        </is>
      </c>
      <c r="F143" s="5" t="inlineStr">
        <is>
          <t>Mobile — Operasional Stasiun (MB-)</t>
        </is>
      </c>
      <c r="G143" s="24" t="inlineStr">
        <is>
          <t>Load Data membuka Data Preview stasiun itu</t>
        </is>
      </c>
      <c r="H143" s="5" t="inlineStr">
        <is>
          <t>OPR-A</t>
        </is>
      </c>
      <c r="I143" s="5" t="inlineStr">
        <is>
          <t>—</t>
        </is>
      </c>
      <c r="J143" s="5" t="inlineStr">
        <is>
          <t>1. Login di mobile, Station List, lalu tekan tile Grading (/stations/grading/monitor).
2. Tekan Load Data.
3. Baca judul layar dan alamatnya.
4. Periksa stasiun pada record yang terdaftar.</t>
        </is>
      </c>
      <c r="K143" s="5" t="inlineStr">
        <is>
          <t>- Terbuka Data Preview stasiun itu (/stations/grading/preview).
- Daftarnya hanya memuat record stasiun tersebut — tidak tercampur stasiun lain.</t>
        </is>
      </c>
      <c r="L143" s="22" t="inlineStr">
        <is>
          <t>Sedang</t>
        </is>
      </c>
      <c r="M143" s="5" t="inlineStr"/>
      <c r="N143" s="17" t="n"/>
      <c r="O143" s="17" t="n"/>
      <c r="P143" s="17" t="n"/>
      <c r="Q143" s="17" t="n"/>
      <c r="R143" s="17" t="n"/>
    </row>
    <row r="144" ht="96.39999999999999" customHeight="1">
      <c r="A144" s="18" t="n">
        <v>140</v>
      </c>
      <c r="B144" s="18" t="n">
        <v>3</v>
      </c>
      <c r="C144" s="19" t="inlineStr">
        <is>
          <t>MB-MON-07 / Cages Track</t>
        </is>
      </c>
      <c r="D144" s="19" t="inlineStr">
        <is>
          <t>MB-MON-07</t>
        </is>
      </c>
      <c r="E144" s="20" t="inlineStr">
        <is>
          <t>Cages Track</t>
        </is>
      </c>
      <c r="F144" s="21" t="inlineStr">
        <is>
          <t>Mobile — Operasional Stasiun (MB-)</t>
        </is>
      </c>
      <c r="G144" s="20" t="inlineStr">
        <is>
          <t>Load Data membuka Data Preview stasiun itu</t>
        </is>
      </c>
      <c r="H144" s="21" t="inlineStr">
        <is>
          <t>OPR-A</t>
        </is>
      </c>
      <c r="I144" s="21" t="inlineStr">
        <is>
          <t>—</t>
        </is>
      </c>
      <c r="J144" s="21" t="inlineStr">
        <is>
          <t>1. Login di mobile, Station List, lalu tekan tile Cages Track (/stations/cages-track/monitor).
2. Tekan Load Data.
3. Baca judul layar dan alamatnya.
4. Periksa stasiun pada record yang terdaftar.</t>
        </is>
      </c>
      <c r="K144" s="21" t="inlineStr">
        <is>
          <t>- Terbuka Data Preview stasiun itu (/stations/cages-track/preview).
- Daftarnya hanya memuat record stasiun tersebut — tidak tercampur stasiun lain.</t>
        </is>
      </c>
      <c r="L144" s="18" t="inlineStr">
        <is>
          <t>Sedang</t>
        </is>
      </c>
      <c r="M144" s="21" t="inlineStr"/>
      <c r="N144" s="17" t="n"/>
      <c r="O144" s="17" t="n"/>
      <c r="P144" s="17" t="n"/>
      <c r="Q144" s="17" t="n"/>
      <c r="R144" s="17" t="n"/>
    </row>
    <row r="145" ht="96.39999999999999" customHeight="1">
      <c r="A145" s="22" t="n">
        <v>141</v>
      </c>
      <c r="B145" s="22" t="n">
        <v>3</v>
      </c>
      <c r="C145" s="23" t="inlineStr">
        <is>
          <t>MB-MON-07 / Sterilizer</t>
        </is>
      </c>
      <c r="D145" s="23" t="inlineStr">
        <is>
          <t>MB-MON-07</t>
        </is>
      </c>
      <c r="E145" s="24" t="inlineStr">
        <is>
          <t>Sterilizer</t>
        </is>
      </c>
      <c r="F145" s="5" t="inlineStr">
        <is>
          <t>Mobile — Operasional Stasiun (MB-)</t>
        </is>
      </c>
      <c r="G145" s="24" t="inlineStr">
        <is>
          <t>Load Data membuka Data Preview stasiun itu</t>
        </is>
      </c>
      <c r="H145" s="5" t="inlineStr">
        <is>
          <t>OPR-A</t>
        </is>
      </c>
      <c r="I145" s="5" t="inlineStr">
        <is>
          <t>—</t>
        </is>
      </c>
      <c r="J145" s="5" t="inlineStr">
        <is>
          <t>1. Login di mobile, Station List, lalu tekan tile Sterilizer (/stations/sterilizer/monitor).
2. Tekan Load Data.
3. Baca judul layar dan alamatnya.
4. Periksa stasiun pada record yang terdaftar.</t>
        </is>
      </c>
      <c r="K145" s="5" t="inlineStr">
        <is>
          <t>- Terbuka Data Preview stasiun itu (/stations/sterilizer/preview).
- Daftarnya hanya memuat record stasiun tersebut — tidak tercampur stasiun lain.</t>
        </is>
      </c>
      <c r="L145" s="22" t="inlineStr">
        <is>
          <t>Sedang</t>
        </is>
      </c>
      <c r="M145" s="5" t="inlineStr"/>
      <c r="N145" s="17" t="n"/>
      <c r="O145" s="17" t="n"/>
      <c r="P145" s="17" t="n"/>
      <c r="Q145" s="17" t="n"/>
      <c r="R145" s="17" t="n"/>
    </row>
    <row r="146" ht="96.39999999999999" customHeight="1">
      <c r="A146" s="18" t="n">
        <v>142</v>
      </c>
      <c r="B146" s="18" t="n">
        <v>3</v>
      </c>
      <c r="C146" s="19" t="inlineStr">
        <is>
          <t>MB-MON-07 / Threshing</t>
        </is>
      </c>
      <c r="D146" s="19" t="inlineStr">
        <is>
          <t>MB-MON-07</t>
        </is>
      </c>
      <c r="E146" s="20" t="inlineStr">
        <is>
          <t>Threshing</t>
        </is>
      </c>
      <c r="F146" s="21" t="inlineStr">
        <is>
          <t>Mobile — Operasional Stasiun (MB-)</t>
        </is>
      </c>
      <c r="G146" s="20" t="inlineStr">
        <is>
          <t>Load Data membuka Data Preview stasiun itu</t>
        </is>
      </c>
      <c r="H146" s="21" t="inlineStr">
        <is>
          <t>OPR-A</t>
        </is>
      </c>
      <c r="I146" s="21" t="inlineStr">
        <is>
          <t>—</t>
        </is>
      </c>
      <c r="J146" s="21" t="inlineStr">
        <is>
          <t>1. Login di mobile, Station List, lalu tekan tile Threshing (/stations/threshing/monitor).
2. Tekan Load Data.
3. Baca judul layar dan alamatnya.
4. Periksa stasiun pada record yang terdaftar.</t>
        </is>
      </c>
      <c r="K146" s="21" t="inlineStr">
        <is>
          <t>- Terbuka Data Preview stasiun itu (/stations/threshing/preview).
- Daftarnya hanya memuat record stasiun tersebut — tidak tercampur stasiun lain.</t>
        </is>
      </c>
      <c r="L146" s="18" t="inlineStr">
        <is>
          <t>Sedang</t>
        </is>
      </c>
      <c r="M146" s="21" t="inlineStr"/>
      <c r="N146" s="17" t="n"/>
      <c r="O146" s="17" t="n"/>
      <c r="P146" s="17" t="n"/>
      <c r="Q146" s="17" t="n"/>
      <c r="R146" s="17" t="n"/>
    </row>
    <row r="147" ht="83.19999999999999" customHeight="1">
      <c r="A147" s="22" t="n">
        <v>143</v>
      </c>
      <c r="B147" s="22" t="n">
        <v>3</v>
      </c>
      <c r="C147" s="23" t="inlineStr">
        <is>
          <t>MB-MON-07 / Pressing</t>
        </is>
      </c>
      <c r="D147" s="23" t="inlineStr">
        <is>
          <t>MB-MON-07</t>
        </is>
      </c>
      <c r="E147" s="24" t="inlineStr">
        <is>
          <t>Pressing</t>
        </is>
      </c>
      <c r="F147" s="5" t="inlineStr">
        <is>
          <t>Mobile — Operasional Stasiun (MB-)</t>
        </is>
      </c>
      <c r="G147" s="24" t="inlineStr">
        <is>
          <t>Load Data membuka Data Preview stasiun itu</t>
        </is>
      </c>
      <c r="H147" s="5" t="inlineStr">
        <is>
          <t>OPR-A</t>
        </is>
      </c>
      <c r="I147" s="5" t="inlineStr">
        <is>
          <t>—</t>
        </is>
      </c>
      <c r="J147" s="5" t="inlineStr">
        <is>
          <t>1. Login di mobile, Station List, lalu tekan tile Pressing (/stations/pressing/monitor).
2. Tekan Load Data.
3. Baca judul layar dan alamatnya.
4. Periksa stasiun pada record yang terdaftar.</t>
        </is>
      </c>
      <c r="K147" s="5" t="inlineStr">
        <is>
          <t>- Terbuka Data Preview stasiun itu (/stations/pressing/preview).
- Daftarnya hanya memuat record stasiun tersebut — tidak tercampur stasiun lain.</t>
        </is>
      </c>
      <c r="L147" s="22" t="inlineStr">
        <is>
          <t>Sedang</t>
        </is>
      </c>
      <c r="M147" s="5" t="inlineStr"/>
      <c r="N147" s="17" t="n"/>
      <c r="O147" s="17" t="n"/>
      <c r="P147" s="17" t="n"/>
      <c r="Q147" s="17" t="n"/>
      <c r="R147" s="17" t="n"/>
    </row>
    <row r="148" ht="96.39999999999999" customHeight="1">
      <c r="A148" s="18" t="n">
        <v>144</v>
      </c>
      <c r="B148" s="18" t="n">
        <v>3</v>
      </c>
      <c r="C148" s="19" t="inlineStr">
        <is>
          <t>MB-MON-07 / Clarification</t>
        </is>
      </c>
      <c r="D148" s="19" t="inlineStr">
        <is>
          <t>MB-MON-07</t>
        </is>
      </c>
      <c r="E148" s="20" t="inlineStr">
        <is>
          <t>Clarification</t>
        </is>
      </c>
      <c r="F148" s="21" t="inlineStr">
        <is>
          <t>Mobile — Operasional Stasiun (MB-)</t>
        </is>
      </c>
      <c r="G148" s="20" t="inlineStr">
        <is>
          <t>Load Data membuka Data Preview stasiun itu</t>
        </is>
      </c>
      <c r="H148" s="21" t="inlineStr">
        <is>
          <t>OPR-A</t>
        </is>
      </c>
      <c r="I148" s="21" t="inlineStr">
        <is>
          <t>—</t>
        </is>
      </c>
      <c r="J148" s="21" t="inlineStr">
        <is>
          <t>1. Login di mobile, Station List, lalu tekan tile Clarification (/stations/clarification/monitor).
2. Tekan Load Data.
3. Baca judul layar dan alamatnya.
4. Periksa stasiun pada record yang terdaftar.</t>
        </is>
      </c>
      <c r="K148" s="21" t="inlineStr">
        <is>
          <t>- Terbuka Data Preview stasiun itu (/stations/clarification/preview).
- Daftarnya hanya memuat record stasiun tersebut — tidak tercampur stasiun lain.</t>
        </is>
      </c>
      <c r="L148" s="18" t="inlineStr">
        <is>
          <t>Sedang</t>
        </is>
      </c>
      <c r="M148" s="21" t="inlineStr"/>
      <c r="N148" s="17" t="n"/>
      <c r="O148" s="17" t="n"/>
      <c r="P148" s="17" t="n"/>
      <c r="Q148" s="17" t="n"/>
      <c r="R148" s="17" t="n"/>
    </row>
    <row r="149" ht="96.39999999999999" customHeight="1">
      <c r="A149" s="22" t="n">
        <v>145</v>
      </c>
      <c r="B149" s="22" t="n">
        <v>3</v>
      </c>
      <c r="C149" s="23" t="inlineStr">
        <is>
          <t>MB-MON-07 / Kernel Plant</t>
        </is>
      </c>
      <c r="D149" s="23" t="inlineStr">
        <is>
          <t>MB-MON-07</t>
        </is>
      </c>
      <c r="E149" s="24" t="inlineStr">
        <is>
          <t>Kernel Plant</t>
        </is>
      </c>
      <c r="F149" s="5" t="inlineStr">
        <is>
          <t>Mobile — Operasional Stasiun (MB-)</t>
        </is>
      </c>
      <c r="G149" s="24" t="inlineStr">
        <is>
          <t>Load Data membuka Data Preview stasiun itu</t>
        </is>
      </c>
      <c r="H149" s="5" t="inlineStr">
        <is>
          <t>OPR-A</t>
        </is>
      </c>
      <c r="I149" s="5" t="inlineStr">
        <is>
          <t>—</t>
        </is>
      </c>
      <c r="J149" s="5" t="inlineStr">
        <is>
          <t>1. Login di mobile, Station List, lalu tekan tile Kernel Plant (/stations/kernel-plant/monitor).
2. Tekan Load Data.
3. Baca judul layar dan alamatnya.
4. Periksa stasiun pada record yang terdaftar.</t>
        </is>
      </c>
      <c r="K149" s="5" t="inlineStr">
        <is>
          <t>- Terbuka Data Preview stasiun itu (/stations/kernel-plant/preview).
- Daftarnya hanya memuat record stasiun tersebut — tidak tercampur stasiun lain.</t>
        </is>
      </c>
      <c r="L149" s="22" t="inlineStr">
        <is>
          <t>Sedang</t>
        </is>
      </c>
      <c r="M149" s="5" t="inlineStr"/>
      <c r="N149" s="17" t="n"/>
      <c r="O149" s="17" t="n"/>
      <c r="P149" s="17" t="n"/>
      <c r="Q149" s="17" t="n"/>
      <c r="R149" s="17" t="n"/>
    </row>
    <row r="150" ht="96.39999999999999" customHeight="1">
      <c r="A150" s="18" t="n">
        <v>146</v>
      </c>
      <c r="B150" s="18" t="n">
        <v>3</v>
      </c>
      <c r="C150" s="19" t="inlineStr">
        <is>
          <t>MB-MON-07 / Boiler Room</t>
        </is>
      </c>
      <c r="D150" s="19" t="inlineStr">
        <is>
          <t>MB-MON-07</t>
        </is>
      </c>
      <c r="E150" s="20" t="inlineStr">
        <is>
          <t>Boiler Room</t>
        </is>
      </c>
      <c r="F150" s="21" t="inlineStr">
        <is>
          <t>Mobile — Operasional Stasiun (MB-)</t>
        </is>
      </c>
      <c r="G150" s="20" t="inlineStr">
        <is>
          <t>Load Data membuka Data Preview stasiun itu</t>
        </is>
      </c>
      <c r="H150" s="21" t="inlineStr">
        <is>
          <t>OPR-A</t>
        </is>
      </c>
      <c r="I150" s="21" t="inlineStr">
        <is>
          <t>—</t>
        </is>
      </c>
      <c r="J150" s="21" t="inlineStr">
        <is>
          <t>1. Login di mobile, Station List, lalu tekan tile Boiler Room (/stations/boiler-room/monitor).
2. Tekan Load Data.
3. Baca judul layar dan alamatnya.
4. Periksa stasiun pada record yang terdaftar.</t>
        </is>
      </c>
      <c r="K150" s="21" t="inlineStr">
        <is>
          <t>- Terbuka Data Preview stasiun itu (/stations/boiler-room/preview).
- Daftarnya hanya memuat record stasiun tersebut — tidak tercampur stasiun lain.</t>
        </is>
      </c>
      <c r="L150" s="18" t="inlineStr">
        <is>
          <t>Sedang</t>
        </is>
      </c>
      <c r="M150" s="21" t="inlineStr"/>
      <c r="N150" s="17" t="n"/>
      <c r="O150" s="17" t="n"/>
      <c r="P150" s="17" t="n"/>
      <c r="Q150" s="17" t="n"/>
      <c r="R150" s="17" t="n"/>
    </row>
    <row r="151" ht="96.39999999999999" customHeight="1">
      <c r="A151" s="22" t="n">
        <v>147</v>
      </c>
      <c r="B151" s="22" t="n">
        <v>3</v>
      </c>
      <c r="C151" s="23" t="inlineStr">
        <is>
          <t>MB-MON-07 / Effluent Plant</t>
        </is>
      </c>
      <c r="D151" s="23" t="inlineStr">
        <is>
          <t>MB-MON-07</t>
        </is>
      </c>
      <c r="E151" s="24" t="inlineStr">
        <is>
          <t>Effluent Plant</t>
        </is>
      </c>
      <c r="F151" s="5" t="inlineStr">
        <is>
          <t>Mobile — Operasional Stasiun (MB-)</t>
        </is>
      </c>
      <c r="G151" s="24" t="inlineStr">
        <is>
          <t>Load Data membuka Data Preview stasiun itu</t>
        </is>
      </c>
      <c r="H151" s="5" t="inlineStr">
        <is>
          <t>OPR-A</t>
        </is>
      </c>
      <c r="I151" s="5" t="inlineStr">
        <is>
          <t>—</t>
        </is>
      </c>
      <c r="J151" s="5" t="inlineStr">
        <is>
          <t>1. Login di mobile, Station List, lalu tekan tile Effluent Plant (/stations/effluent-plant/monitor).
2. Tekan Load Data.
3. Baca judul layar dan alamatnya.
4. Periksa stasiun pada record yang terdaftar.</t>
        </is>
      </c>
      <c r="K151" s="5" t="inlineStr">
        <is>
          <t>- Terbuka Data Preview stasiun itu (/stations/effluent-plant/preview).
- Daftarnya hanya memuat record stasiun tersebut — tidak tercampur stasiun lain.</t>
        </is>
      </c>
      <c r="L151" s="22" t="inlineStr">
        <is>
          <t>Sedang</t>
        </is>
      </c>
      <c r="M151" s="5" t="inlineStr"/>
      <c r="N151" s="17" t="n"/>
      <c r="O151" s="17" t="n"/>
      <c r="P151" s="17" t="n"/>
      <c r="Q151" s="17" t="n"/>
      <c r="R151" s="17" t="n"/>
    </row>
    <row r="152" ht="96.39999999999999" customHeight="1">
      <c r="A152" s="11" t="n">
        <v>148</v>
      </c>
      <c r="B152" s="12" t="n">
        <v>1</v>
      </c>
      <c r="C152" s="13" t="inlineStr">
        <is>
          <t>MB-MON-07 / Depricarping</t>
        </is>
      </c>
      <c r="D152" s="13" t="inlineStr">
        <is>
          <t>MB-MON-07</t>
        </is>
      </c>
      <c r="E152" s="15" t="inlineStr">
        <is>
          <t>Depricarping</t>
        </is>
      </c>
      <c r="F152" s="14" t="inlineStr">
        <is>
          <t>Mobile — Operasional Stasiun (MB-)</t>
        </is>
      </c>
      <c r="G152" s="15" t="inlineStr">
        <is>
          <t>Load Data membuka Data Preview stasiun itu</t>
        </is>
      </c>
      <c r="H152" s="14" t="inlineStr">
        <is>
          <t>OPR-A</t>
        </is>
      </c>
      <c r="I152" s="14" t="inlineStr">
        <is>
          <t>—</t>
        </is>
      </c>
      <c r="J152" s="14" t="inlineStr">
        <is>
          <t>1. Login di mobile, Station List, lalu tekan tile Depricarping (/stations/depricarping/monitor).
2. Tekan Load Data.
3. Baca judul layar dan alamatnya.
4. Periksa stasiun pada record yang terdaftar.</t>
        </is>
      </c>
      <c r="K152" s="14" t="inlineStr">
        <is>
          <t>- Terbuka Data Preview stasiun itu (/stations/depricarping/preview).
- Daftarnya hanya memuat record stasiun tersebut — tidak tercampur stasiun lain.</t>
        </is>
      </c>
      <c r="L152" s="11" t="inlineStr">
        <is>
          <t>Sedang</t>
        </is>
      </c>
      <c r="M152" s="14" t="inlineStr"/>
      <c r="N152" s="17" t="n"/>
      <c r="O152" s="17" t="n"/>
      <c r="P152" s="17" t="n"/>
      <c r="Q152" s="17" t="n"/>
      <c r="R152" s="17" t="n"/>
    </row>
    <row r="153" ht="96.39999999999999" customHeight="1">
      <c r="A153" s="22" t="n">
        <v>149</v>
      </c>
      <c r="B153" s="22" t="n">
        <v>3</v>
      </c>
      <c r="C153" s="23" t="inlineStr">
        <is>
          <t>MB-MON-07 / Engine Room</t>
        </is>
      </c>
      <c r="D153" s="23" t="inlineStr">
        <is>
          <t>MB-MON-07</t>
        </is>
      </c>
      <c r="E153" s="24" t="inlineStr">
        <is>
          <t>Engine Room</t>
        </is>
      </c>
      <c r="F153" s="5" t="inlineStr">
        <is>
          <t>Mobile — Operasional Stasiun (MB-)</t>
        </is>
      </c>
      <c r="G153" s="24" t="inlineStr">
        <is>
          <t>Load Data membuka Data Preview stasiun itu</t>
        </is>
      </c>
      <c r="H153" s="5" t="inlineStr">
        <is>
          <t>OPR-A</t>
        </is>
      </c>
      <c r="I153" s="5" t="inlineStr">
        <is>
          <t>—</t>
        </is>
      </c>
      <c r="J153" s="5" t="inlineStr">
        <is>
          <t>1. Login di mobile, Station List, lalu tekan tile Engine Room (/stations/engine-room/monitor).
2. Tekan Load Data.
3. Baca judul layar dan alamatnya.
4. Periksa stasiun pada record yang terdaftar.</t>
        </is>
      </c>
      <c r="K153" s="5" t="inlineStr">
        <is>
          <t>- Terbuka Data Preview stasiun itu (/stations/engine-room/preview).
- Daftarnya hanya memuat record stasiun tersebut — tidak tercampur stasiun lain.</t>
        </is>
      </c>
      <c r="L153" s="22" t="inlineStr">
        <is>
          <t>Sedang</t>
        </is>
      </c>
      <c r="M153" s="5" t="inlineStr"/>
      <c r="N153" s="17" t="n"/>
      <c r="O153" s="17" t="n"/>
      <c r="P153" s="17" t="n"/>
      <c r="Q153" s="17" t="n"/>
      <c r="R153" s="17" t="n"/>
    </row>
    <row r="154" ht="96.39999999999999" customHeight="1">
      <c r="A154" s="18" t="n">
        <v>150</v>
      </c>
      <c r="B154" s="18" t="n">
        <v>3</v>
      </c>
      <c r="C154" s="19" t="inlineStr">
        <is>
          <t>MB-MON-07 / Process Water</t>
        </is>
      </c>
      <c r="D154" s="19" t="inlineStr">
        <is>
          <t>MB-MON-07</t>
        </is>
      </c>
      <c r="E154" s="20" t="inlineStr">
        <is>
          <t>Process Water</t>
        </is>
      </c>
      <c r="F154" s="21" t="inlineStr">
        <is>
          <t>Mobile — Operasional Stasiun (MB-)</t>
        </is>
      </c>
      <c r="G154" s="20" t="inlineStr">
        <is>
          <t>Load Data membuka Data Preview stasiun itu</t>
        </is>
      </c>
      <c r="H154" s="21" t="inlineStr">
        <is>
          <t>OPR-A</t>
        </is>
      </c>
      <c r="I154" s="21" t="inlineStr">
        <is>
          <t>—</t>
        </is>
      </c>
      <c r="J154" s="21" t="inlineStr">
        <is>
          <t>1. Login di mobile, Station List, lalu tekan tile Process Water (/stations/process-water/monitor).
2. Tekan Load Data.
3. Baca judul layar dan alamatnya.
4. Periksa stasiun pada record yang terdaftar.</t>
        </is>
      </c>
      <c r="K154" s="21" t="inlineStr">
        <is>
          <t>- Terbuka Data Preview stasiun itu (/stations/process-water/preview).
- Daftarnya hanya memuat record stasiun tersebut — tidak tercampur stasiun lain.</t>
        </is>
      </c>
      <c r="L154" s="18" t="inlineStr">
        <is>
          <t>Sedang</t>
        </is>
      </c>
      <c r="M154" s="21" t="inlineStr"/>
      <c r="N154" s="17" t="n"/>
      <c r="O154" s="17" t="n"/>
      <c r="P154" s="17" t="n"/>
      <c r="Q154" s="17" t="n"/>
      <c r="R154" s="17" t="n"/>
    </row>
    <row r="155" ht="96.39999999999999" customHeight="1">
      <c r="A155" s="22" t="n">
        <v>151</v>
      </c>
      <c r="B155" s="22" t="n">
        <v>3</v>
      </c>
      <c r="C155" s="23" t="inlineStr">
        <is>
          <t>MB-MON-07 / Storage Tank</t>
        </is>
      </c>
      <c r="D155" s="23" t="inlineStr">
        <is>
          <t>MB-MON-07</t>
        </is>
      </c>
      <c r="E155" s="24" t="inlineStr">
        <is>
          <t>Storage Tank</t>
        </is>
      </c>
      <c r="F155" s="5" t="inlineStr">
        <is>
          <t>Mobile — Operasional Stasiun (MB-)</t>
        </is>
      </c>
      <c r="G155" s="24" t="inlineStr">
        <is>
          <t>Load Data membuka Data Preview stasiun itu</t>
        </is>
      </c>
      <c r="H155" s="5" t="inlineStr">
        <is>
          <t>OPR-A</t>
        </is>
      </c>
      <c r="I155" s="5" t="inlineStr">
        <is>
          <t>—</t>
        </is>
      </c>
      <c r="J155" s="5" t="inlineStr">
        <is>
          <t>1. Login di mobile, Station List, lalu tekan tile Storage Tank (/stations/storage-tank/monitor).
2. Tekan Load Data.
3. Baca judul layar dan alamatnya.
4. Periksa stasiun pada record yang terdaftar.</t>
        </is>
      </c>
      <c r="K155" s="5" t="inlineStr">
        <is>
          <t>- Terbuka Data Preview stasiun itu (/stations/storage-tank/preview).
- Daftarnya hanya memuat record stasiun tersebut — tidak tercampur stasiun lain.</t>
        </is>
      </c>
      <c r="L155" s="22" t="inlineStr">
        <is>
          <t>Sedang</t>
        </is>
      </c>
      <c r="M155" s="5" t="inlineStr"/>
      <c r="N155" s="17" t="n"/>
      <c r="O155" s="17" t="n"/>
      <c r="P155" s="17" t="n"/>
      <c r="Q155" s="17" t="n"/>
      <c r="R155" s="17" t="n"/>
    </row>
    <row r="156" ht="96.39999999999999" customHeight="1">
      <c r="A156" s="18" t="n">
        <v>152</v>
      </c>
      <c r="B156" s="18" t="n">
        <v>3</v>
      </c>
      <c r="C156" s="19" t="inlineStr">
        <is>
          <t>MB-MON-07 / Solid Waste Disposal</t>
        </is>
      </c>
      <c r="D156" s="19" t="inlineStr">
        <is>
          <t>MB-MON-07</t>
        </is>
      </c>
      <c r="E156" s="20" t="inlineStr">
        <is>
          <t>Solid Waste Disposal</t>
        </is>
      </c>
      <c r="F156" s="21" t="inlineStr">
        <is>
          <t>Mobile — Operasional Stasiun (MB-)</t>
        </is>
      </c>
      <c r="G156" s="20" t="inlineStr">
        <is>
          <t>Load Data membuka Data Preview stasiun itu</t>
        </is>
      </c>
      <c r="H156" s="21" t="inlineStr">
        <is>
          <t>OPR-A</t>
        </is>
      </c>
      <c r="I156" s="21" t="inlineStr">
        <is>
          <t>—</t>
        </is>
      </c>
      <c r="J156" s="21" t="inlineStr">
        <is>
          <t>1. Login di mobile, Station List, lalu tekan tile Solid Waste Disposal (/stations/solid-waste-disposal/monitor).
2. Tekan Load Data.
3. Baca judul layar dan alamatnya.
4. Periksa stasiun pada record yang terdaftar.</t>
        </is>
      </c>
      <c r="K156" s="21" t="inlineStr">
        <is>
          <t>- Terbuka Data Preview stasiun itu (/stations/solid-waste-disposal/preview).
- Daftarnya hanya memuat record stasiun tersebut — tidak tercampur stasiun lain.</t>
        </is>
      </c>
      <c r="L156" s="18" t="inlineStr">
        <is>
          <t>Sedang</t>
        </is>
      </c>
      <c r="M156" s="21" t="inlineStr"/>
      <c r="N156" s="17" t="n"/>
      <c r="O156" s="17" t="n"/>
      <c r="P156" s="17" t="n"/>
      <c r="Q156" s="17" t="n"/>
      <c r="R156" s="17" t="n"/>
    </row>
    <row r="157" ht="96.39999999999999" customHeight="1">
      <c r="A157" s="22" t="n">
        <v>153</v>
      </c>
      <c r="B157" s="22" t="n">
        <v>3</v>
      </c>
      <c r="C157" s="23" t="inlineStr">
        <is>
          <t>MB-MON-07 / Kernel Dispatch</t>
        </is>
      </c>
      <c r="D157" s="23" t="inlineStr">
        <is>
          <t>MB-MON-07</t>
        </is>
      </c>
      <c r="E157" s="24" t="inlineStr">
        <is>
          <t>Kernel Dispatch</t>
        </is>
      </c>
      <c r="F157" s="5" t="inlineStr">
        <is>
          <t>Mobile — Operasional Stasiun (MB-)</t>
        </is>
      </c>
      <c r="G157" s="24" t="inlineStr">
        <is>
          <t>Load Data membuka Data Preview stasiun itu</t>
        </is>
      </c>
      <c r="H157" s="5" t="inlineStr">
        <is>
          <t>OPR-A</t>
        </is>
      </c>
      <c r="I157" s="5" t="inlineStr">
        <is>
          <t>—</t>
        </is>
      </c>
      <c r="J157" s="5" t="inlineStr">
        <is>
          <t>1. Login di mobile, Station List, lalu tekan tile Kernel Dispatch (/stations/kernel-dispatch/monitor).
2. Tekan Load Data.
3. Baca judul layar dan alamatnya.
4. Periksa stasiun pada record yang terdaftar.</t>
        </is>
      </c>
      <c r="K157" s="5" t="inlineStr">
        <is>
          <t>- Terbuka Data Preview stasiun itu (/stations/kernel-dispatch/preview).
- Daftarnya hanya memuat record stasiun tersebut — tidak tercampur stasiun lain.</t>
        </is>
      </c>
      <c r="L157" s="22" t="inlineStr">
        <is>
          <t>Sedang</t>
        </is>
      </c>
      <c r="M157" s="5" t="inlineStr"/>
      <c r="N157" s="17" t="n"/>
      <c r="O157" s="17" t="n"/>
      <c r="P157" s="17" t="n"/>
      <c r="Q157" s="17" t="n"/>
      <c r="R157" s="17" t="n"/>
    </row>
    <row r="158" ht="96.39999999999999" customHeight="1">
      <c r="A158" s="18" t="n">
        <v>154</v>
      </c>
      <c r="B158" s="18" t="n">
        <v>3</v>
      </c>
      <c r="C158" s="19" t="inlineStr">
        <is>
          <t>MB-MON-07 / CPO Dispatch</t>
        </is>
      </c>
      <c r="D158" s="19" t="inlineStr">
        <is>
          <t>MB-MON-07</t>
        </is>
      </c>
      <c r="E158" s="20" t="inlineStr">
        <is>
          <t>CPO Dispatch</t>
        </is>
      </c>
      <c r="F158" s="21" t="inlineStr">
        <is>
          <t>Mobile — Operasional Stasiun (MB-)</t>
        </is>
      </c>
      <c r="G158" s="20" t="inlineStr">
        <is>
          <t>Load Data membuka Data Preview stasiun itu</t>
        </is>
      </c>
      <c r="H158" s="21" t="inlineStr">
        <is>
          <t>OPR-A</t>
        </is>
      </c>
      <c r="I158" s="21" t="inlineStr">
        <is>
          <t>—</t>
        </is>
      </c>
      <c r="J158" s="21" t="inlineStr">
        <is>
          <t>1. Login di mobile, Station List, lalu tekan tile CPO Dispatch (/stations/cpo-dispatch/monitor).
2. Tekan Load Data.
3. Baca judul layar dan alamatnya.
4. Periksa stasiun pada record yang terdaftar.</t>
        </is>
      </c>
      <c r="K158" s="21" t="inlineStr">
        <is>
          <t>- Terbuka Data Preview stasiun itu (/stations/cpo-dispatch/preview).
- Daftarnya hanya memuat record stasiun tersebut — tidak tercampur stasiun lain.</t>
        </is>
      </c>
      <c r="L158" s="18" t="inlineStr">
        <is>
          <t>Sedang</t>
        </is>
      </c>
      <c r="M158" s="21" t="inlineStr"/>
      <c r="N158" s="17" t="n"/>
      <c r="O158" s="17" t="n"/>
      <c r="P158" s="17" t="n"/>
      <c r="Q158" s="17" t="n"/>
      <c r="R158" s="17" t="n"/>
    </row>
    <row r="159" ht="96.39999999999999" customHeight="1">
      <c r="A159" s="22" t="n">
        <v>155</v>
      </c>
      <c r="B159" s="22" t="n">
        <v>3</v>
      </c>
      <c r="C159" s="23" t="inlineStr">
        <is>
          <t>MB-MON-07 / Process Quality Control</t>
        </is>
      </c>
      <c r="D159" s="23" t="inlineStr">
        <is>
          <t>MB-MON-07</t>
        </is>
      </c>
      <c r="E159" s="24" t="inlineStr">
        <is>
          <t>Process Quality Control</t>
        </is>
      </c>
      <c r="F159" s="5" t="inlineStr">
        <is>
          <t>Mobile — Operasional Stasiun (MB-)</t>
        </is>
      </c>
      <c r="G159" s="24" t="inlineStr">
        <is>
          <t>Load Data membuka Data Preview stasiun itu</t>
        </is>
      </c>
      <c r="H159" s="5" t="inlineStr">
        <is>
          <t>OPR-A</t>
        </is>
      </c>
      <c r="I159" s="5" t="inlineStr">
        <is>
          <t>—</t>
        </is>
      </c>
      <c r="J159" s="5" t="inlineStr">
        <is>
          <t>1. Login di mobile, Station List, lalu tekan tile Process Quality Control (/stations/process-quality-control/monitor).
2. Tekan Load Data.
3. Baca judul layar dan alamatnya.
4. Periksa stasiun pada record yang terdaftar.</t>
        </is>
      </c>
      <c r="K159" s="5" t="inlineStr">
        <is>
          <t>- Terbuka Data Preview stasiun itu (/stations/process-quality-control/preview).
- Daftarnya hanya memuat record stasiun tersebut — tidak tercampur stasiun lain.</t>
        </is>
      </c>
      <c r="L159" s="22" t="inlineStr">
        <is>
          <t>Sedang</t>
        </is>
      </c>
      <c r="M159" s="5" t="inlineStr"/>
      <c r="N159" s="17" t="n"/>
      <c r="O159" s="17" t="n"/>
      <c r="P159" s="17" t="n"/>
      <c r="Q159" s="17" t="n"/>
      <c r="R159" s="17" t="n"/>
    </row>
    <row r="160" ht="188.8" customHeight="1">
      <c r="A160" s="25" t="n">
        <v>156</v>
      </c>
      <c r="B160" s="26" t="n">
        <v>2</v>
      </c>
      <c r="C160" s="27" t="inlineStr">
        <is>
          <t>MB-FORM-01 / Weighbridge</t>
        </is>
      </c>
      <c r="D160" s="27" t="inlineStr">
        <is>
          <t>MB-FORM-01</t>
        </is>
      </c>
      <c r="E160" s="28" t="inlineStr">
        <is>
          <t>Weighbridge</t>
        </is>
      </c>
      <c r="F160" s="29" t="inlineStr">
        <is>
          <t>Mobile — Operasional Stasiun (MB-)</t>
        </is>
      </c>
      <c r="G160" s="28" t="inlineStr">
        <is>
          <t>Simpan berhasil dengan satu baris terisi</t>
        </is>
      </c>
      <c r="H160" s="29" t="inlineStr">
        <is>
          <t>OPR-A</t>
        </is>
      </c>
      <c r="I160"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0" s="29" t="inlineStr">
        <is>
          <t>1. Pastikan periode stasiun ini Terbuka dan satu Production Line sudah terpilih.
2. Login di mobile, buka Monitor Weighbridge, lalu tekan New Data (/stations/weighbridge/form/&lt;id&gt;).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0" s="29" t="inlineStr">
        <is>
          <t>- Simpan berhasil, dengan pesan konfirmasi.
- Layar kembali ke Monitor (atau ke daftar), bukan tetap di Form.
- Record muncul di Data Preview dengan status Tersimpan.
- Satu baris terisi sudah cukup — tidak dipaksa mengisi 24 slot.</t>
        </is>
      </c>
      <c r="L160" s="16" t="inlineStr">
        <is>
          <t>Tinggi</t>
        </is>
      </c>
      <c r="M160" s="29" t="inlineStr"/>
      <c r="N160" s="17" t="n"/>
      <c r="O160" s="17" t="n"/>
      <c r="P160" s="17" t="n"/>
      <c r="Q160" s="17" t="n"/>
      <c r="R160" s="17" t="n"/>
    </row>
    <row r="161" ht="188.8" customHeight="1">
      <c r="A161" s="25" t="n">
        <v>157</v>
      </c>
      <c r="B161" s="26" t="n">
        <v>2</v>
      </c>
      <c r="C161" s="27" t="inlineStr">
        <is>
          <t>MB-FORM-01 / Grading</t>
        </is>
      </c>
      <c r="D161" s="27" t="inlineStr">
        <is>
          <t>MB-FORM-01</t>
        </is>
      </c>
      <c r="E161" s="28" t="inlineStr">
        <is>
          <t>Grading</t>
        </is>
      </c>
      <c r="F161" s="29" t="inlineStr">
        <is>
          <t>Mobile — Operasional Stasiun (MB-)</t>
        </is>
      </c>
      <c r="G161" s="28" t="inlineStr">
        <is>
          <t>Simpan berhasil dengan satu baris terisi</t>
        </is>
      </c>
      <c r="H161" s="29" t="inlineStr">
        <is>
          <t>OPR-A</t>
        </is>
      </c>
      <c r="I161"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Itu bukan bug — satu muatan Grading memang menunjuk kartu timbang tertentu. — periode stasiun itu Terbuka; Production Line terpilih</t>
        </is>
      </c>
      <c r="J161" s="29" t="inlineStr">
        <is>
          <t>1. Pastikan periode stasiun ini Terbuka dan satu Production Line sudah terpilih.
2. Login di mobile, buka Monitor Grading, lalu tekan New Data (/stations/grading/form/&lt;id&gt;).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1" s="29" t="inlineStr">
        <is>
          <t>- Simpan berhasil, dengan pesan konfirmasi.
- Layar kembali ke Monitor (atau ke daftar), bukan tetap di Form.
- Record muncul di Data Preview dengan status Tersimpan.
- Satu baris terisi sudah cukup — tidak dipaksa mengisi 24 slot.</t>
        </is>
      </c>
      <c r="L161" s="16" t="inlineStr">
        <is>
          <t>Tinggi</t>
        </is>
      </c>
      <c r="M161" s="29" t="inlineStr"/>
      <c r="N161" s="17" t="n"/>
      <c r="O161" s="17" t="n"/>
      <c r="P161" s="17" t="n"/>
      <c r="Q161" s="17" t="n"/>
      <c r="R161" s="17" t="n"/>
    </row>
    <row r="162" ht="188.8" customHeight="1">
      <c r="A162" s="25" t="n">
        <v>158</v>
      </c>
      <c r="B162" s="26" t="n">
        <v>2</v>
      </c>
      <c r="C162" s="27" t="inlineStr">
        <is>
          <t>MB-FORM-01 / Cages Track</t>
        </is>
      </c>
      <c r="D162" s="27" t="inlineStr">
        <is>
          <t>MB-FORM-01</t>
        </is>
      </c>
      <c r="E162" s="28" t="inlineStr">
        <is>
          <t>Cages Track</t>
        </is>
      </c>
      <c r="F162" s="29" t="inlineStr">
        <is>
          <t>Mobile — Operasional Stasiun (MB-)</t>
        </is>
      </c>
      <c r="G162" s="28" t="inlineStr">
        <is>
          <t>Simpan berhasil dengan satu baris terisi</t>
        </is>
      </c>
      <c r="H162" s="29" t="inlineStr">
        <is>
          <t>OPR-A</t>
        </is>
      </c>
      <c r="I162"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2" s="29" t="inlineStr">
        <is>
          <t>1. Pastikan periode stasiun ini Terbuka dan satu Production Line sudah terpilih.
2. Login di mobile, buka Monitor Cages Track, lalu tekan New Data (/stations/cages-track/form/&lt;id&gt;).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2" s="29" t="inlineStr">
        <is>
          <t>- Simpan berhasil, dengan pesan konfirmasi.
- Layar kembali ke Monitor (atau ke daftar), bukan tetap di Form.
- Record muncul di Data Preview dengan status Tersimpan.
- Satu baris terisi sudah cukup — tidak dipaksa mengisi 24 slot.</t>
        </is>
      </c>
      <c r="L162" s="16" t="inlineStr">
        <is>
          <t>Tinggi</t>
        </is>
      </c>
      <c r="M162" s="29" t="inlineStr"/>
      <c r="N162" s="17" t="n"/>
      <c r="O162" s="17" t="n"/>
      <c r="P162" s="17" t="n"/>
      <c r="Q162" s="17" t="n"/>
      <c r="R162" s="17" t="n"/>
    </row>
    <row r="163" ht="188.8" customHeight="1">
      <c r="A163" s="25" t="n">
        <v>159</v>
      </c>
      <c r="B163" s="26" t="n">
        <v>2</v>
      </c>
      <c r="C163" s="27" t="inlineStr">
        <is>
          <t>MB-FORM-01 / Sterilizer</t>
        </is>
      </c>
      <c r="D163" s="27" t="inlineStr">
        <is>
          <t>MB-FORM-01</t>
        </is>
      </c>
      <c r="E163" s="28" t="inlineStr">
        <is>
          <t>Sterilizer</t>
        </is>
      </c>
      <c r="F163" s="29" t="inlineStr">
        <is>
          <t>Mobile — Operasional Stasiun (MB-)</t>
        </is>
      </c>
      <c r="G163" s="28" t="inlineStr">
        <is>
          <t>Simpan berhasil dengan satu baris terisi</t>
        </is>
      </c>
      <c r="H163" s="29" t="inlineStr">
        <is>
          <t>OPR-A</t>
        </is>
      </c>
      <c r="I163"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3" s="29" t="inlineStr">
        <is>
          <t>1. Pastikan periode stasiun ini Terbuka dan satu Production Line sudah terpilih.
2. Login di mobile, buka Monitor Sterilizer, lalu tekan New Data (/stations/sterilizer/form/&lt;id&gt;).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3" s="29" t="inlineStr">
        <is>
          <t>- Simpan berhasil, dengan pesan konfirmasi.
- Layar kembali ke Monitor (atau ke daftar), bukan tetap di Form.
- Record muncul di Data Preview dengan status Tersimpan.
- Satu baris terisi sudah cukup — tidak dipaksa mengisi 24 slot.</t>
        </is>
      </c>
      <c r="L163" s="16" t="inlineStr">
        <is>
          <t>Tinggi</t>
        </is>
      </c>
      <c r="M163" s="29" t="inlineStr"/>
      <c r="N163" s="17" t="n"/>
      <c r="O163" s="17" t="n"/>
      <c r="P163" s="17" t="n"/>
      <c r="Q163" s="17" t="n"/>
      <c r="R163" s="17" t="n"/>
    </row>
    <row r="164" ht="188.8" customHeight="1">
      <c r="A164" s="25" t="n">
        <v>160</v>
      </c>
      <c r="B164" s="26" t="n">
        <v>2</v>
      </c>
      <c r="C164" s="27" t="inlineStr">
        <is>
          <t>MB-FORM-01 / Threshing</t>
        </is>
      </c>
      <c r="D164" s="27" t="inlineStr">
        <is>
          <t>MB-FORM-01</t>
        </is>
      </c>
      <c r="E164" s="28" t="inlineStr">
        <is>
          <t>Threshing</t>
        </is>
      </c>
      <c r="F164" s="29" t="inlineStr">
        <is>
          <t>Mobile — Operasional Stasiun (MB-)</t>
        </is>
      </c>
      <c r="G164" s="28" t="inlineStr">
        <is>
          <t>Simpan berhasil dengan satu baris terisi</t>
        </is>
      </c>
      <c r="H164" s="29" t="inlineStr">
        <is>
          <t>OPR-A</t>
        </is>
      </c>
      <c r="I164"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4" s="29" t="inlineStr">
        <is>
          <t>1. Pastikan periode stasiun ini Terbuka dan satu Production Line sudah terpilih.
2. Login di mobile, buka Monitor Threshing, lalu tekan New Data (/stations/threshing/form/&lt;id&gt;).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4" s="29" t="inlineStr">
        <is>
          <t>- Simpan berhasil, dengan pesan konfirmasi.
- Layar kembali ke Monitor (atau ke daftar), bukan tetap di Form.
- Record muncul di Data Preview dengan status Tersimpan.
- Satu baris terisi sudah cukup — tidak dipaksa mengisi 24 slot.</t>
        </is>
      </c>
      <c r="L164" s="16" t="inlineStr">
        <is>
          <t>Tinggi</t>
        </is>
      </c>
      <c r="M164" s="29" t="inlineStr"/>
      <c r="N164" s="17" t="n"/>
      <c r="O164" s="17" t="n"/>
      <c r="P164" s="17" t="n"/>
      <c r="Q164" s="17" t="n"/>
      <c r="R164" s="17" t="n"/>
    </row>
    <row r="165" ht="188.8" customHeight="1">
      <c r="A165" s="25" t="n">
        <v>161</v>
      </c>
      <c r="B165" s="26" t="n">
        <v>2</v>
      </c>
      <c r="C165" s="27" t="inlineStr">
        <is>
          <t>MB-FORM-01 / Pressing</t>
        </is>
      </c>
      <c r="D165" s="27" t="inlineStr">
        <is>
          <t>MB-FORM-01</t>
        </is>
      </c>
      <c r="E165" s="28" t="inlineStr">
        <is>
          <t>Pressing</t>
        </is>
      </c>
      <c r="F165" s="29" t="inlineStr">
        <is>
          <t>Mobile — Operasional Stasiun (MB-)</t>
        </is>
      </c>
      <c r="G165" s="28" t="inlineStr">
        <is>
          <t>Simpan berhasil dengan satu baris terisi</t>
        </is>
      </c>
      <c r="H165" s="29" t="inlineStr">
        <is>
          <t>OPR-A</t>
        </is>
      </c>
      <c r="I165"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5" s="29" t="inlineStr">
        <is>
          <t>1. Pastikan periode stasiun ini Terbuka dan satu Production Line sudah terpilih.
2. Login di mobile, buka Monitor Pressing, lalu tekan New Data (/stations/pressing/form/&lt;id&gt;).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5" s="29" t="inlineStr">
        <is>
          <t>- Simpan berhasil, dengan pesan konfirmasi.
- Layar kembali ke Monitor (atau ke daftar), bukan tetap di Form.
- Record muncul di Data Preview dengan status Tersimpan.
- Satu baris terisi sudah cukup — tidak dipaksa mengisi 24 slot.</t>
        </is>
      </c>
      <c r="L165" s="16" t="inlineStr">
        <is>
          <t>Tinggi</t>
        </is>
      </c>
      <c r="M165" s="29" t="inlineStr"/>
      <c r="N165" s="17" t="n"/>
      <c r="O165" s="17" t="n"/>
      <c r="P165" s="17" t="n"/>
      <c r="Q165" s="17" t="n"/>
      <c r="R165" s="17" t="n"/>
    </row>
    <row r="166" ht="188.8" customHeight="1">
      <c r="A166" s="25" t="n">
        <v>162</v>
      </c>
      <c r="B166" s="26" t="n">
        <v>2</v>
      </c>
      <c r="C166" s="27" t="inlineStr">
        <is>
          <t>MB-FORM-01 / Clarification</t>
        </is>
      </c>
      <c r="D166" s="27" t="inlineStr">
        <is>
          <t>MB-FORM-01</t>
        </is>
      </c>
      <c r="E166" s="28" t="inlineStr">
        <is>
          <t>Clarification</t>
        </is>
      </c>
      <c r="F166" s="29" t="inlineStr">
        <is>
          <t>Mobile — Operasional Stasiun (MB-)</t>
        </is>
      </c>
      <c r="G166" s="28" t="inlineStr">
        <is>
          <t>Simpan berhasil dengan satu baris terisi</t>
        </is>
      </c>
      <c r="H166" s="29" t="inlineStr">
        <is>
          <t>OPR-A</t>
        </is>
      </c>
      <c r="I166"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6" s="29" t="inlineStr">
        <is>
          <t>1. Pastikan periode stasiun ini Terbuka dan satu Production Line sudah terpilih.
2. Login di mobile, buka Monitor Clarification, lalu tekan New Data (/stations/clarification/form/&lt;id&gt;).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6" s="29" t="inlineStr">
        <is>
          <t>- Simpan berhasil, dengan pesan konfirmasi.
- Layar kembali ke Monitor (atau ke daftar), bukan tetap di Form.
- Record muncul di Data Preview dengan status Tersimpan.
- Satu baris terisi sudah cukup — tidak dipaksa mengisi 24 slot.</t>
        </is>
      </c>
      <c r="L166" s="16" t="inlineStr">
        <is>
          <t>Tinggi</t>
        </is>
      </c>
      <c r="M166" s="29" t="inlineStr"/>
      <c r="N166" s="17" t="n"/>
      <c r="O166" s="17" t="n"/>
      <c r="P166" s="17" t="n"/>
      <c r="Q166" s="17" t="n"/>
      <c r="R166" s="17" t="n"/>
    </row>
    <row r="167" ht="188.8" customHeight="1">
      <c r="A167" s="25" t="n">
        <v>163</v>
      </c>
      <c r="B167" s="26" t="n">
        <v>2</v>
      </c>
      <c r="C167" s="27" t="inlineStr">
        <is>
          <t>MB-FORM-01 / Kernel Plant</t>
        </is>
      </c>
      <c r="D167" s="27" t="inlineStr">
        <is>
          <t>MB-FORM-01</t>
        </is>
      </c>
      <c r="E167" s="28" t="inlineStr">
        <is>
          <t>Kernel Plant</t>
        </is>
      </c>
      <c r="F167" s="29" t="inlineStr">
        <is>
          <t>Mobile — Operasional Stasiun (MB-)</t>
        </is>
      </c>
      <c r="G167" s="28" t="inlineStr">
        <is>
          <t>Simpan berhasil dengan satu baris terisi</t>
        </is>
      </c>
      <c r="H167" s="29" t="inlineStr">
        <is>
          <t>OPR-A</t>
        </is>
      </c>
      <c r="I167"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7" s="29" t="inlineStr">
        <is>
          <t>1. Pastikan periode stasiun ini Terbuka dan satu Production Line sudah terpilih.
2. Login di mobile, buka Monitor Kernel Plant, lalu tekan New Data (/stations/kernel-plant/form/&lt;id&gt;).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7" s="29" t="inlineStr">
        <is>
          <t>- Simpan berhasil, dengan pesan konfirmasi.
- Layar kembali ke Monitor (atau ke daftar), bukan tetap di Form.
- Record muncul di Data Preview dengan status Tersimpan.
- Satu baris terisi sudah cukup — tidak dipaksa mengisi 24 slot.</t>
        </is>
      </c>
      <c r="L167" s="16" t="inlineStr">
        <is>
          <t>Tinggi</t>
        </is>
      </c>
      <c r="M167" s="29" t="inlineStr"/>
      <c r="N167" s="17" t="n"/>
      <c r="O167" s="17" t="n"/>
      <c r="P167" s="17" t="n"/>
      <c r="Q167" s="17" t="n"/>
      <c r="R167" s="17" t="n"/>
    </row>
    <row r="168" ht="188.8" customHeight="1">
      <c r="A168" s="25" t="n">
        <v>164</v>
      </c>
      <c r="B168" s="26" t="n">
        <v>2</v>
      </c>
      <c r="C168" s="27" t="inlineStr">
        <is>
          <t>MB-FORM-01 / Boiler Room</t>
        </is>
      </c>
      <c r="D168" s="27" t="inlineStr">
        <is>
          <t>MB-FORM-01</t>
        </is>
      </c>
      <c r="E168" s="28" t="inlineStr">
        <is>
          <t>Boiler Room</t>
        </is>
      </c>
      <c r="F168" s="29" t="inlineStr">
        <is>
          <t>Mobile — Operasional Stasiun (MB-)</t>
        </is>
      </c>
      <c r="G168" s="28" t="inlineStr">
        <is>
          <t>Simpan berhasil dengan satu baris terisi</t>
        </is>
      </c>
      <c r="H168" s="29" t="inlineStr">
        <is>
          <t>OPR-A</t>
        </is>
      </c>
      <c r="I168"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8" s="29" t="inlineStr">
        <is>
          <t>1. Pastikan periode stasiun ini Terbuka dan satu Production Line sudah terpilih.
2. Login di mobile, buka Monitor Boiler Room, lalu tekan New Data (/stations/boiler-room/form/&lt;id&gt;).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8" s="29" t="inlineStr">
        <is>
          <t>- Simpan berhasil, dengan pesan konfirmasi.
- Layar kembali ke Monitor (atau ke daftar), bukan tetap di Form.
- Record muncul di Data Preview dengan status Tersimpan.
- Satu baris terisi sudah cukup — tidak dipaksa mengisi 24 slot.</t>
        </is>
      </c>
      <c r="L168" s="16" t="inlineStr">
        <is>
          <t>Tinggi</t>
        </is>
      </c>
      <c r="M168" s="29" t="inlineStr"/>
      <c r="N168" s="17" t="n"/>
      <c r="O168" s="17" t="n"/>
      <c r="P168" s="17" t="n"/>
      <c r="Q168" s="17" t="n"/>
      <c r="R168" s="17" t="n"/>
    </row>
    <row r="169" ht="188.8" customHeight="1">
      <c r="A169" s="25" t="n">
        <v>165</v>
      </c>
      <c r="B169" s="26" t="n">
        <v>2</v>
      </c>
      <c r="C169" s="27" t="inlineStr">
        <is>
          <t>MB-FORM-01 / Effluent Plant</t>
        </is>
      </c>
      <c r="D169" s="27" t="inlineStr">
        <is>
          <t>MB-FORM-01</t>
        </is>
      </c>
      <c r="E169" s="28" t="inlineStr">
        <is>
          <t>Effluent Plant</t>
        </is>
      </c>
      <c r="F169" s="29" t="inlineStr">
        <is>
          <t>Mobile — Operasional Stasiun (MB-)</t>
        </is>
      </c>
      <c r="G169" s="28" t="inlineStr">
        <is>
          <t>Simpan berhasil dengan satu baris terisi</t>
        </is>
      </c>
      <c r="H169" s="29" t="inlineStr">
        <is>
          <t>OPR-A</t>
        </is>
      </c>
      <c r="I169"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9" s="29" t="inlineStr">
        <is>
          <t>1. Pastikan periode stasiun ini Terbuka dan satu Production Line sudah terpilih.
2. Login di mobile, buka Monitor Effluent Plant, lalu tekan New Data (/stations/effluent-plant/form/&lt;id&gt;).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9" s="29" t="inlineStr">
        <is>
          <t>- Simpan berhasil, dengan pesan konfirmasi.
- Layar kembali ke Monitor (atau ke daftar), bukan tetap di Form.
- Record muncul di Data Preview dengan status Tersimpan.
- Satu baris terisi sudah cukup — tidak dipaksa mengisi 24 slot.</t>
        </is>
      </c>
      <c r="L169" s="16" t="inlineStr">
        <is>
          <t>Tinggi</t>
        </is>
      </c>
      <c r="M169" s="29" t="inlineStr"/>
      <c r="N169" s="17" t="n"/>
      <c r="O169" s="17" t="n"/>
      <c r="P169" s="17" t="n"/>
      <c r="Q169" s="17" t="n"/>
      <c r="R169" s="17" t="n"/>
    </row>
    <row r="170" ht="188.8" customHeight="1">
      <c r="A170" s="11" t="n">
        <v>166</v>
      </c>
      <c r="B170" s="12" t="n">
        <v>1</v>
      </c>
      <c r="C170" s="13" t="inlineStr">
        <is>
          <t>MB-FORM-01 / Depricarping</t>
        </is>
      </c>
      <c r="D170" s="13" t="inlineStr">
        <is>
          <t>MB-FORM-01</t>
        </is>
      </c>
      <c r="E170" s="15" t="inlineStr">
        <is>
          <t>Depricarping</t>
        </is>
      </c>
      <c r="F170" s="14" t="inlineStr">
        <is>
          <t>Mobile — Operasional Stasiun (MB-)</t>
        </is>
      </c>
      <c r="G170" s="15" t="inlineStr">
        <is>
          <t>Simpan berhasil dengan satu baris terisi</t>
        </is>
      </c>
      <c r="H170" s="14" t="inlineStr">
        <is>
          <t>OPR-A</t>
        </is>
      </c>
      <c r="I170" s="14"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0" s="14" t="inlineStr">
        <is>
          <t>1. Pastikan periode stasiun ini Terbuka dan satu Production Line sudah terpilih.
2. Login di mobile, buka Monitor Depricarping, lalu tekan New Data (/stations/depricarping/form/&lt;id&gt;).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0" s="14" t="inlineStr">
        <is>
          <t>- Simpan berhasil, dengan pesan konfirmasi.
- Layar kembali ke Monitor (atau ke daftar), bukan tetap di Form.
- Record muncul di Data Preview dengan status Tersimpan.
- Satu baris terisi sudah cukup — tidak dipaksa mengisi 24 slot.</t>
        </is>
      </c>
      <c r="L170" s="16" t="inlineStr">
        <is>
          <t>Tinggi</t>
        </is>
      </c>
      <c r="M170" s="14" t="inlineStr"/>
      <c r="N170" s="17" t="n"/>
      <c r="O170" s="17" t="n"/>
      <c r="P170" s="17" t="n"/>
      <c r="Q170" s="17" t="n"/>
      <c r="R170" s="17" t="n"/>
    </row>
    <row r="171" ht="188.8" customHeight="1">
      <c r="A171" s="25" t="n">
        <v>167</v>
      </c>
      <c r="B171" s="26" t="n">
        <v>2</v>
      </c>
      <c r="C171" s="27" t="inlineStr">
        <is>
          <t>MB-FORM-01 / Engine Room</t>
        </is>
      </c>
      <c r="D171" s="27" t="inlineStr">
        <is>
          <t>MB-FORM-01</t>
        </is>
      </c>
      <c r="E171" s="28" t="inlineStr">
        <is>
          <t>Engine Room</t>
        </is>
      </c>
      <c r="F171" s="29" t="inlineStr">
        <is>
          <t>Mobile — Operasional Stasiun (MB-)</t>
        </is>
      </c>
      <c r="G171" s="28" t="inlineStr">
        <is>
          <t>Simpan berhasil dengan satu baris terisi</t>
        </is>
      </c>
      <c r="H171" s="29" t="inlineStr">
        <is>
          <t>OPR-A</t>
        </is>
      </c>
      <c r="I171"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1" s="29" t="inlineStr">
        <is>
          <t>1. Pastikan periode stasiun ini Terbuka dan satu Production Line sudah terpilih.
2. Login di mobile, buka Monitor Engine Room, lalu tekan New Data (/stations/engine-room/form/&lt;id&gt;).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1" s="29" t="inlineStr">
        <is>
          <t>- Simpan berhasil, dengan pesan konfirmasi.
- Layar kembali ke Monitor (atau ke daftar), bukan tetap di Form.
- Record muncul di Data Preview dengan status Tersimpan.
- Satu baris terisi sudah cukup — tidak dipaksa mengisi 24 slot.</t>
        </is>
      </c>
      <c r="L171" s="16" t="inlineStr">
        <is>
          <t>Tinggi</t>
        </is>
      </c>
      <c r="M171" s="29" t="inlineStr"/>
      <c r="N171" s="17" t="n"/>
      <c r="O171" s="17" t="n"/>
      <c r="P171" s="17" t="n"/>
      <c r="Q171" s="17" t="n"/>
      <c r="R171" s="17" t="n"/>
    </row>
    <row r="172" ht="188.8" customHeight="1">
      <c r="A172" s="25" t="n">
        <v>168</v>
      </c>
      <c r="B172" s="26" t="n">
        <v>2</v>
      </c>
      <c r="C172" s="27" t="inlineStr">
        <is>
          <t>MB-FORM-01 / Process Water</t>
        </is>
      </c>
      <c r="D172" s="27" t="inlineStr">
        <is>
          <t>MB-FORM-01</t>
        </is>
      </c>
      <c r="E172" s="28" t="inlineStr">
        <is>
          <t>Process Water</t>
        </is>
      </c>
      <c r="F172" s="29" t="inlineStr">
        <is>
          <t>Mobile — Operasional Stasiun (MB-)</t>
        </is>
      </c>
      <c r="G172" s="28" t="inlineStr">
        <is>
          <t>Simpan berhasil dengan satu baris terisi</t>
        </is>
      </c>
      <c r="H172" s="29" t="inlineStr">
        <is>
          <t>OPR-A</t>
        </is>
      </c>
      <c r="I172"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2" s="29" t="inlineStr">
        <is>
          <t>1. Pastikan periode stasiun ini Terbuka dan satu Production Line sudah terpilih.
2. Login di mobile, buka Monitor Process Water, lalu tekan New Data (/stations/process-water/form/&lt;id&gt;).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2" s="29" t="inlineStr">
        <is>
          <t>- Simpan berhasil, dengan pesan konfirmasi.
- Layar kembali ke Monitor (atau ke daftar), bukan tetap di Form.
- Record muncul di Data Preview dengan status Tersimpan.
- Satu baris terisi sudah cukup — tidak dipaksa mengisi 24 slot.</t>
        </is>
      </c>
      <c r="L172" s="16" t="inlineStr">
        <is>
          <t>Tinggi</t>
        </is>
      </c>
      <c r="M172" s="29" t="inlineStr"/>
      <c r="N172" s="17" t="n"/>
      <c r="O172" s="17" t="n"/>
      <c r="P172" s="17" t="n"/>
      <c r="Q172" s="17" t="n"/>
      <c r="R172" s="17" t="n"/>
    </row>
    <row r="173" ht="188.8" customHeight="1">
      <c r="A173" s="25" t="n">
        <v>169</v>
      </c>
      <c r="B173" s="26" t="n">
        <v>2</v>
      </c>
      <c r="C173" s="27" t="inlineStr">
        <is>
          <t>MB-FORM-01 / Storage Tank</t>
        </is>
      </c>
      <c r="D173" s="27" t="inlineStr">
        <is>
          <t>MB-FORM-01</t>
        </is>
      </c>
      <c r="E173" s="28" t="inlineStr">
        <is>
          <t>Storage Tank</t>
        </is>
      </c>
      <c r="F173" s="29" t="inlineStr">
        <is>
          <t>Mobile — Operasional Stasiun (MB-)</t>
        </is>
      </c>
      <c r="G173" s="28" t="inlineStr">
        <is>
          <t>Simpan berhasil dengan satu baris terisi</t>
        </is>
      </c>
      <c r="H173" s="29" t="inlineStr">
        <is>
          <t>OPR-A</t>
        </is>
      </c>
      <c r="I173"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3" s="29" t="inlineStr">
        <is>
          <t>1. Pastikan periode stasiun ini Terbuka dan satu Production Line sudah terpilih.
2. Login di mobile, buka Monitor Storage Tank, lalu tekan New Data (/stations/storage-tank/form/&lt;id&gt;).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3" s="29" t="inlineStr">
        <is>
          <t>- Simpan berhasil, dengan pesan konfirmasi.
- Layar kembali ke Monitor (atau ke daftar), bukan tetap di Form.
- Record muncul di Data Preview dengan status Tersimpan.
- Satu baris terisi sudah cukup — tidak dipaksa mengisi 24 slot.</t>
        </is>
      </c>
      <c r="L173" s="16" t="inlineStr">
        <is>
          <t>Tinggi</t>
        </is>
      </c>
      <c r="M173" s="29" t="inlineStr"/>
      <c r="N173" s="17" t="n"/>
      <c r="O173" s="17" t="n"/>
      <c r="P173" s="17" t="n"/>
      <c r="Q173" s="17" t="n"/>
      <c r="R173" s="17" t="n"/>
    </row>
    <row r="174" ht="188.8" customHeight="1">
      <c r="A174" s="25" t="n">
        <v>170</v>
      </c>
      <c r="B174" s="26" t="n">
        <v>2</v>
      </c>
      <c r="C174" s="27" t="inlineStr">
        <is>
          <t>MB-FORM-01 / Solid Waste Disposal</t>
        </is>
      </c>
      <c r="D174" s="27" t="inlineStr">
        <is>
          <t>MB-FORM-01</t>
        </is>
      </c>
      <c r="E174" s="28" t="inlineStr">
        <is>
          <t>Solid Waste Disposal</t>
        </is>
      </c>
      <c r="F174" s="29" t="inlineStr">
        <is>
          <t>Mobile — Operasional Stasiun (MB-)</t>
        </is>
      </c>
      <c r="G174" s="28" t="inlineStr">
        <is>
          <t>Simpan berhasil dengan satu baris terisi</t>
        </is>
      </c>
      <c r="H174" s="29" t="inlineStr">
        <is>
          <t>OPR-A</t>
        </is>
      </c>
      <c r="I174"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4" s="29" t="inlineStr">
        <is>
          <t>1. Pastikan periode stasiun ini Terbuka dan satu Production Line sudah terpilih.
2. Login di mobile, buka Monitor Solid Waste Disposal, lalu tekan New Data (/stations/solid-waste-disposal/form/&lt;id&gt;).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4" s="29" t="inlineStr">
        <is>
          <t>- Simpan berhasil, dengan pesan konfirmasi.
- Layar kembali ke Monitor (atau ke daftar), bukan tetap di Form.
- Record muncul di Data Preview dengan status Tersimpan.
- Satu baris terisi sudah cukup — tidak dipaksa mengisi 24 slot.</t>
        </is>
      </c>
      <c r="L174" s="16" t="inlineStr">
        <is>
          <t>Tinggi</t>
        </is>
      </c>
      <c r="M174" s="29" t="inlineStr"/>
      <c r="N174" s="17" t="n"/>
      <c r="O174" s="17" t="n"/>
      <c r="P174" s="17" t="n"/>
      <c r="Q174" s="17" t="n"/>
      <c r="R174" s="17" t="n"/>
    </row>
    <row r="175" ht="188.8" customHeight="1">
      <c r="A175" s="25" t="n">
        <v>171</v>
      </c>
      <c r="B175" s="26" t="n">
        <v>2</v>
      </c>
      <c r="C175" s="27" t="inlineStr">
        <is>
          <t>MB-FORM-01 / Kernel Dispatch</t>
        </is>
      </c>
      <c r="D175" s="27" t="inlineStr">
        <is>
          <t>MB-FORM-01</t>
        </is>
      </c>
      <c r="E175" s="28" t="inlineStr">
        <is>
          <t>Kernel Dispatch</t>
        </is>
      </c>
      <c r="F175" s="29" t="inlineStr">
        <is>
          <t>Mobile — Operasional Stasiun (MB-)</t>
        </is>
      </c>
      <c r="G175" s="28" t="inlineStr">
        <is>
          <t>Simpan berhasil dengan satu baris terisi</t>
        </is>
      </c>
      <c r="H175" s="29" t="inlineStr">
        <is>
          <t>OPR-A</t>
        </is>
      </c>
      <c r="I175"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5" s="29" t="inlineStr">
        <is>
          <t>1. Pastikan periode stasiun ini Terbuka dan satu Production Line sudah terpilih.
2. Login di mobile, buka Monitor Kernel Dispatch, lalu tekan New Data (/stations/kernel-dispatch/form/&lt;id&gt;).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5" s="29" t="inlineStr">
        <is>
          <t>- Simpan berhasil, dengan pesan konfirmasi.
- Layar kembali ke Monitor (atau ke daftar), bukan tetap di Form.
- Record muncul di Data Preview dengan status Tersimpan.
- Satu baris terisi sudah cukup — tidak dipaksa mengisi 24 slot.</t>
        </is>
      </c>
      <c r="L175" s="16" t="inlineStr">
        <is>
          <t>Tinggi</t>
        </is>
      </c>
      <c r="M175" s="29" t="inlineStr"/>
      <c r="N175" s="17" t="n"/>
      <c r="O175" s="17" t="n"/>
      <c r="P175" s="17" t="n"/>
      <c r="Q175" s="17" t="n"/>
      <c r="R175" s="17" t="n"/>
    </row>
    <row r="176" ht="188.8" customHeight="1">
      <c r="A176" s="25" t="n">
        <v>172</v>
      </c>
      <c r="B176" s="26" t="n">
        <v>2</v>
      </c>
      <c r="C176" s="27" t="inlineStr">
        <is>
          <t>MB-FORM-01 / CPO Dispatch</t>
        </is>
      </c>
      <c r="D176" s="27" t="inlineStr">
        <is>
          <t>MB-FORM-01</t>
        </is>
      </c>
      <c r="E176" s="28" t="inlineStr">
        <is>
          <t>CPO Dispatch</t>
        </is>
      </c>
      <c r="F176" s="29" t="inlineStr">
        <is>
          <t>Mobile — Operasional Stasiun (MB-)</t>
        </is>
      </c>
      <c r="G176" s="28" t="inlineStr">
        <is>
          <t>Simpan berhasil dengan satu baris terisi</t>
        </is>
      </c>
      <c r="H176" s="29" t="inlineStr">
        <is>
          <t>OPR-A</t>
        </is>
      </c>
      <c r="I176"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6" s="29" t="inlineStr">
        <is>
          <t>1. Pastikan periode stasiun ini Terbuka dan satu Production Line sudah terpilih.
2. Login di mobile, buka Monitor CPO Dispatch, lalu tekan New Data (/stations/cpo-dispatch/form/&lt;id&gt;).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6" s="29" t="inlineStr">
        <is>
          <t>- Simpan berhasil, dengan pesan konfirmasi.
- Layar kembali ke Monitor (atau ke daftar), bukan tetap di Form.
- Record muncul di Data Preview dengan status Tersimpan.
- Satu baris terisi sudah cukup — tidak dipaksa mengisi 24 slot.</t>
        </is>
      </c>
      <c r="L176" s="16" t="inlineStr">
        <is>
          <t>Tinggi</t>
        </is>
      </c>
      <c r="M176" s="29" t="inlineStr"/>
      <c r="N176" s="17" t="n"/>
      <c r="O176" s="17" t="n"/>
      <c r="P176" s="17" t="n"/>
      <c r="Q176" s="17" t="n"/>
      <c r="R176" s="17" t="n"/>
    </row>
    <row r="177" ht="188.8" customHeight="1">
      <c r="A177" s="25" t="n">
        <v>173</v>
      </c>
      <c r="B177" s="26" t="n">
        <v>2</v>
      </c>
      <c r="C177" s="27" t="inlineStr">
        <is>
          <t>MB-FORM-01 / Process Quality Control</t>
        </is>
      </c>
      <c r="D177" s="27" t="inlineStr">
        <is>
          <t>MB-FORM-01</t>
        </is>
      </c>
      <c r="E177" s="28" t="inlineStr">
        <is>
          <t>Process Quality Control</t>
        </is>
      </c>
      <c r="F177" s="29" t="inlineStr">
        <is>
          <t>Mobile — Operasional Stasiun (MB-)</t>
        </is>
      </c>
      <c r="G177" s="28" t="inlineStr">
        <is>
          <t>Simpan berhasil dengan satu baris terisi</t>
        </is>
      </c>
      <c r="H177" s="29" t="inlineStr">
        <is>
          <t>OPR-A</t>
        </is>
      </c>
      <c r="I177" s="29"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7" s="29" t="inlineStr">
        <is>
          <t>1. Pastikan periode stasiun ini Terbuka dan satu Production Line sudah terpilih.
2. Login di mobile, buka Monitor Process Quality Control, lalu tekan New Data (/stations/process-quality-control/form/&lt;id&gt;).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7" s="29" t="inlineStr">
        <is>
          <t>- Simpan berhasil, dengan pesan konfirmasi.
- Layar kembali ke Monitor (atau ke daftar), bukan tetap di Form.
- Record muncul di Data Preview dengan status Tersimpan.
- Satu baris terisi sudah cukup — tidak dipaksa mengisi 24 slot.</t>
        </is>
      </c>
      <c r="L177" s="16" t="inlineStr">
        <is>
          <t>Tinggi</t>
        </is>
      </c>
      <c r="M177" s="29" t="inlineStr"/>
      <c r="N177" s="17" t="n"/>
      <c r="O177" s="17" t="n"/>
      <c r="P177" s="17" t="n"/>
      <c r="Q177" s="17" t="n"/>
      <c r="R177" s="17" t="n"/>
    </row>
    <row r="178" ht="109.6" customHeight="1">
      <c r="A178" s="18" t="n">
        <v>174</v>
      </c>
      <c r="B178" s="18" t="n">
        <v>3</v>
      </c>
      <c r="C178" s="19" t="inlineStr">
        <is>
          <t>MB-FORM-02 / Weighbridge</t>
        </is>
      </c>
      <c r="D178" s="19" t="inlineStr">
        <is>
          <t>MB-FORM-02</t>
        </is>
      </c>
      <c r="E178" s="20" t="inlineStr">
        <is>
          <t>Weighbridge</t>
        </is>
      </c>
      <c r="F178" s="21" t="inlineStr">
        <is>
          <t>Mobile — Operasional Stasiun (MB-)</t>
        </is>
      </c>
      <c r="G178" s="20" t="inlineStr">
        <is>
          <t>Simpan ditolak bila kolom wajib kosong</t>
        </is>
      </c>
      <c r="H178" s="21" t="inlineStr">
        <is>
          <t>OPR-A</t>
        </is>
      </c>
      <c r="I178" s="21" t="inlineStr">
        <is>
          <t>—</t>
        </is>
      </c>
      <c r="J178" s="21" t="inlineStr">
        <is>
          <t>1. Login di mobile, buka Monitor Weighbridge, lalu tekan New Data (/stations/weighbridge/form/&lt;id&gt;).
2. Kosongkan kolom identitas unit.
3. Tambahkan satu baris slot waktu dan isi satu kolom bacaan.
4. Tekan Simpan.
5. Perhatikan di mana pesan galatnya muncul.</t>
        </is>
      </c>
      <c r="K178" s="21" t="inlineStr">
        <is>
          <t>- Ditolak — record tidak tersimpan.
- Pesan galat muncul di sebelah kolom identitas yang kosong, bukan hanya sebagai pesan umum.
- Isi yang sudah diketik pada grid tidak hilang.</t>
        </is>
      </c>
      <c r="L178" s="16" t="inlineStr">
        <is>
          <t>Tinggi</t>
        </is>
      </c>
      <c r="M178" s="21" t="inlineStr"/>
      <c r="N178" s="17" t="n"/>
      <c r="O178" s="17" t="n"/>
      <c r="P178" s="17" t="n"/>
      <c r="Q178" s="17" t="n"/>
      <c r="R178" s="17" t="n"/>
    </row>
    <row r="179" ht="109.6" customHeight="1">
      <c r="A179" s="22" t="n">
        <v>175</v>
      </c>
      <c r="B179" s="22" t="n">
        <v>3</v>
      </c>
      <c r="C179" s="23" t="inlineStr">
        <is>
          <t>MB-FORM-02 / Grading</t>
        </is>
      </c>
      <c r="D179" s="23" t="inlineStr">
        <is>
          <t>MB-FORM-02</t>
        </is>
      </c>
      <c r="E179" s="24" t="inlineStr">
        <is>
          <t>Grading</t>
        </is>
      </c>
      <c r="F179" s="5" t="inlineStr">
        <is>
          <t>Mobile — Operasional Stasiun (MB-)</t>
        </is>
      </c>
      <c r="G179" s="24" t="inlineStr">
        <is>
          <t>Simpan ditolak bila kolom wajib kosong</t>
        </is>
      </c>
      <c r="H179" s="5" t="inlineStr">
        <is>
          <t>OPR-A</t>
        </is>
      </c>
      <c r="I179" s="5" t="inlineStr">
        <is>
          <t>—</t>
        </is>
      </c>
      <c r="J179" s="5" t="inlineStr">
        <is>
          <t>1. Login di mobile, buka Monitor Grading, lalu tekan New Data (/stations/grading/form/&lt;id&gt;).
2. Kosongkan kolom identitas unit.
3. Tambahkan satu baris slot waktu dan isi satu kolom bacaan.
4. Tekan Simpan.
5. Perhatikan di mana pesan galatnya muncul.</t>
        </is>
      </c>
      <c r="K179" s="5" t="inlineStr">
        <is>
          <t>- Ditolak — record tidak tersimpan.
- Pesan galat muncul di sebelah kolom identitas yang kosong, bukan hanya sebagai pesan umum.
- Isi yang sudah diketik pada grid tidak hilang.</t>
        </is>
      </c>
      <c r="L179" s="16" t="inlineStr">
        <is>
          <t>Tinggi</t>
        </is>
      </c>
      <c r="M179" s="5" t="inlineStr"/>
      <c r="N179" s="17" t="n"/>
      <c r="O179" s="17" t="n"/>
      <c r="P179" s="17" t="n"/>
      <c r="Q179" s="17" t="n"/>
      <c r="R179" s="17" t="n"/>
    </row>
    <row r="180" ht="109.6" customHeight="1">
      <c r="A180" s="18" t="n">
        <v>176</v>
      </c>
      <c r="B180" s="18" t="n">
        <v>3</v>
      </c>
      <c r="C180" s="19" t="inlineStr">
        <is>
          <t>MB-FORM-02 / Cages Track</t>
        </is>
      </c>
      <c r="D180" s="19" t="inlineStr">
        <is>
          <t>MB-FORM-02</t>
        </is>
      </c>
      <c r="E180" s="20" t="inlineStr">
        <is>
          <t>Cages Track</t>
        </is>
      </c>
      <c r="F180" s="21" t="inlineStr">
        <is>
          <t>Mobile — Operasional Stasiun (MB-)</t>
        </is>
      </c>
      <c r="G180" s="20" t="inlineStr">
        <is>
          <t>Simpan ditolak bila kolom wajib kosong</t>
        </is>
      </c>
      <c r="H180" s="21" t="inlineStr">
        <is>
          <t>OPR-A</t>
        </is>
      </c>
      <c r="I180" s="21" t="inlineStr">
        <is>
          <t>—</t>
        </is>
      </c>
      <c r="J180" s="21" t="inlineStr">
        <is>
          <t>1. Login di mobile, buka Monitor Cages Track, lalu tekan New Data (/stations/cages-track/form/&lt;id&gt;).
2. Kosongkan kolom identitas unit.
3. Tambahkan satu baris slot waktu dan isi satu kolom bacaan.
4. Tekan Simpan.
5. Perhatikan di mana pesan galatnya muncul.</t>
        </is>
      </c>
      <c r="K180" s="21" t="inlineStr">
        <is>
          <t>- Ditolak — record tidak tersimpan.
- Pesan galat muncul di sebelah kolom identitas yang kosong, bukan hanya sebagai pesan umum.
- Isi yang sudah diketik pada grid tidak hilang.</t>
        </is>
      </c>
      <c r="L180" s="16" t="inlineStr">
        <is>
          <t>Tinggi</t>
        </is>
      </c>
      <c r="M180" s="21" t="inlineStr"/>
      <c r="N180" s="17" t="n"/>
      <c r="O180" s="17" t="n"/>
      <c r="P180" s="17" t="n"/>
      <c r="Q180" s="17" t="n"/>
      <c r="R180" s="17" t="n"/>
    </row>
    <row r="181" ht="109.6" customHeight="1">
      <c r="A181" s="22" t="n">
        <v>177</v>
      </c>
      <c r="B181" s="22" t="n">
        <v>3</v>
      </c>
      <c r="C181" s="23" t="inlineStr">
        <is>
          <t>MB-FORM-02 / Sterilizer</t>
        </is>
      </c>
      <c r="D181" s="23" t="inlineStr">
        <is>
          <t>MB-FORM-02</t>
        </is>
      </c>
      <c r="E181" s="24" t="inlineStr">
        <is>
          <t>Sterilizer</t>
        </is>
      </c>
      <c r="F181" s="5" t="inlineStr">
        <is>
          <t>Mobile — Operasional Stasiun (MB-)</t>
        </is>
      </c>
      <c r="G181" s="24" t="inlineStr">
        <is>
          <t>Simpan ditolak bila kolom wajib kosong</t>
        </is>
      </c>
      <c r="H181" s="5" t="inlineStr">
        <is>
          <t>OPR-A</t>
        </is>
      </c>
      <c r="I181" s="5" t="inlineStr">
        <is>
          <t>—</t>
        </is>
      </c>
      <c r="J181" s="5" t="inlineStr">
        <is>
          <t>1. Login di mobile, buka Monitor Sterilizer, lalu tekan New Data (/stations/sterilizer/form/&lt;id&gt;).
2. Kosongkan kolom identitas unit.
3. Tambahkan satu baris slot waktu dan isi satu kolom bacaan.
4. Tekan Simpan.
5. Perhatikan di mana pesan galatnya muncul.</t>
        </is>
      </c>
      <c r="K181" s="5" t="inlineStr">
        <is>
          <t>- Ditolak — record tidak tersimpan.
- Pesan galat muncul di sebelah kolom identitas yang kosong, bukan hanya sebagai pesan umum.
- Isi yang sudah diketik pada grid tidak hilang.</t>
        </is>
      </c>
      <c r="L181" s="16" t="inlineStr">
        <is>
          <t>Tinggi</t>
        </is>
      </c>
      <c r="M181" s="5" t="inlineStr"/>
      <c r="N181" s="17" t="n"/>
      <c r="O181" s="17" t="n"/>
      <c r="P181" s="17" t="n"/>
      <c r="Q181" s="17" t="n"/>
      <c r="R181" s="17" t="n"/>
    </row>
    <row r="182" ht="109.6" customHeight="1">
      <c r="A182" s="18" t="n">
        <v>178</v>
      </c>
      <c r="B182" s="18" t="n">
        <v>3</v>
      </c>
      <c r="C182" s="19" t="inlineStr">
        <is>
          <t>MB-FORM-02 / Threshing</t>
        </is>
      </c>
      <c r="D182" s="19" t="inlineStr">
        <is>
          <t>MB-FORM-02</t>
        </is>
      </c>
      <c r="E182" s="20" t="inlineStr">
        <is>
          <t>Threshing</t>
        </is>
      </c>
      <c r="F182" s="21" t="inlineStr">
        <is>
          <t>Mobile — Operasional Stasiun (MB-)</t>
        </is>
      </c>
      <c r="G182" s="20" t="inlineStr">
        <is>
          <t>Simpan ditolak bila kolom wajib kosong</t>
        </is>
      </c>
      <c r="H182" s="21" t="inlineStr">
        <is>
          <t>OPR-A</t>
        </is>
      </c>
      <c r="I182" s="21" t="inlineStr">
        <is>
          <t>—</t>
        </is>
      </c>
      <c r="J182" s="21" t="inlineStr">
        <is>
          <t>1. Login di mobile, buka Monitor Threshing, lalu tekan New Data (/stations/threshing/form/&lt;id&gt;).
2. Kosongkan kolom identitas unit.
3. Tambahkan satu baris slot waktu dan isi satu kolom bacaan.
4. Tekan Simpan.
5. Perhatikan di mana pesan galatnya muncul.</t>
        </is>
      </c>
      <c r="K182" s="21" t="inlineStr">
        <is>
          <t>- Ditolak — record tidak tersimpan.
- Pesan galat muncul di sebelah kolom identitas yang kosong, bukan hanya sebagai pesan umum.
- Isi yang sudah diketik pada grid tidak hilang.</t>
        </is>
      </c>
      <c r="L182" s="16" t="inlineStr">
        <is>
          <t>Tinggi</t>
        </is>
      </c>
      <c r="M182" s="21" t="inlineStr"/>
      <c r="N182" s="17" t="n"/>
      <c r="O182" s="17" t="n"/>
      <c r="P182" s="17" t="n"/>
      <c r="Q182" s="17" t="n"/>
      <c r="R182" s="17" t="n"/>
    </row>
    <row r="183" ht="109.6" customHeight="1">
      <c r="A183" s="22" t="n">
        <v>179</v>
      </c>
      <c r="B183" s="22" t="n">
        <v>3</v>
      </c>
      <c r="C183" s="23" t="inlineStr">
        <is>
          <t>MB-FORM-02 / Pressing</t>
        </is>
      </c>
      <c r="D183" s="23" t="inlineStr">
        <is>
          <t>MB-FORM-02</t>
        </is>
      </c>
      <c r="E183" s="24" t="inlineStr">
        <is>
          <t>Pressing</t>
        </is>
      </c>
      <c r="F183" s="5" t="inlineStr">
        <is>
          <t>Mobile — Operasional Stasiun (MB-)</t>
        </is>
      </c>
      <c r="G183" s="24" t="inlineStr">
        <is>
          <t>Simpan ditolak bila kolom wajib kosong</t>
        </is>
      </c>
      <c r="H183" s="5" t="inlineStr">
        <is>
          <t>OPR-A</t>
        </is>
      </c>
      <c r="I183" s="5" t="inlineStr">
        <is>
          <t>—</t>
        </is>
      </c>
      <c r="J183" s="5" t="inlineStr">
        <is>
          <t>1. Login di mobile, buka Monitor Pressing, lalu tekan New Data (/stations/pressing/form/&lt;id&gt;).
2. Kosongkan kolom identitas unit.
3. Tambahkan satu baris slot waktu dan isi satu kolom bacaan.
4. Tekan Simpan.
5. Perhatikan di mana pesan galatnya muncul.</t>
        </is>
      </c>
      <c r="K183" s="5" t="inlineStr">
        <is>
          <t>- Ditolak — record tidak tersimpan.
- Pesan galat muncul di sebelah kolom identitas yang kosong, bukan hanya sebagai pesan umum.
- Isi yang sudah diketik pada grid tidak hilang.</t>
        </is>
      </c>
      <c r="L183" s="16" t="inlineStr">
        <is>
          <t>Tinggi</t>
        </is>
      </c>
      <c r="M183" s="5" t="inlineStr"/>
      <c r="N183" s="17" t="n"/>
      <c r="O183" s="17" t="n"/>
      <c r="P183" s="17" t="n"/>
      <c r="Q183" s="17" t="n"/>
      <c r="R183" s="17" t="n"/>
    </row>
    <row r="184" ht="109.6" customHeight="1">
      <c r="A184" s="18" t="n">
        <v>180</v>
      </c>
      <c r="B184" s="18" t="n">
        <v>3</v>
      </c>
      <c r="C184" s="19" t="inlineStr">
        <is>
          <t>MB-FORM-02 / Clarification</t>
        </is>
      </c>
      <c r="D184" s="19" t="inlineStr">
        <is>
          <t>MB-FORM-02</t>
        </is>
      </c>
      <c r="E184" s="20" t="inlineStr">
        <is>
          <t>Clarification</t>
        </is>
      </c>
      <c r="F184" s="21" t="inlineStr">
        <is>
          <t>Mobile — Operasional Stasiun (MB-)</t>
        </is>
      </c>
      <c r="G184" s="20" t="inlineStr">
        <is>
          <t>Simpan ditolak bila kolom wajib kosong</t>
        </is>
      </c>
      <c r="H184" s="21" t="inlineStr">
        <is>
          <t>OPR-A</t>
        </is>
      </c>
      <c r="I184" s="21" t="inlineStr">
        <is>
          <t>—</t>
        </is>
      </c>
      <c r="J184" s="21" t="inlineStr">
        <is>
          <t>1. Login di mobile, buka Monitor Clarification, lalu tekan New Data (/stations/clarification/form/&lt;id&gt;).
2. Kosongkan kolom identitas unit.
3. Tambahkan satu baris slot waktu dan isi satu kolom bacaan.
4. Tekan Simpan.
5. Perhatikan di mana pesan galatnya muncul.</t>
        </is>
      </c>
      <c r="K184" s="21" t="inlineStr">
        <is>
          <t>- Ditolak — record tidak tersimpan.
- Pesan galat muncul di sebelah kolom identitas yang kosong, bukan hanya sebagai pesan umum.
- Isi yang sudah diketik pada grid tidak hilang.</t>
        </is>
      </c>
      <c r="L184" s="16" t="inlineStr">
        <is>
          <t>Tinggi</t>
        </is>
      </c>
      <c r="M184" s="21" t="inlineStr"/>
      <c r="N184" s="17" t="n"/>
      <c r="O184" s="17" t="n"/>
      <c r="P184" s="17" t="n"/>
      <c r="Q184" s="17" t="n"/>
      <c r="R184" s="17" t="n"/>
    </row>
    <row r="185" ht="109.6" customHeight="1">
      <c r="A185" s="22" t="n">
        <v>181</v>
      </c>
      <c r="B185" s="22" t="n">
        <v>3</v>
      </c>
      <c r="C185" s="23" t="inlineStr">
        <is>
          <t>MB-FORM-02 / Kernel Plant</t>
        </is>
      </c>
      <c r="D185" s="23" t="inlineStr">
        <is>
          <t>MB-FORM-02</t>
        </is>
      </c>
      <c r="E185" s="24" t="inlineStr">
        <is>
          <t>Kernel Plant</t>
        </is>
      </c>
      <c r="F185" s="5" t="inlineStr">
        <is>
          <t>Mobile — Operasional Stasiun (MB-)</t>
        </is>
      </c>
      <c r="G185" s="24" t="inlineStr">
        <is>
          <t>Simpan ditolak bila kolom wajib kosong</t>
        </is>
      </c>
      <c r="H185" s="5" t="inlineStr">
        <is>
          <t>OPR-A</t>
        </is>
      </c>
      <c r="I185" s="5" t="inlineStr">
        <is>
          <t>—</t>
        </is>
      </c>
      <c r="J185" s="5" t="inlineStr">
        <is>
          <t>1. Login di mobile, buka Monitor Kernel Plant, lalu tekan New Data (/stations/kernel-plant/form/&lt;id&gt;).
2. Kosongkan kolom identitas unit.
3. Tambahkan satu baris slot waktu dan isi satu kolom bacaan.
4. Tekan Simpan.
5. Perhatikan di mana pesan galatnya muncul.</t>
        </is>
      </c>
      <c r="K185" s="5" t="inlineStr">
        <is>
          <t>- Ditolak — record tidak tersimpan.
- Pesan galat muncul di sebelah kolom identitas yang kosong, bukan hanya sebagai pesan umum.
- Isi yang sudah diketik pada grid tidak hilang.</t>
        </is>
      </c>
      <c r="L185" s="16" t="inlineStr">
        <is>
          <t>Tinggi</t>
        </is>
      </c>
      <c r="M185" s="5" t="inlineStr"/>
      <c r="N185" s="17" t="n"/>
      <c r="O185" s="17" t="n"/>
      <c r="P185" s="17" t="n"/>
      <c r="Q185" s="17" t="n"/>
      <c r="R185" s="17" t="n"/>
    </row>
    <row r="186" ht="109.6" customHeight="1">
      <c r="A186" s="18" t="n">
        <v>182</v>
      </c>
      <c r="B186" s="18" t="n">
        <v>3</v>
      </c>
      <c r="C186" s="19" t="inlineStr">
        <is>
          <t>MB-FORM-02 / Boiler Room</t>
        </is>
      </c>
      <c r="D186" s="19" t="inlineStr">
        <is>
          <t>MB-FORM-02</t>
        </is>
      </c>
      <c r="E186" s="20" t="inlineStr">
        <is>
          <t>Boiler Room</t>
        </is>
      </c>
      <c r="F186" s="21" t="inlineStr">
        <is>
          <t>Mobile — Operasional Stasiun (MB-)</t>
        </is>
      </c>
      <c r="G186" s="20" t="inlineStr">
        <is>
          <t>Simpan ditolak bila kolom wajib kosong</t>
        </is>
      </c>
      <c r="H186" s="21" t="inlineStr">
        <is>
          <t>OPR-A</t>
        </is>
      </c>
      <c r="I186" s="21" t="inlineStr">
        <is>
          <t>—</t>
        </is>
      </c>
      <c r="J186" s="21" t="inlineStr">
        <is>
          <t>1. Login di mobile, buka Monitor Boiler Room, lalu tekan New Data (/stations/boiler-room/form/&lt;id&gt;).
2. Kosongkan kolom identitas unit.
3. Tambahkan satu baris slot waktu dan isi satu kolom bacaan.
4. Tekan Simpan.
5. Perhatikan di mana pesan galatnya muncul.</t>
        </is>
      </c>
      <c r="K186" s="21" t="inlineStr">
        <is>
          <t>- Ditolak — record tidak tersimpan.
- Pesan galat muncul di sebelah kolom identitas yang kosong, bukan hanya sebagai pesan umum.
- Isi yang sudah diketik pada grid tidak hilang.</t>
        </is>
      </c>
      <c r="L186" s="16" t="inlineStr">
        <is>
          <t>Tinggi</t>
        </is>
      </c>
      <c r="M186" s="21" t="inlineStr"/>
      <c r="N186" s="17" t="n"/>
      <c r="O186" s="17" t="n"/>
      <c r="P186" s="17" t="n"/>
      <c r="Q186" s="17" t="n"/>
      <c r="R186" s="17" t="n"/>
    </row>
    <row r="187" ht="109.6" customHeight="1">
      <c r="A187" s="22" t="n">
        <v>183</v>
      </c>
      <c r="B187" s="22" t="n">
        <v>3</v>
      </c>
      <c r="C187" s="23" t="inlineStr">
        <is>
          <t>MB-FORM-02 / Effluent Plant</t>
        </is>
      </c>
      <c r="D187" s="23" t="inlineStr">
        <is>
          <t>MB-FORM-02</t>
        </is>
      </c>
      <c r="E187" s="24" t="inlineStr">
        <is>
          <t>Effluent Plant</t>
        </is>
      </c>
      <c r="F187" s="5" t="inlineStr">
        <is>
          <t>Mobile — Operasional Stasiun (MB-)</t>
        </is>
      </c>
      <c r="G187" s="24" t="inlineStr">
        <is>
          <t>Simpan ditolak bila kolom wajib kosong</t>
        </is>
      </c>
      <c r="H187" s="5" t="inlineStr">
        <is>
          <t>OPR-A</t>
        </is>
      </c>
      <c r="I187" s="5" t="inlineStr">
        <is>
          <t>—</t>
        </is>
      </c>
      <c r="J187" s="5" t="inlineStr">
        <is>
          <t>1. Login di mobile, buka Monitor Effluent Plant, lalu tekan New Data (/stations/effluent-plant/form/&lt;id&gt;).
2. Kosongkan kolom identitas unit.
3. Tambahkan satu baris slot waktu dan isi satu kolom bacaan.
4. Tekan Simpan.
5. Perhatikan di mana pesan galatnya muncul.</t>
        </is>
      </c>
      <c r="K187" s="5" t="inlineStr">
        <is>
          <t>- Ditolak — record tidak tersimpan.
- Pesan galat muncul di sebelah kolom identitas yang kosong, bukan hanya sebagai pesan umum.
- Isi yang sudah diketik pada grid tidak hilang.</t>
        </is>
      </c>
      <c r="L187" s="16" t="inlineStr">
        <is>
          <t>Tinggi</t>
        </is>
      </c>
      <c r="M187" s="5" t="inlineStr"/>
      <c r="N187" s="17" t="n"/>
      <c r="O187" s="17" t="n"/>
      <c r="P187" s="17" t="n"/>
      <c r="Q187" s="17" t="n"/>
      <c r="R187" s="17" t="n"/>
    </row>
    <row r="188" ht="109.6" customHeight="1">
      <c r="A188" s="11" t="n">
        <v>184</v>
      </c>
      <c r="B188" s="12" t="n">
        <v>1</v>
      </c>
      <c r="C188" s="13" t="inlineStr">
        <is>
          <t>MB-FORM-02 / Depricarping</t>
        </is>
      </c>
      <c r="D188" s="13" t="inlineStr">
        <is>
          <t>MB-FORM-02</t>
        </is>
      </c>
      <c r="E188" s="15" t="inlineStr">
        <is>
          <t>Depricarping</t>
        </is>
      </c>
      <c r="F188" s="14" t="inlineStr">
        <is>
          <t>Mobile — Operasional Stasiun (MB-)</t>
        </is>
      </c>
      <c r="G188" s="15" t="inlineStr">
        <is>
          <t>Simpan ditolak bila kolom wajib kosong</t>
        </is>
      </c>
      <c r="H188" s="14" t="inlineStr">
        <is>
          <t>OPR-A</t>
        </is>
      </c>
      <c r="I188" s="14" t="inlineStr">
        <is>
          <t>—</t>
        </is>
      </c>
      <c r="J188" s="14" t="inlineStr">
        <is>
          <t>1. Login di mobile, buka Monitor Depricarping, lalu tekan New Data (/stations/depricarping/form/&lt;id&gt;).
2. Kosongkan kolom identitas unit.
3. Tambahkan satu baris slot waktu dan isi satu kolom bacaan.
4. Tekan Simpan.
5. Perhatikan di mana pesan galatnya muncul.</t>
        </is>
      </c>
      <c r="K188" s="14" t="inlineStr">
        <is>
          <t>- Ditolak — record tidak tersimpan.
- Pesan galat muncul di sebelah kolom identitas yang kosong, bukan hanya sebagai pesan umum.
- Isi yang sudah diketik pada grid tidak hilang.</t>
        </is>
      </c>
      <c r="L188" s="16" t="inlineStr">
        <is>
          <t>Tinggi</t>
        </is>
      </c>
      <c r="M188" s="14" t="inlineStr"/>
      <c r="N188" s="17" t="n"/>
      <c r="O188" s="17" t="n"/>
      <c r="P188" s="17" t="n"/>
      <c r="Q188" s="17" t="n"/>
      <c r="R188" s="17" t="n"/>
    </row>
    <row r="189" ht="109.6" customHeight="1">
      <c r="A189" s="22" t="n">
        <v>185</v>
      </c>
      <c r="B189" s="22" t="n">
        <v>3</v>
      </c>
      <c r="C189" s="23" t="inlineStr">
        <is>
          <t>MB-FORM-02 / Engine Room</t>
        </is>
      </c>
      <c r="D189" s="23" t="inlineStr">
        <is>
          <t>MB-FORM-02</t>
        </is>
      </c>
      <c r="E189" s="24" t="inlineStr">
        <is>
          <t>Engine Room</t>
        </is>
      </c>
      <c r="F189" s="5" t="inlineStr">
        <is>
          <t>Mobile — Operasional Stasiun (MB-)</t>
        </is>
      </c>
      <c r="G189" s="24" t="inlineStr">
        <is>
          <t>Simpan ditolak bila kolom wajib kosong</t>
        </is>
      </c>
      <c r="H189" s="5" t="inlineStr">
        <is>
          <t>OPR-A</t>
        </is>
      </c>
      <c r="I189" s="5" t="inlineStr">
        <is>
          <t>—</t>
        </is>
      </c>
      <c r="J189" s="5" t="inlineStr">
        <is>
          <t>1. Login di mobile, buka Monitor Engine Room, lalu tekan New Data (/stations/engine-room/form/&lt;id&gt;).
2. Kosongkan kolom identitas unit.
3. Tambahkan satu baris slot waktu dan isi satu kolom bacaan.
4. Tekan Simpan.
5. Perhatikan di mana pesan galatnya muncul.</t>
        </is>
      </c>
      <c r="K189" s="5" t="inlineStr">
        <is>
          <t>- Ditolak — record tidak tersimpan.
- Pesan galat muncul di sebelah kolom identitas yang kosong, bukan hanya sebagai pesan umum.
- Isi yang sudah diketik pada grid tidak hilang.</t>
        </is>
      </c>
      <c r="L189" s="16" t="inlineStr">
        <is>
          <t>Tinggi</t>
        </is>
      </c>
      <c r="M189" s="5" t="inlineStr"/>
      <c r="N189" s="17" t="n"/>
      <c r="O189" s="17" t="n"/>
      <c r="P189" s="17" t="n"/>
      <c r="Q189" s="17" t="n"/>
      <c r="R189" s="17" t="n"/>
    </row>
    <row r="190" ht="109.6" customHeight="1">
      <c r="A190" s="18" t="n">
        <v>186</v>
      </c>
      <c r="B190" s="18" t="n">
        <v>3</v>
      </c>
      <c r="C190" s="19" t="inlineStr">
        <is>
          <t>MB-FORM-02 / Process Water</t>
        </is>
      </c>
      <c r="D190" s="19" t="inlineStr">
        <is>
          <t>MB-FORM-02</t>
        </is>
      </c>
      <c r="E190" s="20" t="inlineStr">
        <is>
          <t>Process Water</t>
        </is>
      </c>
      <c r="F190" s="21" t="inlineStr">
        <is>
          <t>Mobile — Operasional Stasiun (MB-)</t>
        </is>
      </c>
      <c r="G190" s="20" t="inlineStr">
        <is>
          <t>Simpan ditolak bila kolom wajib kosong</t>
        </is>
      </c>
      <c r="H190" s="21" t="inlineStr">
        <is>
          <t>OPR-A</t>
        </is>
      </c>
      <c r="I190" s="21" t="inlineStr">
        <is>
          <t>—</t>
        </is>
      </c>
      <c r="J190" s="21" t="inlineStr">
        <is>
          <t>1. Login di mobile, buka Monitor Process Water, lalu tekan New Data (/stations/process-water/form/&lt;id&gt;).
2. Kosongkan kolom identitas unit.
3. Tambahkan satu baris slot waktu dan isi satu kolom bacaan.
4. Tekan Simpan.
5. Perhatikan di mana pesan galatnya muncul.</t>
        </is>
      </c>
      <c r="K190" s="21" t="inlineStr">
        <is>
          <t>- Ditolak — record tidak tersimpan.
- Pesan galat muncul di sebelah kolom identitas yang kosong, bukan hanya sebagai pesan umum.
- Isi yang sudah diketik pada grid tidak hilang.</t>
        </is>
      </c>
      <c r="L190" s="16" t="inlineStr">
        <is>
          <t>Tinggi</t>
        </is>
      </c>
      <c r="M190" s="21" t="inlineStr"/>
      <c r="N190" s="17" t="n"/>
      <c r="O190" s="17" t="n"/>
      <c r="P190" s="17" t="n"/>
      <c r="Q190" s="17" t="n"/>
      <c r="R190" s="17" t="n"/>
    </row>
    <row r="191" ht="109.6" customHeight="1">
      <c r="A191" s="22" t="n">
        <v>187</v>
      </c>
      <c r="B191" s="22" t="n">
        <v>3</v>
      </c>
      <c r="C191" s="23" t="inlineStr">
        <is>
          <t>MB-FORM-02 / Storage Tank</t>
        </is>
      </c>
      <c r="D191" s="23" t="inlineStr">
        <is>
          <t>MB-FORM-02</t>
        </is>
      </c>
      <c r="E191" s="24" t="inlineStr">
        <is>
          <t>Storage Tank</t>
        </is>
      </c>
      <c r="F191" s="5" t="inlineStr">
        <is>
          <t>Mobile — Operasional Stasiun (MB-)</t>
        </is>
      </c>
      <c r="G191" s="24" t="inlineStr">
        <is>
          <t>Simpan ditolak bila kolom wajib kosong</t>
        </is>
      </c>
      <c r="H191" s="5" t="inlineStr">
        <is>
          <t>OPR-A</t>
        </is>
      </c>
      <c r="I191" s="5" t="inlineStr">
        <is>
          <t>—</t>
        </is>
      </c>
      <c r="J191" s="5" t="inlineStr">
        <is>
          <t>1. Login di mobile, buka Monitor Storage Tank, lalu tekan New Data (/stations/storage-tank/form/&lt;id&gt;).
2. Kosongkan kolom identitas unit.
3. Tambahkan satu baris slot waktu dan isi satu kolom bacaan.
4. Tekan Simpan.
5. Perhatikan di mana pesan galatnya muncul.</t>
        </is>
      </c>
      <c r="K191" s="5" t="inlineStr">
        <is>
          <t>- Ditolak — record tidak tersimpan.
- Pesan galat muncul di sebelah kolom identitas yang kosong, bukan hanya sebagai pesan umum.
- Isi yang sudah diketik pada grid tidak hilang.</t>
        </is>
      </c>
      <c r="L191" s="16" t="inlineStr">
        <is>
          <t>Tinggi</t>
        </is>
      </c>
      <c r="M191" s="5" t="inlineStr"/>
      <c r="N191" s="17" t="n"/>
      <c r="O191" s="17" t="n"/>
      <c r="P191" s="17" t="n"/>
      <c r="Q191" s="17" t="n"/>
      <c r="R191" s="17" t="n"/>
    </row>
    <row r="192" ht="109.6" customHeight="1">
      <c r="A192" s="18" t="n">
        <v>188</v>
      </c>
      <c r="B192" s="18" t="n">
        <v>3</v>
      </c>
      <c r="C192" s="19" t="inlineStr">
        <is>
          <t>MB-FORM-02 / Solid Waste Disposal</t>
        </is>
      </c>
      <c r="D192" s="19" t="inlineStr">
        <is>
          <t>MB-FORM-02</t>
        </is>
      </c>
      <c r="E192" s="20" t="inlineStr">
        <is>
          <t>Solid Waste Disposal</t>
        </is>
      </c>
      <c r="F192" s="21" t="inlineStr">
        <is>
          <t>Mobile — Operasional Stasiun (MB-)</t>
        </is>
      </c>
      <c r="G192" s="20" t="inlineStr">
        <is>
          <t>Simpan ditolak bila kolom wajib kosong</t>
        </is>
      </c>
      <c r="H192" s="21" t="inlineStr">
        <is>
          <t>OPR-A</t>
        </is>
      </c>
      <c r="I192" s="21" t="inlineStr">
        <is>
          <t>—</t>
        </is>
      </c>
      <c r="J192" s="21" t="inlineStr">
        <is>
          <t>1. Login di mobile, buka Monitor Solid Waste Disposal, lalu tekan New Data (/stations/solid-waste-disposal/form/&lt;id&gt;).
2. Kosongkan kolom identitas unit.
3. Tambahkan satu baris slot waktu dan isi satu kolom bacaan.
4. Tekan Simpan.
5. Perhatikan di mana pesan galatnya muncul.</t>
        </is>
      </c>
      <c r="K192" s="21" t="inlineStr">
        <is>
          <t>- Ditolak — record tidak tersimpan.
- Pesan galat muncul di sebelah kolom identitas yang kosong, bukan hanya sebagai pesan umum.
- Isi yang sudah diketik pada grid tidak hilang.</t>
        </is>
      </c>
      <c r="L192" s="16" t="inlineStr">
        <is>
          <t>Tinggi</t>
        </is>
      </c>
      <c r="M192" s="21" t="inlineStr"/>
      <c r="N192" s="17" t="n"/>
      <c r="O192" s="17" t="n"/>
      <c r="P192" s="17" t="n"/>
      <c r="Q192" s="17" t="n"/>
      <c r="R192" s="17" t="n"/>
    </row>
    <row r="193" ht="109.6" customHeight="1">
      <c r="A193" s="22" t="n">
        <v>189</v>
      </c>
      <c r="B193" s="22" t="n">
        <v>3</v>
      </c>
      <c r="C193" s="23" t="inlineStr">
        <is>
          <t>MB-FORM-02 / Kernel Dispatch</t>
        </is>
      </c>
      <c r="D193" s="23" t="inlineStr">
        <is>
          <t>MB-FORM-02</t>
        </is>
      </c>
      <c r="E193" s="24" t="inlineStr">
        <is>
          <t>Kernel Dispatch</t>
        </is>
      </c>
      <c r="F193" s="5" t="inlineStr">
        <is>
          <t>Mobile — Operasional Stasiun (MB-)</t>
        </is>
      </c>
      <c r="G193" s="24" t="inlineStr">
        <is>
          <t>Simpan ditolak bila kolom wajib kosong</t>
        </is>
      </c>
      <c r="H193" s="5" t="inlineStr">
        <is>
          <t>OPR-A</t>
        </is>
      </c>
      <c r="I193" s="5" t="inlineStr">
        <is>
          <t>—</t>
        </is>
      </c>
      <c r="J193" s="5" t="inlineStr">
        <is>
          <t>1. Login di mobile, buka Monitor Kernel Dispatch, lalu tekan New Data (/stations/kernel-dispatch/form/&lt;id&gt;).
2. Kosongkan kolom identitas unit.
3. Tambahkan satu baris slot waktu dan isi satu kolom bacaan.
4. Tekan Simpan.
5. Perhatikan di mana pesan galatnya muncul.</t>
        </is>
      </c>
      <c r="K193" s="5" t="inlineStr">
        <is>
          <t>- Ditolak — record tidak tersimpan.
- Pesan galat muncul di sebelah kolom identitas yang kosong, bukan hanya sebagai pesan umum.
- Isi yang sudah diketik pada grid tidak hilang.</t>
        </is>
      </c>
      <c r="L193" s="16" t="inlineStr">
        <is>
          <t>Tinggi</t>
        </is>
      </c>
      <c r="M193" s="5" t="inlineStr"/>
      <c r="N193" s="17" t="n"/>
      <c r="O193" s="17" t="n"/>
      <c r="P193" s="17" t="n"/>
      <c r="Q193" s="17" t="n"/>
      <c r="R193" s="17" t="n"/>
    </row>
    <row r="194" ht="109.6" customHeight="1">
      <c r="A194" s="18" t="n">
        <v>190</v>
      </c>
      <c r="B194" s="18" t="n">
        <v>3</v>
      </c>
      <c r="C194" s="19" t="inlineStr">
        <is>
          <t>MB-FORM-02 / CPO Dispatch</t>
        </is>
      </c>
      <c r="D194" s="19" t="inlineStr">
        <is>
          <t>MB-FORM-02</t>
        </is>
      </c>
      <c r="E194" s="20" t="inlineStr">
        <is>
          <t>CPO Dispatch</t>
        </is>
      </c>
      <c r="F194" s="21" t="inlineStr">
        <is>
          <t>Mobile — Operasional Stasiun (MB-)</t>
        </is>
      </c>
      <c r="G194" s="20" t="inlineStr">
        <is>
          <t>Simpan ditolak bila kolom wajib kosong</t>
        </is>
      </c>
      <c r="H194" s="21" t="inlineStr">
        <is>
          <t>OPR-A</t>
        </is>
      </c>
      <c r="I194" s="21" t="inlineStr">
        <is>
          <t>—</t>
        </is>
      </c>
      <c r="J194" s="21" t="inlineStr">
        <is>
          <t>1. Login di mobile, buka Monitor CPO Dispatch, lalu tekan New Data (/stations/cpo-dispatch/form/&lt;id&gt;).
2. Kosongkan kolom identitas unit.
3. Tambahkan satu baris slot waktu dan isi satu kolom bacaan.
4. Tekan Simpan.
5. Perhatikan di mana pesan galatnya muncul.</t>
        </is>
      </c>
      <c r="K194" s="21" t="inlineStr">
        <is>
          <t>- Ditolak — record tidak tersimpan.
- Pesan galat muncul di sebelah kolom identitas yang kosong, bukan hanya sebagai pesan umum.
- Isi yang sudah diketik pada grid tidak hilang.</t>
        </is>
      </c>
      <c r="L194" s="16" t="inlineStr">
        <is>
          <t>Tinggi</t>
        </is>
      </c>
      <c r="M194" s="21" t="inlineStr"/>
      <c r="N194" s="17" t="n"/>
      <c r="O194" s="17" t="n"/>
      <c r="P194" s="17" t="n"/>
      <c r="Q194" s="17" t="n"/>
      <c r="R194" s="17" t="n"/>
    </row>
    <row r="195" ht="109.6" customHeight="1">
      <c r="A195" s="22" t="n">
        <v>191</v>
      </c>
      <c r="B195" s="22" t="n">
        <v>3</v>
      </c>
      <c r="C195" s="23" t="inlineStr">
        <is>
          <t>MB-FORM-02 / Process Quality Control</t>
        </is>
      </c>
      <c r="D195" s="23" t="inlineStr">
        <is>
          <t>MB-FORM-02</t>
        </is>
      </c>
      <c r="E195" s="24" t="inlineStr">
        <is>
          <t>Process Quality Control</t>
        </is>
      </c>
      <c r="F195" s="5" t="inlineStr">
        <is>
          <t>Mobile — Operasional Stasiun (MB-)</t>
        </is>
      </c>
      <c r="G195" s="24" t="inlineStr">
        <is>
          <t>Simpan ditolak bila kolom wajib kosong</t>
        </is>
      </c>
      <c r="H195" s="5" t="inlineStr">
        <is>
          <t>OPR-A</t>
        </is>
      </c>
      <c r="I195" s="5" t="inlineStr">
        <is>
          <t>—</t>
        </is>
      </c>
      <c r="J195" s="5" t="inlineStr">
        <is>
          <t>1. Login di mobile, buka Monitor Process Quality Control, lalu tekan New Data (/stations/process-quality-control/form/&lt;id&gt;).
2. Kosongkan kolom identitas unit.
3. Tambahkan satu baris slot waktu dan isi satu kolom bacaan.
4. Tekan Simpan.
5. Perhatikan di mana pesan galatnya muncul.</t>
        </is>
      </c>
      <c r="K195" s="5" t="inlineStr">
        <is>
          <t>- Ditolak — record tidak tersimpan.
- Pesan galat muncul di sebelah kolom identitas yang kosong, bukan hanya sebagai pesan umum.
- Isi yang sudah diketik pada grid tidak hilang.</t>
        </is>
      </c>
      <c r="L195" s="16" t="inlineStr">
        <is>
          <t>Tinggi</t>
        </is>
      </c>
      <c r="M195" s="5" t="inlineStr"/>
      <c r="N195" s="17" t="n"/>
      <c r="O195" s="17" t="n"/>
      <c r="P195" s="17" t="n"/>
      <c r="Q195" s="17" t="n"/>
      <c r="R195" s="17" t="n"/>
    </row>
    <row r="196" ht="215.2" customHeight="1">
      <c r="A196" s="18" t="n">
        <v>192</v>
      </c>
      <c r="B196" s="18" t="n">
        <v>3</v>
      </c>
      <c r="C196" s="19" t="inlineStr">
        <is>
          <t>MB-FORM-03 / Cages Track</t>
        </is>
      </c>
      <c r="D196" s="19" t="inlineStr">
        <is>
          <t>MB-FORM-03</t>
        </is>
      </c>
      <c r="E196" s="20" t="inlineStr">
        <is>
          <t>Cages Track</t>
        </is>
      </c>
      <c r="F196" s="21" t="inlineStr">
        <is>
          <t>Mobile — Operasional Stasiun (MB-)</t>
        </is>
      </c>
      <c r="G196" s="20" t="inlineStr">
        <is>
          <t>Slot waktu harus menaik dan tidak boleh kembar</t>
        </is>
      </c>
      <c r="H196" s="21" t="inlineStr">
        <is>
          <t>OPR-A</t>
        </is>
      </c>
      <c r="I196" s="21" t="inlineStr">
        <is>
          <t>—</t>
        </is>
      </c>
      <c r="J196" s="21" t="inlineStr">
        <is>
          <t>1. Login di mobile, buka Monitor Cages Track, lalu tekan New Data (/stations/cages-track/form/&lt;id&gt;)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196" s="21" t="inlineStr">
        <is>
          <t>- Langkah 4: pemilih baris kedua tidak lagi menawarkan slot yang sudah dipakai, dan tidak menawarkan slot yang lebih awal.
- Langkah 5 dan 6: tidak dapat dipilih — atau bila terpilih, Simpan ditolak dengan pesan yang menyebut urutan slot.
- Langkah 7: berhasil.</t>
        </is>
      </c>
      <c r="L196" s="16" t="inlineStr">
        <is>
          <t>Tinggi</t>
        </is>
      </c>
      <c r="M196" s="21" t="inlineStr">
        <is>
          <t>lewati untuk Weighbridge, Grading, Kernel Dispatch, CPO Dispatch</t>
        </is>
      </c>
      <c r="N196" s="17" t="n"/>
      <c r="O196" s="17" t="n"/>
      <c r="P196" s="17" t="n"/>
      <c r="Q196" s="17" t="n"/>
      <c r="R196" s="17" t="n"/>
    </row>
    <row r="197" ht="215.2" customHeight="1">
      <c r="A197" s="22" t="n">
        <v>193</v>
      </c>
      <c r="B197" s="22" t="n">
        <v>3</v>
      </c>
      <c r="C197" s="23" t="inlineStr">
        <is>
          <t>MB-FORM-03 / Sterilizer</t>
        </is>
      </c>
      <c r="D197" s="23" t="inlineStr">
        <is>
          <t>MB-FORM-03</t>
        </is>
      </c>
      <c r="E197" s="24" t="inlineStr">
        <is>
          <t>Sterilizer</t>
        </is>
      </c>
      <c r="F197" s="5" t="inlineStr">
        <is>
          <t>Mobile — Operasional Stasiun (MB-)</t>
        </is>
      </c>
      <c r="G197" s="24" t="inlineStr">
        <is>
          <t>Slot waktu harus menaik dan tidak boleh kembar</t>
        </is>
      </c>
      <c r="H197" s="5" t="inlineStr">
        <is>
          <t>OPR-A</t>
        </is>
      </c>
      <c r="I197" s="5" t="inlineStr">
        <is>
          <t>—</t>
        </is>
      </c>
      <c r="J197" s="5" t="inlineStr">
        <is>
          <t>1. Login di mobile, buka Monitor Sterilizer, lalu tekan New Data (/stations/sterilizer/form/&lt;id&gt;)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197" s="5" t="inlineStr">
        <is>
          <t>- Langkah 4: pemilih baris kedua tidak lagi menawarkan slot yang sudah dipakai, dan tidak menawarkan slot yang lebih awal.
- Langkah 5 dan 6: tidak dapat dipilih — atau bila terpilih, Simpan ditolak dengan pesan yang menyebut urutan slot.
- Langkah 7: berhasil.</t>
        </is>
      </c>
      <c r="L197" s="16" t="inlineStr">
        <is>
          <t>Tinggi</t>
        </is>
      </c>
      <c r="M197" s="5" t="inlineStr">
        <is>
          <t>lewati untuk Weighbridge, Grading, Kernel Dispatch, CPO Dispatch</t>
        </is>
      </c>
      <c r="N197" s="17" t="n"/>
      <c r="O197" s="17" t="n"/>
      <c r="P197" s="17" t="n"/>
      <c r="Q197" s="17" t="n"/>
      <c r="R197" s="17" t="n"/>
    </row>
    <row r="198" ht="215.2" customHeight="1">
      <c r="A198" s="18" t="n">
        <v>194</v>
      </c>
      <c r="B198" s="18" t="n">
        <v>3</v>
      </c>
      <c r="C198" s="19" t="inlineStr">
        <is>
          <t>MB-FORM-03 / Threshing</t>
        </is>
      </c>
      <c r="D198" s="19" t="inlineStr">
        <is>
          <t>MB-FORM-03</t>
        </is>
      </c>
      <c r="E198" s="20" t="inlineStr">
        <is>
          <t>Threshing</t>
        </is>
      </c>
      <c r="F198" s="21" t="inlineStr">
        <is>
          <t>Mobile — Operasional Stasiun (MB-)</t>
        </is>
      </c>
      <c r="G198" s="20" t="inlineStr">
        <is>
          <t>Slot waktu harus menaik dan tidak boleh kembar</t>
        </is>
      </c>
      <c r="H198" s="21" t="inlineStr">
        <is>
          <t>OPR-A</t>
        </is>
      </c>
      <c r="I198" s="21" t="inlineStr">
        <is>
          <t>—</t>
        </is>
      </c>
      <c r="J198" s="21" t="inlineStr">
        <is>
          <t>1. Login di mobile, buka Monitor Threshing, lalu tekan New Data (/stations/threshing/form/&lt;id&gt;)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198" s="21" t="inlineStr">
        <is>
          <t>- Langkah 4: pemilih baris kedua tidak lagi menawarkan slot yang sudah dipakai, dan tidak menawarkan slot yang lebih awal.
- Langkah 5 dan 6: tidak dapat dipilih — atau bila terpilih, Simpan ditolak dengan pesan yang menyebut urutan slot.
- Langkah 7: berhasil.</t>
        </is>
      </c>
      <c r="L198" s="16" t="inlineStr">
        <is>
          <t>Tinggi</t>
        </is>
      </c>
      <c r="M198" s="21" t="inlineStr">
        <is>
          <t>lewati untuk Weighbridge, Grading, Kernel Dispatch, CPO Dispatch</t>
        </is>
      </c>
      <c r="N198" s="17" t="n"/>
      <c r="O198" s="17" t="n"/>
      <c r="P198" s="17" t="n"/>
      <c r="Q198" s="17" t="n"/>
      <c r="R198" s="17" t="n"/>
    </row>
    <row r="199" ht="215.2" customHeight="1">
      <c r="A199" s="22" t="n">
        <v>195</v>
      </c>
      <c r="B199" s="22" t="n">
        <v>3</v>
      </c>
      <c r="C199" s="23" t="inlineStr">
        <is>
          <t>MB-FORM-03 / Pressing</t>
        </is>
      </c>
      <c r="D199" s="23" t="inlineStr">
        <is>
          <t>MB-FORM-03</t>
        </is>
      </c>
      <c r="E199" s="24" t="inlineStr">
        <is>
          <t>Pressing</t>
        </is>
      </c>
      <c r="F199" s="5" t="inlineStr">
        <is>
          <t>Mobile — Operasional Stasiun (MB-)</t>
        </is>
      </c>
      <c r="G199" s="24" t="inlineStr">
        <is>
          <t>Slot waktu harus menaik dan tidak boleh kembar</t>
        </is>
      </c>
      <c r="H199" s="5" t="inlineStr">
        <is>
          <t>OPR-A</t>
        </is>
      </c>
      <c r="I199" s="5" t="inlineStr">
        <is>
          <t>—</t>
        </is>
      </c>
      <c r="J199" s="5" t="inlineStr">
        <is>
          <t>1. Login di mobile, buka Monitor Pressing, lalu tekan New Data (/stations/pressing/form/&lt;id&gt;)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199" s="5" t="inlineStr">
        <is>
          <t>- Langkah 4: pemilih baris kedua tidak lagi menawarkan slot yang sudah dipakai, dan tidak menawarkan slot yang lebih awal.
- Langkah 5 dan 6: tidak dapat dipilih — atau bila terpilih, Simpan ditolak dengan pesan yang menyebut urutan slot.
- Langkah 7: berhasil.</t>
        </is>
      </c>
      <c r="L199" s="16" t="inlineStr">
        <is>
          <t>Tinggi</t>
        </is>
      </c>
      <c r="M199" s="5" t="inlineStr">
        <is>
          <t>lewati untuk Weighbridge, Grading, Kernel Dispatch, CPO Dispatch</t>
        </is>
      </c>
      <c r="N199" s="17" t="n"/>
      <c r="O199" s="17" t="n"/>
      <c r="P199" s="17" t="n"/>
      <c r="Q199" s="17" t="n"/>
      <c r="R199" s="17" t="n"/>
    </row>
    <row r="200" ht="215.2" customHeight="1">
      <c r="A200" s="18" t="n">
        <v>196</v>
      </c>
      <c r="B200" s="18" t="n">
        <v>3</v>
      </c>
      <c r="C200" s="19" t="inlineStr">
        <is>
          <t>MB-FORM-03 / Clarification</t>
        </is>
      </c>
      <c r="D200" s="19" t="inlineStr">
        <is>
          <t>MB-FORM-03</t>
        </is>
      </c>
      <c r="E200" s="20" t="inlineStr">
        <is>
          <t>Clarification</t>
        </is>
      </c>
      <c r="F200" s="21" t="inlineStr">
        <is>
          <t>Mobile — Operasional Stasiun (MB-)</t>
        </is>
      </c>
      <c r="G200" s="20" t="inlineStr">
        <is>
          <t>Slot waktu harus menaik dan tidak boleh kembar</t>
        </is>
      </c>
      <c r="H200" s="21" t="inlineStr">
        <is>
          <t>OPR-A</t>
        </is>
      </c>
      <c r="I200" s="21" t="inlineStr">
        <is>
          <t>—</t>
        </is>
      </c>
      <c r="J200" s="21" t="inlineStr">
        <is>
          <t>1. Login di mobile, buka Monitor Clarification, lalu tekan New Data (/stations/clarification/form/&lt;id&gt;)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0" s="21" t="inlineStr">
        <is>
          <t>- Langkah 4: pemilih baris kedua tidak lagi menawarkan slot yang sudah dipakai, dan tidak menawarkan slot yang lebih awal.
- Langkah 5 dan 6: tidak dapat dipilih — atau bila terpilih, Simpan ditolak dengan pesan yang menyebut urutan slot.
- Langkah 7: berhasil.</t>
        </is>
      </c>
      <c r="L200" s="16" t="inlineStr">
        <is>
          <t>Tinggi</t>
        </is>
      </c>
      <c r="M200" s="21" t="inlineStr">
        <is>
          <t>lewati untuk Weighbridge, Grading, Kernel Dispatch, CPO Dispatch</t>
        </is>
      </c>
      <c r="N200" s="17" t="n"/>
      <c r="O200" s="17" t="n"/>
      <c r="P200" s="17" t="n"/>
      <c r="Q200" s="17" t="n"/>
      <c r="R200" s="17" t="n"/>
    </row>
    <row r="201" ht="215.2" customHeight="1">
      <c r="A201" s="22" t="n">
        <v>197</v>
      </c>
      <c r="B201" s="22" t="n">
        <v>3</v>
      </c>
      <c r="C201" s="23" t="inlineStr">
        <is>
          <t>MB-FORM-03 / Kernel Plant</t>
        </is>
      </c>
      <c r="D201" s="23" t="inlineStr">
        <is>
          <t>MB-FORM-03</t>
        </is>
      </c>
      <c r="E201" s="24" t="inlineStr">
        <is>
          <t>Kernel Plant</t>
        </is>
      </c>
      <c r="F201" s="5" t="inlineStr">
        <is>
          <t>Mobile — Operasional Stasiun (MB-)</t>
        </is>
      </c>
      <c r="G201" s="24" t="inlineStr">
        <is>
          <t>Slot waktu harus menaik dan tidak boleh kembar</t>
        </is>
      </c>
      <c r="H201" s="5" t="inlineStr">
        <is>
          <t>OPR-A</t>
        </is>
      </c>
      <c r="I201" s="5" t="inlineStr">
        <is>
          <t>—</t>
        </is>
      </c>
      <c r="J201" s="5" t="inlineStr">
        <is>
          <t>1. Login di mobile, buka Monitor Kernel Plant, lalu tekan New Data (/stations/kernel-plant/form/&lt;id&gt;)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1" s="5" t="inlineStr">
        <is>
          <t>- Langkah 4: pemilih baris kedua tidak lagi menawarkan slot yang sudah dipakai, dan tidak menawarkan slot yang lebih awal.
- Langkah 5 dan 6: tidak dapat dipilih — atau bila terpilih, Simpan ditolak dengan pesan yang menyebut urutan slot.
- Langkah 7: berhasil.</t>
        </is>
      </c>
      <c r="L201" s="16" t="inlineStr">
        <is>
          <t>Tinggi</t>
        </is>
      </c>
      <c r="M201" s="5" t="inlineStr">
        <is>
          <t>lewati untuk Weighbridge, Grading, Kernel Dispatch, CPO Dispatch</t>
        </is>
      </c>
      <c r="N201" s="17" t="n"/>
      <c r="O201" s="17" t="n"/>
      <c r="P201" s="17" t="n"/>
      <c r="Q201" s="17" t="n"/>
      <c r="R201" s="17" t="n"/>
    </row>
    <row r="202" ht="215.2" customHeight="1">
      <c r="A202" s="18" t="n">
        <v>198</v>
      </c>
      <c r="B202" s="18" t="n">
        <v>3</v>
      </c>
      <c r="C202" s="19" t="inlineStr">
        <is>
          <t>MB-FORM-03 / Boiler Room</t>
        </is>
      </c>
      <c r="D202" s="19" t="inlineStr">
        <is>
          <t>MB-FORM-03</t>
        </is>
      </c>
      <c r="E202" s="20" t="inlineStr">
        <is>
          <t>Boiler Room</t>
        </is>
      </c>
      <c r="F202" s="21" t="inlineStr">
        <is>
          <t>Mobile — Operasional Stasiun (MB-)</t>
        </is>
      </c>
      <c r="G202" s="20" t="inlineStr">
        <is>
          <t>Slot waktu harus menaik dan tidak boleh kembar</t>
        </is>
      </c>
      <c r="H202" s="21" t="inlineStr">
        <is>
          <t>OPR-A</t>
        </is>
      </c>
      <c r="I202" s="21" t="inlineStr">
        <is>
          <t>—</t>
        </is>
      </c>
      <c r="J202" s="21" t="inlineStr">
        <is>
          <t>1. Login di mobile, buka Monitor Boiler Room, lalu tekan New Data (/stations/boiler-room/form/&lt;id&gt;)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2" s="21" t="inlineStr">
        <is>
          <t>- Langkah 4: pemilih baris kedua tidak lagi menawarkan slot yang sudah dipakai, dan tidak menawarkan slot yang lebih awal.
- Langkah 5 dan 6: tidak dapat dipilih — atau bila terpilih, Simpan ditolak dengan pesan yang menyebut urutan slot.
- Langkah 7: berhasil.</t>
        </is>
      </c>
      <c r="L202" s="16" t="inlineStr">
        <is>
          <t>Tinggi</t>
        </is>
      </c>
      <c r="M202" s="21" t="inlineStr">
        <is>
          <t>lewati untuk Weighbridge, Grading, Kernel Dispatch, CPO Dispatch</t>
        </is>
      </c>
      <c r="N202" s="17" t="n"/>
      <c r="O202" s="17" t="n"/>
      <c r="P202" s="17" t="n"/>
      <c r="Q202" s="17" t="n"/>
      <c r="R202" s="17" t="n"/>
    </row>
    <row r="203" ht="215.2" customHeight="1">
      <c r="A203" s="22" t="n">
        <v>199</v>
      </c>
      <c r="B203" s="22" t="n">
        <v>3</v>
      </c>
      <c r="C203" s="23" t="inlineStr">
        <is>
          <t>MB-FORM-03 / Effluent Plant</t>
        </is>
      </c>
      <c r="D203" s="23" t="inlineStr">
        <is>
          <t>MB-FORM-03</t>
        </is>
      </c>
      <c r="E203" s="24" t="inlineStr">
        <is>
          <t>Effluent Plant</t>
        </is>
      </c>
      <c r="F203" s="5" t="inlineStr">
        <is>
          <t>Mobile — Operasional Stasiun (MB-)</t>
        </is>
      </c>
      <c r="G203" s="24" t="inlineStr">
        <is>
          <t>Slot waktu harus menaik dan tidak boleh kembar</t>
        </is>
      </c>
      <c r="H203" s="5" t="inlineStr">
        <is>
          <t>OPR-A</t>
        </is>
      </c>
      <c r="I203" s="5" t="inlineStr">
        <is>
          <t>—</t>
        </is>
      </c>
      <c r="J203" s="5" t="inlineStr">
        <is>
          <t>1. Login di mobile, buka Monitor Effluent Plant, lalu tekan New Data (/stations/effluent-plant/form/&lt;id&gt;)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3" s="5" t="inlineStr">
        <is>
          <t>- Langkah 4: pemilih baris kedua tidak lagi menawarkan slot yang sudah dipakai, dan tidak menawarkan slot yang lebih awal.
- Langkah 5 dan 6: tidak dapat dipilih — atau bila terpilih, Simpan ditolak dengan pesan yang menyebut urutan slot.
- Langkah 7: berhasil.</t>
        </is>
      </c>
      <c r="L203" s="16" t="inlineStr">
        <is>
          <t>Tinggi</t>
        </is>
      </c>
      <c r="M203" s="5" t="inlineStr">
        <is>
          <t>lewati untuk Weighbridge, Grading, Kernel Dispatch, CPO Dispatch</t>
        </is>
      </c>
      <c r="N203" s="17" t="n"/>
      <c r="O203" s="17" t="n"/>
      <c r="P203" s="17" t="n"/>
      <c r="Q203" s="17" t="n"/>
      <c r="R203" s="17" t="n"/>
    </row>
    <row r="204" ht="215.2" customHeight="1">
      <c r="A204" s="11" t="n">
        <v>200</v>
      </c>
      <c r="B204" s="12" t="n">
        <v>1</v>
      </c>
      <c r="C204" s="13" t="inlineStr">
        <is>
          <t>MB-FORM-03 / Depricarping</t>
        </is>
      </c>
      <c r="D204" s="13" t="inlineStr">
        <is>
          <t>MB-FORM-03</t>
        </is>
      </c>
      <c r="E204" s="15" t="inlineStr">
        <is>
          <t>Depricarping</t>
        </is>
      </c>
      <c r="F204" s="14" t="inlineStr">
        <is>
          <t>Mobile — Operasional Stasiun (MB-)</t>
        </is>
      </c>
      <c r="G204" s="15" t="inlineStr">
        <is>
          <t>Slot waktu harus menaik dan tidak boleh kembar</t>
        </is>
      </c>
      <c r="H204" s="14" t="inlineStr">
        <is>
          <t>OPR-A</t>
        </is>
      </c>
      <c r="I204" s="14" t="inlineStr">
        <is>
          <t>—</t>
        </is>
      </c>
      <c r="J204" s="14" t="inlineStr">
        <is>
          <t>1. Login di mobile, buka Monitor Depricarping, lalu tekan New Data (/stations/depricarping/form/&lt;id&gt;)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4" s="14" t="inlineStr">
        <is>
          <t>- Langkah 4: pemilih baris kedua tidak lagi menawarkan slot yang sudah dipakai, dan tidak menawarkan slot yang lebih awal.
- Langkah 5 dan 6: tidak dapat dipilih — atau bila terpilih, Simpan ditolak dengan pesan yang menyebut urutan slot.
- Langkah 7: berhasil.</t>
        </is>
      </c>
      <c r="L204" s="16" t="inlineStr">
        <is>
          <t>Tinggi</t>
        </is>
      </c>
      <c r="M204" s="14" t="inlineStr">
        <is>
          <t>lewati untuk Weighbridge, Grading, Kernel Dispatch, CPO Dispatch</t>
        </is>
      </c>
      <c r="N204" s="17" t="n"/>
      <c r="O204" s="17" t="n"/>
      <c r="P204" s="17" t="n"/>
      <c r="Q204" s="17" t="n"/>
      <c r="R204" s="17" t="n"/>
    </row>
    <row r="205" ht="215.2" customHeight="1">
      <c r="A205" s="22" t="n">
        <v>201</v>
      </c>
      <c r="B205" s="22" t="n">
        <v>3</v>
      </c>
      <c r="C205" s="23" t="inlineStr">
        <is>
          <t>MB-FORM-03 / Engine Room</t>
        </is>
      </c>
      <c r="D205" s="23" t="inlineStr">
        <is>
          <t>MB-FORM-03</t>
        </is>
      </c>
      <c r="E205" s="24" t="inlineStr">
        <is>
          <t>Engine Room</t>
        </is>
      </c>
      <c r="F205" s="5" t="inlineStr">
        <is>
          <t>Mobile — Operasional Stasiun (MB-)</t>
        </is>
      </c>
      <c r="G205" s="24" t="inlineStr">
        <is>
          <t>Slot waktu harus menaik dan tidak boleh kembar</t>
        </is>
      </c>
      <c r="H205" s="5" t="inlineStr">
        <is>
          <t>OPR-A</t>
        </is>
      </c>
      <c r="I205" s="5" t="inlineStr">
        <is>
          <t>—</t>
        </is>
      </c>
      <c r="J205" s="5" t="inlineStr">
        <is>
          <t>1. Login di mobile, buka Monitor Engine Room, lalu tekan New Data (/stations/engine-room/form/&lt;id&gt;)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5" s="5" t="inlineStr">
        <is>
          <t>- Langkah 4: pemilih baris kedua tidak lagi menawarkan slot yang sudah dipakai, dan tidak menawarkan slot yang lebih awal.
- Langkah 5 dan 6: tidak dapat dipilih — atau bila terpilih, Simpan ditolak dengan pesan yang menyebut urutan slot.
- Langkah 7: berhasil.</t>
        </is>
      </c>
      <c r="L205" s="16" t="inlineStr">
        <is>
          <t>Tinggi</t>
        </is>
      </c>
      <c r="M205" s="5" t="inlineStr">
        <is>
          <t>lewati untuk Weighbridge, Grading, Kernel Dispatch, CPO Dispatch</t>
        </is>
      </c>
      <c r="N205" s="17" t="n"/>
      <c r="O205" s="17" t="n"/>
      <c r="P205" s="17" t="n"/>
      <c r="Q205" s="17" t="n"/>
      <c r="R205" s="17" t="n"/>
    </row>
    <row r="206" ht="215.2" customHeight="1">
      <c r="A206" s="18" t="n">
        <v>202</v>
      </c>
      <c r="B206" s="18" t="n">
        <v>3</v>
      </c>
      <c r="C206" s="19" t="inlineStr">
        <is>
          <t>MB-FORM-03 / Process Water</t>
        </is>
      </c>
      <c r="D206" s="19" t="inlineStr">
        <is>
          <t>MB-FORM-03</t>
        </is>
      </c>
      <c r="E206" s="20" t="inlineStr">
        <is>
          <t>Process Water</t>
        </is>
      </c>
      <c r="F206" s="21" t="inlineStr">
        <is>
          <t>Mobile — Operasional Stasiun (MB-)</t>
        </is>
      </c>
      <c r="G206" s="20" t="inlineStr">
        <is>
          <t>Slot waktu harus menaik dan tidak boleh kembar</t>
        </is>
      </c>
      <c r="H206" s="21" t="inlineStr">
        <is>
          <t>OPR-A</t>
        </is>
      </c>
      <c r="I206" s="21" t="inlineStr">
        <is>
          <t>—</t>
        </is>
      </c>
      <c r="J206" s="21" t="inlineStr">
        <is>
          <t>1. Login di mobile, buka Monitor Process Water, lalu tekan New Data (/stations/process-water/form/&lt;id&gt;)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6" s="21" t="inlineStr">
        <is>
          <t>- Langkah 4: pemilih baris kedua tidak lagi menawarkan slot yang sudah dipakai, dan tidak menawarkan slot yang lebih awal.
- Langkah 5 dan 6: tidak dapat dipilih — atau bila terpilih, Simpan ditolak dengan pesan yang menyebut urutan slot.
- Langkah 7: berhasil.</t>
        </is>
      </c>
      <c r="L206" s="16" t="inlineStr">
        <is>
          <t>Tinggi</t>
        </is>
      </c>
      <c r="M206" s="21" t="inlineStr">
        <is>
          <t>lewati untuk Weighbridge, Grading, Kernel Dispatch, CPO Dispatch</t>
        </is>
      </c>
      <c r="N206" s="17" t="n"/>
      <c r="O206" s="17" t="n"/>
      <c r="P206" s="17" t="n"/>
      <c r="Q206" s="17" t="n"/>
      <c r="R206" s="17" t="n"/>
    </row>
    <row r="207" ht="215.2" customHeight="1">
      <c r="A207" s="22" t="n">
        <v>203</v>
      </c>
      <c r="B207" s="22" t="n">
        <v>3</v>
      </c>
      <c r="C207" s="23" t="inlineStr">
        <is>
          <t>MB-FORM-03 / Storage Tank</t>
        </is>
      </c>
      <c r="D207" s="23" t="inlineStr">
        <is>
          <t>MB-FORM-03</t>
        </is>
      </c>
      <c r="E207" s="24" t="inlineStr">
        <is>
          <t>Storage Tank</t>
        </is>
      </c>
      <c r="F207" s="5" t="inlineStr">
        <is>
          <t>Mobile — Operasional Stasiun (MB-)</t>
        </is>
      </c>
      <c r="G207" s="24" t="inlineStr">
        <is>
          <t>Slot waktu harus menaik dan tidak boleh kembar</t>
        </is>
      </c>
      <c r="H207" s="5" t="inlineStr">
        <is>
          <t>OPR-A</t>
        </is>
      </c>
      <c r="I207" s="5" t="inlineStr">
        <is>
          <t>—</t>
        </is>
      </c>
      <c r="J207" s="5" t="inlineStr">
        <is>
          <t>1. Login di mobile, buka Monitor Storage Tank, lalu tekan New Data (/stations/storage-tank/form/&lt;id&gt;)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7" s="5" t="inlineStr">
        <is>
          <t>- Langkah 4: pemilih baris kedua tidak lagi menawarkan slot yang sudah dipakai, dan tidak menawarkan slot yang lebih awal.
- Langkah 5 dan 6: tidak dapat dipilih — atau bila terpilih, Simpan ditolak dengan pesan yang menyebut urutan slot.
- Langkah 7: berhasil.</t>
        </is>
      </c>
      <c r="L207" s="16" t="inlineStr">
        <is>
          <t>Tinggi</t>
        </is>
      </c>
      <c r="M207" s="5" t="inlineStr">
        <is>
          <t>lewati untuk Weighbridge, Grading, Kernel Dispatch, CPO Dispatch</t>
        </is>
      </c>
      <c r="N207" s="17" t="n"/>
      <c r="O207" s="17" t="n"/>
      <c r="P207" s="17" t="n"/>
      <c r="Q207" s="17" t="n"/>
      <c r="R207" s="17" t="n"/>
    </row>
    <row r="208" ht="215.2" customHeight="1">
      <c r="A208" s="18" t="n">
        <v>204</v>
      </c>
      <c r="B208" s="18" t="n">
        <v>3</v>
      </c>
      <c r="C208" s="19" t="inlineStr">
        <is>
          <t>MB-FORM-03 / Solid Waste Disposal</t>
        </is>
      </c>
      <c r="D208" s="19" t="inlineStr">
        <is>
          <t>MB-FORM-03</t>
        </is>
      </c>
      <c r="E208" s="20" t="inlineStr">
        <is>
          <t>Solid Waste Disposal</t>
        </is>
      </c>
      <c r="F208" s="21" t="inlineStr">
        <is>
          <t>Mobile — Operasional Stasiun (MB-)</t>
        </is>
      </c>
      <c r="G208" s="20" t="inlineStr">
        <is>
          <t>Slot waktu harus menaik dan tidak boleh kembar</t>
        </is>
      </c>
      <c r="H208" s="21" t="inlineStr">
        <is>
          <t>OPR-A</t>
        </is>
      </c>
      <c r="I208" s="21" t="inlineStr">
        <is>
          <t>—</t>
        </is>
      </c>
      <c r="J208" s="21" t="inlineStr">
        <is>
          <t>1. Login di mobile, buka Monitor Solid Waste Disposal, lalu tekan New Data (/stations/solid-waste-disposal/form/&lt;id&gt;)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8" s="21" t="inlineStr">
        <is>
          <t>- Langkah 4: pemilih baris kedua tidak lagi menawarkan slot yang sudah dipakai, dan tidak menawarkan slot yang lebih awal.
- Langkah 5 dan 6: tidak dapat dipilih — atau bila terpilih, Simpan ditolak dengan pesan yang menyebut urutan slot.
- Langkah 7: berhasil.</t>
        </is>
      </c>
      <c r="L208" s="16" t="inlineStr">
        <is>
          <t>Tinggi</t>
        </is>
      </c>
      <c r="M208" s="21" t="inlineStr">
        <is>
          <t>lewati untuk Weighbridge, Grading, Kernel Dispatch, CPO Dispatch</t>
        </is>
      </c>
      <c r="N208" s="17" t="n"/>
      <c r="O208" s="17" t="n"/>
      <c r="P208" s="17" t="n"/>
      <c r="Q208" s="17" t="n"/>
      <c r="R208" s="17" t="n"/>
    </row>
    <row r="209" ht="215.2" customHeight="1">
      <c r="A209" s="22" t="n">
        <v>205</v>
      </c>
      <c r="B209" s="22" t="n">
        <v>3</v>
      </c>
      <c r="C209" s="23" t="inlineStr">
        <is>
          <t>MB-FORM-03 / Process Quality Control</t>
        </is>
      </c>
      <c r="D209" s="23" t="inlineStr">
        <is>
          <t>MB-FORM-03</t>
        </is>
      </c>
      <c r="E209" s="24" t="inlineStr">
        <is>
          <t>Process Quality Control</t>
        </is>
      </c>
      <c r="F209" s="5" t="inlineStr">
        <is>
          <t>Mobile — Operasional Stasiun (MB-)</t>
        </is>
      </c>
      <c r="G209" s="24" t="inlineStr">
        <is>
          <t>Slot waktu harus menaik dan tidak boleh kembar</t>
        </is>
      </c>
      <c r="H209" s="5" t="inlineStr">
        <is>
          <t>OPR-A</t>
        </is>
      </c>
      <c r="I209" s="5" t="inlineStr">
        <is>
          <t>—</t>
        </is>
      </c>
      <c r="J209" s="5" t="inlineStr">
        <is>
          <t>1. Login di mobile, buka Monitor Process Quality Control, lalu tekan New Data (/stations/process-quality-control/form/&lt;id&gt;)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9" s="5" t="inlineStr">
        <is>
          <t>- Langkah 4: pemilih baris kedua tidak lagi menawarkan slot yang sudah dipakai, dan tidak menawarkan slot yang lebih awal.
- Langkah 5 dan 6: tidak dapat dipilih — atau bila terpilih, Simpan ditolak dengan pesan yang menyebut urutan slot.
- Langkah 7: berhasil.</t>
        </is>
      </c>
      <c r="L209" s="16" t="inlineStr">
        <is>
          <t>Tinggi</t>
        </is>
      </c>
      <c r="M209" s="5" t="inlineStr">
        <is>
          <t>lewati untuk Weighbridge, Grading, Kernel Dispatch, CPO Dispatch</t>
        </is>
      </c>
      <c r="N209" s="17" t="n"/>
      <c r="O209" s="17" t="n"/>
      <c r="P209" s="17" t="n"/>
      <c r="Q209" s="17" t="n"/>
      <c r="R209" s="17" t="n"/>
    </row>
    <row r="210" ht="413.2" customHeight="1">
      <c r="A210" s="18" t="n">
        <v>206</v>
      </c>
      <c r="B210" s="18" t="n">
        <v>3</v>
      </c>
      <c r="C210" s="19" t="inlineStr">
        <is>
          <t>MB-FORM-04 / Threshing</t>
        </is>
      </c>
      <c r="D210" s="19" t="inlineStr">
        <is>
          <t>MB-FORM-04</t>
        </is>
      </c>
      <c r="E210" s="20" t="inlineStr">
        <is>
          <t>Threshing</t>
        </is>
      </c>
      <c r="F210" s="21" t="inlineStr">
        <is>
          <t>Mobile — Operasional Stasiun (MB-)</t>
        </is>
      </c>
      <c r="G210" s="20" t="inlineStr">
        <is>
          <t>Urutan slot mengikuti 07:00 → 06:00, bukan 00:00 → 23:00</t>
        </is>
      </c>
      <c r="H210" s="21" t="inlineStr">
        <is>
          <t>OPR-A</t>
        </is>
      </c>
      <c r="I210" s="21" t="inlineStr">
        <is>
          <t>—</t>
        </is>
      </c>
      <c r="J210" s="21" t="inlineStr">
        <is>
          <t>1. Login di mobile, buka Monitor Threshing, lalu tekan New Data (/stations/threshing/form/&lt;id&gt;) (lewati ketujuh stasiun di luar daftar itu).
2. Tambah satu baris slot waktu. Buka pemilih slotnya.
3. Catat urutan lengkap pilihan dari atas ke bawah.
4. Bandingkan dengan urutan yang benar: 07:00, 08:00, …, 23:00, 00:00, 01:00, …, 06:00.</t>
        </is>
      </c>
      <c r="K210" s="21" t="inlineStr">
        <is>
          <t>- Pilihan pertama adalah 07:00, bukan 00:00.
- Sesudah 23:00 menyusul 00:00, bukan selesai.
- Pilihan terakhir adalah 06:00.
- Jumlah pilihannya 24.
- Jadi 01:00 berada sesudah 23:00 — itu benar, bukan bug (lihat bagian 11.4).</t>
        </is>
      </c>
      <c r="L210" s="16" t="inlineStr">
        <is>
          <t>Tinggi</t>
        </is>
      </c>
      <c r="M210" s="21"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0" s="17" t="n"/>
      <c r="O210" s="17" t="n"/>
      <c r="P210" s="17" t="n"/>
      <c r="Q210" s="17" t="n"/>
      <c r="R210" s="17" t="n"/>
    </row>
    <row r="211" ht="413.2" customHeight="1">
      <c r="A211" s="22" t="n">
        <v>207</v>
      </c>
      <c r="B211" s="22" t="n">
        <v>3</v>
      </c>
      <c r="C211" s="23" t="inlineStr">
        <is>
          <t>MB-FORM-04 / Pressing</t>
        </is>
      </c>
      <c r="D211" s="23" t="inlineStr">
        <is>
          <t>MB-FORM-04</t>
        </is>
      </c>
      <c r="E211" s="24" t="inlineStr">
        <is>
          <t>Pressing</t>
        </is>
      </c>
      <c r="F211" s="5" t="inlineStr">
        <is>
          <t>Mobile — Operasional Stasiun (MB-)</t>
        </is>
      </c>
      <c r="G211" s="24" t="inlineStr">
        <is>
          <t>Urutan slot mengikuti 07:00 → 06:00, bukan 00:00 → 23:00</t>
        </is>
      </c>
      <c r="H211" s="5" t="inlineStr">
        <is>
          <t>OPR-A</t>
        </is>
      </c>
      <c r="I211" s="5" t="inlineStr">
        <is>
          <t>—</t>
        </is>
      </c>
      <c r="J211" s="5" t="inlineStr">
        <is>
          <t>1. Login di mobile, buka Monitor Pressing, lalu tekan New Data (/stations/pressing/form/&lt;id&gt;) (lewati ketujuh stasiun di luar daftar itu).
2. Tambah satu baris slot waktu. Buka pemilih slotnya.
3. Catat urutan lengkap pilihan dari atas ke bawah.
4. Bandingkan dengan urutan yang benar: 07:00, 08:00, …, 23:00, 00:00, 01:00, …, 06:00.</t>
        </is>
      </c>
      <c r="K211" s="5" t="inlineStr">
        <is>
          <t>- Pilihan pertama adalah 07:00, bukan 00:00.
- Sesudah 23:00 menyusul 00:00, bukan selesai.
- Pilihan terakhir adalah 06:00.
- Jumlah pilihannya 24.
- Jadi 01:00 berada sesudah 23:00 — itu benar, bukan bug (lihat bagian 11.4).</t>
        </is>
      </c>
      <c r="L211" s="16" t="inlineStr">
        <is>
          <t>Tinggi</t>
        </is>
      </c>
      <c r="M211"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1" s="17" t="n"/>
      <c r="O211" s="17" t="n"/>
      <c r="P211" s="17" t="n"/>
      <c r="Q211" s="17" t="n"/>
      <c r="R211" s="17" t="n"/>
    </row>
    <row r="212" ht="413.2" customHeight="1">
      <c r="A212" s="18" t="n">
        <v>208</v>
      </c>
      <c r="B212" s="18" t="n">
        <v>3</v>
      </c>
      <c r="C212" s="19" t="inlineStr">
        <is>
          <t>MB-FORM-04 / Clarification</t>
        </is>
      </c>
      <c r="D212" s="19" t="inlineStr">
        <is>
          <t>MB-FORM-04</t>
        </is>
      </c>
      <c r="E212" s="20" t="inlineStr">
        <is>
          <t>Clarification</t>
        </is>
      </c>
      <c r="F212" s="21" t="inlineStr">
        <is>
          <t>Mobile — Operasional Stasiun (MB-)</t>
        </is>
      </c>
      <c r="G212" s="20" t="inlineStr">
        <is>
          <t>Urutan slot mengikuti 07:00 → 06:00, bukan 00:00 → 23:00</t>
        </is>
      </c>
      <c r="H212" s="21" t="inlineStr">
        <is>
          <t>OPR-A</t>
        </is>
      </c>
      <c r="I212" s="21" t="inlineStr">
        <is>
          <t>—</t>
        </is>
      </c>
      <c r="J212" s="21" t="inlineStr">
        <is>
          <t>1. Login di mobile, buka Monitor Clarification, lalu tekan New Data (/stations/clarification/form/&lt;id&gt;) (lewati ketujuh stasiun di luar daftar itu).
2. Tambah satu baris slot waktu. Buka pemilih slotnya.
3. Catat urutan lengkap pilihan dari atas ke bawah.
4. Bandingkan dengan urutan yang benar: 07:00, 08:00, …, 23:00, 00:00, 01:00, …, 06:00.</t>
        </is>
      </c>
      <c r="K212" s="21" t="inlineStr">
        <is>
          <t>- Pilihan pertama adalah 07:00, bukan 00:00.
- Sesudah 23:00 menyusul 00:00, bukan selesai.
- Pilihan terakhir adalah 06:00.
- Jumlah pilihannya 24.
- Jadi 01:00 berada sesudah 23:00 — itu benar, bukan bug (lihat bagian 11.4).</t>
        </is>
      </c>
      <c r="L212" s="16" t="inlineStr">
        <is>
          <t>Tinggi</t>
        </is>
      </c>
      <c r="M212" s="21"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2" s="17" t="n"/>
      <c r="O212" s="17" t="n"/>
      <c r="P212" s="17" t="n"/>
      <c r="Q212" s="17" t="n"/>
      <c r="R212" s="17" t="n"/>
    </row>
    <row r="213" ht="413.2" customHeight="1">
      <c r="A213" s="22" t="n">
        <v>209</v>
      </c>
      <c r="B213" s="22" t="n">
        <v>3</v>
      </c>
      <c r="C213" s="23" t="inlineStr">
        <is>
          <t>MB-FORM-04 / Kernel Plant</t>
        </is>
      </c>
      <c r="D213" s="23" t="inlineStr">
        <is>
          <t>MB-FORM-04</t>
        </is>
      </c>
      <c r="E213" s="24" t="inlineStr">
        <is>
          <t>Kernel Plant</t>
        </is>
      </c>
      <c r="F213" s="5" t="inlineStr">
        <is>
          <t>Mobile — Operasional Stasiun (MB-)</t>
        </is>
      </c>
      <c r="G213" s="24" t="inlineStr">
        <is>
          <t>Urutan slot mengikuti 07:00 → 06:00, bukan 00:00 → 23:00</t>
        </is>
      </c>
      <c r="H213" s="5" t="inlineStr">
        <is>
          <t>OPR-A</t>
        </is>
      </c>
      <c r="I213" s="5" t="inlineStr">
        <is>
          <t>—</t>
        </is>
      </c>
      <c r="J213" s="5" t="inlineStr">
        <is>
          <t>1. Login di mobile, buka Monitor Kernel Plant, lalu tekan New Data (/stations/kernel-plant/form/&lt;id&gt;) (lewati ketujuh stasiun di luar daftar itu).
2. Tambah satu baris slot waktu. Buka pemilih slotnya.
3. Catat urutan lengkap pilihan dari atas ke bawah.
4. Bandingkan dengan urutan yang benar: 07:00, 08:00, …, 23:00, 00:00, 01:00, …, 06:00.</t>
        </is>
      </c>
      <c r="K213" s="5" t="inlineStr">
        <is>
          <t>- Pilihan pertama adalah 07:00, bukan 00:00.
- Sesudah 23:00 menyusul 00:00, bukan selesai.
- Pilihan terakhir adalah 06:00.
- Jumlah pilihannya 24.
- Jadi 01:00 berada sesudah 23:00 — itu benar, bukan bug (lihat bagian 11.4).</t>
        </is>
      </c>
      <c r="L213" s="16" t="inlineStr">
        <is>
          <t>Tinggi</t>
        </is>
      </c>
      <c r="M213"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3" s="17" t="n"/>
      <c r="O213" s="17" t="n"/>
      <c r="P213" s="17" t="n"/>
      <c r="Q213" s="17" t="n"/>
      <c r="R213" s="17" t="n"/>
    </row>
    <row r="214" ht="413.2" customHeight="1">
      <c r="A214" s="18" t="n">
        <v>210</v>
      </c>
      <c r="B214" s="18" t="n">
        <v>3</v>
      </c>
      <c r="C214" s="19" t="inlineStr">
        <is>
          <t>MB-FORM-04 / Boiler Room</t>
        </is>
      </c>
      <c r="D214" s="19" t="inlineStr">
        <is>
          <t>MB-FORM-04</t>
        </is>
      </c>
      <c r="E214" s="20" t="inlineStr">
        <is>
          <t>Boiler Room</t>
        </is>
      </c>
      <c r="F214" s="21" t="inlineStr">
        <is>
          <t>Mobile — Operasional Stasiun (MB-)</t>
        </is>
      </c>
      <c r="G214" s="20" t="inlineStr">
        <is>
          <t>Urutan slot mengikuti 07:00 → 06:00, bukan 00:00 → 23:00</t>
        </is>
      </c>
      <c r="H214" s="21" t="inlineStr">
        <is>
          <t>OPR-A</t>
        </is>
      </c>
      <c r="I214" s="21" t="inlineStr">
        <is>
          <t>—</t>
        </is>
      </c>
      <c r="J214" s="21" t="inlineStr">
        <is>
          <t>1. Login di mobile, buka Monitor Boiler Room, lalu tekan New Data (/stations/boiler-room/form/&lt;id&gt;) (lewati ketujuh stasiun di luar daftar itu).
2. Tambah satu baris slot waktu. Buka pemilih slotnya.
3. Catat urutan lengkap pilihan dari atas ke bawah.
4. Bandingkan dengan urutan yang benar: 07:00, 08:00, …, 23:00, 00:00, 01:00, …, 06:00.</t>
        </is>
      </c>
      <c r="K214" s="21" t="inlineStr">
        <is>
          <t>- Pilihan pertama adalah 07:00, bukan 00:00.
- Sesudah 23:00 menyusul 00:00, bukan selesai.
- Pilihan terakhir adalah 06:00.
- Jumlah pilihannya 24.
- Jadi 01:00 berada sesudah 23:00 — itu benar, bukan bug (lihat bagian 11.4).</t>
        </is>
      </c>
      <c r="L214" s="16" t="inlineStr">
        <is>
          <t>Tinggi</t>
        </is>
      </c>
      <c r="M214" s="21"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4" s="17" t="n"/>
      <c r="O214" s="17" t="n"/>
      <c r="P214" s="17" t="n"/>
      <c r="Q214" s="17" t="n"/>
      <c r="R214" s="17" t="n"/>
    </row>
    <row r="215" ht="413.2" customHeight="1">
      <c r="A215" s="22" t="n">
        <v>211</v>
      </c>
      <c r="B215" s="22" t="n">
        <v>3</v>
      </c>
      <c r="C215" s="23" t="inlineStr">
        <is>
          <t>MB-FORM-04 / Effluent Plant</t>
        </is>
      </c>
      <c r="D215" s="23" t="inlineStr">
        <is>
          <t>MB-FORM-04</t>
        </is>
      </c>
      <c r="E215" s="24" t="inlineStr">
        <is>
          <t>Effluent Plant</t>
        </is>
      </c>
      <c r="F215" s="5" t="inlineStr">
        <is>
          <t>Mobile — Operasional Stasiun (MB-)</t>
        </is>
      </c>
      <c r="G215" s="24" t="inlineStr">
        <is>
          <t>Urutan slot mengikuti 07:00 → 06:00, bukan 00:00 → 23:00</t>
        </is>
      </c>
      <c r="H215" s="5" t="inlineStr">
        <is>
          <t>OPR-A</t>
        </is>
      </c>
      <c r="I215" s="5" t="inlineStr">
        <is>
          <t>—</t>
        </is>
      </c>
      <c r="J215" s="5" t="inlineStr">
        <is>
          <t>1. Login di mobile, buka Monitor Effluent Plant, lalu tekan New Data (/stations/effluent-plant/form/&lt;id&gt;) (lewati ketujuh stasiun di luar daftar itu).
2. Tambah satu baris slot waktu. Buka pemilih slotnya.
3. Catat urutan lengkap pilihan dari atas ke bawah.
4. Bandingkan dengan urutan yang benar: 07:00, 08:00, …, 23:00, 00:00, 01:00, …, 06:00.</t>
        </is>
      </c>
      <c r="K215" s="5" t="inlineStr">
        <is>
          <t>- Pilihan pertama adalah 07:00, bukan 00:00.
- Sesudah 23:00 menyusul 00:00, bukan selesai.
- Pilihan terakhir adalah 06:00.
- Jumlah pilihannya 24.
- Jadi 01:00 berada sesudah 23:00 — itu benar, bukan bug (lihat bagian 11.4).</t>
        </is>
      </c>
      <c r="L215" s="16" t="inlineStr">
        <is>
          <t>Tinggi</t>
        </is>
      </c>
      <c r="M215"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5" s="17" t="n"/>
      <c r="O215" s="17" t="n"/>
      <c r="P215" s="17" t="n"/>
      <c r="Q215" s="17" t="n"/>
      <c r="R215" s="17" t="n"/>
    </row>
    <row r="216" ht="413.2" customHeight="1">
      <c r="A216" s="11" t="n">
        <v>212</v>
      </c>
      <c r="B216" s="12" t="n">
        <v>1</v>
      </c>
      <c r="C216" s="13" t="inlineStr">
        <is>
          <t>MB-FORM-04 / Depricarping</t>
        </is>
      </c>
      <c r="D216" s="13" t="inlineStr">
        <is>
          <t>MB-FORM-04</t>
        </is>
      </c>
      <c r="E216" s="15" t="inlineStr">
        <is>
          <t>Depricarping</t>
        </is>
      </c>
      <c r="F216" s="14" t="inlineStr">
        <is>
          <t>Mobile — Operasional Stasiun (MB-)</t>
        </is>
      </c>
      <c r="G216" s="15" t="inlineStr">
        <is>
          <t>Urutan slot mengikuti 07:00 → 06:00, bukan 00:00 → 23:00</t>
        </is>
      </c>
      <c r="H216" s="14" t="inlineStr">
        <is>
          <t>OPR-A</t>
        </is>
      </c>
      <c r="I216" s="14" t="inlineStr">
        <is>
          <t>—</t>
        </is>
      </c>
      <c r="J216" s="14" t="inlineStr">
        <is>
          <t>1. Login di mobile, buka Monitor Depricarping, lalu tekan New Data (/stations/depricarping/form/&lt;id&gt;) (lewati ketujuh stasiun di luar daftar itu).
2. Tambah satu baris slot waktu. Buka pemilih slotnya.
3. Catat urutan lengkap pilihan dari atas ke bawah.
4. Bandingkan dengan urutan yang benar: 07:00, 08:00, …, 23:00, 00:00, 01:00, …, 06:00.</t>
        </is>
      </c>
      <c r="K216" s="14" t="inlineStr">
        <is>
          <t>- Pilihan pertama adalah 07:00, bukan 00:00.
- Sesudah 23:00 menyusul 00:00, bukan selesai.
- Pilihan terakhir adalah 06:00.
- Jumlah pilihannya 24.
- Jadi 01:00 berada sesudah 23:00 — itu benar, bukan bug (lihat bagian 11.4).</t>
        </is>
      </c>
      <c r="L216" s="16" t="inlineStr">
        <is>
          <t>Tinggi</t>
        </is>
      </c>
      <c r="M216" s="14"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6" s="17" t="n"/>
      <c r="O216" s="17" t="n"/>
      <c r="P216" s="17" t="n"/>
      <c r="Q216" s="17" t="n"/>
      <c r="R216" s="17" t="n"/>
    </row>
    <row r="217" ht="413.2" customHeight="1">
      <c r="A217" s="22" t="n">
        <v>213</v>
      </c>
      <c r="B217" s="22" t="n">
        <v>3</v>
      </c>
      <c r="C217" s="23" t="inlineStr">
        <is>
          <t>MB-FORM-04 / Engine Room</t>
        </is>
      </c>
      <c r="D217" s="23" t="inlineStr">
        <is>
          <t>MB-FORM-04</t>
        </is>
      </c>
      <c r="E217" s="24" t="inlineStr">
        <is>
          <t>Engine Room</t>
        </is>
      </c>
      <c r="F217" s="5" t="inlineStr">
        <is>
          <t>Mobile — Operasional Stasiun (MB-)</t>
        </is>
      </c>
      <c r="G217" s="24" t="inlineStr">
        <is>
          <t>Urutan slot mengikuti 07:00 → 06:00, bukan 00:00 → 23:00</t>
        </is>
      </c>
      <c r="H217" s="5" t="inlineStr">
        <is>
          <t>OPR-A</t>
        </is>
      </c>
      <c r="I217" s="5" t="inlineStr">
        <is>
          <t>—</t>
        </is>
      </c>
      <c r="J217" s="5" t="inlineStr">
        <is>
          <t>1. Login di mobile, buka Monitor Engine Room, lalu tekan New Data (/stations/engine-room/form/&lt;id&gt;) (lewati ketujuh stasiun di luar daftar itu).
2. Tambah satu baris slot waktu. Buka pemilih slotnya.
3. Catat urutan lengkap pilihan dari atas ke bawah.
4. Bandingkan dengan urutan yang benar: 07:00, 08:00, …, 23:00, 00:00, 01:00, …, 06:00.</t>
        </is>
      </c>
      <c r="K217" s="5" t="inlineStr">
        <is>
          <t>- Pilihan pertama adalah 07:00, bukan 00:00.
- Sesudah 23:00 menyusul 00:00, bukan selesai.
- Pilihan terakhir adalah 06:00.
- Jumlah pilihannya 24.
- Jadi 01:00 berada sesudah 23:00 — itu benar, bukan bug (lihat bagian 11.4).</t>
        </is>
      </c>
      <c r="L217" s="16" t="inlineStr">
        <is>
          <t>Tinggi</t>
        </is>
      </c>
      <c r="M217"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7" s="17" t="n"/>
      <c r="O217" s="17" t="n"/>
      <c r="P217" s="17" t="n"/>
      <c r="Q217" s="17" t="n"/>
      <c r="R217" s="17" t="n"/>
    </row>
    <row r="218" ht="413.2" customHeight="1">
      <c r="A218" s="18" t="n">
        <v>214</v>
      </c>
      <c r="B218" s="18" t="n">
        <v>3</v>
      </c>
      <c r="C218" s="19" t="inlineStr">
        <is>
          <t>MB-FORM-04 / Process Water</t>
        </is>
      </c>
      <c r="D218" s="19" t="inlineStr">
        <is>
          <t>MB-FORM-04</t>
        </is>
      </c>
      <c r="E218" s="20" t="inlineStr">
        <is>
          <t>Process Water</t>
        </is>
      </c>
      <c r="F218" s="21" t="inlineStr">
        <is>
          <t>Mobile — Operasional Stasiun (MB-)</t>
        </is>
      </c>
      <c r="G218" s="20" t="inlineStr">
        <is>
          <t>Urutan slot mengikuti 07:00 → 06:00, bukan 00:00 → 23:00</t>
        </is>
      </c>
      <c r="H218" s="21" t="inlineStr">
        <is>
          <t>OPR-A</t>
        </is>
      </c>
      <c r="I218" s="21" t="inlineStr">
        <is>
          <t>—</t>
        </is>
      </c>
      <c r="J218" s="21" t="inlineStr">
        <is>
          <t>1. Login di mobile, buka Monitor Process Water, lalu tekan New Data (/stations/process-water/form/&lt;id&gt;) (lewati ketujuh stasiun di luar daftar itu).
2. Tambah satu baris slot waktu. Buka pemilih slotnya.
3. Catat urutan lengkap pilihan dari atas ke bawah.
4. Bandingkan dengan urutan yang benar: 07:00, 08:00, …, 23:00, 00:00, 01:00, …, 06:00.</t>
        </is>
      </c>
      <c r="K218" s="21" t="inlineStr">
        <is>
          <t>- Pilihan pertama adalah 07:00, bukan 00:00.
- Sesudah 23:00 menyusul 00:00, bukan selesai.
- Pilihan terakhir adalah 06:00.
- Jumlah pilihannya 24.
- Jadi 01:00 berada sesudah 23:00 — itu benar, bukan bug (lihat bagian 11.4).</t>
        </is>
      </c>
      <c r="L218" s="16" t="inlineStr">
        <is>
          <t>Tinggi</t>
        </is>
      </c>
      <c r="M218" s="21"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8" s="17" t="n"/>
      <c r="O218" s="17" t="n"/>
      <c r="P218" s="17" t="n"/>
      <c r="Q218" s="17" t="n"/>
      <c r="R218" s="17" t="n"/>
    </row>
    <row r="219" ht="413.2" customHeight="1">
      <c r="A219" s="22" t="n">
        <v>215</v>
      </c>
      <c r="B219" s="22" t="n">
        <v>3</v>
      </c>
      <c r="C219" s="23" t="inlineStr">
        <is>
          <t>MB-FORM-04 / Storage Tank</t>
        </is>
      </c>
      <c r="D219" s="23" t="inlineStr">
        <is>
          <t>MB-FORM-04</t>
        </is>
      </c>
      <c r="E219" s="24" t="inlineStr">
        <is>
          <t>Storage Tank</t>
        </is>
      </c>
      <c r="F219" s="5" t="inlineStr">
        <is>
          <t>Mobile — Operasional Stasiun (MB-)</t>
        </is>
      </c>
      <c r="G219" s="24" t="inlineStr">
        <is>
          <t>Urutan slot mengikuti 07:00 → 06:00, bukan 00:00 → 23:00</t>
        </is>
      </c>
      <c r="H219" s="5" t="inlineStr">
        <is>
          <t>OPR-A</t>
        </is>
      </c>
      <c r="I219" s="5" t="inlineStr">
        <is>
          <t>—</t>
        </is>
      </c>
      <c r="J219" s="5" t="inlineStr">
        <is>
          <t>1. Login di mobile, buka Monitor Storage Tank, lalu tekan New Data (/stations/storage-tank/form/&lt;id&gt;) (lewati ketujuh stasiun di luar daftar itu).
2. Tambah satu baris slot waktu. Buka pemilih slotnya.
3. Catat urutan lengkap pilihan dari atas ke bawah.
4. Bandingkan dengan urutan yang benar: 07:00, 08:00, …, 23:00, 00:00, 01:00, …, 06:00.</t>
        </is>
      </c>
      <c r="K219" s="5" t="inlineStr">
        <is>
          <t>- Pilihan pertama adalah 07:00, bukan 00:00.
- Sesudah 23:00 menyusul 00:00, bukan selesai.
- Pilihan terakhir adalah 06:00.
- Jumlah pilihannya 24.
- Jadi 01:00 berada sesudah 23:00 — itu benar, bukan bug (lihat bagian 11.4).</t>
        </is>
      </c>
      <c r="L219" s="16" t="inlineStr">
        <is>
          <t>Tinggi</t>
        </is>
      </c>
      <c r="M219"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9" s="17" t="n"/>
      <c r="O219" s="17" t="n"/>
      <c r="P219" s="17" t="n"/>
      <c r="Q219" s="17" t="n"/>
      <c r="R219" s="17" t="n"/>
    </row>
    <row r="220" ht="413.2" customHeight="1">
      <c r="A220" s="18" t="n">
        <v>216</v>
      </c>
      <c r="B220" s="18" t="n">
        <v>3</v>
      </c>
      <c r="C220" s="19" t="inlineStr">
        <is>
          <t>MB-FORM-04 / Process Quality Control</t>
        </is>
      </c>
      <c r="D220" s="19" t="inlineStr">
        <is>
          <t>MB-FORM-04</t>
        </is>
      </c>
      <c r="E220" s="20" t="inlineStr">
        <is>
          <t>Process Quality Control</t>
        </is>
      </c>
      <c r="F220" s="21" t="inlineStr">
        <is>
          <t>Mobile — Operasional Stasiun (MB-)</t>
        </is>
      </c>
      <c r="G220" s="20" t="inlineStr">
        <is>
          <t>Urutan slot mengikuti 07:00 → 06:00, bukan 00:00 → 23:00</t>
        </is>
      </c>
      <c r="H220" s="21" t="inlineStr">
        <is>
          <t>OPR-A</t>
        </is>
      </c>
      <c r="I220" s="21" t="inlineStr">
        <is>
          <t>—</t>
        </is>
      </c>
      <c r="J220" s="21" t="inlineStr">
        <is>
          <t>1. Login di mobile, buka Monitor Process Quality Control, lalu tekan New Data (/stations/process-quality-control/form/&lt;id&gt;) (lewati ketujuh stasiun di luar daftar itu).
2. Tambah satu baris slot waktu. Buka pemilih slotnya.
3. Catat urutan lengkap pilihan dari atas ke bawah.
4. Bandingkan dengan urutan yang benar: 07:00, 08:00, …, 23:00, 00:00, 01:00, …, 06:00.</t>
        </is>
      </c>
      <c r="K220" s="21" t="inlineStr">
        <is>
          <t>- Pilihan pertama adalah 07:00, bukan 00:00.
- Sesudah 23:00 menyusul 00:00, bukan selesai.
- Pilihan terakhir adalah 06:00.
- Jumlah pilihannya 24.
- Jadi 01:00 berada sesudah 23:00 — itu benar, bukan bug (lihat bagian 11.4).</t>
        </is>
      </c>
      <c r="L220" s="16" t="inlineStr">
        <is>
          <t>Tinggi</t>
        </is>
      </c>
      <c r="M220" s="21"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20" s="17" t="n"/>
      <c r="O220" s="17" t="n"/>
      <c r="P220" s="17" t="n"/>
      <c r="Q220" s="17" t="n"/>
      <c r="R220" s="17" t="n"/>
    </row>
    <row r="221" ht="109.6" customHeight="1">
      <c r="A221" s="22" t="n">
        <v>217</v>
      </c>
      <c r="B221" s="22" t="n">
        <v>3</v>
      </c>
      <c r="C221" s="23" t="inlineStr">
        <is>
          <t>MB-FORM-05 / Weighbridge</t>
        </is>
      </c>
      <c r="D221" s="23" t="inlineStr">
        <is>
          <t>MB-FORM-05</t>
        </is>
      </c>
      <c r="E221" s="24" t="inlineStr">
        <is>
          <t>Weighbridge</t>
        </is>
      </c>
      <c r="F221" s="5" t="inlineStr">
        <is>
          <t>Mobile — Operasional Stasiun (MB-)</t>
        </is>
      </c>
      <c r="G221" s="24" t="inlineStr">
        <is>
          <t>Simpan ditolak bila tidak ada satu pun baris terisi</t>
        </is>
      </c>
      <c r="H221" s="5" t="inlineStr">
        <is>
          <t>OPR-A</t>
        </is>
      </c>
      <c r="I221" s="5" t="inlineStr">
        <is>
          <t>—</t>
        </is>
      </c>
      <c r="J221" s="5" t="inlineStr">
        <is>
          <t>1. Login di mobile, buka Monitor Weighbridge, lalu tekan New Data (/stations/weighbridge/form/&lt;id&gt;).
2. Isi kolom identitas unit dengan benar.
3. Tambah satu baris slot waktu, pilih 07:00, tapi jangan isi satu pun kolom bacaan.
4. Tekan Simpan.
5. Catat bunyi pesannya.</t>
        </is>
      </c>
      <c r="K221" s="5" t="inlineStr">
        <is>
          <t>- Ditolak — record tidak tersimpan.
- Pesannya menyebut bahwa minimal satu baris harus punya slot waktu dan minimal satu kolom bacaan terisi.
- Pesannya muncul di bagian grid, bukan hanya di atas form.</t>
        </is>
      </c>
      <c r="L221" s="16" t="inlineStr">
        <is>
          <t>Tinggi</t>
        </is>
      </c>
      <c r="M221" s="5" t="inlineStr"/>
      <c r="N221" s="17" t="n"/>
      <c r="O221" s="17" t="n"/>
      <c r="P221" s="17" t="n"/>
      <c r="Q221" s="17" t="n"/>
      <c r="R221" s="17" t="n"/>
    </row>
    <row r="222" ht="109.6" customHeight="1">
      <c r="A222" s="18" t="n">
        <v>218</v>
      </c>
      <c r="B222" s="18" t="n">
        <v>3</v>
      </c>
      <c r="C222" s="19" t="inlineStr">
        <is>
          <t>MB-FORM-05 / Grading</t>
        </is>
      </c>
      <c r="D222" s="19" t="inlineStr">
        <is>
          <t>MB-FORM-05</t>
        </is>
      </c>
      <c r="E222" s="20" t="inlineStr">
        <is>
          <t>Grading</t>
        </is>
      </c>
      <c r="F222" s="21" t="inlineStr">
        <is>
          <t>Mobile — Operasional Stasiun (MB-)</t>
        </is>
      </c>
      <c r="G222" s="20" t="inlineStr">
        <is>
          <t>Simpan ditolak bila tidak ada satu pun baris terisi</t>
        </is>
      </c>
      <c r="H222" s="21" t="inlineStr">
        <is>
          <t>OPR-A</t>
        </is>
      </c>
      <c r="I222" s="21" t="inlineStr">
        <is>
          <t>—</t>
        </is>
      </c>
      <c r="J222" s="21" t="inlineStr">
        <is>
          <t>1. Login di mobile, buka Monitor Grading, lalu tekan New Data (/stations/grading/form/&lt;id&gt;).
2. Isi kolom identitas unit dengan benar.
3. Tambah satu baris slot waktu, pilih 07:00, tapi jangan isi satu pun kolom bacaan.
4. Tekan Simpan.
5. Catat bunyi pesannya.</t>
        </is>
      </c>
      <c r="K222" s="21" t="inlineStr">
        <is>
          <t>- Ditolak — record tidak tersimpan.
- Pesannya menyebut bahwa minimal satu baris harus punya slot waktu dan minimal satu kolom bacaan terisi.
- Pesannya muncul di bagian grid, bukan hanya di atas form.</t>
        </is>
      </c>
      <c r="L222" s="16" t="inlineStr">
        <is>
          <t>Tinggi</t>
        </is>
      </c>
      <c r="M222" s="21" t="inlineStr"/>
      <c r="N222" s="17" t="n"/>
      <c r="O222" s="17" t="n"/>
      <c r="P222" s="17" t="n"/>
      <c r="Q222" s="17" t="n"/>
      <c r="R222" s="17" t="n"/>
    </row>
    <row r="223" ht="109.6" customHeight="1">
      <c r="A223" s="22" t="n">
        <v>219</v>
      </c>
      <c r="B223" s="22" t="n">
        <v>3</v>
      </c>
      <c r="C223" s="23" t="inlineStr">
        <is>
          <t>MB-FORM-05 / Cages Track</t>
        </is>
      </c>
      <c r="D223" s="23" t="inlineStr">
        <is>
          <t>MB-FORM-05</t>
        </is>
      </c>
      <c r="E223" s="24" t="inlineStr">
        <is>
          <t>Cages Track</t>
        </is>
      </c>
      <c r="F223" s="5" t="inlineStr">
        <is>
          <t>Mobile — Operasional Stasiun (MB-)</t>
        </is>
      </c>
      <c r="G223" s="24" t="inlineStr">
        <is>
          <t>Simpan ditolak bila tidak ada satu pun baris terisi</t>
        </is>
      </c>
      <c r="H223" s="5" t="inlineStr">
        <is>
          <t>OPR-A</t>
        </is>
      </c>
      <c r="I223" s="5" t="inlineStr">
        <is>
          <t>—</t>
        </is>
      </c>
      <c r="J223" s="5" t="inlineStr">
        <is>
          <t>1. Login di mobile, buka Monitor Cages Track, lalu tekan New Data (/stations/cages-track/form/&lt;id&gt;).
2. Isi kolom identitas unit dengan benar.
3. Tambah satu baris slot waktu, pilih 07:00, tapi jangan isi satu pun kolom bacaan.
4. Tekan Simpan.
5. Catat bunyi pesannya.</t>
        </is>
      </c>
      <c r="K223" s="5" t="inlineStr">
        <is>
          <t>- Ditolak — record tidak tersimpan.
- Pesannya menyebut bahwa minimal satu baris harus punya slot waktu dan minimal satu kolom bacaan terisi.
- Pesannya muncul di bagian grid, bukan hanya di atas form.</t>
        </is>
      </c>
      <c r="L223" s="16" t="inlineStr">
        <is>
          <t>Tinggi</t>
        </is>
      </c>
      <c r="M223" s="5" t="inlineStr"/>
      <c r="N223" s="17" t="n"/>
      <c r="O223" s="17" t="n"/>
      <c r="P223" s="17" t="n"/>
      <c r="Q223" s="17" t="n"/>
      <c r="R223" s="17" t="n"/>
    </row>
    <row r="224" ht="109.6" customHeight="1">
      <c r="A224" s="18" t="n">
        <v>220</v>
      </c>
      <c r="B224" s="18" t="n">
        <v>3</v>
      </c>
      <c r="C224" s="19" t="inlineStr">
        <is>
          <t>MB-FORM-05 / Sterilizer</t>
        </is>
      </c>
      <c r="D224" s="19" t="inlineStr">
        <is>
          <t>MB-FORM-05</t>
        </is>
      </c>
      <c r="E224" s="20" t="inlineStr">
        <is>
          <t>Sterilizer</t>
        </is>
      </c>
      <c r="F224" s="21" t="inlineStr">
        <is>
          <t>Mobile — Operasional Stasiun (MB-)</t>
        </is>
      </c>
      <c r="G224" s="20" t="inlineStr">
        <is>
          <t>Simpan ditolak bila tidak ada satu pun baris terisi</t>
        </is>
      </c>
      <c r="H224" s="21" t="inlineStr">
        <is>
          <t>OPR-A</t>
        </is>
      </c>
      <c r="I224" s="21" t="inlineStr">
        <is>
          <t>—</t>
        </is>
      </c>
      <c r="J224" s="21" t="inlineStr">
        <is>
          <t>1. Login di mobile, buka Monitor Sterilizer, lalu tekan New Data (/stations/sterilizer/form/&lt;id&gt;).
2. Isi kolom identitas unit dengan benar.
3. Tambah satu baris slot waktu, pilih 07:00, tapi jangan isi satu pun kolom bacaan.
4. Tekan Simpan.
5. Catat bunyi pesannya.</t>
        </is>
      </c>
      <c r="K224" s="21" t="inlineStr">
        <is>
          <t>- Ditolak — record tidak tersimpan.
- Pesannya menyebut bahwa minimal satu baris harus punya slot waktu dan minimal satu kolom bacaan terisi.
- Pesannya muncul di bagian grid, bukan hanya di atas form.</t>
        </is>
      </c>
      <c r="L224" s="16" t="inlineStr">
        <is>
          <t>Tinggi</t>
        </is>
      </c>
      <c r="M224" s="21" t="inlineStr"/>
      <c r="N224" s="17" t="n"/>
      <c r="O224" s="17" t="n"/>
      <c r="P224" s="17" t="n"/>
      <c r="Q224" s="17" t="n"/>
      <c r="R224" s="17" t="n"/>
    </row>
    <row r="225" ht="109.6" customHeight="1">
      <c r="A225" s="22" t="n">
        <v>221</v>
      </c>
      <c r="B225" s="22" t="n">
        <v>3</v>
      </c>
      <c r="C225" s="23" t="inlineStr">
        <is>
          <t>MB-FORM-05 / Threshing</t>
        </is>
      </c>
      <c r="D225" s="23" t="inlineStr">
        <is>
          <t>MB-FORM-05</t>
        </is>
      </c>
      <c r="E225" s="24" t="inlineStr">
        <is>
          <t>Threshing</t>
        </is>
      </c>
      <c r="F225" s="5" t="inlineStr">
        <is>
          <t>Mobile — Operasional Stasiun (MB-)</t>
        </is>
      </c>
      <c r="G225" s="24" t="inlineStr">
        <is>
          <t>Simpan ditolak bila tidak ada satu pun baris terisi</t>
        </is>
      </c>
      <c r="H225" s="5" t="inlineStr">
        <is>
          <t>OPR-A</t>
        </is>
      </c>
      <c r="I225" s="5" t="inlineStr">
        <is>
          <t>—</t>
        </is>
      </c>
      <c r="J225" s="5" t="inlineStr">
        <is>
          <t>1. Login di mobile, buka Monitor Threshing, lalu tekan New Data (/stations/threshing/form/&lt;id&gt;).
2. Isi kolom identitas unit dengan benar.
3. Tambah satu baris slot waktu, pilih 07:00, tapi jangan isi satu pun kolom bacaan.
4. Tekan Simpan.
5. Catat bunyi pesannya.</t>
        </is>
      </c>
      <c r="K225" s="5" t="inlineStr">
        <is>
          <t>- Ditolak — record tidak tersimpan.
- Pesannya menyebut bahwa minimal satu baris harus punya slot waktu dan minimal satu kolom bacaan terisi.
- Pesannya muncul di bagian grid, bukan hanya di atas form.</t>
        </is>
      </c>
      <c r="L225" s="16" t="inlineStr">
        <is>
          <t>Tinggi</t>
        </is>
      </c>
      <c r="M225" s="5" t="inlineStr"/>
      <c r="N225" s="17" t="n"/>
      <c r="O225" s="17" t="n"/>
      <c r="P225" s="17" t="n"/>
      <c r="Q225" s="17" t="n"/>
      <c r="R225" s="17" t="n"/>
    </row>
    <row r="226" ht="109.6" customHeight="1">
      <c r="A226" s="18" t="n">
        <v>222</v>
      </c>
      <c r="B226" s="18" t="n">
        <v>3</v>
      </c>
      <c r="C226" s="19" t="inlineStr">
        <is>
          <t>MB-FORM-05 / Pressing</t>
        </is>
      </c>
      <c r="D226" s="19" t="inlineStr">
        <is>
          <t>MB-FORM-05</t>
        </is>
      </c>
      <c r="E226" s="20" t="inlineStr">
        <is>
          <t>Pressing</t>
        </is>
      </c>
      <c r="F226" s="21" t="inlineStr">
        <is>
          <t>Mobile — Operasional Stasiun (MB-)</t>
        </is>
      </c>
      <c r="G226" s="20" t="inlineStr">
        <is>
          <t>Simpan ditolak bila tidak ada satu pun baris terisi</t>
        </is>
      </c>
      <c r="H226" s="21" t="inlineStr">
        <is>
          <t>OPR-A</t>
        </is>
      </c>
      <c r="I226" s="21" t="inlineStr">
        <is>
          <t>—</t>
        </is>
      </c>
      <c r="J226" s="21" t="inlineStr">
        <is>
          <t>1. Login di mobile, buka Monitor Pressing, lalu tekan New Data (/stations/pressing/form/&lt;id&gt;).
2. Isi kolom identitas unit dengan benar.
3. Tambah satu baris slot waktu, pilih 07:00, tapi jangan isi satu pun kolom bacaan.
4. Tekan Simpan.
5. Catat bunyi pesannya.</t>
        </is>
      </c>
      <c r="K226" s="21" t="inlineStr">
        <is>
          <t>- Ditolak — record tidak tersimpan.
- Pesannya menyebut bahwa minimal satu baris harus punya slot waktu dan minimal satu kolom bacaan terisi.
- Pesannya muncul di bagian grid, bukan hanya di atas form.</t>
        </is>
      </c>
      <c r="L226" s="16" t="inlineStr">
        <is>
          <t>Tinggi</t>
        </is>
      </c>
      <c r="M226" s="21" t="inlineStr"/>
      <c r="N226" s="17" t="n"/>
      <c r="O226" s="17" t="n"/>
      <c r="P226" s="17" t="n"/>
      <c r="Q226" s="17" t="n"/>
      <c r="R226" s="17" t="n"/>
    </row>
    <row r="227" ht="109.6" customHeight="1">
      <c r="A227" s="22" t="n">
        <v>223</v>
      </c>
      <c r="B227" s="22" t="n">
        <v>3</v>
      </c>
      <c r="C227" s="23" t="inlineStr">
        <is>
          <t>MB-FORM-05 / Clarification</t>
        </is>
      </c>
      <c r="D227" s="23" t="inlineStr">
        <is>
          <t>MB-FORM-05</t>
        </is>
      </c>
      <c r="E227" s="24" t="inlineStr">
        <is>
          <t>Clarification</t>
        </is>
      </c>
      <c r="F227" s="5" t="inlineStr">
        <is>
          <t>Mobile — Operasional Stasiun (MB-)</t>
        </is>
      </c>
      <c r="G227" s="24" t="inlineStr">
        <is>
          <t>Simpan ditolak bila tidak ada satu pun baris terisi</t>
        </is>
      </c>
      <c r="H227" s="5" t="inlineStr">
        <is>
          <t>OPR-A</t>
        </is>
      </c>
      <c r="I227" s="5" t="inlineStr">
        <is>
          <t>—</t>
        </is>
      </c>
      <c r="J227" s="5" t="inlineStr">
        <is>
          <t>1. Login di mobile, buka Monitor Clarification, lalu tekan New Data (/stations/clarification/form/&lt;id&gt;).
2. Isi kolom identitas unit dengan benar.
3. Tambah satu baris slot waktu, pilih 07:00, tapi jangan isi satu pun kolom bacaan.
4. Tekan Simpan.
5. Catat bunyi pesannya.</t>
        </is>
      </c>
      <c r="K227" s="5" t="inlineStr">
        <is>
          <t>- Ditolak — record tidak tersimpan.
- Pesannya menyebut bahwa minimal satu baris harus punya slot waktu dan minimal satu kolom bacaan terisi.
- Pesannya muncul di bagian grid, bukan hanya di atas form.</t>
        </is>
      </c>
      <c r="L227" s="16" t="inlineStr">
        <is>
          <t>Tinggi</t>
        </is>
      </c>
      <c r="M227" s="5" t="inlineStr"/>
      <c r="N227" s="17" t="n"/>
      <c r="O227" s="17" t="n"/>
      <c r="P227" s="17" t="n"/>
      <c r="Q227" s="17" t="n"/>
      <c r="R227" s="17" t="n"/>
    </row>
    <row r="228" ht="109.6" customHeight="1">
      <c r="A228" s="18" t="n">
        <v>224</v>
      </c>
      <c r="B228" s="18" t="n">
        <v>3</v>
      </c>
      <c r="C228" s="19" t="inlineStr">
        <is>
          <t>MB-FORM-05 / Kernel Plant</t>
        </is>
      </c>
      <c r="D228" s="19" t="inlineStr">
        <is>
          <t>MB-FORM-05</t>
        </is>
      </c>
      <c r="E228" s="20" t="inlineStr">
        <is>
          <t>Kernel Plant</t>
        </is>
      </c>
      <c r="F228" s="21" t="inlineStr">
        <is>
          <t>Mobile — Operasional Stasiun (MB-)</t>
        </is>
      </c>
      <c r="G228" s="20" t="inlineStr">
        <is>
          <t>Simpan ditolak bila tidak ada satu pun baris terisi</t>
        </is>
      </c>
      <c r="H228" s="21" t="inlineStr">
        <is>
          <t>OPR-A</t>
        </is>
      </c>
      <c r="I228" s="21" t="inlineStr">
        <is>
          <t>—</t>
        </is>
      </c>
      <c r="J228" s="21" t="inlineStr">
        <is>
          <t>1. Login di mobile, buka Monitor Kernel Plant, lalu tekan New Data (/stations/kernel-plant/form/&lt;id&gt;).
2. Isi kolom identitas unit dengan benar.
3. Tambah satu baris slot waktu, pilih 07:00, tapi jangan isi satu pun kolom bacaan.
4. Tekan Simpan.
5. Catat bunyi pesannya.</t>
        </is>
      </c>
      <c r="K228" s="21" t="inlineStr">
        <is>
          <t>- Ditolak — record tidak tersimpan.
- Pesannya menyebut bahwa minimal satu baris harus punya slot waktu dan minimal satu kolom bacaan terisi.
- Pesannya muncul di bagian grid, bukan hanya di atas form.</t>
        </is>
      </c>
      <c r="L228" s="16" t="inlineStr">
        <is>
          <t>Tinggi</t>
        </is>
      </c>
      <c r="M228" s="21" t="inlineStr"/>
      <c r="N228" s="17" t="n"/>
      <c r="O228" s="17" t="n"/>
      <c r="P228" s="17" t="n"/>
      <c r="Q228" s="17" t="n"/>
      <c r="R228" s="17" t="n"/>
    </row>
    <row r="229" ht="109.6" customHeight="1">
      <c r="A229" s="22" t="n">
        <v>225</v>
      </c>
      <c r="B229" s="22" t="n">
        <v>3</v>
      </c>
      <c r="C229" s="23" t="inlineStr">
        <is>
          <t>MB-FORM-05 / Boiler Room</t>
        </is>
      </c>
      <c r="D229" s="23" t="inlineStr">
        <is>
          <t>MB-FORM-05</t>
        </is>
      </c>
      <c r="E229" s="24" t="inlineStr">
        <is>
          <t>Boiler Room</t>
        </is>
      </c>
      <c r="F229" s="5" t="inlineStr">
        <is>
          <t>Mobile — Operasional Stasiun (MB-)</t>
        </is>
      </c>
      <c r="G229" s="24" t="inlineStr">
        <is>
          <t>Simpan ditolak bila tidak ada satu pun baris terisi</t>
        </is>
      </c>
      <c r="H229" s="5" t="inlineStr">
        <is>
          <t>OPR-A</t>
        </is>
      </c>
      <c r="I229" s="5" t="inlineStr">
        <is>
          <t>—</t>
        </is>
      </c>
      <c r="J229" s="5" t="inlineStr">
        <is>
          <t>1. Login di mobile, buka Monitor Boiler Room, lalu tekan New Data (/stations/boiler-room/form/&lt;id&gt;).
2. Isi kolom identitas unit dengan benar.
3. Tambah satu baris slot waktu, pilih 07:00, tapi jangan isi satu pun kolom bacaan.
4. Tekan Simpan.
5. Catat bunyi pesannya.</t>
        </is>
      </c>
      <c r="K229" s="5" t="inlineStr">
        <is>
          <t>- Ditolak — record tidak tersimpan.
- Pesannya menyebut bahwa minimal satu baris harus punya slot waktu dan minimal satu kolom bacaan terisi.
- Pesannya muncul di bagian grid, bukan hanya di atas form.</t>
        </is>
      </c>
      <c r="L229" s="16" t="inlineStr">
        <is>
          <t>Tinggi</t>
        </is>
      </c>
      <c r="M229" s="5" t="inlineStr"/>
      <c r="N229" s="17" t="n"/>
      <c r="O229" s="17" t="n"/>
      <c r="P229" s="17" t="n"/>
      <c r="Q229" s="17" t="n"/>
      <c r="R229" s="17" t="n"/>
    </row>
    <row r="230" ht="109.6" customHeight="1">
      <c r="A230" s="18" t="n">
        <v>226</v>
      </c>
      <c r="B230" s="18" t="n">
        <v>3</v>
      </c>
      <c r="C230" s="19" t="inlineStr">
        <is>
          <t>MB-FORM-05 / Effluent Plant</t>
        </is>
      </c>
      <c r="D230" s="19" t="inlineStr">
        <is>
          <t>MB-FORM-05</t>
        </is>
      </c>
      <c r="E230" s="20" t="inlineStr">
        <is>
          <t>Effluent Plant</t>
        </is>
      </c>
      <c r="F230" s="21" t="inlineStr">
        <is>
          <t>Mobile — Operasional Stasiun (MB-)</t>
        </is>
      </c>
      <c r="G230" s="20" t="inlineStr">
        <is>
          <t>Simpan ditolak bila tidak ada satu pun baris terisi</t>
        </is>
      </c>
      <c r="H230" s="21" t="inlineStr">
        <is>
          <t>OPR-A</t>
        </is>
      </c>
      <c r="I230" s="21" t="inlineStr">
        <is>
          <t>—</t>
        </is>
      </c>
      <c r="J230" s="21" t="inlineStr">
        <is>
          <t>1. Login di mobile, buka Monitor Effluent Plant, lalu tekan New Data (/stations/effluent-plant/form/&lt;id&gt;).
2. Isi kolom identitas unit dengan benar.
3. Tambah satu baris slot waktu, pilih 07:00, tapi jangan isi satu pun kolom bacaan.
4. Tekan Simpan.
5. Catat bunyi pesannya.</t>
        </is>
      </c>
      <c r="K230" s="21" t="inlineStr">
        <is>
          <t>- Ditolak — record tidak tersimpan.
- Pesannya menyebut bahwa minimal satu baris harus punya slot waktu dan minimal satu kolom bacaan terisi.
- Pesannya muncul di bagian grid, bukan hanya di atas form.</t>
        </is>
      </c>
      <c r="L230" s="16" t="inlineStr">
        <is>
          <t>Tinggi</t>
        </is>
      </c>
      <c r="M230" s="21" t="inlineStr"/>
      <c r="N230" s="17" t="n"/>
      <c r="O230" s="17" t="n"/>
      <c r="P230" s="17" t="n"/>
      <c r="Q230" s="17" t="n"/>
      <c r="R230" s="17" t="n"/>
    </row>
    <row r="231" ht="109.6" customHeight="1">
      <c r="A231" s="11" t="n">
        <v>227</v>
      </c>
      <c r="B231" s="12" t="n">
        <v>1</v>
      </c>
      <c r="C231" s="13" t="inlineStr">
        <is>
          <t>MB-FORM-05 / Depricarping</t>
        </is>
      </c>
      <c r="D231" s="13" t="inlineStr">
        <is>
          <t>MB-FORM-05</t>
        </is>
      </c>
      <c r="E231" s="15" t="inlineStr">
        <is>
          <t>Depricarping</t>
        </is>
      </c>
      <c r="F231" s="14" t="inlineStr">
        <is>
          <t>Mobile — Operasional Stasiun (MB-)</t>
        </is>
      </c>
      <c r="G231" s="15" t="inlineStr">
        <is>
          <t>Simpan ditolak bila tidak ada satu pun baris terisi</t>
        </is>
      </c>
      <c r="H231" s="14" t="inlineStr">
        <is>
          <t>OPR-A</t>
        </is>
      </c>
      <c r="I231" s="14" t="inlineStr">
        <is>
          <t>—</t>
        </is>
      </c>
      <c r="J231" s="14" t="inlineStr">
        <is>
          <t>1. Login di mobile, buka Monitor Depricarping, lalu tekan New Data (/stations/depricarping/form/&lt;id&gt;).
2. Isi kolom identitas unit dengan benar.
3. Tambah satu baris slot waktu, pilih 07:00, tapi jangan isi satu pun kolom bacaan.
4. Tekan Simpan.
5. Catat bunyi pesannya.</t>
        </is>
      </c>
      <c r="K231" s="14" t="inlineStr">
        <is>
          <t>- Ditolak — record tidak tersimpan.
- Pesannya menyebut bahwa minimal satu baris harus punya slot waktu dan minimal satu kolom bacaan terisi.
- Pesannya muncul di bagian grid, bukan hanya di atas form.</t>
        </is>
      </c>
      <c r="L231" s="16" t="inlineStr">
        <is>
          <t>Tinggi</t>
        </is>
      </c>
      <c r="M231" s="14" t="inlineStr"/>
      <c r="N231" s="17" t="n"/>
      <c r="O231" s="17" t="n"/>
      <c r="P231" s="17" t="n"/>
      <c r="Q231" s="17" t="n"/>
      <c r="R231" s="17" t="n"/>
    </row>
    <row r="232" ht="109.6" customHeight="1">
      <c r="A232" s="18" t="n">
        <v>228</v>
      </c>
      <c r="B232" s="18" t="n">
        <v>3</v>
      </c>
      <c r="C232" s="19" t="inlineStr">
        <is>
          <t>MB-FORM-05 / Engine Room</t>
        </is>
      </c>
      <c r="D232" s="19" t="inlineStr">
        <is>
          <t>MB-FORM-05</t>
        </is>
      </c>
      <c r="E232" s="20" t="inlineStr">
        <is>
          <t>Engine Room</t>
        </is>
      </c>
      <c r="F232" s="21" t="inlineStr">
        <is>
          <t>Mobile — Operasional Stasiun (MB-)</t>
        </is>
      </c>
      <c r="G232" s="20" t="inlineStr">
        <is>
          <t>Simpan ditolak bila tidak ada satu pun baris terisi</t>
        </is>
      </c>
      <c r="H232" s="21" t="inlineStr">
        <is>
          <t>OPR-A</t>
        </is>
      </c>
      <c r="I232" s="21" t="inlineStr">
        <is>
          <t>—</t>
        </is>
      </c>
      <c r="J232" s="21" t="inlineStr">
        <is>
          <t>1. Login di mobile, buka Monitor Engine Room, lalu tekan New Data (/stations/engine-room/form/&lt;id&gt;).
2. Isi kolom identitas unit dengan benar.
3. Tambah satu baris slot waktu, pilih 07:00, tapi jangan isi satu pun kolom bacaan.
4. Tekan Simpan.
5. Catat bunyi pesannya.</t>
        </is>
      </c>
      <c r="K232" s="21" t="inlineStr">
        <is>
          <t>- Ditolak — record tidak tersimpan.
- Pesannya menyebut bahwa minimal satu baris harus punya slot waktu dan minimal satu kolom bacaan terisi.
- Pesannya muncul di bagian grid, bukan hanya di atas form.</t>
        </is>
      </c>
      <c r="L232" s="16" t="inlineStr">
        <is>
          <t>Tinggi</t>
        </is>
      </c>
      <c r="M232" s="21" t="inlineStr"/>
      <c r="N232" s="17" t="n"/>
      <c r="O232" s="17" t="n"/>
      <c r="P232" s="17" t="n"/>
      <c r="Q232" s="17" t="n"/>
      <c r="R232" s="17" t="n"/>
    </row>
    <row r="233" ht="109.6" customHeight="1">
      <c r="A233" s="22" t="n">
        <v>229</v>
      </c>
      <c r="B233" s="22" t="n">
        <v>3</v>
      </c>
      <c r="C233" s="23" t="inlineStr">
        <is>
          <t>MB-FORM-05 / Process Water</t>
        </is>
      </c>
      <c r="D233" s="23" t="inlineStr">
        <is>
          <t>MB-FORM-05</t>
        </is>
      </c>
      <c r="E233" s="24" t="inlineStr">
        <is>
          <t>Process Water</t>
        </is>
      </c>
      <c r="F233" s="5" t="inlineStr">
        <is>
          <t>Mobile — Operasional Stasiun (MB-)</t>
        </is>
      </c>
      <c r="G233" s="24" t="inlineStr">
        <is>
          <t>Simpan ditolak bila tidak ada satu pun baris terisi</t>
        </is>
      </c>
      <c r="H233" s="5" t="inlineStr">
        <is>
          <t>OPR-A</t>
        </is>
      </c>
      <c r="I233" s="5" t="inlineStr">
        <is>
          <t>—</t>
        </is>
      </c>
      <c r="J233" s="5" t="inlineStr">
        <is>
          <t>1. Login di mobile, buka Monitor Process Water, lalu tekan New Data (/stations/process-water/form/&lt;id&gt;).
2. Isi kolom identitas unit dengan benar.
3. Tambah satu baris slot waktu, pilih 07:00, tapi jangan isi satu pun kolom bacaan.
4. Tekan Simpan.
5. Catat bunyi pesannya.</t>
        </is>
      </c>
      <c r="K233" s="5" t="inlineStr">
        <is>
          <t>- Ditolak — record tidak tersimpan.
- Pesannya menyebut bahwa minimal satu baris harus punya slot waktu dan minimal satu kolom bacaan terisi.
- Pesannya muncul di bagian grid, bukan hanya di atas form.</t>
        </is>
      </c>
      <c r="L233" s="16" t="inlineStr">
        <is>
          <t>Tinggi</t>
        </is>
      </c>
      <c r="M233" s="5" t="inlineStr"/>
      <c r="N233" s="17" t="n"/>
      <c r="O233" s="17" t="n"/>
      <c r="P233" s="17" t="n"/>
      <c r="Q233" s="17" t="n"/>
      <c r="R233" s="17" t="n"/>
    </row>
    <row r="234" ht="109.6" customHeight="1">
      <c r="A234" s="18" t="n">
        <v>230</v>
      </c>
      <c r="B234" s="18" t="n">
        <v>3</v>
      </c>
      <c r="C234" s="19" t="inlineStr">
        <is>
          <t>MB-FORM-05 / Storage Tank</t>
        </is>
      </c>
      <c r="D234" s="19" t="inlineStr">
        <is>
          <t>MB-FORM-05</t>
        </is>
      </c>
      <c r="E234" s="20" t="inlineStr">
        <is>
          <t>Storage Tank</t>
        </is>
      </c>
      <c r="F234" s="21" t="inlineStr">
        <is>
          <t>Mobile — Operasional Stasiun (MB-)</t>
        </is>
      </c>
      <c r="G234" s="20" t="inlineStr">
        <is>
          <t>Simpan ditolak bila tidak ada satu pun baris terisi</t>
        </is>
      </c>
      <c r="H234" s="21" t="inlineStr">
        <is>
          <t>OPR-A</t>
        </is>
      </c>
      <c r="I234" s="21" t="inlineStr">
        <is>
          <t>—</t>
        </is>
      </c>
      <c r="J234" s="21" t="inlineStr">
        <is>
          <t>1. Login di mobile, buka Monitor Storage Tank, lalu tekan New Data (/stations/storage-tank/form/&lt;id&gt;).
2. Isi kolom identitas unit dengan benar.
3. Tambah satu baris slot waktu, pilih 07:00, tapi jangan isi satu pun kolom bacaan.
4. Tekan Simpan.
5. Catat bunyi pesannya.</t>
        </is>
      </c>
      <c r="K234" s="21" t="inlineStr">
        <is>
          <t>- Ditolak — record tidak tersimpan.
- Pesannya menyebut bahwa minimal satu baris harus punya slot waktu dan minimal satu kolom bacaan terisi.
- Pesannya muncul di bagian grid, bukan hanya di atas form.</t>
        </is>
      </c>
      <c r="L234" s="16" t="inlineStr">
        <is>
          <t>Tinggi</t>
        </is>
      </c>
      <c r="M234" s="21" t="inlineStr"/>
      <c r="N234" s="17" t="n"/>
      <c r="O234" s="17" t="n"/>
      <c r="P234" s="17" t="n"/>
      <c r="Q234" s="17" t="n"/>
      <c r="R234" s="17" t="n"/>
    </row>
    <row r="235" ht="109.6" customHeight="1">
      <c r="A235" s="22" t="n">
        <v>231</v>
      </c>
      <c r="B235" s="22" t="n">
        <v>3</v>
      </c>
      <c r="C235" s="23" t="inlineStr">
        <is>
          <t>MB-FORM-05 / Solid Waste Disposal</t>
        </is>
      </c>
      <c r="D235" s="23" t="inlineStr">
        <is>
          <t>MB-FORM-05</t>
        </is>
      </c>
      <c r="E235" s="24" t="inlineStr">
        <is>
          <t>Solid Waste Disposal</t>
        </is>
      </c>
      <c r="F235" s="5" t="inlineStr">
        <is>
          <t>Mobile — Operasional Stasiun (MB-)</t>
        </is>
      </c>
      <c r="G235" s="24" t="inlineStr">
        <is>
          <t>Simpan ditolak bila tidak ada satu pun baris terisi</t>
        </is>
      </c>
      <c r="H235" s="5" t="inlineStr">
        <is>
          <t>OPR-A</t>
        </is>
      </c>
      <c r="I235" s="5" t="inlineStr">
        <is>
          <t>—</t>
        </is>
      </c>
      <c r="J235" s="5" t="inlineStr">
        <is>
          <t>1. Login di mobile, buka Monitor Solid Waste Disposal, lalu tekan New Data (/stations/solid-waste-disposal/form/&lt;id&gt;).
2. Isi kolom identitas unit dengan benar.
3. Tambah satu baris slot waktu, pilih 07:00, tapi jangan isi satu pun kolom bacaan.
4. Tekan Simpan.
5. Catat bunyi pesannya.</t>
        </is>
      </c>
      <c r="K235" s="5" t="inlineStr">
        <is>
          <t>- Ditolak — record tidak tersimpan.
- Pesannya menyebut bahwa minimal satu baris harus punya slot waktu dan minimal satu kolom bacaan terisi.
- Pesannya muncul di bagian grid, bukan hanya di atas form.</t>
        </is>
      </c>
      <c r="L235" s="16" t="inlineStr">
        <is>
          <t>Tinggi</t>
        </is>
      </c>
      <c r="M235" s="5" t="inlineStr"/>
      <c r="N235" s="17" t="n"/>
      <c r="O235" s="17" t="n"/>
      <c r="P235" s="17" t="n"/>
      <c r="Q235" s="17" t="n"/>
      <c r="R235" s="17" t="n"/>
    </row>
    <row r="236" ht="109.6" customHeight="1">
      <c r="A236" s="18" t="n">
        <v>232</v>
      </c>
      <c r="B236" s="18" t="n">
        <v>3</v>
      </c>
      <c r="C236" s="19" t="inlineStr">
        <is>
          <t>MB-FORM-05 / Kernel Dispatch</t>
        </is>
      </c>
      <c r="D236" s="19" t="inlineStr">
        <is>
          <t>MB-FORM-05</t>
        </is>
      </c>
      <c r="E236" s="20" t="inlineStr">
        <is>
          <t>Kernel Dispatch</t>
        </is>
      </c>
      <c r="F236" s="21" t="inlineStr">
        <is>
          <t>Mobile — Operasional Stasiun (MB-)</t>
        </is>
      </c>
      <c r="G236" s="20" t="inlineStr">
        <is>
          <t>Simpan ditolak bila tidak ada satu pun baris terisi</t>
        </is>
      </c>
      <c r="H236" s="21" t="inlineStr">
        <is>
          <t>OPR-A</t>
        </is>
      </c>
      <c r="I236" s="21" t="inlineStr">
        <is>
          <t>—</t>
        </is>
      </c>
      <c r="J236" s="21" t="inlineStr">
        <is>
          <t>1. Login di mobile, buka Monitor Kernel Dispatch, lalu tekan New Data (/stations/kernel-dispatch/form/&lt;id&gt;).
2. Isi kolom identitas unit dengan benar.
3. Tambah satu baris slot waktu, pilih 07:00, tapi jangan isi satu pun kolom bacaan.
4. Tekan Simpan.
5. Catat bunyi pesannya.</t>
        </is>
      </c>
      <c r="K236" s="21" t="inlineStr">
        <is>
          <t>- Ditolak — record tidak tersimpan.
- Pesannya menyebut bahwa minimal satu baris harus punya slot waktu dan minimal satu kolom bacaan terisi.
- Pesannya muncul di bagian grid, bukan hanya di atas form.</t>
        </is>
      </c>
      <c r="L236" s="16" t="inlineStr">
        <is>
          <t>Tinggi</t>
        </is>
      </c>
      <c r="M236" s="21" t="inlineStr"/>
      <c r="N236" s="17" t="n"/>
      <c r="O236" s="17" t="n"/>
      <c r="P236" s="17" t="n"/>
      <c r="Q236" s="17" t="n"/>
      <c r="R236" s="17" t="n"/>
    </row>
    <row r="237" ht="109.6" customHeight="1">
      <c r="A237" s="22" t="n">
        <v>233</v>
      </c>
      <c r="B237" s="22" t="n">
        <v>3</v>
      </c>
      <c r="C237" s="23" t="inlineStr">
        <is>
          <t>MB-FORM-05 / CPO Dispatch</t>
        </is>
      </c>
      <c r="D237" s="23" t="inlineStr">
        <is>
          <t>MB-FORM-05</t>
        </is>
      </c>
      <c r="E237" s="24" t="inlineStr">
        <is>
          <t>CPO Dispatch</t>
        </is>
      </c>
      <c r="F237" s="5" t="inlineStr">
        <is>
          <t>Mobile — Operasional Stasiun (MB-)</t>
        </is>
      </c>
      <c r="G237" s="24" t="inlineStr">
        <is>
          <t>Simpan ditolak bila tidak ada satu pun baris terisi</t>
        </is>
      </c>
      <c r="H237" s="5" t="inlineStr">
        <is>
          <t>OPR-A</t>
        </is>
      </c>
      <c r="I237" s="5" t="inlineStr">
        <is>
          <t>—</t>
        </is>
      </c>
      <c r="J237" s="5" t="inlineStr">
        <is>
          <t>1. Login di mobile, buka Monitor CPO Dispatch, lalu tekan New Data (/stations/cpo-dispatch/form/&lt;id&gt;).
2. Isi kolom identitas unit dengan benar.
3. Tambah satu baris slot waktu, pilih 07:00, tapi jangan isi satu pun kolom bacaan.
4. Tekan Simpan.
5. Catat bunyi pesannya.</t>
        </is>
      </c>
      <c r="K237" s="5" t="inlineStr">
        <is>
          <t>- Ditolak — record tidak tersimpan.
- Pesannya menyebut bahwa minimal satu baris harus punya slot waktu dan minimal satu kolom bacaan terisi.
- Pesannya muncul di bagian grid, bukan hanya di atas form.</t>
        </is>
      </c>
      <c r="L237" s="16" t="inlineStr">
        <is>
          <t>Tinggi</t>
        </is>
      </c>
      <c r="M237" s="5" t="inlineStr"/>
      <c r="N237" s="17" t="n"/>
      <c r="O237" s="17" t="n"/>
      <c r="P237" s="17" t="n"/>
      <c r="Q237" s="17" t="n"/>
      <c r="R237" s="17" t="n"/>
    </row>
    <row r="238" ht="109.6" customHeight="1">
      <c r="A238" s="18" t="n">
        <v>234</v>
      </c>
      <c r="B238" s="18" t="n">
        <v>3</v>
      </c>
      <c r="C238" s="19" t="inlineStr">
        <is>
          <t>MB-FORM-05 / Process Quality Control</t>
        </is>
      </c>
      <c r="D238" s="19" t="inlineStr">
        <is>
          <t>MB-FORM-05</t>
        </is>
      </c>
      <c r="E238" s="20" t="inlineStr">
        <is>
          <t>Process Quality Control</t>
        </is>
      </c>
      <c r="F238" s="21" t="inlineStr">
        <is>
          <t>Mobile — Operasional Stasiun (MB-)</t>
        </is>
      </c>
      <c r="G238" s="20" t="inlineStr">
        <is>
          <t>Simpan ditolak bila tidak ada satu pun baris terisi</t>
        </is>
      </c>
      <c r="H238" s="21" t="inlineStr">
        <is>
          <t>OPR-A</t>
        </is>
      </c>
      <c r="I238" s="21" t="inlineStr">
        <is>
          <t>—</t>
        </is>
      </c>
      <c r="J238" s="21" t="inlineStr">
        <is>
          <t>1. Login di mobile, buka Monitor Process Quality Control, lalu tekan New Data (/stations/process-quality-control/form/&lt;id&gt;).
2. Isi kolom identitas unit dengan benar.
3. Tambah satu baris slot waktu, pilih 07:00, tapi jangan isi satu pun kolom bacaan.
4. Tekan Simpan.
5. Catat bunyi pesannya.</t>
        </is>
      </c>
      <c r="K238" s="21" t="inlineStr">
        <is>
          <t>- Ditolak — record tidak tersimpan.
- Pesannya menyebut bahwa minimal satu baris harus punya slot waktu dan minimal satu kolom bacaan terisi.
- Pesannya muncul di bagian grid, bukan hanya di atas form.</t>
        </is>
      </c>
      <c r="L238" s="16" t="inlineStr">
        <is>
          <t>Tinggi</t>
        </is>
      </c>
      <c r="M238" s="21" t="inlineStr"/>
      <c r="N238" s="17" t="n"/>
      <c r="O238" s="17" t="n"/>
      <c r="P238" s="17" t="n"/>
      <c r="Q238" s="17" t="n"/>
      <c r="R238" s="17" t="n"/>
    </row>
    <row r="239" ht="136" customHeight="1">
      <c r="A239" s="22" t="n">
        <v>235</v>
      </c>
      <c r="B239" s="22" t="n">
        <v>3</v>
      </c>
      <c r="C239" s="23" t="inlineStr">
        <is>
          <t>MB-FORM-06 / Weighbridge</t>
        </is>
      </c>
      <c r="D239" s="23" t="inlineStr">
        <is>
          <t>MB-FORM-06</t>
        </is>
      </c>
      <c r="E239" s="24" t="inlineStr">
        <is>
          <t>Weighbridge</t>
        </is>
      </c>
      <c r="F239" s="5" t="inlineStr">
        <is>
          <t>Mobile — Operasional Stasiun (MB-)</t>
        </is>
      </c>
      <c r="G239" s="24" t="inlineStr">
        <is>
          <t>Baris yang sebagian terisi tetap sah</t>
        </is>
      </c>
      <c r="H239" s="5" t="inlineStr">
        <is>
          <t>OPR-A</t>
        </is>
      </c>
      <c r="I239" s="5" t="inlineStr">
        <is>
          <t>—</t>
        </is>
      </c>
      <c r="J239" s="5" t="inlineStr">
        <is>
          <t>1. Login di mobile, buka Monitor Weighbridge, lalu tekan New Data (/stations/weighbridge/form/&lt;id&gt;).
2. Isi kolom identitas unit.
3. Tambah satu baris slot waktu 07:00.
4. Isi hanya satu kolom bacaan; biarkan seluruh kolom lain pada baris itu kosong.
5. Tekan Simpan.
6. Buka record itu lewat Load Data dan periksa baris tersebut.</t>
        </is>
      </c>
      <c r="K239" s="5" t="inlineStr">
        <is>
          <t>- Berhasil tersimpan.
- Kolom yang dibiarkan kosong tersimpan sebagai kosong — bukan diisi 0.
- Pada detail, kolom kosong itu tampil sebagai tanda pisah atau kosong, bukan angka 0.</t>
        </is>
      </c>
      <c r="L239" s="16" t="inlineStr">
        <is>
          <t>Tinggi</t>
        </is>
      </c>
      <c r="M239" s="5" t="inlineStr"/>
      <c r="N239" s="17" t="n"/>
      <c r="O239" s="17" t="n"/>
      <c r="P239" s="17" t="n"/>
      <c r="Q239" s="17" t="n"/>
      <c r="R239" s="17" t="n"/>
    </row>
    <row r="240" ht="136" customHeight="1">
      <c r="A240" s="18" t="n">
        <v>236</v>
      </c>
      <c r="B240" s="18" t="n">
        <v>3</v>
      </c>
      <c r="C240" s="19" t="inlineStr">
        <is>
          <t>MB-FORM-06 / Grading</t>
        </is>
      </c>
      <c r="D240" s="19" t="inlineStr">
        <is>
          <t>MB-FORM-06</t>
        </is>
      </c>
      <c r="E240" s="20" t="inlineStr">
        <is>
          <t>Grading</t>
        </is>
      </c>
      <c r="F240" s="21" t="inlineStr">
        <is>
          <t>Mobile — Operasional Stasiun (MB-)</t>
        </is>
      </c>
      <c r="G240" s="20" t="inlineStr">
        <is>
          <t>Baris yang sebagian terisi tetap sah</t>
        </is>
      </c>
      <c r="H240" s="21" t="inlineStr">
        <is>
          <t>OPR-A</t>
        </is>
      </c>
      <c r="I240" s="21" t="inlineStr">
        <is>
          <t>—</t>
        </is>
      </c>
      <c r="J240" s="21" t="inlineStr">
        <is>
          <t>1. Login di mobile, buka Monitor Grading, lalu tekan New Data (/stations/grading/form/&lt;id&gt;).
2. Isi kolom identitas unit.
3. Tambah satu baris slot waktu 07:00.
4. Isi hanya satu kolom bacaan; biarkan seluruh kolom lain pada baris itu kosong.
5. Tekan Simpan.
6. Buka record itu lewat Load Data dan periksa baris tersebut.</t>
        </is>
      </c>
      <c r="K240" s="21" t="inlineStr">
        <is>
          <t>- Berhasil tersimpan.
- Kolom yang dibiarkan kosong tersimpan sebagai kosong — bukan diisi 0.
- Pada detail, kolom kosong itu tampil sebagai tanda pisah atau kosong, bukan angka 0.</t>
        </is>
      </c>
      <c r="L240" s="16" t="inlineStr">
        <is>
          <t>Tinggi</t>
        </is>
      </c>
      <c r="M240" s="21" t="inlineStr"/>
      <c r="N240" s="17" t="n"/>
      <c r="O240" s="17" t="n"/>
      <c r="P240" s="17" t="n"/>
      <c r="Q240" s="17" t="n"/>
      <c r="R240" s="17" t="n"/>
    </row>
    <row r="241" ht="136" customHeight="1">
      <c r="A241" s="22" t="n">
        <v>237</v>
      </c>
      <c r="B241" s="22" t="n">
        <v>3</v>
      </c>
      <c r="C241" s="23" t="inlineStr">
        <is>
          <t>MB-FORM-06 / Cages Track</t>
        </is>
      </c>
      <c r="D241" s="23" t="inlineStr">
        <is>
          <t>MB-FORM-06</t>
        </is>
      </c>
      <c r="E241" s="24" t="inlineStr">
        <is>
          <t>Cages Track</t>
        </is>
      </c>
      <c r="F241" s="5" t="inlineStr">
        <is>
          <t>Mobile — Operasional Stasiun (MB-)</t>
        </is>
      </c>
      <c r="G241" s="24" t="inlineStr">
        <is>
          <t>Baris yang sebagian terisi tetap sah</t>
        </is>
      </c>
      <c r="H241" s="5" t="inlineStr">
        <is>
          <t>OPR-A</t>
        </is>
      </c>
      <c r="I241" s="5" t="inlineStr">
        <is>
          <t>—</t>
        </is>
      </c>
      <c r="J241" s="5" t="inlineStr">
        <is>
          <t>1. Login di mobile, buka Monitor Cages Track, lalu tekan New Data (/stations/cages-track/form/&lt;id&gt;).
2. Isi kolom identitas unit.
3. Tambah satu baris slot waktu 07:00.
4. Isi hanya satu kolom bacaan; biarkan seluruh kolom lain pada baris itu kosong.
5. Tekan Simpan.
6. Buka record itu lewat Load Data dan periksa baris tersebut.</t>
        </is>
      </c>
      <c r="K241" s="5" t="inlineStr">
        <is>
          <t>- Berhasil tersimpan.
- Kolom yang dibiarkan kosong tersimpan sebagai kosong — bukan diisi 0.
- Pada detail, kolom kosong itu tampil sebagai tanda pisah atau kosong, bukan angka 0.</t>
        </is>
      </c>
      <c r="L241" s="16" t="inlineStr">
        <is>
          <t>Tinggi</t>
        </is>
      </c>
      <c r="M241" s="5" t="inlineStr"/>
      <c r="N241" s="17" t="n"/>
      <c r="O241" s="17" t="n"/>
      <c r="P241" s="17" t="n"/>
      <c r="Q241" s="17" t="n"/>
      <c r="R241" s="17" t="n"/>
    </row>
    <row r="242" ht="136" customHeight="1">
      <c r="A242" s="18" t="n">
        <v>238</v>
      </c>
      <c r="B242" s="18" t="n">
        <v>3</v>
      </c>
      <c r="C242" s="19" t="inlineStr">
        <is>
          <t>MB-FORM-06 / Sterilizer</t>
        </is>
      </c>
      <c r="D242" s="19" t="inlineStr">
        <is>
          <t>MB-FORM-06</t>
        </is>
      </c>
      <c r="E242" s="20" t="inlineStr">
        <is>
          <t>Sterilizer</t>
        </is>
      </c>
      <c r="F242" s="21" t="inlineStr">
        <is>
          <t>Mobile — Operasional Stasiun (MB-)</t>
        </is>
      </c>
      <c r="G242" s="20" t="inlineStr">
        <is>
          <t>Baris yang sebagian terisi tetap sah</t>
        </is>
      </c>
      <c r="H242" s="21" t="inlineStr">
        <is>
          <t>OPR-A</t>
        </is>
      </c>
      <c r="I242" s="21" t="inlineStr">
        <is>
          <t>—</t>
        </is>
      </c>
      <c r="J242" s="21" t="inlineStr">
        <is>
          <t>1. Login di mobile, buka Monitor Sterilizer, lalu tekan New Data (/stations/sterilizer/form/&lt;id&gt;).
2. Isi kolom identitas unit.
3. Tambah satu baris slot waktu 07:00.
4. Isi hanya satu kolom bacaan; biarkan seluruh kolom lain pada baris itu kosong.
5. Tekan Simpan.
6. Buka record itu lewat Load Data dan periksa baris tersebut.</t>
        </is>
      </c>
      <c r="K242" s="21" t="inlineStr">
        <is>
          <t>- Berhasil tersimpan.
- Kolom yang dibiarkan kosong tersimpan sebagai kosong — bukan diisi 0.
- Pada detail, kolom kosong itu tampil sebagai tanda pisah atau kosong, bukan angka 0.</t>
        </is>
      </c>
      <c r="L242" s="16" t="inlineStr">
        <is>
          <t>Tinggi</t>
        </is>
      </c>
      <c r="M242" s="21" t="inlineStr"/>
      <c r="N242" s="17" t="n"/>
      <c r="O242" s="17" t="n"/>
      <c r="P242" s="17" t="n"/>
      <c r="Q242" s="17" t="n"/>
      <c r="R242" s="17" t="n"/>
    </row>
    <row r="243" ht="136" customHeight="1">
      <c r="A243" s="22" t="n">
        <v>239</v>
      </c>
      <c r="B243" s="22" t="n">
        <v>3</v>
      </c>
      <c r="C243" s="23" t="inlineStr">
        <is>
          <t>MB-FORM-06 / Threshing</t>
        </is>
      </c>
      <c r="D243" s="23" t="inlineStr">
        <is>
          <t>MB-FORM-06</t>
        </is>
      </c>
      <c r="E243" s="24" t="inlineStr">
        <is>
          <t>Threshing</t>
        </is>
      </c>
      <c r="F243" s="5" t="inlineStr">
        <is>
          <t>Mobile — Operasional Stasiun (MB-)</t>
        </is>
      </c>
      <c r="G243" s="24" t="inlineStr">
        <is>
          <t>Baris yang sebagian terisi tetap sah</t>
        </is>
      </c>
      <c r="H243" s="5" t="inlineStr">
        <is>
          <t>OPR-A</t>
        </is>
      </c>
      <c r="I243" s="5" t="inlineStr">
        <is>
          <t>—</t>
        </is>
      </c>
      <c r="J243" s="5" t="inlineStr">
        <is>
          <t>1. Login di mobile, buka Monitor Threshing, lalu tekan New Data (/stations/threshing/form/&lt;id&gt;).
2. Isi kolom identitas unit.
3. Tambah satu baris slot waktu 07:00.
4. Isi hanya satu kolom bacaan; biarkan seluruh kolom lain pada baris itu kosong.
5. Tekan Simpan.
6. Buka record itu lewat Load Data dan periksa baris tersebut.</t>
        </is>
      </c>
      <c r="K243" s="5" t="inlineStr">
        <is>
          <t>- Berhasil tersimpan.
- Kolom yang dibiarkan kosong tersimpan sebagai kosong — bukan diisi 0.
- Pada detail, kolom kosong itu tampil sebagai tanda pisah atau kosong, bukan angka 0.</t>
        </is>
      </c>
      <c r="L243" s="16" t="inlineStr">
        <is>
          <t>Tinggi</t>
        </is>
      </c>
      <c r="M243" s="5" t="inlineStr"/>
      <c r="N243" s="17" t="n"/>
      <c r="O243" s="17" t="n"/>
      <c r="P243" s="17" t="n"/>
      <c r="Q243" s="17" t="n"/>
      <c r="R243" s="17" t="n"/>
    </row>
    <row r="244" ht="136" customHeight="1">
      <c r="A244" s="18" t="n">
        <v>240</v>
      </c>
      <c r="B244" s="18" t="n">
        <v>3</v>
      </c>
      <c r="C244" s="19" t="inlineStr">
        <is>
          <t>MB-FORM-06 / Pressing</t>
        </is>
      </c>
      <c r="D244" s="19" t="inlineStr">
        <is>
          <t>MB-FORM-06</t>
        </is>
      </c>
      <c r="E244" s="20" t="inlineStr">
        <is>
          <t>Pressing</t>
        </is>
      </c>
      <c r="F244" s="21" t="inlineStr">
        <is>
          <t>Mobile — Operasional Stasiun (MB-)</t>
        </is>
      </c>
      <c r="G244" s="20" t="inlineStr">
        <is>
          <t>Baris yang sebagian terisi tetap sah</t>
        </is>
      </c>
      <c r="H244" s="21" t="inlineStr">
        <is>
          <t>OPR-A</t>
        </is>
      </c>
      <c r="I244" s="21" t="inlineStr">
        <is>
          <t>—</t>
        </is>
      </c>
      <c r="J244" s="21" t="inlineStr">
        <is>
          <t>1. Login di mobile, buka Monitor Pressing, lalu tekan New Data (/stations/pressing/form/&lt;id&gt;).
2. Isi kolom identitas unit.
3. Tambah satu baris slot waktu 07:00.
4. Isi hanya satu kolom bacaan; biarkan seluruh kolom lain pada baris itu kosong.
5. Tekan Simpan.
6. Buka record itu lewat Load Data dan periksa baris tersebut.</t>
        </is>
      </c>
      <c r="K244" s="21" t="inlineStr">
        <is>
          <t>- Berhasil tersimpan.
- Kolom yang dibiarkan kosong tersimpan sebagai kosong — bukan diisi 0.
- Pada detail, kolom kosong itu tampil sebagai tanda pisah atau kosong, bukan angka 0.</t>
        </is>
      </c>
      <c r="L244" s="16" t="inlineStr">
        <is>
          <t>Tinggi</t>
        </is>
      </c>
      <c r="M244" s="21" t="inlineStr"/>
      <c r="N244" s="17" t="n"/>
      <c r="O244" s="17" t="n"/>
      <c r="P244" s="17" t="n"/>
      <c r="Q244" s="17" t="n"/>
      <c r="R244" s="17" t="n"/>
    </row>
    <row r="245" ht="136" customHeight="1">
      <c r="A245" s="22" t="n">
        <v>241</v>
      </c>
      <c r="B245" s="22" t="n">
        <v>3</v>
      </c>
      <c r="C245" s="23" t="inlineStr">
        <is>
          <t>MB-FORM-06 / Clarification</t>
        </is>
      </c>
      <c r="D245" s="23" t="inlineStr">
        <is>
          <t>MB-FORM-06</t>
        </is>
      </c>
      <c r="E245" s="24" t="inlineStr">
        <is>
          <t>Clarification</t>
        </is>
      </c>
      <c r="F245" s="5" t="inlineStr">
        <is>
          <t>Mobile — Operasional Stasiun (MB-)</t>
        </is>
      </c>
      <c r="G245" s="24" t="inlineStr">
        <is>
          <t>Baris yang sebagian terisi tetap sah</t>
        </is>
      </c>
      <c r="H245" s="5" t="inlineStr">
        <is>
          <t>OPR-A</t>
        </is>
      </c>
      <c r="I245" s="5" t="inlineStr">
        <is>
          <t>—</t>
        </is>
      </c>
      <c r="J245" s="5" t="inlineStr">
        <is>
          <t>1. Login di mobile, buka Monitor Clarification, lalu tekan New Data (/stations/clarification/form/&lt;id&gt;).
2. Isi kolom identitas unit.
3. Tambah satu baris slot waktu 07:00.
4. Isi hanya satu kolom bacaan; biarkan seluruh kolom lain pada baris itu kosong.
5. Tekan Simpan.
6. Buka record itu lewat Load Data dan periksa baris tersebut.</t>
        </is>
      </c>
      <c r="K245" s="5" t="inlineStr">
        <is>
          <t>- Berhasil tersimpan.
- Kolom yang dibiarkan kosong tersimpan sebagai kosong — bukan diisi 0.
- Pada detail, kolom kosong itu tampil sebagai tanda pisah atau kosong, bukan angka 0.</t>
        </is>
      </c>
      <c r="L245" s="16" t="inlineStr">
        <is>
          <t>Tinggi</t>
        </is>
      </c>
      <c r="M245" s="5" t="inlineStr"/>
      <c r="N245" s="17" t="n"/>
      <c r="O245" s="17" t="n"/>
      <c r="P245" s="17" t="n"/>
      <c r="Q245" s="17" t="n"/>
      <c r="R245" s="17" t="n"/>
    </row>
    <row r="246" ht="136" customHeight="1">
      <c r="A246" s="18" t="n">
        <v>242</v>
      </c>
      <c r="B246" s="18" t="n">
        <v>3</v>
      </c>
      <c r="C246" s="19" t="inlineStr">
        <is>
          <t>MB-FORM-06 / Kernel Plant</t>
        </is>
      </c>
      <c r="D246" s="19" t="inlineStr">
        <is>
          <t>MB-FORM-06</t>
        </is>
      </c>
      <c r="E246" s="20" t="inlineStr">
        <is>
          <t>Kernel Plant</t>
        </is>
      </c>
      <c r="F246" s="21" t="inlineStr">
        <is>
          <t>Mobile — Operasional Stasiun (MB-)</t>
        </is>
      </c>
      <c r="G246" s="20" t="inlineStr">
        <is>
          <t>Baris yang sebagian terisi tetap sah</t>
        </is>
      </c>
      <c r="H246" s="21" t="inlineStr">
        <is>
          <t>OPR-A</t>
        </is>
      </c>
      <c r="I246" s="21" t="inlineStr">
        <is>
          <t>—</t>
        </is>
      </c>
      <c r="J246" s="21" t="inlineStr">
        <is>
          <t>1. Login di mobile, buka Monitor Kernel Plant, lalu tekan New Data (/stations/kernel-plant/form/&lt;id&gt;).
2. Isi kolom identitas unit.
3. Tambah satu baris slot waktu 07:00.
4. Isi hanya satu kolom bacaan; biarkan seluruh kolom lain pada baris itu kosong.
5. Tekan Simpan.
6. Buka record itu lewat Load Data dan periksa baris tersebut.</t>
        </is>
      </c>
      <c r="K246" s="21" t="inlineStr">
        <is>
          <t>- Berhasil tersimpan.
- Kolom yang dibiarkan kosong tersimpan sebagai kosong — bukan diisi 0.
- Pada detail, kolom kosong itu tampil sebagai tanda pisah atau kosong, bukan angka 0.</t>
        </is>
      </c>
      <c r="L246" s="16" t="inlineStr">
        <is>
          <t>Tinggi</t>
        </is>
      </c>
      <c r="M246" s="21" t="inlineStr"/>
      <c r="N246" s="17" t="n"/>
      <c r="O246" s="17" t="n"/>
      <c r="P246" s="17" t="n"/>
      <c r="Q246" s="17" t="n"/>
      <c r="R246" s="17" t="n"/>
    </row>
    <row r="247" ht="136" customHeight="1">
      <c r="A247" s="22" t="n">
        <v>243</v>
      </c>
      <c r="B247" s="22" t="n">
        <v>3</v>
      </c>
      <c r="C247" s="23" t="inlineStr">
        <is>
          <t>MB-FORM-06 / Boiler Room</t>
        </is>
      </c>
      <c r="D247" s="23" t="inlineStr">
        <is>
          <t>MB-FORM-06</t>
        </is>
      </c>
      <c r="E247" s="24" t="inlineStr">
        <is>
          <t>Boiler Room</t>
        </is>
      </c>
      <c r="F247" s="5" t="inlineStr">
        <is>
          <t>Mobile — Operasional Stasiun (MB-)</t>
        </is>
      </c>
      <c r="G247" s="24" t="inlineStr">
        <is>
          <t>Baris yang sebagian terisi tetap sah</t>
        </is>
      </c>
      <c r="H247" s="5" t="inlineStr">
        <is>
          <t>OPR-A</t>
        </is>
      </c>
      <c r="I247" s="5" t="inlineStr">
        <is>
          <t>—</t>
        </is>
      </c>
      <c r="J247" s="5" t="inlineStr">
        <is>
          <t>1. Login di mobile, buka Monitor Boiler Room, lalu tekan New Data (/stations/boiler-room/form/&lt;id&gt;).
2. Isi kolom identitas unit.
3. Tambah satu baris slot waktu 07:00.
4. Isi hanya satu kolom bacaan; biarkan seluruh kolom lain pada baris itu kosong.
5. Tekan Simpan.
6. Buka record itu lewat Load Data dan periksa baris tersebut.</t>
        </is>
      </c>
      <c r="K247" s="5" t="inlineStr">
        <is>
          <t>- Berhasil tersimpan.
- Kolom yang dibiarkan kosong tersimpan sebagai kosong — bukan diisi 0.
- Pada detail, kolom kosong itu tampil sebagai tanda pisah atau kosong, bukan angka 0.</t>
        </is>
      </c>
      <c r="L247" s="16" t="inlineStr">
        <is>
          <t>Tinggi</t>
        </is>
      </c>
      <c r="M247" s="5" t="inlineStr"/>
      <c r="N247" s="17" t="n"/>
      <c r="O247" s="17" t="n"/>
      <c r="P247" s="17" t="n"/>
      <c r="Q247" s="17" t="n"/>
      <c r="R247" s="17" t="n"/>
    </row>
    <row r="248" ht="136" customHeight="1">
      <c r="A248" s="18" t="n">
        <v>244</v>
      </c>
      <c r="B248" s="18" t="n">
        <v>3</v>
      </c>
      <c r="C248" s="19" t="inlineStr">
        <is>
          <t>MB-FORM-06 / Effluent Plant</t>
        </is>
      </c>
      <c r="D248" s="19" t="inlineStr">
        <is>
          <t>MB-FORM-06</t>
        </is>
      </c>
      <c r="E248" s="20" t="inlineStr">
        <is>
          <t>Effluent Plant</t>
        </is>
      </c>
      <c r="F248" s="21" t="inlineStr">
        <is>
          <t>Mobile — Operasional Stasiun (MB-)</t>
        </is>
      </c>
      <c r="G248" s="20" t="inlineStr">
        <is>
          <t>Baris yang sebagian terisi tetap sah</t>
        </is>
      </c>
      <c r="H248" s="21" t="inlineStr">
        <is>
          <t>OPR-A</t>
        </is>
      </c>
      <c r="I248" s="21" t="inlineStr">
        <is>
          <t>—</t>
        </is>
      </c>
      <c r="J248" s="21" t="inlineStr">
        <is>
          <t>1. Login di mobile, buka Monitor Effluent Plant, lalu tekan New Data (/stations/effluent-plant/form/&lt;id&gt;).
2. Isi kolom identitas unit.
3. Tambah satu baris slot waktu 07:00.
4. Isi hanya satu kolom bacaan; biarkan seluruh kolom lain pada baris itu kosong.
5. Tekan Simpan.
6. Buka record itu lewat Load Data dan periksa baris tersebut.</t>
        </is>
      </c>
      <c r="K248" s="21" t="inlineStr">
        <is>
          <t>- Berhasil tersimpan.
- Kolom yang dibiarkan kosong tersimpan sebagai kosong — bukan diisi 0.
- Pada detail, kolom kosong itu tampil sebagai tanda pisah atau kosong, bukan angka 0.</t>
        </is>
      </c>
      <c r="L248" s="16" t="inlineStr">
        <is>
          <t>Tinggi</t>
        </is>
      </c>
      <c r="M248" s="21" t="inlineStr"/>
      <c r="N248" s="17" t="n"/>
      <c r="O248" s="17" t="n"/>
      <c r="P248" s="17" t="n"/>
      <c r="Q248" s="17" t="n"/>
      <c r="R248" s="17" t="n"/>
    </row>
    <row r="249" ht="136" customHeight="1">
      <c r="A249" s="11" t="n">
        <v>245</v>
      </c>
      <c r="B249" s="12" t="n">
        <v>1</v>
      </c>
      <c r="C249" s="13" t="inlineStr">
        <is>
          <t>MB-FORM-06 / Depricarping</t>
        </is>
      </c>
      <c r="D249" s="13" t="inlineStr">
        <is>
          <t>MB-FORM-06</t>
        </is>
      </c>
      <c r="E249" s="15" t="inlineStr">
        <is>
          <t>Depricarping</t>
        </is>
      </c>
      <c r="F249" s="14" t="inlineStr">
        <is>
          <t>Mobile — Operasional Stasiun (MB-)</t>
        </is>
      </c>
      <c r="G249" s="15" t="inlineStr">
        <is>
          <t>Baris yang sebagian terisi tetap sah</t>
        </is>
      </c>
      <c r="H249" s="14" t="inlineStr">
        <is>
          <t>OPR-A</t>
        </is>
      </c>
      <c r="I249" s="14" t="inlineStr">
        <is>
          <t>—</t>
        </is>
      </c>
      <c r="J249" s="14" t="inlineStr">
        <is>
          <t>1. Login di mobile, buka Monitor Depricarping, lalu tekan New Data (/stations/depricarping/form/&lt;id&gt;).
2. Isi kolom identitas unit.
3. Tambah satu baris slot waktu 07:00.
4. Isi hanya satu kolom bacaan; biarkan seluruh kolom lain pada baris itu kosong.
5. Tekan Simpan.
6. Buka record itu lewat Load Data dan periksa baris tersebut.</t>
        </is>
      </c>
      <c r="K249" s="14" t="inlineStr">
        <is>
          <t>- Berhasil tersimpan.
- Kolom yang dibiarkan kosong tersimpan sebagai kosong — bukan diisi 0.
- Pada detail, kolom kosong itu tampil sebagai tanda pisah atau kosong, bukan angka 0.</t>
        </is>
      </c>
      <c r="L249" s="16" t="inlineStr">
        <is>
          <t>Tinggi</t>
        </is>
      </c>
      <c r="M249" s="14" t="inlineStr"/>
      <c r="N249" s="17" t="n"/>
      <c r="O249" s="17" t="n"/>
      <c r="P249" s="17" t="n"/>
      <c r="Q249" s="17" t="n"/>
      <c r="R249" s="17" t="n"/>
    </row>
    <row r="250" ht="136" customHeight="1">
      <c r="A250" s="18" t="n">
        <v>246</v>
      </c>
      <c r="B250" s="18" t="n">
        <v>3</v>
      </c>
      <c r="C250" s="19" t="inlineStr">
        <is>
          <t>MB-FORM-06 / Engine Room</t>
        </is>
      </c>
      <c r="D250" s="19" t="inlineStr">
        <is>
          <t>MB-FORM-06</t>
        </is>
      </c>
      <c r="E250" s="20" t="inlineStr">
        <is>
          <t>Engine Room</t>
        </is>
      </c>
      <c r="F250" s="21" t="inlineStr">
        <is>
          <t>Mobile — Operasional Stasiun (MB-)</t>
        </is>
      </c>
      <c r="G250" s="20" t="inlineStr">
        <is>
          <t>Baris yang sebagian terisi tetap sah</t>
        </is>
      </c>
      <c r="H250" s="21" t="inlineStr">
        <is>
          <t>OPR-A</t>
        </is>
      </c>
      <c r="I250" s="21" t="inlineStr">
        <is>
          <t>—</t>
        </is>
      </c>
      <c r="J250" s="21" t="inlineStr">
        <is>
          <t>1. Login di mobile, buka Monitor Engine Room, lalu tekan New Data (/stations/engine-room/form/&lt;id&gt;).
2. Isi kolom identitas unit.
3. Tambah satu baris slot waktu 07:00.
4. Isi hanya satu kolom bacaan; biarkan seluruh kolom lain pada baris itu kosong.
5. Tekan Simpan.
6. Buka record itu lewat Load Data dan periksa baris tersebut.</t>
        </is>
      </c>
      <c r="K250" s="21" t="inlineStr">
        <is>
          <t>- Berhasil tersimpan.
- Kolom yang dibiarkan kosong tersimpan sebagai kosong — bukan diisi 0.
- Pada detail, kolom kosong itu tampil sebagai tanda pisah atau kosong, bukan angka 0.</t>
        </is>
      </c>
      <c r="L250" s="16" t="inlineStr">
        <is>
          <t>Tinggi</t>
        </is>
      </c>
      <c r="M250" s="21" t="inlineStr"/>
      <c r="N250" s="17" t="n"/>
      <c r="O250" s="17" t="n"/>
      <c r="P250" s="17" t="n"/>
      <c r="Q250" s="17" t="n"/>
      <c r="R250" s="17" t="n"/>
    </row>
    <row r="251" ht="136" customHeight="1">
      <c r="A251" s="22" t="n">
        <v>247</v>
      </c>
      <c r="B251" s="22" t="n">
        <v>3</v>
      </c>
      <c r="C251" s="23" t="inlineStr">
        <is>
          <t>MB-FORM-06 / Process Water</t>
        </is>
      </c>
      <c r="D251" s="23" t="inlineStr">
        <is>
          <t>MB-FORM-06</t>
        </is>
      </c>
      <c r="E251" s="24" t="inlineStr">
        <is>
          <t>Process Water</t>
        </is>
      </c>
      <c r="F251" s="5" t="inlineStr">
        <is>
          <t>Mobile — Operasional Stasiun (MB-)</t>
        </is>
      </c>
      <c r="G251" s="24" t="inlineStr">
        <is>
          <t>Baris yang sebagian terisi tetap sah</t>
        </is>
      </c>
      <c r="H251" s="5" t="inlineStr">
        <is>
          <t>OPR-A</t>
        </is>
      </c>
      <c r="I251" s="5" t="inlineStr">
        <is>
          <t>—</t>
        </is>
      </c>
      <c r="J251" s="5" t="inlineStr">
        <is>
          <t>1. Login di mobile, buka Monitor Process Water, lalu tekan New Data (/stations/process-water/form/&lt;id&gt;).
2. Isi kolom identitas unit.
3. Tambah satu baris slot waktu 07:00.
4. Isi hanya satu kolom bacaan; biarkan seluruh kolom lain pada baris itu kosong.
5. Tekan Simpan.
6. Buka record itu lewat Load Data dan periksa baris tersebut.</t>
        </is>
      </c>
      <c r="K251" s="5" t="inlineStr">
        <is>
          <t>- Berhasil tersimpan.
- Kolom yang dibiarkan kosong tersimpan sebagai kosong — bukan diisi 0.
- Pada detail, kolom kosong itu tampil sebagai tanda pisah atau kosong, bukan angka 0.</t>
        </is>
      </c>
      <c r="L251" s="16" t="inlineStr">
        <is>
          <t>Tinggi</t>
        </is>
      </c>
      <c r="M251" s="5" t="inlineStr"/>
      <c r="N251" s="17" t="n"/>
      <c r="O251" s="17" t="n"/>
      <c r="P251" s="17" t="n"/>
      <c r="Q251" s="17" t="n"/>
      <c r="R251" s="17" t="n"/>
    </row>
    <row r="252" ht="136" customHeight="1">
      <c r="A252" s="18" t="n">
        <v>248</v>
      </c>
      <c r="B252" s="18" t="n">
        <v>3</v>
      </c>
      <c r="C252" s="19" t="inlineStr">
        <is>
          <t>MB-FORM-06 / Storage Tank</t>
        </is>
      </c>
      <c r="D252" s="19" t="inlineStr">
        <is>
          <t>MB-FORM-06</t>
        </is>
      </c>
      <c r="E252" s="20" t="inlineStr">
        <is>
          <t>Storage Tank</t>
        </is>
      </c>
      <c r="F252" s="21" t="inlineStr">
        <is>
          <t>Mobile — Operasional Stasiun (MB-)</t>
        </is>
      </c>
      <c r="G252" s="20" t="inlineStr">
        <is>
          <t>Baris yang sebagian terisi tetap sah</t>
        </is>
      </c>
      <c r="H252" s="21" t="inlineStr">
        <is>
          <t>OPR-A</t>
        </is>
      </c>
      <c r="I252" s="21" t="inlineStr">
        <is>
          <t>—</t>
        </is>
      </c>
      <c r="J252" s="21" t="inlineStr">
        <is>
          <t>1. Login di mobile, buka Monitor Storage Tank, lalu tekan New Data (/stations/storage-tank/form/&lt;id&gt;).
2. Isi kolom identitas unit.
3. Tambah satu baris slot waktu 07:00.
4. Isi hanya satu kolom bacaan; biarkan seluruh kolom lain pada baris itu kosong.
5. Tekan Simpan.
6. Buka record itu lewat Load Data dan periksa baris tersebut.</t>
        </is>
      </c>
      <c r="K252" s="21" t="inlineStr">
        <is>
          <t>- Berhasil tersimpan.
- Kolom yang dibiarkan kosong tersimpan sebagai kosong — bukan diisi 0.
- Pada detail, kolom kosong itu tampil sebagai tanda pisah atau kosong, bukan angka 0.</t>
        </is>
      </c>
      <c r="L252" s="16" t="inlineStr">
        <is>
          <t>Tinggi</t>
        </is>
      </c>
      <c r="M252" s="21" t="inlineStr"/>
      <c r="N252" s="17" t="n"/>
      <c r="O252" s="17" t="n"/>
      <c r="P252" s="17" t="n"/>
      <c r="Q252" s="17" t="n"/>
      <c r="R252" s="17" t="n"/>
    </row>
    <row r="253" ht="136" customHeight="1">
      <c r="A253" s="22" t="n">
        <v>249</v>
      </c>
      <c r="B253" s="22" t="n">
        <v>3</v>
      </c>
      <c r="C253" s="23" t="inlineStr">
        <is>
          <t>MB-FORM-06 / Solid Waste Disposal</t>
        </is>
      </c>
      <c r="D253" s="23" t="inlineStr">
        <is>
          <t>MB-FORM-06</t>
        </is>
      </c>
      <c r="E253" s="24" t="inlineStr">
        <is>
          <t>Solid Waste Disposal</t>
        </is>
      </c>
      <c r="F253" s="5" t="inlineStr">
        <is>
          <t>Mobile — Operasional Stasiun (MB-)</t>
        </is>
      </c>
      <c r="G253" s="24" t="inlineStr">
        <is>
          <t>Baris yang sebagian terisi tetap sah</t>
        </is>
      </c>
      <c r="H253" s="5" t="inlineStr">
        <is>
          <t>OPR-A</t>
        </is>
      </c>
      <c r="I253" s="5" t="inlineStr">
        <is>
          <t>—</t>
        </is>
      </c>
      <c r="J253" s="5" t="inlineStr">
        <is>
          <t>1. Login di mobile, buka Monitor Solid Waste Disposal, lalu tekan New Data (/stations/solid-waste-disposal/form/&lt;id&gt;).
2. Isi kolom identitas unit.
3. Tambah satu baris slot waktu 07:00.
4. Isi hanya satu kolom bacaan; biarkan seluruh kolom lain pada baris itu kosong.
5. Tekan Simpan.
6. Buka record itu lewat Load Data dan periksa baris tersebut.</t>
        </is>
      </c>
      <c r="K253" s="5" t="inlineStr">
        <is>
          <t>- Berhasil tersimpan.
- Kolom yang dibiarkan kosong tersimpan sebagai kosong — bukan diisi 0.
- Pada detail, kolom kosong itu tampil sebagai tanda pisah atau kosong, bukan angka 0.</t>
        </is>
      </c>
      <c r="L253" s="16" t="inlineStr">
        <is>
          <t>Tinggi</t>
        </is>
      </c>
      <c r="M253" s="5" t="inlineStr"/>
      <c r="N253" s="17" t="n"/>
      <c r="O253" s="17" t="n"/>
      <c r="P253" s="17" t="n"/>
      <c r="Q253" s="17" t="n"/>
      <c r="R253" s="17" t="n"/>
    </row>
    <row r="254" ht="136" customHeight="1">
      <c r="A254" s="18" t="n">
        <v>250</v>
      </c>
      <c r="B254" s="18" t="n">
        <v>3</v>
      </c>
      <c r="C254" s="19" t="inlineStr">
        <is>
          <t>MB-FORM-06 / Kernel Dispatch</t>
        </is>
      </c>
      <c r="D254" s="19" t="inlineStr">
        <is>
          <t>MB-FORM-06</t>
        </is>
      </c>
      <c r="E254" s="20" t="inlineStr">
        <is>
          <t>Kernel Dispatch</t>
        </is>
      </c>
      <c r="F254" s="21" t="inlineStr">
        <is>
          <t>Mobile — Operasional Stasiun (MB-)</t>
        </is>
      </c>
      <c r="G254" s="20" t="inlineStr">
        <is>
          <t>Baris yang sebagian terisi tetap sah</t>
        </is>
      </c>
      <c r="H254" s="21" t="inlineStr">
        <is>
          <t>OPR-A</t>
        </is>
      </c>
      <c r="I254" s="21" t="inlineStr">
        <is>
          <t>—</t>
        </is>
      </c>
      <c r="J254" s="21" t="inlineStr">
        <is>
          <t>1. Login di mobile, buka Monitor Kernel Dispatch, lalu tekan New Data (/stations/kernel-dispatch/form/&lt;id&gt;).
2. Isi kolom identitas unit.
3. Tambah satu baris slot waktu 07:00.
4. Isi hanya satu kolom bacaan; biarkan seluruh kolom lain pada baris itu kosong.
5. Tekan Simpan.
6. Buka record itu lewat Load Data dan periksa baris tersebut.</t>
        </is>
      </c>
      <c r="K254" s="21" t="inlineStr">
        <is>
          <t>- Berhasil tersimpan.
- Kolom yang dibiarkan kosong tersimpan sebagai kosong — bukan diisi 0.
- Pada detail, kolom kosong itu tampil sebagai tanda pisah atau kosong, bukan angka 0.</t>
        </is>
      </c>
      <c r="L254" s="16" t="inlineStr">
        <is>
          <t>Tinggi</t>
        </is>
      </c>
      <c r="M254" s="21" t="inlineStr"/>
      <c r="N254" s="17" t="n"/>
      <c r="O254" s="17" t="n"/>
      <c r="P254" s="17" t="n"/>
      <c r="Q254" s="17" t="n"/>
      <c r="R254" s="17" t="n"/>
    </row>
    <row r="255" ht="136" customHeight="1">
      <c r="A255" s="22" t="n">
        <v>251</v>
      </c>
      <c r="B255" s="22" t="n">
        <v>3</v>
      </c>
      <c r="C255" s="23" t="inlineStr">
        <is>
          <t>MB-FORM-06 / CPO Dispatch</t>
        </is>
      </c>
      <c r="D255" s="23" t="inlineStr">
        <is>
          <t>MB-FORM-06</t>
        </is>
      </c>
      <c r="E255" s="24" t="inlineStr">
        <is>
          <t>CPO Dispatch</t>
        </is>
      </c>
      <c r="F255" s="5" t="inlineStr">
        <is>
          <t>Mobile — Operasional Stasiun (MB-)</t>
        </is>
      </c>
      <c r="G255" s="24" t="inlineStr">
        <is>
          <t>Baris yang sebagian terisi tetap sah</t>
        </is>
      </c>
      <c r="H255" s="5" t="inlineStr">
        <is>
          <t>OPR-A</t>
        </is>
      </c>
      <c r="I255" s="5" t="inlineStr">
        <is>
          <t>—</t>
        </is>
      </c>
      <c r="J255" s="5" t="inlineStr">
        <is>
          <t>1. Login di mobile, buka Monitor CPO Dispatch, lalu tekan New Data (/stations/cpo-dispatch/form/&lt;id&gt;).
2. Isi kolom identitas unit.
3. Tambah satu baris slot waktu 07:00.
4. Isi hanya satu kolom bacaan; biarkan seluruh kolom lain pada baris itu kosong.
5. Tekan Simpan.
6. Buka record itu lewat Load Data dan periksa baris tersebut.</t>
        </is>
      </c>
      <c r="K255" s="5" t="inlineStr">
        <is>
          <t>- Berhasil tersimpan.
- Kolom yang dibiarkan kosong tersimpan sebagai kosong — bukan diisi 0.
- Pada detail, kolom kosong itu tampil sebagai tanda pisah atau kosong, bukan angka 0.</t>
        </is>
      </c>
      <c r="L255" s="16" t="inlineStr">
        <is>
          <t>Tinggi</t>
        </is>
      </c>
      <c r="M255" s="5" t="inlineStr"/>
      <c r="N255" s="17" t="n"/>
      <c r="O255" s="17" t="n"/>
      <c r="P255" s="17" t="n"/>
      <c r="Q255" s="17" t="n"/>
      <c r="R255" s="17" t="n"/>
    </row>
    <row r="256" ht="136" customHeight="1">
      <c r="A256" s="18" t="n">
        <v>252</v>
      </c>
      <c r="B256" s="18" t="n">
        <v>3</v>
      </c>
      <c r="C256" s="19" t="inlineStr">
        <is>
          <t>MB-FORM-06 / Process Quality Control</t>
        </is>
      </c>
      <c r="D256" s="19" t="inlineStr">
        <is>
          <t>MB-FORM-06</t>
        </is>
      </c>
      <c r="E256" s="20" t="inlineStr">
        <is>
          <t>Process Quality Control</t>
        </is>
      </c>
      <c r="F256" s="21" t="inlineStr">
        <is>
          <t>Mobile — Operasional Stasiun (MB-)</t>
        </is>
      </c>
      <c r="G256" s="20" t="inlineStr">
        <is>
          <t>Baris yang sebagian terisi tetap sah</t>
        </is>
      </c>
      <c r="H256" s="21" t="inlineStr">
        <is>
          <t>OPR-A</t>
        </is>
      </c>
      <c r="I256" s="21" t="inlineStr">
        <is>
          <t>—</t>
        </is>
      </c>
      <c r="J256" s="21" t="inlineStr">
        <is>
          <t>1. Login di mobile, buka Monitor Process Quality Control, lalu tekan New Data (/stations/process-quality-control/form/&lt;id&gt;).
2. Isi kolom identitas unit.
3. Tambah satu baris slot waktu 07:00.
4. Isi hanya satu kolom bacaan; biarkan seluruh kolom lain pada baris itu kosong.
5. Tekan Simpan.
6. Buka record itu lewat Load Data dan periksa baris tersebut.</t>
        </is>
      </c>
      <c r="K256" s="21" t="inlineStr">
        <is>
          <t>- Berhasil tersimpan.
- Kolom yang dibiarkan kosong tersimpan sebagai kosong — bukan diisi 0.
- Pada detail, kolom kosong itu tampil sebagai tanda pisah atau kosong, bukan angka 0.</t>
        </is>
      </c>
      <c r="L256" s="16" t="inlineStr">
        <is>
          <t>Tinggi</t>
        </is>
      </c>
      <c r="M256" s="21" t="inlineStr"/>
      <c r="N256" s="17" t="n"/>
      <c r="O256" s="17" t="n"/>
      <c r="P256" s="17" t="n"/>
      <c r="Q256" s="17" t="n"/>
      <c r="R256" s="17" t="n"/>
    </row>
    <row r="257" ht="136" customHeight="1">
      <c r="A257" s="22" t="n">
        <v>253</v>
      </c>
      <c r="B257" s="22" t="n">
        <v>3</v>
      </c>
      <c r="C257" s="23" t="inlineStr">
        <is>
          <t>MB-FORM-07 / Weighbridge</t>
        </is>
      </c>
      <c r="D257" s="23" t="inlineStr">
        <is>
          <t>MB-FORM-07</t>
        </is>
      </c>
      <c r="E257" s="24" t="inlineStr">
        <is>
          <t>Weighbridge</t>
        </is>
      </c>
      <c r="F257" s="5" t="inlineStr">
        <is>
          <t>Mobile — Operasional Stasiun (MB-)</t>
        </is>
      </c>
      <c r="G257" s="24" t="inlineStr">
        <is>
          <t>Pause menyimpan apa adanya tanpa memvalidasi</t>
        </is>
      </c>
      <c r="H257" s="5" t="inlineStr">
        <is>
          <t>OPR-A</t>
        </is>
      </c>
      <c r="I257" s="5" t="inlineStr">
        <is>
          <t>—</t>
        </is>
      </c>
      <c r="J257" s="5" t="inlineStr">
        <is>
          <t>1. Login di mobile, buka Monitor Weighbridge, lalu tekan New Data (/stations/weighbridge/form/&lt;id&gt;).
2. Kosongkan kolom identitas unit (yang pada MB-FORM-02 membuat Simpan ditolak).
3. Tambah satu baris, pilih slot, tapi jangan isi kolom bacaan apa pun.
4. Tekan Pause.
5. Kembali ke Monitor dan cari draft itu.
6. Buka draft itu kembali.</t>
        </is>
      </c>
      <c r="K257" s="5" t="inlineStr">
        <is>
          <t>- Pause berhasil — tidak ada satu pun validasi yang menolaknya.
- Draft muncul di Monitor berlabel Pause.
- Saat dibuka kembali, isinya apa adanya seperti saat dijeda, termasuk kolom yang kosong.</t>
        </is>
      </c>
      <c r="L257" s="16" t="inlineStr">
        <is>
          <t>Tinggi</t>
        </is>
      </c>
      <c r="M257" s="5" t="inlineStr"/>
      <c r="N257" s="17" t="n"/>
      <c r="O257" s="17" t="n"/>
      <c r="P257" s="17" t="n"/>
      <c r="Q257" s="17" t="n"/>
      <c r="R257" s="17" t="n"/>
    </row>
    <row r="258" ht="136" customHeight="1">
      <c r="A258" s="18" t="n">
        <v>254</v>
      </c>
      <c r="B258" s="18" t="n">
        <v>3</v>
      </c>
      <c r="C258" s="19" t="inlineStr">
        <is>
          <t>MB-FORM-07 / Grading</t>
        </is>
      </c>
      <c r="D258" s="19" t="inlineStr">
        <is>
          <t>MB-FORM-07</t>
        </is>
      </c>
      <c r="E258" s="20" t="inlineStr">
        <is>
          <t>Grading</t>
        </is>
      </c>
      <c r="F258" s="21" t="inlineStr">
        <is>
          <t>Mobile — Operasional Stasiun (MB-)</t>
        </is>
      </c>
      <c r="G258" s="20" t="inlineStr">
        <is>
          <t>Pause menyimpan apa adanya tanpa memvalidasi</t>
        </is>
      </c>
      <c r="H258" s="21" t="inlineStr">
        <is>
          <t>OPR-A</t>
        </is>
      </c>
      <c r="I258" s="21" t="inlineStr">
        <is>
          <t>—</t>
        </is>
      </c>
      <c r="J258" s="21" t="inlineStr">
        <is>
          <t>1. Login di mobile, buka Monitor Grading, lalu tekan New Data (/stations/grading/form/&lt;id&gt;).
2. Kosongkan kolom identitas unit (yang pada MB-FORM-02 membuat Simpan ditolak).
3. Tambah satu baris, pilih slot, tapi jangan isi kolom bacaan apa pun.
4. Tekan Pause.
5. Kembali ke Monitor dan cari draft itu.
6. Buka draft itu kembali.</t>
        </is>
      </c>
      <c r="K258" s="21" t="inlineStr">
        <is>
          <t>- Pause berhasil — tidak ada satu pun validasi yang menolaknya.
- Draft muncul di Monitor berlabel Pause.
- Saat dibuka kembali, isinya apa adanya seperti saat dijeda, termasuk kolom yang kosong.</t>
        </is>
      </c>
      <c r="L258" s="16" t="inlineStr">
        <is>
          <t>Tinggi</t>
        </is>
      </c>
      <c r="M258" s="21" t="inlineStr"/>
      <c r="N258" s="17" t="n"/>
      <c r="O258" s="17" t="n"/>
      <c r="P258" s="17" t="n"/>
      <c r="Q258" s="17" t="n"/>
      <c r="R258" s="17" t="n"/>
    </row>
    <row r="259" ht="136" customHeight="1">
      <c r="A259" s="22" t="n">
        <v>255</v>
      </c>
      <c r="B259" s="22" t="n">
        <v>3</v>
      </c>
      <c r="C259" s="23" t="inlineStr">
        <is>
          <t>MB-FORM-07 / Cages Track</t>
        </is>
      </c>
      <c r="D259" s="23" t="inlineStr">
        <is>
          <t>MB-FORM-07</t>
        </is>
      </c>
      <c r="E259" s="24" t="inlineStr">
        <is>
          <t>Cages Track</t>
        </is>
      </c>
      <c r="F259" s="5" t="inlineStr">
        <is>
          <t>Mobile — Operasional Stasiun (MB-)</t>
        </is>
      </c>
      <c r="G259" s="24" t="inlineStr">
        <is>
          <t>Pause menyimpan apa adanya tanpa memvalidasi</t>
        </is>
      </c>
      <c r="H259" s="5" t="inlineStr">
        <is>
          <t>OPR-A</t>
        </is>
      </c>
      <c r="I259" s="5" t="inlineStr">
        <is>
          <t>—</t>
        </is>
      </c>
      <c r="J259" s="5" t="inlineStr">
        <is>
          <t>1. Login di mobile, buka Monitor Cages Track, lalu tekan New Data (/stations/cages-track/form/&lt;id&gt;).
2. Kosongkan kolom identitas unit (yang pada MB-FORM-02 membuat Simpan ditolak).
3. Tambah satu baris, pilih slot, tapi jangan isi kolom bacaan apa pun.
4. Tekan Pause.
5. Kembali ke Monitor dan cari draft itu.
6. Buka draft itu kembali.</t>
        </is>
      </c>
      <c r="K259" s="5" t="inlineStr">
        <is>
          <t>- Pause berhasil — tidak ada satu pun validasi yang menolaknya.
- Draft muncul di Monitor berlabel Pause.
- Saat dibuka kembali, isinya apa adanya seperti saat dijeda, termasuk kolom yang kosong.</t>
        </is>
      </c>
      <c r="L259" s="16" t="inlineStr">
        <is>
          <t>Tinggi</t>
        </is>
      </c>
      <c r="M259" s="5" t="inlineStr"/>
      <c r="N259" s="17" t="n"/>
      <c r="O259" s="17" t="n"/>
      <c r="P259" s="17" t="n"/>
      <c r="Q259" s="17" t="n"/>
      <c r="R259" s="17" t="n"/>
    </row>
    <row r="260" ht="136" customHeight="1">
      <c r="A260" s="18" t="n">
        <v>256</v>
      </c>
      <c r="B260" s="18" t="n">
        <v>3</v>
      </c>
      <c r="C260" s="19" t="inlineStr">
        <is>
          <t>MB-FORM-07 / Sterilizer</t>
        </is>
      </c>
      <c r="D260" s="19" t="inlineStr">
        <is>
          <t>MB-FORM-07</t>
        </is>
      </c>
      <c r="E260" s="20" t="inlineStr">
        <is>
          <t>Sterilizer</t>
        </is>
      </c>
      <c r="F260" s="21" t="inlineStr">
        <is>
          <t>Mobile — Operasional Stasiun (MB-)</t>
        </is>
      </c>
      <c r="G260" s="20" t="inlineStr">
        <is>
          <t>Pause menyimpan apa adanya tanpa memvalidasi</t>
        </is>
      </c>
      <c r="H260" s="21" t="inlineStr">
        <is>
          <t>OPR-A</t>
        </is>
      </c>
      <c r="I260" s="21" t="inlineStr">
        <is>
          <t>—</t>
        </is>
      </c>
      <c r="J260" s="21" t="inlineStr">
        <is>
          <t>1. Login di mobile, buka Monitor Sterilizer, lalu tekan New Data (/stations/sterilizer/form/&lt;id&gt;).
2. Kosongkan kolom identitas unit (yang pada MB-FORM-02 membuat Simpan ditolak).
3. Tambah satu baris, pilih slot, tapi jangan isi kolom bacaan apa pun.
4. Tekan Pause.
5. Kembali ke Monitor dan cari draft itu.
6. Buka draft itu kembali.</t>
        </is>
      </c>
      <c r="K260" s="21" t="inlineStr">
        <is>
          <t>- Pause berhasil — tidak ada satu pun validasi yang menolaknya.
- Draft muncul di Monitor berlabel Pause.
- Saat dibuka kembali, isinya apa adanya seperti saat dijeda, termasuk kolom yang kosong.</t>
        </is>
      </c>
      <c r="L260" s="16" t="inlineStr">
        <is>
          <t>Tinggi</t>
        </is>
      </c>
      <c r="M260" s="21" t="inlineStr"/>
      <c r="N260" s="17" t="n"/>
      <c r="O260" s="17" t="n"/>
      <c r="P260" s="17" t="n"/>
      <c r="Q260" s="17" t="n"/>
      <c r="R260" s="17" t="n"/>
    </row>
    <row r="261" ht="136" customHeight="1">
      <c r="A261" s="22" t="n">
        <v>257</v>
      </c>
      <c r="B261" s="22" t="n">
        <v>3</v>
      </c>
      <c r="C261" s="23" t="inlineStr">
        <is>
          <t>MB-FORM-07 / Threshing</t>
        </is>
      </c>
      <c r="D261" s="23" t="inlineStr">
        <is>
          <t>MB-FORM-07</t>
        </is>
      </c>
      <c r="E261" s="24" t="inlineStr">
        <is>
          <t>Threshing</t>
        </is>
      </c>
      <c r="F261" s="5" t="inlineStr">
        <is>
          <t>Mobile — Operasional Stasiun (MB-)</t>
        </is>
      </c>
      <c r="G261" s="24" t="inlineStr">
        <is>
          <t>Pause menyimpan apa adanya tanpa memvalidasi</t>
        </is>
      </c>
      <c r="H261" s="5" t="inlineStr">
        <is>
          <t>OPR-A</t>
        </is>
      </c>
      <c r="I261" s="5" t="inlineStr">
        <is>
          <t>—</t>
        </is>
      </c>
      <c r="J261" s="5" t="inlineStr">
        <is>
          <t>1. Login di mobile, buka Monitor Threshing, lalu tekan New Data (/stations/threshing/form/&lt;id&gt;).
2. Kosongkan kolom identitas unit (yang pada MB-FORM-02 membuat Simpan ditolak).
3. Tambah satu baris, pilih slot, tapi jangan isi kolom bacaan apa pun.
4. Tekan Pause.
5. Kembali ke Monitor dan cari draft itu.
6. Buka draft itu kembali.</t>
        </is>
      </c>
      <c r="K261" s="5" t="inlineStr">
        <is>
          <t>- Pause berhasil — tidak ada satu pun validasi yang menolaknya.
- Draft muncul di Monitor berlabel Pause.
- Saat dibuka kembali, isinya apa adanya seperti saat dijeda, termasuk kolom yang kosong.</t>
        </is>
      </c>
      <c r="L261" s="16" t="inlineStr">
        <is>
          <t>Tinggi</t>
        </is>
      </c>
      <c r="M261" s="5" t="inlineStr"/>
      <c r="N261" s="17" t="n"/>
      <c r="O261" s="17" t="n"/>
      <c r="P261" s="17" t="n"/>
      <c r="Q261" s="17" t="n"/>
      <c r="R261" s="17" t="n"/>
    </row>
    <row r="262" ht="136" customHeight="1">
      <c r="A262" s="18" t="n">
        <v>258</v>
      </c>
      <c r="B262" s="18" t="n">
        <v>3</v>
      </c>
      <c r="C262" s="19" t="inlineStr">
        <is>
          <t>MB-FORM-07 / Pressing</t>
        </is>
      </c>
      <c r="D262" s="19" t="inlineStr">
        <is>
          <t>MB-FORM-07</t>
        </is>
      </c>
      <c r="E262" s="20" t="inlineStr">
        <is>
          <t>Pressing</t>
        </is>
      </c>
      <c r="F262" s="21" t="inlineStr">
        <is>
          <t>Mobile — Operasional Stasiun (MB-)</t>
        </is>
      </c>
      <c r="G262" s="20" t="inlineStr">
        <is>
          <t>Pause menyimpan apa adanya tanpa memvalidasi</t>
        </is>
      </c>
      <c r="H262" s="21" t="inlineStr">
        <is>
          <t>OPR-A</t>
        </is>
      </c>
      <c r="I262" s="21" t="inlineStr">
        <is>
          <t>—</t>
        </is>
      </c>
      <c r="J262" s="21" t="inlineStr">
        <is>
          <t>1. Login di mobile, buka Monitor Pressing, lalu tekan New Data (/stations/pressing/form/&lt;id&gt;).
2. Kosongkan kolom identitas unit (yang pada MB-FORM-02 membuat Simpan ditolak).
3. Tambah satu baris, pilih slot, tapi jangan isi kolom bacaan apa pun.
4. Tekan Pause.
5. Kembali ke Monitor dan cari draft itu.
6. Buka draft itu kembali.</t>
        </is>
      </c>
      <c r="K262" s="21" t="inlineStr">
        <is>
          <t>- Pause berhasil — tidak ada satu pun validasi yang menolaknya.
- Draft muncul di Monitor berlabel Pause.
- Saat dibuka kembali, isinya apa adanya seperti saat dijeda, termasuk kolom yang kosong.</t>
        </is>
      </c>
      <c r="L262" s="16" t="inlineStr">
        <is>
          <t>Tinggi</t>
        </is>
      </c>
      <c r="M262" s="21" t="inlineStr"/>
      <c r="N262" s="17" t="n"/>
      <c r="O262" s="17" t="n"/>
      <c r="P262" s="17" t="n"/>
      <c r="Q262" s="17" t="n"/>
      <c r="R262" s="17" t="n"/>
    </row>
    <row r="263" ht="136" customHeight="1">
      <c r="A263" s="22" t="n">
        <v>259</v>
      </c>
      <c r="B263" s="22" t="n">
        <v>3</v>
      </c>
      <c r="C263" s="23" t="inlineStr">
        <is>
          <t>MB-FORM-07 / Clarification</t>
        </is>
      </c>
      <c r="D263" s="23" t="inlineStr">
        <is>
          <t>MB-FORM-07</t>
        </is>
      </c>
      <c r="E263" s="24" t="inlineStr">
        <is>
          <t>Clarification</t>
        </is>
      </c>
      <c r="F263" s="5" t="inlineStr">
        <is>
          <t>Mobile — Operasional Stasiun (MB-)</t>
        </is>
      </c>
      <c r="G263" s="24" t="inlineStr">
        <is>
          <t>Pause menyimpan apa adanya tanpa memvalidasi</t>
        </is>
      </c>
      <c r="H263" s="5" t="inlineStr">
        <is>
          <t>OPR-A</t>
        </is>
      </c>
      <c r="I263" s="5" t="inlineStr">
        <is>
          <t>—</t>
        </is>
      </c>
      <c r="J263" s="5" t="inlineStr">
        <is>
          <t>1. Login di mobile, buka Monitor Clarification, lalu tekan New Data (/stations/clarification/form/&lt;id&gt;).
2. Kosongkan kolom identitas unit (yang pada MB-FORM-02 membuat Simpan ditolak).
3. Tambah satu baris, pilih slot, tapi jangan isi kolom bacaan apa pun.
4. Tekan Pause.
5. Kembali ke Monitor dan cari draft itu.
6. Buka draft itu kembali.</t>
        </is>
      </c>
      <c r="K263" s="5" t="inlineStr">
        <is>
          <t>- Pause berhasil — tidak ada satu pun validasi yang menolaknya.
- Draft muncul di Monitor berlabel Pause.
- Saat dibuka kembali, isinya apa adanya seperti saat dijeda, termasuk kolom yang kosong.</t>
        </is>
      </c>
      <c r="L263" s="16" t="inlineStr">
        <is>
          <t>Tinggi</t>
        </is>
      </c>
      <c r="M263" s="5" t="inlineStr"/>
      <c r="N263" s="17" t="n"/>
      <c r="O263" s="17" t="n"/>
      <c r="P263" s="17" t="n"/>
      <c r="Q263" s="17" t="n"/>
      <c r="R263" s="17" t="n"/>
    </row>
    <row r="264" ht="136" customHeight="1">
      <c r="A264" s="18" t="n">
        <v>260</v>
      </c>
      <c r="B264" s="18" t="n">
        <v>3</v>
      </c>
      <c r="C264" s="19" t="inlineStr">
        <is>
          <t>MB-FORM-07 / Kernel Plant</t>
        </is>
      </c>
      <c r="D264" s="19" t="inlineStr">
        <is>
          <t>MB-FORM-07</t>
        </is>
      </c>
      <c r="E264" s="20" t="inlineStr">
        <is>
          <t>Kernel Plant</t>
        </is>
      </c>
      <c r="F264" s="21" t="inlineStr">
        <is>
          <t>Mobile — Operasional Stasiun (MB-)</t>
        </is>
      </c>
      <c r="G264" s="20" t="inlineStr">
        <is>
          <t>Pause menyimpan apa adanya tanpa memvalidasi</t>
        </is>
      </c>
      <c r="H264" s="21" t="inlineStr">
        <is>
          <t>OPR-A</t>
        </is>
      </c>
      <c r="I264" s="21" t="inlineStr">
        <is>
          <t>—</t>
        </is>
      </c>
      <c r="J264" s="21" t="inlineStr">
        <is>
          <t>1. Login di mobile, buka Monitor Kernel Plant, lalu tekan New Data (/stations/kernel-plant/form/&lt;id&gt;).
2. Kosongkan kolom identitas unit (yang pada MB-FORM-02 membuat Simpan ditolak).
3. Tambah satu baris, pilih slot, tapi jangan isi kolom bacaan apa pun.
4. Tekan Pause.
5. Kembali ke Monitor dan cari draft itu.
6. Buka draft itu kembali.</t>
        </is>
      </c>
      <c r="K264" s="21" t="inlineStr">
        <is>
          <t>- Pause berhasil — tidak ada satu pun validasi yang menolaknya.
- Draft muncul di Monitor berlabel Pause.
- Saat dibuka kembali, isinya apa adanya seperti saat dijeda, termasuk kolom yang kosong.</t>
        </is>
      </c>
      <c r="L264" s="16" t="inlineStr">
        <is>
          <t>Tinggi</t>
        </is>
      </c>
      <c r="M264" s="21" t="inlineStr"/>
      <c r="N264" s="17" t="n"/>
      <c r="O264" s="17" t="n"/>
      <c r="P264" s="17" t="n"/>
      <c r="Q264" s="17" t="n"/>
      <c r="R264" s="17" t="n"/>
    </row>
    <row r="265" ht="136" customHeight="1">
      <c r="A265" s="22" t="n">
        <v>261</v>
      </c>
      <c r="B265" s="22" t="n">
        <v>3</v>
      </c>
      <c r="C265" s="23" t="inlineStr">
        <is>
          <t>MB-FORM-07 / Boiler Room</t>
        </is>
      </c>
      <c r="D265" s="23" t="inlineStr">
        <is>
          <t>MB-FORM-07</t>
        </is>
      </c>
      <c r="E265" s="24" t="inlineStr">
        <is>
          <t>Boiler Room</t>
        </is>
      </c>
      <c r="F265" s="5" t="inlineStr">
        <is>
          <t>Mobile — Operasional Stasiun (MB-)</t>
        </is>
      </c>
      <c r="G265" s="24" t="inlineStr">
        <is>
          <t>Pause menyimpan apa adanya tanpa memvalidasi</t>
        </is>
      </c>
      <c r="H265" s="5" t="inlineStr">
        <is>
          <t>OPR-A</t>
        </is>
      </c>
      <c r="I265" s="5" t="inlineStr">
        <is>
          <t>—</t>
        </is>
      </c>
      <c r="J265" s="5" t="inlineStr">
        <is>
          <t>1. Login di mobile, buka Monitor Boiler Room, lalu tekan New Data (/stations/boiler-room/form/&lt;id&gt;).
2. Kosongkan kolom identitas unit (yang pada MB-FORM-02 membuat Simpan ditolak).
3. Tambah satu baris, pilih slot, tapi jangan isi kolom bacaan apa pun.
4. Tekan Pause.
5. Kembali ke Monitor dan cari draft itu.
6. Buka draft itu kembali.</t>
        </is>
      </c>
      <c r="K265" s="5" t="inlineStr">
        <is>
          <t>- Pause berhasil — tidak ada satu pun validasi yang menolaknya.
- Draft muncul di Monitor berlabel Pause.
- Saat dibuka kembali, isinya apa adanya seperti saat dijeda, termasuk kolom yang kosong.</t>
        </is>
      </c>
      <c r="L265" s="16" t="inlineStr">
        <is>
          <t>Tinggi</t>
        </is>
      </c>
      <c r="M265" s="5" t="inlineStr"/>
      <c r="N265" s="17" t="n"/>
      <c r="O265" s="17" t="n"/>
      <c r="P265" s="17" t="n"/>
      <c r="Q265" s="17" t="n"/>
      <c r="R265" s="17" t="n"/>
    </row>
    <row r="266" ht="136" customHeight="1">
      <c r="A266" s="18" t="n">
        <v>262</v>
      </c>
      <c r="B266" s="18" t="n">
        <v>3</v>
      </c>
      <c r="C266" s="19" t="inlineStr">
        <is>
          <t>MB-FORM-07 / Effluent Plant</t>
        </is>
      </c>
      <c r="D266" s="19" t="inlineStr">
        <is>
          <t>MB-FORM-07</t>
        </is>
      </c>
      <c r="E266" s="20" t="inlineStr">
        <is>
          <t>Effluent Plant</t>
        </is>
      </c>
      <c r="F266" s="21" t="inlineStr">
        <is>
          <t>Mobile — Operasional Stasiun (MB-)</t>
        </is>
      </c>
      <c r="G266" s="20" t="inlineStr">
        <is>
          <t>Pause menyimpan apa adanya tanpa memvalidasi</t>
        </is>
      </c>
      <c r="H266" s="21" t="inlineStr">
        <is>
          <t>OPR-A</t>
        </is>
      </c>
      <c r="I266" s="21" t="inlineStr">
        <is>
          <t>—</t>
        </is>
      </c>
      <c r="J266" s="21" t="inlineStr">
        <is>
          <t>1. Login di mobile, buka Monitor Effluent Plant, lalu tekan New Data (/stations/effluent-plant/form/&lt;id&gt;).
2. Kosongkan kolom identitas unit (yang pada MB-FORM-02 membuat Simpan ditolak).
3. Tambah satu baris, pilih slot, tapi jangan isi kolom bacaan apa pun.
4. Tekan Pause.
5. Kembali ke Monitor dan cari draft itu.
6. Buka draft itu kembali.</t>
        </is>
      </c>
      <c r="K266" s="21" t="inlineStr">
        <is>
          <t>- Pause berhasil — tidak ada satu pun validasi yang menolaknya.
- Draft muncul di Monitor berlabel Pause.
- Saat dibuka kembali, isinya apa adanya seperti saat dijeda, termasuk kolom yang kosong.</t>
        </is>
      </c>
      <c r="L266" s="16" t="inlineStr">
        <is>
          <t>Tinggi</t>
        </is>
      </c>
      <c r="M266" s="21" t="inlineStr"/>
      <c r="N266" s="17" t="n"/>
      <c r="O266" s="17" t="n"/>
      <c r="P266" s="17" t="n"/>
      <c r="Q266" s="17" t="n"/>
      <c r="R266" s="17" t="n"/>
    </row>
    <row r="267" ht="136" customHeight="1">
      <c r="A267" s="11" t="n">
        <v>263</v>
      </c>
      <c r="B267" s="12" t="n">
        <v>1</v>
      </c>
      <c r="C267" s="13" t="inlineStr">
        <is>
          <t>MB-FORM-07 / Depricarping</t>
        </is>
      </c>
      <c r="D267" s="13" t="inlineStr">
        <is>
          <t>MB-FORM-07</t>
        </is>
      </c>
      <c r="E267" s="15" t="inlineStr">
        <is>
          <t>Depricarping</t>
        </is>
      </c>
      <c r="F267" s="14" t="inlineStr">
        <is>
          <t>Mobile — Operasional Stasiun (MB-)</t>
        </is>
      </c>
      <c r="G267" s="15" t="inlineStr">
        <is>
          <t>Pause menyimpan apa adanya tanpa memvalidasi</t>
        </is>
      </c>
      <c r="H267" s="14" t="inlineStr">
        <is>
          <t>OPR-A</t>
        </is>
      </c>
      <c r="I267" s="14" t="inlineStr">
        <is>
          <t>—</t>
        </is>
      </c>
      <c r="J267" s="14" t="inlineStr">
        <is>
          <t>1. Login di mobile, buka Monitor Depricarping, lalu tekan New Data (/stations/depricarping/form/&lt;id&gt;).
2. Kosongkan kolom identitas unit (yang pada MB-FORM-02 membuat Simpan ditolak).
3. Tambah satu baris, pilih slot, tapi jangan isi kolom bacaan apa pun.
4. Tekan Pause.
5. Kembali ke Monitor dan cari draft itu.
6. Buka draft itu kembali.</t>
        </is>
      </c>
      <c r="K267" s="14" t="inlineStr">
        <is>
          <t>- Pause berhasil — tidak ada satu pun validasi yang menolaknya.
- Draft muncul di Monitor berlabel Pause.
- Saat dibuka kembali, isinya apa adanya seperti saat dijeda, termasuk kolom yang kosong.</t>
        </is>
      </c>
      <c r="L267" s="16" t="inlineStr">
        <is>
          <t>Tinggi</t>
        </is>
      </c>
      <c r="M267" s="14" t="inlineStr"/>
      <c r="N267" s="17" t="n"/>
      <c r="O267" s="17" t="n"/>
      <c r="P267" s="17" t="n"/>
      <c r="Q267" s="17" t="n"/>
      <c r="R267" s="17" t="n"/>
    </row>
    <row r="268" ht="136" customHeight="1">
      <c r="A268" s="18" t="n">
        <v>264</v>
      </c>
      <c r="B268" s="18" t="n">
        <v>3</v>
      </c>
      <c r="C268" s="19" t="inlineStr">
        <is>
          <t>MB-FORM-07 / Engine Room</t>
        </is>
      </c>
      <c r="D268" s="19" t="inlineStr">
        <is>
          <t>MB-FORM-07</t>
        </is>
      </c>
      <c r="E268" s="20" t="inlineStr">
        <is>
          <t>Engine Room</t>
        </is>
      </c>
      <c r="F268" s="21" t="inlineStr">
        <is>
          <t>Mobile — Operasional Stasiun (MB-)</t>
        </is>
      </c>
      <c r="G268" s="20" t="inlineStr">
        <is>
          <t>Pause menyimpan apa adanya tanpa memvalidasi</t>
        </is>
      </c>
      <c r="H268" s="21" t="inlineStr">
        <is>
          <t>OPR-A</t>
        </is>
      </c>
      <c r="I268" s="21" t="inlineStr">
        <is>
          <t>—</t>
        </is>
      </c>
      <c r="J268" s="21" t="inlineStr">
        <is>
          <t>1. Login di mobile, buka Monitor Engine Room, lalu tekan New Data (/stations/engine-room/form/&lt;id&gt;).
2. Kosongkan kolom identitas unit (yang pada MB-FORM-02 membuat Simpan ditolak).
3. Tambah satu baris, pilih slot, tapi jangan isi kolom bacaan apa pun.
4. Tekan Pause.
5. Kembali ke Monitor dan cari draft itu.
6. Buka draft itu kembali.</t>
        </is>
      </c>
      <c r="K268" s="21" t="inlineStr">
        <is>
          <t>- Pause berhasil — tidak ada satu pun validasi yang menolaknya.
- Draft muncul di Monitor berlabel Pause.
- Saat dibuka kembali, isinya apa adanya seperti saat dijeda, termasuk kolom yang kosong.</t>
        </is>
      </c>
      <c r="L268" s="16" t="inlineStr">
        <is>
          <t>Tinggi</t>
        </is>
      </c>
      <c r="M268" s="21" t="inlineStr"/>
      <c r="N268" s="17" t="n"/>
      <c r="O268" s="17" t="n"/>
      <c r="P268" s="17" t="n"/>
      <c r="Q268" s="17" t="n"/>
      <c r="R268" s="17" t="n"/>
    </row>
    <row r="269" ht="136" customHeight="1">
      <c r="A269" s="22" t="n">
        <v>265</v>
      </c>
      <c r="B269" s="22" t="n">
        <v>3</v>
      </c>
      <c r="C269" s="23" t="inlineStr">
        <is>
          <t>MB-FORM-07 / Process Water</t>
        </is>
      </c>
      <c r="D269" s="23" t="inlineStr">
        <is>
          <t>MB-FORM-07</t>
        </is>
      </c>
      <c r="E269" s="24" t="inlineStr">
        <is>
          <t>Process Water</t>
        </is>
      </c>
      <c r="F269" s="5" t="inlineStr">
        <is>
          <t>Mobile — Operasional Stasiun (MB-)</t>
        </is>
      </c>
      <c r="G269" s="24" t="inlineStr">
        <is>
          <t>Pause menyimpan apa adanya tanpa memvalidasi</t>
        </is>
      </c>
      <c r="H269" s="5" t="inlineStr">
        <is>
          <t>OPR-A</t>
        </is>
      </c>
      <c r="I269" s="5" t="inlineStr">
        <is>
          <t>—</t>
        </is>
      </c>
      <c r="J269" s="5" t="inlineStr">
        <is>
          <t>1. Login di mobile, buka Monitor Process Water, lalu tekan New Data (/stations/process-water/form/&lt;id&gt;).
2. Kosongkan kolom identitas unit (yang pada MB-FORM-02 membuat Simpan ditolak).
3. Tambah satu baris, pilih slot, tapi jangan isi kolom bacaan apa pun.
4. Tekan Pause.
5. Kembali ke Monitor dan cari draft itu.
6. Buka draft itu kembali.</t>
        </is>
      </c>
      <c r="K269" s="5" t="inlineStr">
        <is>
          <t>- Pause berhasil — tidak ada satu pun validasi yang menolaknya.
- Draft muncul di Monitor berlabel Pause.
- Saat dibuka kembali, isinya apa adanya seperti saat dijeda, termasuk kolom yang kosong.</t>
        </is>
      </c>
      <c r="L269" s="16" t="inlineStr">
        <is>
          <t>Tinggi</t>
        </is>
      </c>
      <c r="M269" s="5" t="inlineStr"/>
      <c r="N269" s="17" t="n"/>
      <c r="O269" s="17" t="n"/>
      <c r="P269" s="17" t="n"/>
      <c r="Q269" s="17" t="n"/>
      <c r="R269" s="17" t="n"/>
    </row>
    <row r="270" ht="136" customHeight="1">
      <c r="A270" s="18" t="n">
        <v>266</v>
      </c>
      <c r="B270" s="18" t="n">
        <v>3</v>
      </c>
      <c r="C270" s="19" t="inlineStr">
        <is>
          <t>MB-FORM-07 / Storage Tank</t>
        </is>
      </c>
      <c r="D270" s="19" t="inlineStr">
        <is>
          <t>MB-FORM-07</t>
        </is>
      </c>
      <c r="E270" s="20" t="inlineStr">
        <is>
          <t>Storage Tank</t>
        </is>
      </c>
      <c r="F270" s="21" t="inlineStr">
        <is>
          <t>Mobile — Operasional Stasiun (MB-)</t>
        </is>
      </c>
      <c r="G270" s="20" t="inlineStr">
        <is>
          <t>Pause menyimpan apa adanya tanpa memvalidasi</t>
        </is>
      </c>
      <c r="H270" s="21" t="inlineStr">
        <is>
          <t>OPR-A</t>
        </is>
      </c>
      <c r="I270" s="21" t="inlineStr">
        <is>
          <t>—</t>
        </is>
      </c>
      <c r="J270" s="21" t="inlineStr">
        <is>
          <t>1. Login di mobile, buka Monitor Storage Tank, lalu tekan New Data (/stations/storage-tank/form/&lt;id&gt;).
2. Kosongkan kolom identitas unit (yang pada MB-FORM-02 membuat Simpan ditolak).
3. Tambah satu baris, pilih slot, tapi jangan isi kolom bacaan apa pun.
4. Tekan Pause.
5. Kembali ke Monitor dan cari draft itu.
6. Buka draft itu kembali.</t>
        </is>
      </c>
      <c r="K270" s="21" t="inlineStr">
        <is>
          <t>- Pause berhasil — tidak ada satu pun validasi yang menolaknya.
- Draft muncul di Monitor berlabel Pause.
- Saat dibuka kembali, isinya apa adanya seperti saat dijeda, termasuk kolom yang kosong.</t>
        </is>
      </c>
      <c r="L270" s="16" t="inlineStr">
        <is>
          <t>Tinggi</t>
        </is>
      </c>
      <c r="M270" s="21" t="inlineStr"/>
      <c r="N270" s="17" t="n"/>
      <c r="O270" s="17" t="n"/>
      <c r="P270" s="17" t="n"/>
      <c r="Q270" s="17" t="n"/>
      <c r="R270" s="17" t="n"/>
    </row>
    <row r="271" ht="136" customHeight="1">
      <c r="A271" s="22" t="n">
        <v>267</v>
      </c>
      <c r="B271" s="22" t="n">
        <v>3</v>
      </c>
      <c r="C271" s="23" t="inlineStr">
        <is>
          <t>MB-FORM-07 / Solid Waste Disposal</t>
        </is>
      </c>
      <c r="D271" s="23" t="inlineStr">
        <is>
          <t>MB-FORM-07</t>
        </is>
      </c>
      <c r="E271" s="24" t="inlineStr">
        <is>
          <t>Solid Waste Disposal</t>
        </is>
      </c>
      <c r="F271" s="5" t="inlineStr">
        <is>
          <t>Mobile — Operasional Stasiun (MB-)</t>
        </is>
      </c>
      <c r="G271" s="24" t="inlineStr">
        <is>
          <t>Pause menyimpan apa adanya tanpa memvalidasi</t>
        </is>
      </c>
      <c r="H271" s="5" t="inlineStr">
        <is>
          <t>OPR-A</t>
        </is>
      </c>
      <c r="I271" s="5" t="inlineStr">
        <is>
          <t>—</t>
        </is>
      </c>
      <c r="J271" s="5" t="inlineStr">
        <is>
          <t>1. Login di mobile, buka Monitor Solid Waste Disposal, lalu tekan New Data (/stations/solid-waste-disposal/form/&lt;id&gt;).
2. Kosongkan kolom identitas unit (yang pada MB-FORM-02 membuat Simpan ditolak).
3. Tambah satu baris, pilih slot, tapi jangan isi kolom bacaan apa pun.
4. Tekan Pause.
5. Kembali ke Monitor dan cari draft itu.
6. Buka draft itu kembali.</t>
        </is>
      </c>
      <c r="K271" s="5" t="inlineStr">
        <is>
          <t>- Pause berhasil — tidak ada satu pun validasi yang menolaknya.
- Draft muncul di Monitor berlabel Pause.
- Saat dibuka kembali, isinya apa adanya seperti saat dijeda, termasuk kolom yang kosong.</t>
        </is>
      </c>
      <c r="L271" s="16" t="inlineStr">
        <is>
          <t>Tinggi</t>
        </is>
      </c>
      <c r="M271" s="5" t="inlineStr"/>
      <c r="N271" s="17" t="n"/>
      <c r="O271" s="17" t="n"/>
      <c r="P271" s="17" t="n"/>
      <c r="Q271" s="17" t="n"/>
      <c r="R271" s="17" t="n"/>
    </row>
    <row r="272" ht="136" customHeight="1">
      <c r="A272" s="18" t="n">
        <v>268</v>
      </c>
      <c r="B272" s="18" t="n">
        <v>3</v>
      </c>
      <c r="C272" s="19" t="inlineStr">
        <is>
          <t>MB-FORM-07 / Kernel Dispatch</t>
        </is>
      </c>
      <c r="D272" s="19" t="inlineStr">
        <is>
          <t>MB-FORM-07</t>
        </is>
      </c>
      <c r="E272" s="20" t="inlineStr">
        <is>
          <t>Kernel Dispatch</t>
        </is>
      </c>
      <c r="F272" s="21" t="inlineStr">
        <is>
          <t>Mobile — Operasional Stasiun (MB-)</t>
        </is>
      </c>
      <c r="G272" s="20" t="inlineStr">
        <is>
          <t>Pause menyimpan apa adanya tanpa memvalidasi</t>
        </is>
      </c>
      <c r="H272" s="21" t="inlineStr">
        <is>
          <t>OPR-A</t>
        </is>
      </c>
      <c r="I272" s="21" t="inlineStr">
        <is>
          <t>—</t>
        </is>
      </c>
      <c r="J272" s="21" t="inlineStr">
        <is>
          <t>1. Login di mobile, buka Monitor Kernel Dispatch, lalu tekan New Data (/stations/kernel-dispatch/form/&lt;id&gt;).
2. Kosongkan kolom identitas unit (yang pada MB-FORM-02 membuat Simpan ditolak).
3. Tambah satu baris, pilih slot, tapi jangan isi kolom bacaan apa pun.
4. Tekan Pause.
5. Kembali ke Monitor dan cari draft itu.
6. Buka draft itu kembali.</t>
        </is>
      </c>
      <c r="K272" s="21" t="inlineStr">
        <is>
          <t>- Pause berhasil — tidak ada satu pun validasi yang menolaknya.
- Draft muncul di Monitor berlabel Pause.
- Saat dibuka kembali, isinya apa adanya seperti saat dijeda, termasuk kolom yang kosong.</t>
        </is>
      </c>
      <c r="L272" s="16" t="inlineStr">
        <is>
          <t>Tinggi</t>
        </is>
      </c>
      <c r="M272" s="21" t="inlineStr"/>
      <c r="N272" s="17" t="n"/>
      <c r="O272" s="17" t="n"/>
      <c r="P272" s="17" t="n"/>
      <c r="Q272" s="17" t="n"/>
      <c r="R272" s="17" t="n"/>
    </row>
    <row r="273" ht="136" customHeight="1">
      <c r="A273" s="22" t="n">
        <v>269</v>
      </c>
      <c r="B273" s="22" t="n">
        <v>3</v>
      </c>
      <c r="C273" s="23" t="inlineStr">
        <is>
          <t>MB-FORM-07 / CPO Dispatch</t>
        </is>
      </c>
      <c r="D273" s="23" t="inlineStr">
        <is>
          <t>MB-FORM-07</t>
        </is>
      </c>
      <c r="E273" s="24" t="inlineStr">
        <is>
          <t>CPO Dispatch</t>
        </is>
      </c>
      <c r="F273" s="5" t="inlineStr">
        <is>
          <t>Mobile — Operasional Stasiun (MB-)</t>
        </is>
      </c>
      <c r="G273" s="24" t="inlineStr">
        <is>
          <t>Pause menyimpan apa adanya tanpa memvalidasi</t>
        </is>
      </c>
      <c r="H273" s="5" t="inlineStr">
        <is>
          <t>OPR-A</t>
        </is>
      </c>
      <c r="I273" s="5" t="inlineStr">
        <is>
          <t>—</t>
        </is>
      </c>
      <c r="J273" s="5" t="inlineStr">
        <is>
          <t>1. Login di mobile, buka Monitor CPO Dispatch, lalu tekan New Data (/stations/cpo-dispatch/form/&lt;id&gt;).
2. Kosongkan kolom identitas unit (yang pada MB-FORM-02 membuat Simpan ditolak).
3. Tambah satu baris, pilih slot, tapi jangan isi kolom bacaan apa pun.
4. Tekan Pause.
5. Kembali ke Monitor dan cari draft itu.
6. Buka draft itu kembali.</t>
        </is>
      </c>
      <c r="K273" s="5" t="inlineStr">
        <is>
          <t>- Pause berhasil — tidak ada satu pun validasi yang menolaknya.
- Draft muncul di Monitor berlabel Pause.
- Saat dibuka kembali, isinya apa adanya seperti saat dijeda, termasuk kolom yang kosong.</t>
        </is>
      </c>
      <c r="L273" s="16" t="inlineStr">
        <is>
          <t>Tinggi</t>
        </is>
      </c>
      <c r="M273" s="5" t="inlineStr"/>
      <c r="N273" s="17" t="n"/>
      <c r="O273" s="17" t="n"/>
      <c r="P273" s="17" t="n"/>
      <c r="Q273" s="17" t="n"/>
      <c r="R273" s="17" t="n"/>
    </row>
    <row r="274" ht="136" customHeight="1">
      <c r="A274" s="18" t="n">
        <v>270</v>
      </c>
      <c r="B274" s="18" t="n">
        <v>3</v>
      </c>
      <c r="C274" s="19" t="inlineStr">
        <is>
          <t>MB-FORM-07 / Process Quality Control</t>
        </is>
      </c>
      <c r="D274" s="19" t="inlineStr">
        <is>
          <t>MB-FORM-07</t>
        </is>
      </c>
      <c r="E274" s="20" t="inlineStr">
        <is>
          <t>Process Quality Control</t>
        </is>
      </c>
      <c r="F274" s="21" t="inlineStr">
        <is>
          <t>Mobile — Operasional Stasiun (MB-)</t>
        </is>
      </c>
      <c r="G274" s="20" t="inlineStr">
        <is>
          <t>Pause menyimpan apa adanya tanpa memvalidasi</t>
        </is>
      </c>
      <c r="H274" s="21" t="inlineStr">
        <is>
          <t>OPR-A</t>
        </is>
      </c>
      <c r="I274" s="21" t="inlineStr">
        <is>
          <t>—</t>
        </is>
      </c>
      <c r="J274" s="21" t="inlineStr">
        <is>
          <t>1. Login di mobile, buka Monitor Process Quality Control, lalu tekan New Data (/stations/process-quality-control/form/&lt;id&gt;).
2. Kosongkan kolom identitas unit (yang pada MB-FORM-02 membuat Simpan ditolak).
3. Tambah satu baris, pilih slot, tapi jangan isi kolom bacaan apa pun.
4. Tekan Pause.
5. Kembali ke Monitor dan cari draft itu.
6. Buka draft itu kembali.</t>
        </is>
      </c>
      <c r="K274" s="21" t="inlineStr">
        <is>
          <t>- Pause berhasil — tidak ada satu pun validasi yang menolaknya.
- Draft muncul di Monitor berlabel Pause.
- Saat dibuka kembali, isinya apa adanya seperti saat dijeda, termasuk kolom yang kosong.</t>
        </is>
      </c>
      <c r="L274" s="16" t="inlineStr">
        <is>
          <t>Tinggi</t>
        </is>
      </c>
      <c r="M274" s="21" t="inlineStr"/>
      <c r="N274" s="17" t="n"/>
      <c r="O274" s="17" t="n"/>
      <c r="P274" s="17" t="n"/>
      <c r="Q274" s="17" t="n"/>
      <c r="R274" s="17" t="n"/>
    </row>
    <row r="275" ht="122.8" customHeight="1">
      <c r="A275" s="22" t="n">
        <v>271</v>
      </c>
      <c r="B275" s="22" t="n">
        <v>3</v>
      </c>
      <c r="C275" s="23" t="inlineStr">
        <is>
          <t>MB-FORM-08 / Weighbridge</t>
        </is>
      </c>
      <c r="D275" s="23" t="inlineStr">
        <is>
          <t>MB-FORM-08</t>
        </is>
      </c>
      <c r="E275" s="24" t="inlineStr">
        <is>
          <t>Weighbridge</t>
        </is>
      </c>
      <c r="F275" s="5" t="inlineStr">
        <is>
          <t>Mobile — Operasional Stasiun (MB-)</t>
        </is>
      </c>
      <c r="G275" s="24" t="inlineStr">
        <is>
          <t>Melanjutkan draft memuat kembali isinya</t>
        </is>
      </c>
      <c r="H275" s="5" t="inlineStr">
        <is>
          <t>OPR-A</t>
        </is>
      </c>
      <c r="I275" s="5" t="inlineStr">
        <is>
          <t>satu draft dengan 2 baris terisi</t>
        </is>
      </c>
      <c r="J275" s="5" t="inlineStr">
        <is>
          <t>1. Buat satu draft dengan 2 baris terisi, lalu tekan Pause.
2. Login di mobile, Station List, lalu tekan tile Weighbridge (/stations/weighbridge/monitor). Tekan draft itu pada daftar.
3. Bandingkan kolom identitas, Tanggal, dan kedua baris dengan yang diisi di langkah 1.
4. Periksa pemilih slot waktu pada baris ketiga yang baru ditambahkan.</t>
        </is>
      </c>
      <c r="K275" s="5" t="inlineStr">
        <is>
          <t>- Kolom identitas dan Tanggal sama seperti saat dijeda.
- Kedua baris muncul lengkap dengan nilainya, pada slot waktu yang sama.
- Baris ketiga hanya menawarkan slot sesudah slot terakhir yang sudah dipakai.</t>
        </is>
      </c>
      <c r="L275" s="16" t="inlineStr">
        <is>
          <t>Tinggi</t>
        </is>
      </c>
      <c r="M275" s="5" t="inlineStr"/>
      <c r="N275" s="17" t="n"/>
      <c r="O275" s="17" t="n"/>
      <c r="P275" s="17" t="n"/>
      <c r="Q275" s="17" t="n"/>
      <c r="R275" s="17" t="n"/>
    </row>
    <row r="276" ht="122.8" customHeight="1">
      <c r="A276" s="18" t="n">
        <v>272</v>
      </c>
      <c r="B276" s="18" t="n">
        <v>3</v>
      </c>
      <c r="C276" s="19" t="inlineStr">
        <is>
          <t>MB-FORM-08 / Grading</t>
        </is>
      </c>
      <c r="D276" s="19" t="inlineStr">
        <is>
          <t>MB-FORM-08</t>
        </is>
      </c>
      <c r="E276" s="20" t="inlineStr">
        <is>
          <t>Grading</t>
        </is>
      </c>
      <c r="F276" s="21" t="inlineStr">
        <is>
          <t>Mobile — Operasional Stasiun (MB-)</t>
        </is>
      </c>
      <c r="G276" s="20" t="inlineStr">
        <is>
          <t>Melanjutkan draft memuat kembali isinya</t>
        </is>
      </c>
      <c r="H276" s="21" t="inlineStr">
        <is>
          <t>OPR-A</t>
        </is>
      </c>
      <c r="I276" s="21" t="inlineStr">
        <is>
          <t>satu draft dengan 2 baris terisi</t>
        </is>
      </c>
      <c r="J276" s="21" t="inlineStr">
        <is>
          <t>1. Buat satu draft dengan 2 baris terisi, lalu tekan Pause.
2. Login di mobile, Station List, lalu tekan tile Grading (/stations/grading/monitor). Tekan draft itu pada daftar.
3. Bandingkan kolom identitas, Tanggal, dan kedua baris dengan yang diisi di langkah 1.
4. Periksa pemilih slot waktu pada baris ketiga yang baru ditambahkan.</t>
        </is>
      </c>
      <c r="K276" s="21" t="inlineStr">
        <is>
          <t>- Kolom identitas dan Tanggal sama seperti saat dijeda.
- Kedua baris muncul lengkap dengan nilainya, pada slot waktu yang sama.
- Baris ketiga hanya menawarkan slot sesudah slot terakhir yang sudah dipakai.</t>
        </is>
      </c>
      <c r="L276" s="16" t="inlineStr">
        <is>
          <t>Tinggi</t>
        </is>
      </c>
      <c r="M276" s="21" t="inlineStr"/>
      <c r="N276" s="17" t="n"/>
      <c r="O276" s="17" t="n"/>
      <c r="P276" s="17" t="n"/>
      <c r="Q276" s="17" t="n"/>
      <c r="R276" s="17" t="n"/>
    </row>
    <row r="277" ht="122.8" customHeight="1">
      <c r="A277" s="22" t="n">
        <v>273</v>
      </c>
      <c r="B277" s="22" t="n">
        <v>3</v>
      </c>
      <c r="C277" s="23" t="inlineStr">
        <is>
          <t>MB-FORM-08 / Cages Track</t>
        </is>
      </c>
      <c r="D277" s="23" t="inlineStr">
        <is>
          <t>MB-FORM-08</t>
        </is>
      </c>
      <c r="E277" s="24" t="inlineStr">
        <is>
          <t>Cages Track</t>
        </is>
      </c>
      <c r="F277" s="5" t="inlineStr">
        <is>
          <t>Mobile — Operasional Stasiun (MB-)</t>
        </is>
      </c>
      <c r="G277" s="24" t="inlineStr">
        <is>
          <t>Melanjutkan draft memuat kembali isinya</t>
        </is>
      </c>
      <c r="H277" s="5" t="inlineStr">
        <is>
          <t>OPR-A</t>
        </is>
      </c>
      <c r="I277" s="5" t="inlineStr">
        <is>
          <t>satu draft dengan 2 baris terisi</t>
        </is>
      </c>
      <c r="J277" s="5" t="inlineStr">
        <is>
          <t>1. Buat satu draft dengan 2 baris terisi, lalu tekan Pause.
2. Login di mobile, Station List, lalu tekan tile Cages Track (/stations/cages-track/monitor). Tekan draft itu pada daftar.
3. Bandingkan kolom identitas, Tanggal, dan kedua baris dengan yang diisi di langkah 1.
4. Periksa pemilih slot waktu pada baris ketiga yang baru ditambahkan.</t>
        </is>
      </c>
      <c r="K277" s="5" t="inlineStr">
        <is>
          <t>- Kolom identitas dan Tanggal sama seperti saat dijeda.
- Kedua baris muncul lengkap dengan nilainya, pada slot waktu yang sama.
- Baris ketiga hanya menawarkan slot sesudah slot terakhir yang sudah dipakai.</t>
        </is>
      </c>
      <c r="L277" s="16" t="inlineStr">
        <is>
          <t>Tinggi</t>
        </is>
      </c>
      <c r="M277" s="5" t="inlineStr"/>
      <c r="N277" s="17" t="n"/>
      <c r="O277" s="17" t="n"/>
      <c r="P277" s="17" t="n"/>
      <c r="Q277" s="17" t="n"/>
      <c r="R277" s="17" t="n"/>
    </row>
    <row r="278" ht="122.8" customHeight="1">
      <c r="A278" s="18" t="n">
        <v>274</v>
      </c>
      <c r="B278" s="18" t="n">
        <v>3</v>
      </c>
      <c r="C278" s="19" t="inlineStr">
        <is>
          <t>MB-FORM-08 / Sterilizer</t>
        </is>
      </c>
      <c r="D278" s="19" t="inlineStr">
        <is>
          <t>MB-FORM-08</t>
        </is>
      </c>
      <c r="E278" s="20" t="inlineStr">
        <is>
          <t>Sterilizer</t>
        </is>
      </c>
      <c r="F278" s="21" t="inlineStr">
        <is>
          <t>Mobile — Operasional Stasiun (MB-)</t>
        </is>
      </c>
      <c r="G278" s="20" t="inlineStr">
        <is>
          <t>Melanjutkan draft memuat kembali isinya</t>
        </is>
      </c>
      <c r="H278" s="21" t="inlineStr">
        <is>
          <t>OPR-A</t>
        </is>
      </c>
      <c r="I278" s="21" t="inlineStr">
        <is>
          <t>satu draft dengan 2 baris terisi</t>
        </is>
      </c>
      <c r="J278" s="21" t="inlineStr">
        <is>
          <t>1. Buat satu draft dengan 2 baris terisi, lalu tekan Pause.
2. Login di mobile, Station List, lalu tekan tile Sterilizer (/stations/sterilizer/monitor). Tekan draft itu pada daftar.
3. Bandingkan kolom identitas, Tanggal, dan kedua baris dengan yang diisi di langkah 1.
4. Periksa pemilih slot waktu pada baris ketiga yang baru ditambahkan.</t>
        </is>
      </c>
      <c r="K278" s="21" t="inlineStr">
        <is>
          <t>- Kolom identitas dan Tanggal sama seperti saat dijeda.
- Kedua baris muncul lengkap dengan nilainya, pada slot waktu yang sama.
- Baris ketiga hanya menawarkan slot sesudah slot terakhir yang sudah dipakai.</t>
        </is>
      </c>
      <c r="L278" s="16" t="inlineStr">
        <is>
          <t>Tinggi</t>
        </is>
      </c>
      <c r="M278" s="21" t="inlineStr"/>
      <c r="N278" s="17" t="n"/>
      <c r="O278" s="17" t="n"/>
      <c r="P278" s="17" t="n"/>
      <c r="Q278" s="17" t="n"/>
      <c r="R278" s="17" t="n"/>
    </row>
    <row r="279" ht="122.8" customHeight="1">
      <c r="A279" s="22" t="n">
        <v>275</v>
      </c>
      <c r="B279" s="22" t="n">
        <v>3</v>
      </c>
      <c r="C279" s="23" t="inlineStr">
        <is>
          <t>MB-FORM-08 / Threshing</t>
        </is>
      </c>
      <c r="D279" s="23" t="inlineStr">
        <is>
          <t>MB-FORM-08</t>
        </is>
      </c>
      <c r="E279" s="24" t="inlineStr">
        <is>
          <t>Threshing</t>
        </is>
      </c>
      <c r="F279" s="5" t="inlineStr">
        <is>
          <t>Mobile — Operasional Stasiun (MB-)</t>
        </is>
      </c>
      <c r="G279" s="24" t="inlineStr">
        <is>
          <t>Melanjutkan draft memuat kembali isinya</t>
        </is>
      </c>
      <c r="H279" s="5" t="inlineStr">
        <is>
          <t>OPR-A</t>
        </is>
      </c>
      <c r="I279" s="5" t="inlineStr">
        <is>
          <t>satu draft dengan 2 baris terisi</t>
        </is>
      </c>
      <c r="J279" s="5" t="inlineStr">
        <is>
          <t>1. Buat satu draft dengan 2 baris terisi, lalu tekan Pause.
2. Login di mobile, Station List, lalu tekan tile Threshing (/stations/threshing/monitor). Tekan draft itu pada daftar.
3. Bandingkan kolom identitas, Tanggal, dan kedua baris dengan yang diisi di langkah 1.
4. Periksa pemilih slot waktu pada baris ketiga yang baru ditambahkan.</t>
        </is>
      </c>
      <c r="K279" s="5" t="inlineStr">
        <is>
          <t>- Kolom identitas dan Tanggal sama seperti saat dijeda.
- Kedua baris muncul lengkap dengan nilainya, pada slot waktu yang sama.
- Baris ketiga hanya menawarkan slot sesudah slot terakhir yang sudah dipakai.</t>
        </is>
      </c>
      <c r="L279" s="16" t="inlineStr">
        <is>
          <t>Tinggi</t>
        </is>
      </c>
      <c r="M279" s="5" t="inlineStr"/>
      <c r="N279" s="17" t="n"/>
      <c r="O279" s="17" t="n"/>
      <c r="P279" s="17" t="n"/>
      <c r="Q279" s="17" t="n"/>
      <c r="R279" s="17" t="n"/>
    </row>
    <row r="280" ht="122.8" customHeight="1">
      <c r="A280" s="18" t="n">
        <v>276</v>
      </c>
      <c r="B280" s="18" t="n">
        <v>3</v>
      </c>
      <c r="C280" s="19" t="inlineStr">
        <is>
          <t>MB-FORM-08 / Pressing</t>
        </is>
      </c>
      <c r="D280" s="19" t="inlineStr">
        <is>
          <t>MB-FORM-08</t>
        </is>
      </c>
      <c r="E280" s="20" t="inlineStr">
        <is>
          <t>Pressing</t>
        </is>
      </c>
      <c r="F280" s="21" t="inlineStr">
        <is>
          <t>Mobile — Operasional Stasiun (MB-)</t>
        </is>
      </c>
      <c r="G280" s="20" t="inlineStr">
        <is>
          <t>Melanjutkan draft memuat kembali isinya</t>
        </is>
      </c>
      <c r="H280" s="21" t="inlineStr">
        <is>
          <t>OPR-A</t>
        </is>
      </c>
      <c r="I280" s="21" t="inlineStr">
        <is>
          <t>satu draft dengan 2 baris terisi</t>
        </is>
      </c>
      <c r="J280" s="21" t="inlineStr">
        <is>
          <t>1. Buat satu draft dengan 2 baris terisi, lalu tekan Pause.
2. Login di mobile, Station List, lalu tekan tile Pressing (/stations/pressing/monitor). Tekan draft itu pada daftar.
3. Bandingkan kolom identitas, Tanggal, dan kedua baris dengan yang diisi di langkah 1.
4. Periksa pemilih slot waktu pada baris ketiga yang baru ditambahkan.</t>
        </is>
      </c>
      <c r="K280" s="21" t="inlineStr">
        <is>
          <t>- Kolom identitas dan Tanggal sama seperti saat dijeda.
- Kedua baris muncul lengkap dengan nilainya, pada slot waktu yang sama.
- Baris ketiga hanya menawarkan slot sesudah slot terakhir yang sudah dipakai.</t>
        </is>
      </c>
      <c r="L280" s="16" t="inlineStr">
        <is>
          <t>Tinggi</t>
        </is>
      </c>
      <c r="M280" s="21" t="inlineStr"/>
      <c r="N280" s="17" t="n"/>
      <c r="O280" s="17" t="n"/>
      <c r="P280" s="17" t="n"/>
      <c r="Q280" s="17" t="n"/>
      <c r="R280" s="17" t="n"/>
    </row>
    <row r="281" ht="122.8" customHeight="1">
      <c r="A281" s="22" t="n">
        <v>277</v>
      </c>
      <c r="B281" s="22" t="n">
        <v>3</v>
      </c>
      <c r="C281" s="23" t="inlineStr">
        <is>
          <t>MB-FORM-08 / Clarification</t>
        </is>
      </c>
      <c r="D281" s="23" t="inlineStr">
        <is>
          <t>MB-FORM-08</t>
        </is>
      </c>
      <c r="E281" s="24" t="inlineStr">
        <is>
          <t>Clarification</t>
        </is>
      </c>
      <c r="F281" s="5" t="inlineStr">
        <is>
          <t>Mobile — Operasional Stasiun (MB-)</t>
        </is>
      </c>
      <c r="G281" s="24" t="inlineStr">
        <is>
          <t>Melanjutkan draft memuat kembali isinya</t>
        </is>
      </c>
      <c r="H281" s="5" t="inlineStr">
        <is>
          <t>OPR-A</t>
        </is>
      </c>
      <c r="I281" s="5" t="inlineStr">
        <is>
          <t>satu draft dengan 2 baris terisi</t>
        </is>
      </c>
      <c r="J281" s="5" t="inlineStr">
        <is>
          <t>1. Buat satu draft dengan 2 baris terisi, lalu tekan Pause.
2. Login di mobile, Station List, lalu tekan tile Clarification (/stations/clarification/monitor). Tekan draft itu pada daftar.
3. Bandingkan kolom identitas, Tanggal, dan kedua baris dengan yang diisi di langkah 1.
4. Periksa pemilih slot waktu pada baris ketiga yang baru ditambahkan.</t>
        </is>
      </c>
      <c r="K281" s="5" t="inlineStr">
        <is>
          <t>- Kolom identitas dan Tanggal sama seperti saat dijeda.
- Kedua baris muncul lengkap dengan nilainya, pada slot waktu yang sama.
- Baris ketiga hanya menawarkan slot sesudah slot terakhir yang sudah dipakai.</t>
        </is>
      </c>
      <c r="L281" s="16" t="inlineStr">
        <is>
          <t>Tinggi</t>
        </is>
      </c>
      <c r="M281" s="5" t="inlineStr"/>
      <c r="N281" s="17" t="n"/>
      <c r="O281" s="17" t="n"/>
      <c r="P281" s="17" t="n"/>
      <c r="Q281" s="17" t="n"/>
      <c r="R281" s="17" t="n"/>
    </row>
    <row r="282" ht="122.8" customHeight="1">
      <c r="A282" s="18" t="n">
        <v>278</v>
      </c>
      <c r="B282" s="18" t="n">
        <v>3</v>
      </c>
      <c r="C282" s="19" t="inlineStr">
        <is>
          <t>MB-FORM-08 / Kernel Plant</t>
        </is>
      </c>
      <c r="D282" s="19" t="inlineStr">
        <is>
          <t>MB-FORM-08</t>
        </is>
      </c>
      <c r="E282" s="20" t="inlineStr">
        <is>
          <t>Kernel Plant</t>
        </is>
      </c>
      <c r="F282" s="21" t="inlineStr">
        <is>
          <t>Mobile — Operasional Stasiun (MB-)</t>
        </is>
      </c>
      <c r="G282" s="20" t="inlineStr">
        <is>
          <t>Melanjutkan draft memuat kembali isinya</t>
        </is>
      </c>
      <c r="H282" s="21" t="inlineStr">
        <is>
          <t>OPR-A</t>
        </is>
      </c>
      <c r="I282" s="21" t="inlineStr">
        <is>
          <t>satu draft dengan 2 baris terisi</t>
        </is>
      </c>
      <c r="J282" s="21" t="inlineStr">
        <is>
          <t>1. Buat satu draft dengan 2 baris terisi, lalu tekan Pause.
2. Login di mobile, Station List, lalu tekan tile Kernel Plant (/stations/kernel-plant/monitor). Tekan draft itu pada daftar.
3. Bandingkan kolom identitas, Tanggal, dan kedua baris dengan yang diisi di langkah 1.
4. Periksa pemilih slot waktu pada baris ketiga yang baru ditambahkan.</t>
        </is>
      </c>
      <c r="K282" s="21" t="inlineStr">
        <is>
          <t>- Kolom identitas dan Tanggal sama seperti saat dijeda.
- Kedua baris muncul lengkap dengan nilainya, pada slot waktu yang sama.
- Baris ketiga hanya menawarkan slot sesudah slot terakhir yang sudah dipakai.</t>
        </is>
      </c>
      <c r="L282" s="16" t="inlineStr">
        <is>
          <t>Tinggi</t>
        </is>
      </c>
      <c r="M282" s="21" t="inlineStr"/>
      <c r="N282" s="17" t="n"/>
      <c r="O282" s="17" t="n"/>
      <c r="P282" s="17" t="n"/>
      <c r="Q282" s="17" t="n"/>
      <c r="R282" s="17" t="n"/>
    </row>
    <row r="283" ht="122.8" customHeight="1">
      <c r="A283" s="22" t="n">
        <v>279</v>
      </c>
      <c r="B283" s="22" t="n">
        <v>3</v>
      </c>
      <c r="C283" s="23" t="inlineStr">
        <is>
          <t>MB-FORM-08 / Boiler Room</t>
        </is>
      </c>
      <c r="D283" s="23" t="inlineStr">
        <is>
          <t>MB-FORM-08</t>
        </is>
      </c>
      <c r="E283" s="24" t="inlineStr">
        <is>
          <t>Boiler Room</t>
        </is>
      </c>
      <c r="F283" s="5" t="inlineStr">
        <is>
          <t>Mobile — Operasional Stasiun (MB-)</t>
        </is>
      </c>
      <c r="G283" s="24" t="inlineStr">
        <is>
          <t>Melanjutkan draft memuat kembali isinya</t>
        </is>
      </c>
      <c r="H283" s="5" t="inlineStr">
        <is>
          <t>OPR-A</t>
        </is>
      </c>
      <c r="I283" s="5" t="inlineStr">
        <is>
          <t>satu draft dengan 2 baris terisi</t>
        </is>
      </c>
      <c r="J283" s="5" t="inlineStr">
        <is>
          <t>1. Buat satu draft dengan 2 baris terisi, lalu tekan Pause.
2. Login di mobile, Station List, lalu tekan tile Boiler Room (/stations/boiler-room/monitor). Tekan draft itu pada daftar.
3. Bandingkan kolom identitas, Tanggal, dan kedua baris dengan yang diisi di langkah 1.
4. Periksa pemilih slot waktu pada baris ketiga yang baru ditambahkan.</t>
        </is>
      </c>
      <c r="K283" s="5" t="inlineStr">
        <is>
          <t>- Kolom identitas dan Tanggal sama seperti saat dijeda.
- Kedua baris muncul lengkap dengan nilainya, pada slot waktu yang sama.
- Baris ketiga hanya menawarkan slot sesudah slot terakhir yang sudah dipakai.</t>
        </is>
      </c>
      <c r="L283" s="16" t="inlineStr">
        <is>
          <t>Tinggi</t>
        </is>
      </c>
      <c r="M283" s="5" t="inlineStr"/>
      <c r="N283" s="17" t="n"/>
      <c r="O283" s="17" t="n"/>
      <c r="P283" s="17" t="n"/>
      <c r="Q283" s="17" t="n"/>
      <c r="R283" s="17" t="n"/>
    </row>
    <row r="284" ht="122.8" customHeight="1">
      <c r="A284" s="18" t="n">
        <v>280</v>
      </c>
      <c r="B284" s="18" t="n">
        <v>3</v>
      </c>
      <c r="C284" s="19" t="inlineStr">
        <is>
          <t>MB-FORM-08 / Effluent Plant</t>
        </is>
      </c>
      <c r="D284" s="19" t="inlineStr">
        <is>
          <t>MB-FORM-08</t>
        </is>
      </c>
      <c r="E284" s="20" t="inlineStr">
        <is>
          <t>Effluent Plant</t>
        </is>
      </c>
      <c r="F284" s="21" t="inlineStr">
        <is>
          <t>Mobile — Operasional Stasiun (MB-)</t>
        </is>
      </c>
      <c r="G284" s="20" t="inlineStr">
        <is>
          <t>Melanjutkan draft memuat kembali isinya</t>
        </is>
      </c>
      <c r="H284" s="21" t="inlineStr">
        <is>
          <t>OPR-A</t>
        </is>
      </c>
      <c r="I284" s="21" t="inlineStr">
        <is>
          <t>satu draft dengan 2 baris terisi</t>
        </is>
      </c>
      <c r="J284" s="21" t="inlineStr">
        <is>
          <t>1. Buat satu draft dengan 2 baris terisi, lalu tekan Pause.
2. Login di mobile, Station List, lalu tekan tile Effluent Plant (/stations/effluent-plant/monitor). Tekan draft itu pada daftar.
3. Bandingkan kolom identitas, Tanggal, dan kedua baris dengan yang diisi di langkah 1.
4. Periksa pemilih slot waktu pada baris ketiga yang baru ditambahkan.</t>
        </is>
      </c>
      <c r="K284" s="21" t="inlineStr">
        <is>
          <t>- Kolom identitas dan Tanggal sama seperti saat dijeda.
- Kedua baris muncul lengkap dengan nilainya, pada slot waktu yang sama.
- Baris ketiga hanya menawarkan slot sesudah slot terakhir yang sudah dipakai.</t>
        </is>
      </c>
      <c r="L284" s="16" t="inlineStr">
        <is>
          <t>Tinggi</t>
        </is>
      </c>
      <c r="M284" s="21" t="inlineStr"/>
      <c r="N284" s="17" t="n"/>
      <c r="O284" s="17" t="n"/>
      <c r="P284" s="17" t="n"/>
      <c r="Q284" s="17" t="n"/>
      <c r="R284" s="17" t="n"/>
    </row>
    <row r="285" ht="122.8" customHeight="1">
      <c r="A285" s="11" t="n">
        <v>281</v>
      </c>
      <c r="B285" s="12" t="n">
        <v>1</v>
      </c>
      <c r="C285" s="13" t="inlineStr">
        <is>
          <t>MB-FORM-08 / Depricarping</t>
        </is>
      </c>
      <c r="D285" s="13" t="inlineStr">
        <is>
          <t>MB-FORM-08</t>
        </is>
      </c>
      <c r="E285" s="15" t="inlineStr">
        <is>
          <t>Depricarping</t>
        </is>
      </c>
      <c r="F285" s="14" t="inlineStr">
        <is>
          <t>Mobile — Operasional Stasiun (MB-)</t>
        </is>
      </c>
      <c r="G285" s="15" t="inlineStr">
        <is>
          <t>Melanjutkan draft memuat kembali isinya</t>
        </is>
      </c>
      <c r="H285" s="14" t="inlineStr">
        <is>
          <t>OPR-A</t>
        </is>
      </c>
      <c r="I285" s="14" t="inlineStr">
        <is>
          <t>satu draft dengan 2 baris terisi</t>
        </is>
      </c>
      <c r="J285" s="14" t="inlineStr">
        <is>
          <t>1. Buat satu draft dengan 2 baris terisi, lalu tekan Pause.
2. Login di mobile, Station List, lalu tekan tile Depricarping (/stations/depricarping/monitor). Tekan draft itu pada daftar.
3. Bandingkan kolom identitas, Tanggal, dan kedua baris dengan yang diisi di langkah 1.
4. Periksa pemilih slot waktu pada baris ketiga yang baru ditambahkan.</t>
        </is>
      </c>
      <c r="K285" s="14" t="inlineStr">
        <is>
          <t>- Kolom identitas dan Tanggal sama seperti saat dijeda.
- Kedua baris muncul lengkap dengan nilainya, pada slot waktu yang sama.
- Baris ketiga hanya menawarkan slot sesudah slot terakhir yang sudah dipakai.</t>
        </is>
      </c>
      <c r="L285" s="16" t="inlineStr">
        <is>
          <t>Tinggi</t>
        </is>
      </c>
      <c r="M285" s="14" t="inlineStr"/>
      <c r="N285" s="17" t="n"/>
      <c r="O285" s="17" t="n"/>
      <c r="P285" s="17" t="n"/>
      <c r="Q285" s="17" t="n"/>
      <c r="R285" s="17" t="n"/>
    </row>
    <row r="286" ht="122.8" customHeight="1">
      <c r="A286" s="18" t="n">
        <v>282</v>
      </c>
      <c r="B286" s="18" t="n">
        <v>3</v>
      </c>
      <c r="C286" s="19" t="inlineStr">
        <is>
          <t>MB-FORM-08 / Engine Room</t>
        </is>
      </c>
      <c r="D286" s="19" t="inlineStr">
        <is>
          <t>MB-FORM-08</t>
        </is>
      </c>
      <c r="E286" s="20" t="inlineStr">
        <is>
          <t>Engine Room</t>
        </is>
      </c>
      <c r="F286" s="21" t="inlineStr">
        <is>
          <t>Mobile — Operasional Stasiun (MB-)</t>
        </is>
      </c>
      <c r="G286" s="20" t="inlineStr">
        <is>
          <t>Melanjutkan draft memuat kembali isinya</t>
        </is>
      </c>
      <c r="H286" s="21" t="inlineStr">
        <is>
          <t>OPR-A</t>
        </is>
      </c>
      <c r="I286" s="21" t="inlineStr">
        <is>
          <t>satu draft dengan 2 baris terisi</t>
        </is>
      </c>
      <c r="J286" s="21" t="inlineStr">
        <is>
          <t>1. Buat satu draft dengan 2 baris terisi, lalu tekan Pause.
2. Login di mobile, Station List, lalu tekan tile Engine Room (/stations/engine-room/monitor). Tekan draft itu pada daftar.
3. Bandingkan kolom identitas, Tanggal, dan kedua baris dengan yang diisi di langkah 1.
4. Periksa pemilih slot waktu pada baris ketiga yang baru ditambahkan.</t>
        </is>
      </c>
      <c r="K286" s="21" t="inlineStr">
        <is>
          <t>- Kolom identitas dan Tanggal sama seperti saat dijeda.
- Kedua baris muncul lengkap dengan nilainya, pada slot waktu yang sama.
- Baris ketiga hanya menawarkan slot sesudah slot terakhir yang sudah dipakai.</t>
        </is>
      </c>
      <c r="L286" s="16" t="inlineStr">
        <is>
          <t>Tinggi</t>
        </is>
      </c>
      <c r="M286" s="21" t="inlineStr"/>
      <c r="N286" s="17" t="n"/>
      <c r="O286" s="17" t="n"/>
      <c r="P286" s="17" t="n"/>
      <c r="Q286" s="17" t="n"/>
      <c r="R286" s="17" t="n"/>
    </row>
    <row r="287" ht="122.8" customHeight="1">
      <c r="A287" s="22" t="n">
        <v>283</v>
      </c>
      <c r="B287" s="22" t="n">
        <v>3</v>
      </c>
      <c r="C287" s="23" t="inlineStr">
        <is>
          <t>MB-FORM-08 / Process Water</t>
        </is>
      </c>
      <c r="D287" s="23" t="inlineStr">
        <is>
          <t>MB-FORM-08</t>
        </is>
      </c>
      <c r="E287" s="24" t="inlineStr">
        <is>
          <t>Process Water</t>
        </is>
      </c>
      <c r="F287" s="5" t="inlineStr">
        <is>
          <t>Mobile — Operasional Stasiun (MB-)</t>
        </is>
      </c>
      <c r="G287" s="24" t="inlineStr">
        <is>
          <t>Melanjutkan draft memuat kembali isinya</t>
        </is>
      </c>
      <c r="H287" s="5" t="inlineStr">
        <is>
          <t>OPR-A</t>
        </is>
      </c>
      <c r="I287" s="5" t="inlineStr">
        <is>
          <t>satu draft dengan 2 baris terisi</t>
        </is>
      </c>
      <c r="J287" s="5" t="inlineStr">
        <is>
          <t>1. Buat satu draft dengan 2 baris terisi, lalu tekan Pause.
2. Login di mobile, Station List, lalu tekan tile Process Water (/stations/process-water/monitor). Tekan draft itu pada daftar.
3. Bandingkan kolom identitas, Tanggal, dan kedua baris dengan yang diisi di langkah 1.
4. Periksa pemilih slot waktu pada baris ketiga yang baru ditambahkan.</t>
        </is>
      </c>
      <c r="K287" s="5" t="inlineStr">
        <is>
          <t>- Kolom identitas dan Tanggal sama seperti saat dijeda.
- Kedua baris muncul lengkap dengan nilainya, pada slot waktu yang sama.
- Baris ketiga hanya menawarkan slot sesudah slot terakhir yang sudah dipakai.</t>
        </is>
      </c>
      <c r="L287" s="16" t="inlineStr">
        <is>
          <t>Tinggi</t>
        </is>
      </c>
      <c r="M287" s="5" t="inlineStr"/>
      <c r="N287" s="17" t="n"/>
      <c r="O287" s="17" t="n"/>
      <c r="P287" s="17" t="n"/>
      <c r="Q287" s="17" t="n"/>
      <c r="R287" s="17" t="n"/>
    </row>
    <row r="288" ht="122.8" customHeight="1">
      <c r="A288" s="18" t="n">
        <v>284</v>
      </c>
      <c r="B288" s="18" t="n">
        <v>3</v>
      </c>
      <c r="C288" s="19" t="inlineStr">
        <is>
          <t>MB-FORM-08 / Storage Tank</t>
        </is>
      </c>
      <c r="D288" s="19" t="inlineStr">
        <is>
          <t>MB-FORM-08</t>
        </is>
      </c>
      <c r="E288" s="20" t="inlineStr">
        <is>
          <t>Storage Tank</t>
        </is>
      </c>
      <c r="F288" s="21" t="inlineStr">
        <is>
          <t>Mobile — Operasional Stasiun (MB-)</t>
        </is>
      </c>
      <c r="G288" s="20" t="inlineStr">
        <is>
          <t>Melanjutkan draft memuat kembali isinya</t>
        </is>
      </c>
      <c r="H288" s="21" t="inlineStr">
        <is>
          <t>OPR-A</t>
        </is>
      </c>
      <c r="I288" s="21" t="inlineStr">
        <is>
          <t>satu draft dengan 2 baris terisi</t>
        </is>
      </c>
      <c r="J288" s="21" t="inlineStr">
        <is>
          <t>1. Buat satu draft dengan 2 baris terisi, lalu tekan Pause.
2. Login di mobile, Station List, lalu tekan tile Storage Tank (/stations/storage-tank/monitor). Tekan draft itu pada daftar.
3. Bandingkan kolom identitas, Tanggal, dan kedua baris dengan yang diisi di langkah 1.
4. Periksa pemilih slot waktu pada baris ketiga yang baru ditambahkan.</t>
        </is>
      </c>
      <c r="K288" s="21" t="inlineStr">
        <is>
          <t>- Kolom identitas dan Tanggal sama seperti saat dijeda.
- Kedua baris muncul lengkap dengan nilainya, pada slot waktu yang sama.
- Baris ketiga hanya menawarkan slot sesudah slot terakhir yang sudah dipakai.</t>
        </is>
      </c>
      <c r="L288" s="16" t="inlineStr">
        <is>
          <t>Tinggi</t>
        </is>
      </c>
      <c r="M288" s="21" t="inlineStr"/>
      <c r="N288" s="17" t="n"/>
      <c r="O288" s="17" t="n"/>
      <c r="P288" s="17" t="n"/>
      <c r="Q288" s="17" t="n"/>
      <c r="R288" s="17" t="n"/>
    </row>
    <row r="289" ht="136" customHeight="1">
      <c r="A289" s="22" t="n">
        <v>285</v>
      </c>
      <c r="B289" s="22" t="n">
        <v>3</v>
      </c>
      <c r="C289" s="23" t="inlineStr">
        <is>
          <t>MB-FORM-08 / Solid Waste Disposal</t>
        </is>
      </c>
      <c r="D289" s="23" t="inlineStr">
        <is>
          <t>MB-FORM-08</t>
        </is>
      </c>
      <c r="E289" s="24" t="inlineStr">
        <is>
          <t>Solid Waste Disposal</t>
        </is>
      </c>
      <c r="F289" s="5" t="inlineStr">
        <is>
          <t>Mobile — Operasional Stasiun (MB-)</t>
        </is>
      </c>
      <c r="G289" s="24" t="inlineStr">
        <is>
          <t>Melanjutkan draft memuat kembali isinya</t>
        </is>
      </c>
      <c r="H289" s="5" t="inlineStr">
        <is>
          <t>OPR-A</t>
        </is>
      </c>
      <c r="I289" s="5" t="inlineStr">
        <is>
          <t>satu draft dengan 2 baris terisi</t>
        </is>
      </c>
      <c r="J289" s="5" t="inlineStr">
        <is>
          <t>1. Buat satu draft dengan 2 baris terisi, lalu tekan Pause.
2. Login di mobile, Station List, lalu tekan tile Solid Waste Disposal (/stations/solid-waste-disposal/monitor). Tekan draft itu pada daftar.
3. Bandingkan kolom identitas, Tanggal, dan kedua baris dengan yang diisi di langkah 1.
4. Periksa pemilih slot waktu pada baris ketiga yang baru ditambahkan.</t>
        </is>
      </c>
      <c r="K289" s="5" t="inlineStr">
        <is>
          <t>- Kolom identitas dan Tanggal sama seperti saat dijeda.
- Kedua baris muncul lengkap dengan nilainya, pada slot waktu yang sama.
- Baris ketiga hanya menawarkan slot sesudah slot terakhir yang sudah dipakai.</t>
        </is>
      </c>
      <c r="L289" s="16" t="inlineStr">
        <is>
          <t>Tinggi</t>
        </is>
      </c>
      <c r="M289" s="5" t="inlineStr"/>
      <c r="N289" s="17" t="n"/>
      <c r="O289" s="17" t="n"/>
      <c r="P289" s="17" t="n"/>
      <c r="Q289" s="17" t="n"/>
      <c r="R289" s="17" t="n"/>
    </row>
    <row r="290" ht="122.8" customHeight="1">
      <c r="A290" s="18" t="n">
        <v>286</v>
      </c>
      <c r="B290" s="18" t="n">
        <v>3</v>
      </c>
      <c r="C290" s="19" t="inlineStr">
        <is>
          <t>MB-FORM-08 / Kernel Dispatch</t>
        </is>
      </c>
      <c r="D290" s="19" t="inlineStr">
        <is>
          <t>MB-FORM-08</t>
        </is>
      </c>
      <c r="E290" s="20" t="inlineStr">
        <is>
          <t>Kernel Dispatch</t>
        </is>
      </c>
      <c r="F290" s="21" t="inlineStr">
        <is>
          <t>Mobile — Operasional Stasiun (MB-)</t>
        </is>
      </c>
      <c r="G290" s="20" t="inlineStr">
        <is>
          <t>Melanjutkan draft memuat kembali isinya</t>
        </is>
      </c>
      <c r="H290" s="21" t="inlineStr">
        <is>
          <t>OPR-A</t>
        </is>
      </c>
      <c r="I290" s="21" t="inlineStr">
        <is>
          <t>satu draft dengan 2 baris terisi</t>
        </is>
      </c>
      <c r="J290" s="21" t="inlineStr">
        <is>
          <t>1. Buat satu draft dengan 2 baris terisi, lalu tekan Pause.
2. Login di mobile, Station List, lalu tekan tile Kernel Dispatch (/stations/kernel-dispatch/monitor). Tekan draft itu pada daftar.
3. Bandingkan kolom identitas, Tanggal, dan kedua baris dengan yang diisi di langkah 1.
4. Periksa pemilih slot waktu pada baris ketiga yang baru ditambahkan.</t>
        </is>
      </c>
      <c r="K290" s="21" t="inlineStr">
        <is>
          <t>- Kolom identitas dan Tanggal sama seperti saat dijeda.
- Kedua baris muncul lengkap dengan nilainya, pada slot waktu yang sama.
- Baris ketiga hanya menawarkan slot sesudah slot terakhir yang sudah dipakai.</t>
        </is>
      </c>
      <c r="L290" s="16" t="inlineStr">
        <is>
          <t>Tinggi</t>
        </is>
      </c>
      <c r="M290" s="21" t="inlineStr"/>
      <c r="N290" s="17" t="n"/>
      <c r="O290" s="17" t="n"/>
      <c r="P290" s="17" t="n"/>
      <c r="Q290" s="17" t="n"/>
      <c r="R290" s="17" t="n"/>
    </row>
    <row r="291" ht="122.8" customHeight="1">
      <c r="A291" s="22" t="n">
        <v>287</v>
      </c>
      <c r="B291" s="22" t="n">
        <v>3</v>
      </c>
      <c r="C291" s="23" t="inlineStr">
        <is>
          <t>MB-FORM-08 / CPO Dispatch</t>
        </is>
      </c>
      <c r="D291" s="23" t="inlineStr">
        <is>
          <t>MB-FORM-08</t>
        </is>
      </c>
      <c r="E291" s="24" t="inlineStr">
        <is>
          <t>CPO Dispatch</t>
        </is>
      </c>
      <c r="F291" s="5" t="inlineStr">
        <is>
          <t>Mobile — Operasional Stasiun (MB-)</t>
        </is>
      </c>
      <c r="G291" s="24" t="inlineStr">
        <is>
          <t>Melanjutkan draft memuat kembali isinya</t>
        </is>
      </c>
      <c r="H291" s="5" t="inlineStr">
        <is>
          <t>OPR-A</t>
        </is>
      </c>
      <c r="I291" s="5" t="inlineStr">
        <is>
          <t>satu draft dengan 2 baris terisi</t>
        </is>
      </c>
      <c r="J291" s="5" t="inlineStr">
        <is>
          <t>1. Buat satu draft dengan 2 baris terisi, lalu tekan Pause.
2. Login di mobile, Station List, lalu tekan tile CPO Dispatch (/stations/cpo-dispatch/monitor). Tekan draft itu pada daftar.
3. Bandingkan kolom identitas, Tanggal, dan kedua baris dengan yang diisi di langkah 1.
4. Periksa pemilih slot waktu pada baris ketiga yang baru ditambahkan.</t>
        </is>
      </c>
      <c r="K291" s="5" t="inlineStr">
        <is>
          <t>- Kolom identitas dan Tanggal sama seperti saat dijeda.
- Kedua baris muncul lengkap dengan nilainya, pada slot waktu yang sama.
- Baris ketiga hanya menawarkan slot sesudah slot terakhir yang sudah dipakai.</t>
        </is>
      </c>
      <c r="L291" s="16" t="inlineStr">
        <is>
          <t>Tinggi</t>
        </is>
      </c>
      <c r="M291" s="5" t="inlineStr"/>
      <c r="N291" s="17" t="n"/>
      <c r="O291" s="17" t="n"/>
      <c r="P291" s="17" t="n"/>
      <c r="Q291" s="17" t="n"/>
      <c r="R291" s="17" t="n"/>
    </row>
    <row r="292" ht="136" customHeight="1">
      <c r="A292" s="18" t="n">
        <v>288</v>
      </c>
      <c r="B292" s="18" t="n">
        <v>3</v>
      </c>
      <c r="C292" s="19" t="inlineStr">
        <is>
          <t>MB-FORM-08 / Process Quality Control</t>
        </is>
      </c>
      <c r="D292" s="19" t="inlineStr">
        <is>
          <t>MB-FORM-08</t>
        </is>
      </c>
      <c r="E292" s="20" t="inlineStr">
        <is>
          <t>Process Quality Control</t>
        </is>
      </c>
      <c r="F292" s="21" t="inlineStr">
        <is>
          <t>Mobile — Operasional Stasiun (MB-)</t>
        </is>
      </c>
      <c r="G292" s="20" t="inlineStr">
        <is>
          <t>Melanjutkan draft memuat kembali isinya</t>
        </is>
      </c>
      <c r="H292" s="21" t="inlineStr">
        <is>
          <t>OPR-A</t>
        </is>
      </c>
      <c r="I292" s="21" t="inlineStr">
        <is>
          <t>satu draft dengan 2 baris terisi</t>
        </is>
      </c>
      <c r="J292" s="21" t="inlineStr">
        <is>
          <t>1. Buat satu draft dengan 2 baris terisi, lalu tekan Pause.
2. Login di mobile, Station List, lalu tekan tile Process Quality Control (/stations/process-quality-control/monitor). Tekan draft itu pada daftar.
3. Bandingkan kolom identitas, Tanggal, dan kedua baris dengan yang diisi di langkah 1.
4. Periksa pemilih slot waktu pada baris ketiga yang baru ditambahkan.</t>
        </is>
      </c>
      <c r="K292" s="21" t="inlineStr">
        <is>
          <t>- Kolom identitas dan Tanggal sama seperti saat dijeda.
- Kedua baris muncul lengkap dengan nilainya, pada slot waktu yang sama.
- Baris ketiga hanya menawarkan slot sesudah slot terakhir yang sudah dipakai.</t>
        </is>
      </c>
      <c r="L292" s="16" t="inlineStr">
        <is>
          <t>Tinggi</t>
        </is>
      </c>
      <c r="M292" s="21" t="inlineStr"/>
      <c r="N292" s="17" t="n"/>
      <c r="O292" s="17" t="n"/>
      <c r="P292" s="17" t="n"/>
      <c r="Q292" s="17" t="n"/>
      <c r="R292" s="17" t="n"/>
    </row>
    <row r="293" ht="96.39999999999999" customHeight="1">
      <c r="A293" s="22" t="n">
        <v>289</v>
      </c>
      <c r="B293" s="22" t="n">
        <v>3</v>
      </c>
      <c r="C293" s="23" t="inlineStr">
        <is>
          <t>MB-FORM-09 / Weighbridge</t>
        </is>
      </c>
      <c r="D293" s="23" t="inlineStr">
        <is>
          <t>MB-FORM-09</t>
        </is>
      </c>
      <c r="E293" s="24" t="inlineStr">
        <is>
          <t>Weighbridge</t>
        </is>
      </c>
      <c r="F293" s="5" t="inlineStr">
        <is>
          <t>Mobile — Operasional Stasiun (MB-)</t>
        </is>
      </c>
      <c r="G293" s="24" t="inlineStr">
        <is>
          <t>Clear meminta konfirmasi, lalu menghapus permanen</t>
        </is>
      </c>
      <c r="H293" s="5" t="inlineStr">
        <is>
          <t>OPR-A</t>
        </is>
      </c>
      <c r="I293" s="5" t="inlineStr">
        <is>
          <t>—</t>
        </is>
      </c>
      <c r="J293" s="5" t="inlineStr">
        <is>
          <t>1. Buat satu draft dengan minimal satu baris terisi.
2. Tekan Clear. Baca dialognya, lalu tekan Batal.
3. Periksa apakah isi formnya masih utuh.
4. Tekan Clear lagi, kali ini setujui.
5. Kembali ke Monitor dan cari draft itu.</t>
        </is>
      </c>
      <c r="K293" s="5" t="inlineStr">
        <is>
          <t>- Langkah 2 memunculkan dialog konfirmasi, bukan langsung menghapus.
- Langkah 3: isi form masih utuh sesudah Batal.
- Langkah 5: draft hilang dari daftar — terhapus permanen.</t>
        </is>
      </c>
      <c r="L293" s="16" t="inlineStr">
        <is>
          <t>Tinggi</t>
        </is>
      </c>
      <c r="M293" s="5" t="inlineStr"/>
      <c r="N293" s="17" t="n"/>
      <c r="O293" s="17" t="n"/>
      <c r="P293" s="17" t="n"/>
      <c r="Q293" s="17" t="n"/>
      <c r="R293" s="17" t="n"/>
    </row>
    <row r="294" ht="96.39999999999999" customHeight="1">
      <c r="A294" s="18" t="n">
        <v>290</v>
      </c>
      <c r="B294" s="18" t="n">
        <v>3</v>
      </c>
      <c r="C294" s="19" t="inlineStr">
        <is>
          <t>MB-FORM-09 / Grading</t>
        </is>
      </c>
      <c r="D294" s="19" t="inlineStr">
        <is>
          <t>MB-FORM-09</t>
        </is>
      </c>
      <c r="E294" s="20" t="inlineStr">
        <is>
          <t>Grading</t>
        </is>
      </c>
      <c r="F294" s="21" t="inlineStr">
        <is>
          <t>Mobile — Operasional Stasiun (MB-)</t>
        </is>
      </c>
      <c r="G294" s="20" t="inlineStr">
        <is>
          <t>Clear meminta konfirmasi, lalu menghapus permanen</t>
        </is>
      </c>
      <c r="H294" s="21" t="inlineStr">
        <is>
          <t>OPR-A</t>
        </is>
      </c>
      <c r="I294" s="21" t="inlineStr">
        <is>
          <t>—</t>
        </is>
      </c>
      <c r="J294" s="21" t="inlineStr">
        <is>
          <t>1. Buat satu draft dengan minimal satu baris terisi.
2. Tekan Clear. Baca dialognya, lalu tekan Batal.
3. Periksa apakah isi formnya masih utuh.
4. Tekan Clear lagi, kali ini setujui.
5. Kembali ke Monitor dan cari draft itu.</t>
        </is>
      </c>
      <c r="K294" s="21" t="inlineStr">
        <is>
          <t>- Langkah 2 memunculkan dialog konfirmasi, bukan langsung menghapus.
- Langkah 3: isi form masih utuh sesudah Batal.
- Langkah 5: draft hilang dari daftar — terhapus permanen.</t>
        </is>
      </c>
      <c r="L294" s="16" t="inlineStr">
        <is>
          <t>Tinggi</t>
        </is>
      </c>
      <c r="M294" s="21" t="inlineStr"/>
      <c r="N294" s="17" t="n"/>
      <c r="O294" s="17" t="n"/>
      <c r="P294" s="17" t="n"/>
      <c r="Q294" s="17" t="n"/>
      <c r="R294" s="17" t="n"/>
    </row>
    <row r="295" ht="96.39999999999999" customHeight="1">
      <c r="A295" s="22" t="n">
        <v>291</v>
      </c>
      <c r="B295" s="22" t="n">
        <v>3</v>
      </c>
      <c r="C295" s="23" t="inlineStr">
        <is>
          <t>MB-FORM-09 / Cages Track</t>
        </is>
      </c>
      <c r="D295" s="23" t="inlineStr">
        <is>
          <t>MB-FORM-09</t>
        </is>
      </c>
      <c r="E295" s="24" t="inlineStr">
        <is>
          <t>Cages Track</t>
        </is>
      </c>
      <c r="F295" s="5" t="inlineStr">
        <is>
          <t>Mobile — Operasional Stasiun (MB-)</t>
        </is>
      </c>
      <c r="G295" s="24" t="inlineStr">
        <is>
          <t>Clear meminta konfirmasi, lalu menghapus permanen</t>
        </is>
      </c>
      <c r="H295" s="5" t="inlineStr">
        <is>
          <t>OPR-A</t>
        </is>
      </c>
      <c r="I295" s="5" t="inlineStr">
        <is>
          <t>—</t>
        </is>
      </c>
      <c r="J295" s="5" t="inlineStr">
        <is>
          <t>1. Buat satu draft dengan minimal satu baris terisi.
2. Tekan Clear. Baca dialognya, lalu tekan Batal.
3. Periksa apakah isi formnya masih utuh.
4. Tekan Clear lagi, kali ini setujui.
5. Kembali ke Monitor dan cari draft itu.</t>
        </is>
      </c>
      <c r="K295" s="5" t="inlineStr">
        <is>
          <t>- Langkah 2 memunculkan dialog konfirmasi, bukan langsung menghapus.
- Langkah 3: isi form masih utuh sesudah Batal.
- Langkah 5: draft hilang dari daftar — terhapus permanen.</t>
        </is>
      </c>
      <c r="L295" s="16" t="inlineStr">
        <is>
          <t>Tinggi</t>
        </is>
      </c>
      <c r="M295" s="5" t="inlineStr"/>
      <c r="N295" s="17" t="n"/>
      <c r="O295" s="17" t="n"/>
      <c r="P295" s="17" t="n"/>
      <c r="Q295" s="17" t="n"/>
      <c r="R295" s="17" t="n"/>
    </row>
    <row r="296" ht="96.39999999999999" customHeight="1">
      <c r="A296" s="18" t="n">
        <v>292</v>
      </c>
      <c r="B296" s="18" t="n">
        <v>3</v>
      </c>
      <c r="C296" s="19" t="inlineStr">
        <is>
          <t>MB-FORM-09 / Sterilizer</t>
        </is>
      </c>
      <c r="D296" s="19" t="inlineStr">
        <is>
          <t>MB-FORM-09</t>
        </is>
      </c>
      <c r="E296" s="20" t="inlineStr">
        <is>
          <t>Sterilizer</t>
        </is>
      </c>
      <c r="F296" s="21" t="inlineStr">
        <is>
          <t>Mobile — Operasional Stasiun (MB-)</t>
        </is>
      </c>
      <c r="G296" s="20" t="inlineStr">
        <is>
          <t>Clear meminta konfirmasi, lalu menghapus permanen</t>
        </is>
      </c>
      <c r="H296" s="21" t="inlineStr">
        <is>
          <t>OPR-A</t>
        </is>
      </c>
      <c r="I296" s="21" t="inlineStr">
        <is>
          <t>—</t>
        </is>
      </c>
      <c r="J296" s="21" t="inlineStr">
        <is>
          <t>1. Buat satu draft dengan minimal satu baris terisi.
2. Tekan Clear. Baca dialognya, lalu tekan Batal.
3. Periksa apakah isi formnya masih utuh.
4. Tekan Clear lagi, kali ini setujui.
5. Kembali ke Monitor dan cari draft itu.</t>
        </is>
      </c>
      <c r="K296" s="21" t="inlineStr">
        <is>
          <t>- Langkah 2 memunculkan dialog konfirmasi, bukan langsung menghapus.
- Langkah 3: isi form masih utuh sesudah Batal.
- Langkah 5: draft hilang dari daftar — terhapus permanen.</t>
        </is>
      </c>
      <c r="L296" s="16" t="inlineStr">
        <is>
          <t>Tinggi</t>
        </is>
      </c>
      <c r="M296" s="21" t="inlineStr"/>
      <c r="N296" s="17" t="n"/>
      <c r="O296" s="17" t="n"/>
      <c r="P296" s="17" t="n"/>
      <c r="Q296" s="17" t="n"/>
      <c r="R296" s="17" t="n"/>
    </row>
    <row r="297" ht="96.39999999999999" customHeight="1">
      <c r="A297" s="22" t="n">
        <v>293</v>
      </c>
      <c r="B297" s="22" t="n">
        <v>3</v>
      </c>
      <c r="C297" s="23" t="inlineStr">
        <is>
          <t>MB-FORM-09 / Threshing</t>
        </is>
      </c>
      <c r="D297" s="23" t="inlineStr">
        <is>
          <t>MB-FORM-09</t>
        </is>
      </c>
      <c r="E297" s="24" t="inlineStr">
        <is>
          <t>Threshing</t>
        </is>
      </c>
      <c r="F297" s="5" t="inlineStr">
        <is>
          <t>Mobile — Operasional Stasiun (MB-)</t>
        </is>
      </c>
      <c r="G297" s="24" t="inlineStr">
        <is>
          <t>Clear meminta konfirmasi, lalu menghapus permanen</t>
        </is>
      </c>
      <c r="H297" s="5" t="inlineStr">
        <is>
          <t>OPR-A</t>
        </is>
      </c>
      <c r="I297" s="5" t="inlineStr">
        <is>
          <t>—</t>
        </is>
      </c>
      <c r="J297" s="5" t="inlineStr">
        <is>
          <t>1. Buat satu draft dengan minimal satu baris terisi.
2. Tekan Clear. Baca dialognya, lalu tekan Batal.
3. Periksa apakah isi formnya masih utuh.
4. Tekan Clear lagi, kali ini setujui.
5. Kembali ke Monitor dan cari draft itu.</t>
        </is>
      </c>
      <c r="K297" s="5" t="inlineStr">
        <is>
          <t>- Langkah 2 memunculkan dialog konfirmasi, bukan langsung menghapus.
- Langkah 3: isi form masih utuh sesudah Batal.
- Langkah 5: draft hilang dari daftar — terhapus permanen.</t>
        </is>
      </c>
      <c r="L297" s="16" t="inlineStr">
        <is>
          <t>Tinggi</t>
        </is>
      </c>
      <c r="M297" s="5" t="inlineStr"/>
      <c r="N297" s="17" t="n"/>
      <c r="O297" s="17" t="n"/>
      <c r="P297" s="17" t="n"/>
      <c r="Q297" s="17" t="n"/>
      <c r="R297" s="17" t="n"/>
    </row>
    <row r="298" ht="96.39999999999999" customHeight="1">
      <c r="A298" s="18" t="n">
        <v>294</v>
      </c>
      <c r="B298" s="18" t="n">
        <v>3</v>
      </c>
      <c r="C298" s="19" t="inlineStr">
        <is>
          <t>MB-FORM-09 / Pressing</t>
        </is>
      </c>
      <c r="D298" s="19" t="inlineStr">
        <is>
          <t>MB-FORM-09</t>
        </is>
      </c>
      <c r="E298" s="20" t="inlineStr">
        <is>
          <t>Pressing</t>
        </is>
      </c>
      <c r="F298" s="21" t="inlineStr">
        <is>
          <t>Mobile — Operasional Stasiun (MB-)</t>
        </is>
      </c>
      <c r="G298" s="20" t="inlineStr">
        <is>
          <t>Clear meminta konfirmasi, lalu menghapus permanen</t>
        </is>
      </c>
      <c r="H298" s="21" t="inlineStr">
        <is>
          <t>OPR-A</t>
        </is>
      </c>
      <c r="I298" s="21" t="inlineStr">
        <is>
          <t>—</t>
        </is>
      </c>
      <c r="J298" s="21" t="inlineStr">
        <is>
          <t>1. Buat satu draft dengan minimal satu baris terisi.
2. Tekan Clear. Baca dialognya, lalu tekan Batal.
3. Periksa apakah isi formnya masih utuh.
4. Tekan Clear lagi, kali ini setujui.
5. Kembali ke Monitor dan cari draft itu.</t>
        </is>
      </c>
      <c r="K298" s="21" t="inlineStr">
        <is>
          <t>- Langkah 2 memunculkan dialog konfirmasi, bukan langsung menghapus.
- Langkah 3: isi form masih utuh sesudah Batal.
- Langkah 5: draft hilang dari daftar — terhapus permanen.</t>
        </is>
      </c>
      <c r="L298" s="16" t="inlineStr">
        <is>
          <t>Tinggi</t>
        </is>
      </c>
      <c r="M298" s="21" t="inlineStr"/>
      <c r="N298" s="17" t="n"/>
      <c r="O298" s="17" t="n"/>
      <c r="P298" s="17" t="n"/>
      <c r="Q298" s="17" t="n"/>
      <c r="R298" s="17" t="n"/>
    </row>
    <row r="299" ht="96.39999999999999" customHeight="1">
      <c r="A299" s="22" t="n">
        <v>295</v>
      </c>
      <c r="B299" s="22" t="n">
        <v>3</v>
      </c>
      <c r="C299" s="23" t="inlineStr">
        <is>
          <t>MB-FORM-09 / Clarification</t>
        </is>
      </c>
      <c r="D299" s="23" t="inlineStr">
        <is>
          <t>MB-FORM-09</t>
        </is>
      </c>
      <c r="E299" s="24" t="inlineStr">
        <is>
          <t>Clarification</t>
        </is>
      </c>
      <c r="F299" s="5" t="inlineStr">
        <is>
          <t>Mobile — Operasional Stasiun (MB-)</t>
        </is>
      </c>
      <c r="G299" s="24" t="inlineStr">
        <is>
          <t>Clear meminta konfirmasi, lalu menghapus permanen</t>
        </is>
      </c>
      <c r="H299" s="5" t="inlineStr">
        <is>
          <t>OPR-A</t>
        </is>
      </c>
      <c r="I299" s="5" t="inlineStr">
        <is>
          <t>—</t>
        </is>
      </c>
      <c r="J299" s="5" t="inlineStr">
        <is>
          <t>1. Buat satu draft dengan minimal satu baris terisi.
2. Tekan Clear. Baca dialognya, lalu tekan Batal.
3. Periksa apakah isi formnya masih utuh.
4. Tekan Clear lagi, kali ini setujui.
5. Kembali ke Monitor dan cari draft itu.</t>
        </is>
      </c>
      <c r="K299" s="5" t="inlineStr">
        <is>
          <t>- Langkah 2 memunculkan dialog konfirmasi, bukan langsung menghapus.
- Langkah 3: isi form masih utuh sesudah Batal.
- Langkah 5: draft hilang dari daftar — terhapus permanen.</t>
        </is>
      </c>
      <c r="L299" s="16" t="inlineStr">
        <is>
          <t>Tinggi</t>
        </is>
      </c>
      <c r="M299" s="5" t="inlineStr"/>
      <c r="N299" s="17" t="n"/>
      <c r="O299" s="17" t="n"/>
      <c r="P299" s="17" t="n"/>
      <c r="Q299" s="17" t="n"/>
      <c r="R299" s="17" t="n"/>
    </row>
    <row r="300" ht="96.39999999999999" customHeight="1">
      <c r="A300" s="18" t="n">
        <v>296</v>
      </c>
      <c r="B300" s="18" t="n">
        <v>3</v>
      </c>
      <c r="C300" s="19" t="inlineStr">
        <is>
          <t>MB-FORM-09 / Kernel Plant</t>
        </is>
      </c>
      <c r="D300" s="19" t="inlineStr">
        <is>
          <t>MB-FORM-09</t>
        </is>
      </c>
      <c r="E300" s="20" t="inlineStr">
        <is>
          <t>Kernel Plant</t>
        </is>
      </c>
      <c r="F300" s="21" t="inlineStr">
        <is>
          <t>Mobile — Operasional Stasiun (MB-)</t>
        </is>
      </c>
      <c r="G300" s="20" t="inlineStr">
        <is>
          <t>Clear meminta konfirmasi, lalu menghapus permanen</t>
        </is>
      </c>
      <c r="H300" s="21" t="inlineStr">
        <is>
          <t>OPR-A</t>
        </is>
      </c>
      <c r="I300" s="21" t="inlineStr">
        <is>
          <t>—</t>
        </is>
      </c>
      <c r="J300" s="21" t="inlineStr">
        <is>
          <t>1. Buat satu draft dengan minimal satu baris terisi.
2. Tekan Clear. Baca dialognya, lalu tekan Batal.
3. Periksa apakah isi formnya masih utuh.
4. Tekan Clear lagi, kali ini setujui.
5. Kembali ke Monitor dan cari draft itu.</t>
        </is>
      </c>
      <c r="K300" s="21" t="inlineStr">
        <is>
          <t>- Langkah 2 memunculkan dialog konfirmasi, bukan langsung menghapus.
- Langkah 3: isi form masih utuh sesudah Batal.
- Langkah 5: draft hilang dari daftar — terhapus permanen.</t>
        </is>
      </c>
      <c r="L300" s="16" t="inlineStr">
        <is>
          <t>Tinggi</t>
        </is>
      </c>
      <c r="M300" s="21" t="inlineStr"/>
      <c r="N300" s="17" t="n"/>
      <c r="O300" s="17" t="n"/>
      <c r="P300" s="17" t="n"/>
      <c r="Q300" s="17" t="n"/>
      <c r="R300" s="17" t="n"/>
    </row>
    <row r="301" ht="96.39999999999999" customHeight="1">
      <c r="A301" s="22" t="n">
        <v>297</v>
      </c>
      <c r="B301" s="22" t="n">
        <v>3</v>
      </c>
      <c r="C301" s="23" t="inlineStr">
        <is>
          <t>MB-FORM-09 / Boiler Room</t>
        </is>
      </c>
      <c r="D301" s="23" t="inlineStr">
        <is>
          <t>MB-FORM-09</t>
        </is>
      </c>
      <c r="E301" s="24" t="inlineStr">
        <is>
          <t>Boiler Room</t>
        </is>
      </c>
      <c r="F301" s="5" t="inlineStr">
        <is>
          <t>Mobile — Operasional Stasiun (MB-)</t>
        </is>
      </c>
      <c r="G301" s="24" t="inlineStr">
        <is>
          <t>Clear meminta konfirmasi, lalu menghapus permanen</t>
        </is>
      </c>
      <c r="H301" s="5" t="inlineStr">
        <is>
          <t>OPR-A</t>
        </is>
      </c>
      <c r="I301" s="5" t="inlineStr">
        <is>
          <t>—</t>
        </is>
      </c>
      <c r="J301" s="5" t="inlineStr">
        <is>
          <t>1. Buat satu draft dengan minimal satu baris terisi.
2. Tekan Clear. Baca dialognya, lalu tekan Batal.
3. Periksa apakah isi formnya masih utuh.
4. Tekan Clear lagi, kali ini setujui.
5. Kembali ke Monitor dan cari draft itu.</t>
        </is>
      </c>
      <c r="K301" s="5" t="inlineStr">
        <is>
          <t>- Langkah 2 memunculkan dialog konfirmasi, bukan langsung menghapus.
- Langkah 3: isi form masih utuh sesudah Batal.
- Langkah 5: draft hilang dari daftar — terhapus permanen.</t>
        </is>
      </c>
      <c r="L301" s="16" t="inlineStr">
        <is>
          <t>Tinggi</t>
        </is>
      </c>
      <c r="M301" s="5" t="inlineStr"/>
      <c r="N301" s="17" t="n"/>
      <c r="O301" s="17" t="n"/>
      <c r="P301" s="17" t="n"/>
      <c r="Q301" s="17" t="n"/>
      <c r="R301" s="17" t="n"/>
    </row>
    <row r="302" ht="96.39999999999999" customHeight="1">
      <c r="A302" s="18" t="n">
        <v>298</v>
      </c>
      <c r="B302" s="18" t="n">
        <v>3</v>
      </c>
      <c r="C302" s="19" t="inlineStr">
        <is>
          <t>MB-FORM-09 / Effluent Plant</t>
        </is>
      </c>
      <c r="D302" s="19" t="inlineStr">
        <is>
          <t>MB-FORM-09</t>
        </is>
      </c>
      <c r="E302" s="20" t="inlineStr">
        <is>
          <t>Effluent Plant</t>
        </is>
      </c>
      <c r="F302" s="21" t="inlineStr">
        <is>
          <t>Mobile — Operasional Stasiun (MB-)</t>
        </is>
      </c>
      <c r="G302" s="20" t="inlineStr">
        <is>
          <t>Clear meminta konfirmasi, lalu menghapus permanen</t>
        </is>
      </c>
      <c r="H302" s="21" t="inlineStr">
        <is>
          <t>OPR-A</t>
        </is>
      </c>
      <c r="I302" s="21" t="inlineStr">
        <is>
          <t>—</t>
        </is>
      </c>
      <c r="J302" s="21" t="inlineStr">
        <is>
          <t>1. Buat satu draft dengan minimal satu baris terisi.
2. Tekan Clear. Baca dialognya, lalu tekan Batal.
3. Periksa apakah isi formnya masih utuh.
4. Tekan Clear lagi, kali ini setujui.
5. Kembali ke Monitor dan cari draft itu.</t>
        </is>
      </c>
      <c r="K302" s="21" t="inlineStr">
        <is>
          <t>- Langkah 2 memunculkan dialog konfirmasi, bukan langsung menghapus.
- Langkah 3: isi form masih utuh sesudah Batal.
- Langkah 5: draft hilang dari daftar — terhapus permanen.</t>
        </is>
      </c>
      <c r="L302" s="16" t="inlineStr">
        <is>
          <t>Tinggi</t>
        </is>
      </c>
      <c r="M302" s="21" t="inlineStr"/>
      <c r="N302" s="17" t="n"/>
      <c r="O302" s="17" t="n"/>
      <c r="P302" s="17" t="n"/>
      <c r="Q302" s="17" t="n"/>
      <c r="R302" s="17" t="n"/>
    </row>
    <row r="303" ht="96.39999999999999" customHeight="1">
      <c r="A303" s="11" t="n">
        <v>299</v>
      </c>
      <c r="B303" s="12" t="n">
        <v>1</v>
      </c>
      <c r="C303" s="13" t="inlineStr">
        <is>
          <t>MB-FORM-09 / Depricarping</t>
        </is>
      </c>
      <c r="D303" s="13" t="inlineStr">
        <is>
          <t>MB-FORM-09</t>
        </is>
      </c>
      <c r="E303" s="15" t="inlineStr">
        <is>
          <t>Depricarping</t>
        </is>
      </c>
      <c r="F303" s="14" t="inlineStr">
        <is>
          <t>Mobile — Operasional Stasiun (MB-)</t>
        </is>
      </c>
      <c r="G303" s="15" t="inlineStr">
        <is>
          <t>Clear meminta konfirmasi, lalu menghapus permanen</t>
        </is>
      </c>
      <c r="H303" s="14" t="inlineStr">
        <is>
          <t>OPR-A</t>
        </is>
      </c>
      <c r="I303" s="14" t="inlineStr">
        <is>
          <t>—</t>
        </is>
      </c>
      <c r="J303" s="14" t="inlineStr">
        <is>
          <t>1. Buat satu draft dengan minimal satu baris terisi.
2. Tekan Clear. Baca dialognya, lalu tekan Batal.
3. Periksa apakah isi formnya masih utuh.
4. Tekan Clear lagi, kali ini setujui.
5. Kembali ke Monitor dan cari draft itu.</t>
        </is>
      </c>
      <c r="K303" s="14" t="inlineStr">
        <is>
          <t>- Langkah 2 memunculkan dialog konfirmasi, bukan langsung menghapus.
- Langkah 3: isi form masih utuh sesudah Batal.
- Langkah 5: draft hilang dari daftar — terhapus permanen.</t>
        </is>
      </c>
      <c r="L303" s="16" t="inlineStr">
        <is>
          <t>Tinggi</t>
        </is>
      </c>
      <c r="M303" s="14" t="inlineStr"/>
      <c r="N303" s="17" t="n"/>
      <c r="O303" s="17" t="n"/>
      <c r="P303" s="17" t="n"/>
      <c r="Q303" s="17" t="n"/>
      <c r="R303" s="17" t="n"/>
    </row>
    <row r="304" ht="96.39999999999999" customHeight="1">
      <c r="A304" s="18" t="n">
        <v>300</v>
      </c>
      <c r="B304" s="18" t="n">
        <v>3</v>
      </c>
      <c r="C304" s="19" t="inlineStr">
        <is>
          <t>MB-FORM-09 / Engine Room</t>
        </is>
      </c>
      <c r="D304" s="19" t="inlineStr">
        <is>
          <t>MB-FORM-09</t>
        </is>
      </c>
      <c r="E304" s="20" t="inlineStr">
        <is>
          <t>Engine Room</t>
        </is>
      </c>
      <c r="F304" s="21" t="inlineStr">
        <is>
          <t>Mobile — Operasional Stasiun (MB-)</t>
        </is>
      </c>
      <c r="G304" s="20" t="inlineStr">
        <is>
          <t>Clear meminta konfirmasi, lalu menghapus permanen</t>
        </is>
      </c>
      <c r="H304" s="21" t="inlineStr">
        <is>
          <t>OPR-A</t>
        </is>
      </c>
      <c r="I304" s="21" t="inlineStr">
        <is>
          <t>—</t>
        </is>
      </c>
      <c r="J304" s="21" t="inlineStr">
        <is>
          <t>1. Buat satu draft dengan minimal satu baris terisi.
2. Tekan Clear. Baca dialognya, lalu tekan Batal.
3. Periksa apakah isi formnya masih utuh.
4. Tekan Clear lagi, kali ini setujui.
5. Kembali ke Monitor dan cari draft itu.</t>
        </is>
      </c>
      <c r="K304" s="21" t="inlineStr">
        <is>
          <t>- Langkah 2 memunculkan dialog konfirmasi, bukan langsung menghapus.
- Langkah 3: isi form masih utuh sesudah Batal.
- Langkah 5: draft hilang dari daftar — terhapus permanen.</t>
        </is>
      </c>
      <c r="L304" s="16" t="inlineStr">
        <is>
          <t>Tinggi</t>
        </is>
      </c>
      <c r="M304" s="21" t="inlineStr"/>
      <c r="N304" s="17" t="n"/>
      <c r="O304" s="17" t="n"/>
      <c r="P304" s="17" t="n"/>
      <c r="Q304" s="17" t="n"/>
      <c r="R304" s="17" t="n"/>
    </row>
    <row r="305" ht="96.39999999999999" customHeight="1">
      <c r="A305" s="22" t="n">
        <v>301</v>
      </c>
      <c r="B305" s="22" t="n">
        <v>3</v>
      </c>
      <c r="C305" s="23" t="inlineStr">
        <is>
          <t>MB-FORM-09 / Process Water</t>
        </is>
      </c>
      <c r="D305" s="23" t="inlineStr">
        <is>
          <t>MB-FORM-09</t>
        </is>
      </c>
      <c r="E305" s="24" t="inlineStr">
        <is>
          <t>Process Water</t>
        </is>
      </c>
      <c r="F305" s="5" t="inlineStr">
        <is>
          <t>Mobile — Operasional Stasiun (MB-)</t>
        </is>
      </c>
      <c r="G305" s="24" t="inlineStr">
        <is>
          <t>Clear meminta konfirmasi, lalu menghapus permanen</t>
        </is>
      </c>
      <c r="H305" s="5" t="inlineStr">
        <is>
          <t>OPR-A</t>
        </is>
      </c>
      <c r="I305" s="5" t="inlineStr">
        <is>
          <t>—</t>
        </is>
      </c>
      <c r="J305" s="5" t="inlineStr">
        <is>
          <t>1. Buat satu draft dengan minimal satu baris terisi.
2. Tekan Clear. Baca dialognya, lalu tekan Batal.
3. Periksa apakah isi formnya masih utuh.
4. Tekan Clear lagi, kali ini setujui.
5. Kembali ke Monitor dan cari draft itu.</t>
        </is>
      </c>
      <c r="K305" s="5" t="inlineStr">
        <is>
          <t>- Langkah 2 memunculkan dialog konfirmasi, bukan langsung menghapus.
- Langkah 3: isi form masih utuh sesudah Batal.
- Langkah 5: draft hilang dari daftar — terhapus permanen.</t>
        </is>
      </c>
      <c r="L305" s="16" t="inlineStr">
        <is>
          <t>Tinggi</t>
        </is>
      </c>
      <c r="M305" s="5" t="inlineStr"/>
      <c r="N305" s="17" t="n"/>
      <c r="O305" s="17" t="n"/>
      <c r="P305" s="17" t="n"/>
      <c r="Q305" s="17" t="n"/>
      <c r="R305" s="17" t="n"/>
    </row>
    <row r="306" ht="96.39999999999999" customHeight="1">
      <c r="A306" s="18" t="n">
        <v>302</v>
      </c>
      <c r="B306" s="18" t="n">
        <v>3</v>
      </c>
      <c r="C306" s="19" t="inlineStr">
        <is>
          <t>MB-FORM-09 / Storage Tank</t>
        </is>
      </c>
      <c r="D306" s="19" t="inlineStr">
        <is>
          <t>MB-FORM-09</t>
        </is>
      </c>
      <c r="E306" s="20" t="inlineStr">
        <is>
          <t>Storage Tank</t>
        </is>
      </c>
      <c r="F306" s="21" t="inlineStr">
        <is>
          <t>Mobile — Operasional Stasiun (MB-)</t>
        </is>
      </c>
      <c r="G306" s="20" t="inlineStr">
        <is>
          <t>Clear meminta konfirmasi, lalu menghapus permanen</t>
        </is>
      </c>
      <c r="H306" s="21" t="inlineStr">
        <is>
          <t>OPR-A</t>
        </is>
      </c>
      <c r="I306" s="21" t="inlineStr">
        <is>
          <t>—</t>
        </is>
      </c>
      <c r="J306" s="21" t="inlineStr">
        <is>
          <t>1. Buat satu draft dengan minimal satu baris terisi.
2. Tekan Clear. Baca dialognya, lalu tekan Batal.
3. Periksa apakah isi formnya masih utuh.
4. Tekan Clear lagi, kali ini setujui.
5. Kembali ke Monitor dan cari draft itu.</t>
        </is>
      </c>
      <c r="K306" s="21" t="inlineStr">
        <is>
          <t>- Langkah 2 memunculkan dialog konfirmasi, bukan langsung menghapus.
- Langkah 3: isi form masih utuh sesudah Batal.
- Langkah 5: draft hilang dari daftar — terhapus permanen.</t>
        </is>
      </c>
      <c r="L306" s="16" t="inlineStr">
        <is>
          <t>Tinggi</t>
        </is>
      </c>
      <c r="M306" s="21" t="inlineStr"/>
      <c r="N306" s="17" t="n"/>
      <c r="O306" s="17" t="n"/>
      <c r="P306" s="17" t="n"/>
      <c r="Q306" s="17" t="n"/>
      <c r="R306" s="17" t="n"/>
    </row>
    <row r="307" ht="96.39999999999999" customHeight="1">
      <c r="A307" s="22" t="n">
        <v>303</v>
      </c>
      <c r="B307" s="22" t="n">
        <v>3</v>
      </c>
      <c r="C307" s="23" t="inlineStr">
        <is>
          <t>MB-FORM-09 / Solid Waste Disposal</t>
        </is>
      </c>
      <c r="D307" s="23" t="inlineStr">
        <is>
          <t>MB-FORM-09</t>
        </is>
      </c>
      <c r="E307" s="24" t="inlineStr">
        <is>
          <t>Solid Waste Disposal</t>
        </is>
      </c>
      <c r="F307" s="5" t="inlineStr">
        <is>
          <t>Mobile — Operasional Stasiun (MB-)</t>
        </is>
      </c>
      <c r="G307" s="24" t="inlineStr">
        <is>
          <t>Clear meminta konfirmasi, lalu menghapus permanen</t>
        </is>
      </c>
      <c r="H307" s="5" t="inlineStr">
        <is>
          <t>OPR-A</t>
        </is>
      </c>
      <c r="I307" s="5" t="inlineStr">
        <is>
          <t>—</t>
        </is>
      </c>
      <c r="J307" s="5" t="inlineStr">
        <is>
          <t>1. Buat satu draft dengan minimal satu baris terisi.
2. Tekan Clear. Baca dialognya, lalu tekan Batal.
3. Periksa apakah isi formnya masih utuh.
4. Tekan Clear lagi, kali ini setujui.
5. Kembali ke Monitor dan cari draft itu.</t>
        </is>
      </c>
      <c r="K307" s="5" t="inlineStr">
        <is>
          <t>- Langkah 2 memunculkan dialog konfirmasi, bukan langsung menghapus.
- Langkah 3: isi form masih utuh sesudah Batal.
- Langkah 5: draft hilang dari daftar — terhapus permanen.</t>
        </is>
      </c>
      <c r="L307" s="16" t="inlineStr">
        <is>
          <t>Tinggi</t>
        </is>
      </c>
      <c r="M307" s="5" t="inlineStr"/>
      <c r="N307" s="17" t="n"/>
      <c r="O307" s="17" t="n"/>
      <c r="P307" s="17" t="n"/>
      <c r="Q307" s="17" t="n"/>
      <c r="R307" s="17" t="n"/>
    </row>
    <row r="308" ht="96.39999999999999" customHeight="1">
      <c r="A308" s="18" t="n">
        <v>304</v>
      </c>
      <c r="B308" s="18" t="n">
        <v>3</v>
      </c>
      <c r="C308" s="19" t="inlineStr">
        <is>
          <t>MB-FORM-09 / Kernel Dispatch</t>
        </is>
      </c>
      <c r="D308" s="19" t="inlineStr">
        <is>
          <t>MB-FORM-09</t>
        </is>
      </c>
      <c r="E308" s="20" t="inlineStr">
        <is>
          <t>Kernel Dispatch</t>
        </is>
      </c>
      <c r="F308" s="21" t="inlineStr">
        <is>
          <t>Mobile — Operasional Stasiun (MB-)</t>
        </is>
      </c>
      <c r="G308" s="20" t="inlineStr">
        <is>
          <t>Clear meminta konfirmasi, lalu menghapus permanen</t>
        </is>
      </c>
      <c r="H308" s="21" t="inlineStr">
        <is>
          <t>OPR-A</t>
        </is>
      </c>
      <c r="I308" s="21" t="inlineStr">
        <is>
          <t>—</t>
        </is>
      </c>
      <c r="J308" s="21" t="inlineStr">
        <is>
          <t>1. Buat satu draft dengan minimal satu baris terisi.
2. Tekan Clear. Baca dialognya, lalu tekan Batal.
3. Periksa apakah isi formnya masih utuh.
4. Tekan Clear lagi, kali ini setujui.
5. Kembali ke Monitor dan cari draft itu.</t>
        </is>
      </c>
      <c r="K308" s="21" t="inlineStr">
        <is>
          <t>- Langkah 2 memunculkan dialog konfirmasi, bukan langsung menghapus.
- Langkah 3: isi form masih utuh sesudah Batal.
- Langkah 5: draft hilang dari daftar — terhapus permanen.</t>
        </is>
      </c>
      <c r="L308" s="16" t="inlineStr">
        <is>
          <t>Tinggi</t>
        </is>
      </c>
      <c r="M308" s="21" t="inlineStr"/>
      <c r="N308" s="17" t="n"/>
      <c r="O308" s="17" t="n"/>
      <c r="P308" s="17" t="n"/>
      <c r="Q308" s="17" t="n"/>
      <c r="R308" s="17" t="n"/>
    </row>
    <row r="309" ht="96.39999999999999" customHeight="1">
      <c r="A309" s="22" t="n">
        <v>305</v>
      </c>
      <c r="B309" s="22" t="n">
        <v>3</v>
      </c>
      <c r="C309" s="23" t="inlineStr">
        <is>
          <t>MB-FORM-09 / CPO Dispatch</t>
        </is>
      </c>
      <c r="D309" s="23" t="inlineStr">
        <is>
          <t>MB-FORM-09</t>
        </is>
      </c>
      <c r="E309" s="24" t="inlineStr">
        <is>
          <t>CPO Dispatch</t>
        </is>
      </c>
      <c r="F309" s="5" t="inlineStr">
        <is>
          <t>Mobile — Operasional Stasiun (MB-)</t>
        </is>
      </c>
      <c r="G309" s="24" t="inlineStr">
        <is>
          <t>Clear meminta konfirmasi, lalu menghapus permanen</t>
        </is>
      </c>
      <c r="H309" s="5" t="inlineStr">
        <is>
          <t>OPR-A</t>
        </is>
      </c>
      <c r="I309" s="5" t="inlineStr">
        <is>
          <t>—</t>
        </is>
      </c>
      <c r="J309" s="5" t="inlineStr">
        <is>
          <t>1. Buat satu draft dengan minimal satu baris terisi.
2. Tekan Clear. Baca dialognya, lalu tekan Batal.
3. Periksa apakah isi formnya masih utuh.
4. Tekan Clear lagi, kali ini setujui.
5. Kembali ke Monitor dan cari draft itu.</t>
        </is>
      </c>
      <c r="K309" s="5" t="inlineStr">
        <is>
          <t>- Langkah 2 memunculkan dialog konfirmasi, bukan langsung menghapus.
- Langkah 3: isi form masih utuh sesudah Batal.
- Langkah 5: draft hilang dari daftar — terhapus permanen.</t>
        </is>
      </c>
      <c r="L309" s="16" t="inlineStr">
        <is>
          <t>Tinggi</t>
        </is>
      </c>
      <c r="M309" s="5" t="inlineStr"/>
      <c r="N309" s="17" t="n"/>
      <c r="O309" s="17" t="n"/>
      <c r="P309" s="17" t="n"/>
      <c r="Q309" s="17" t="n"/>
      <c r="R309" s="17" t="n"/>
    </row>
    <row r="310" ht="96.39999999999999" customHeight="1">
      <c r="A310" s="18" t="n">
        <v>306</v>
      </c>
      <c r="B310" s="18" t="n">
        <v>3</v>
      </c>
      <c r="C310" s="19" t="inlineStr">
        <is>
          <t>MB-FORM-09 / Process Quality Control</t>
        </is>
      </c>
      <c r="D310" s="19" t="inlineStr">
        <is>
          <t>MB-FORM-09</t>
        </is>
      </c>
      <c r="E310" s="20" t="inlineStr">
        <is>
          <t>Process Quality Control</t>
        </is>
      </c>
      <c r="F310" s="21" t="inlineStr">
        <is>
          <t>Mobile — Operasional Stasiun (MB-)</t>
        </is>
      </c>
      <c r="G310" s="20" t="inlineStr">
        <is>
          <t>Clear meminta konfirmasi, lalu menghapus permanen</t>
        </is>
      </c>
      <c r="H310" s="21" t="inlineStr">
        <is>
          <t>OPR-A</t>
        </is>
      </c>
      <c r="I310" s="21" t="inlineStr">
        <is>
          <t>—</t>
        </is>
      </c>
      <c r="J310" s="21" t="inlineStr">
        <is>
          <t>1. Buat satu draft dengan minimal satu baris terisi.
2. Tekan Clear. Baca dialognya, lalu tekan Batal.
3. Periksa apakah isi formnya masih utuh.
4. Tekan Clear lagi, kali ini setujui.
5. Kembali ke Monitor dan cari draft itu.</t>
        </is>
      </c>
      <c r="K310" s="21" t="inlineStr">
        <is>
          <t>- Langkah 2 memunculkan dialog konfirmasi, bukan langsung menghapus.
- Langkah 3: isi form masih utuh sesudah Batal.
- Langkah 5: draft hilang dari daftar — terhapus permanen.</t>
        </is>
      </c>
      <c r="L310" s="16" t="inlineStr">
        <is>
          <t>Tinggi</t>
        </is>
      </c>
      <c r="M310" s="21" t="inlineStr"/>
      <c r="N310" s="17" t="n"/>
      <c r="O310" s="17" t="n"/>
      <c r="P310" s="17" t="n"/>
      <c r="Q310" s="17" t="n"/>
      <c r="R310" s="17" t="n"/>
    </row>
    <row r="311" ht="188.8" customHeight="1">
      <c r="A311" s="22" t="n">
        <v>307</v>
      </c>
      <c r="B311" s="22" t="n">
        <v>3</v>
      </c>
      <c r="C311" s="23" t="inlineStr">
        <is>
          <t>MB-FORM-10 / Weighbridge</t>
        </is>
      </c>
      <c r="D311" s="23" t="inlineStr">
        <is>
          <t>MB-FORM-10</t>
        </is>
      </c>
      <c r="E311" s="24" t="inlineStr">
        <is>
          <t>Weighbridge</t>
        </is>
      </c>
      <c r="F311" s="5" t="inlineStr">
        <is>
          <t>Mobile — Operasional Stasiun (MB-)</t>
        </is>
      </c>
      <c r="G311" s="24" t="inlineStr">
        <is>
          <t>Back dengan perubahan belum tersimpan meminta konfirmasi</t>
        </is>
      </c>
      <c r="H311" s="5" t="inlineStr">
        <is>
          <t>OPR-A</t>
        </is>
      </c>
      <c r="I311" s="5" t="inlineStr">
        <is>
          <t>—</t>
        </is>
      </c>
      <c r="J311" s="5" t="inlineStr">
        <is>
          <t>1. Login di mobile, buka Monitor Weighbridge, lalu tekan New Data (/stations/weighbridge/form/&lt;id&gt;).
2. Isi kolom identitas unit (jangan Simpan, jangan Pause).
3. Tekan Back.
4. Baca dialog yang muncul, lalu tekan Batal/tetap di halaman.
5. Tekan Back lagi dan kali ini setujui keluar.
6. Buka Login di mobile, buka Monitor Weighbridge, lalu tekan New Data (/stations/weighbridge/form/&lt;id&gt;) baru, tanpa mengisi apa pun, lalu tekan Back.</t>
        </is>
      </c>
      <c r="K311" s="5" t="inlineStr">
        <is>
          <t>- Langkah 3 memunculkan dialog konfirmasi karena ada perubahan belum tersimpan.
- Langkah 4: tetap di Form, isi tidak hilang.
- Langkah 6: tidak ada dialog — form yang belum disentuh tidak perlu konfirmasi.</t>
        </is>
      </c>
      <c r="L311" s="22" t="inlineStr">
        <is>
          <t>Sedang</t>
        </is>
      </c>
      <c r="M311" s="5" t="inlineStr"/>
      <c r="N311" s="17" t="n"/>
      <c r="O311" s="17" t="n"/>
      <c r="P311" s="17" t="n"/>
      <c r="Q311" s="17" t="n"/>
      <c r="R311" s="17" t="n"/>
    </row>
    <row r="312" ht="188.8" customHeight="1">
      <c r="A312" s="18" t="n">
        <v>308</v>
      </c>
      <c r="B312" s="18" t="n">
        <v>3</v>
      </c>
      <c r="C312" s="19" t="inlineStr">
        <is>
          <t>MB-FORM-10 / Grading</t>
        </is>
      </c>
      <c r="D312" s="19" t="inlineStr">
        <is>
          <t>MB-FORM-10</t>
        </is>
      </c>
      <c r="E312" s="20" t="inlineStr">
        <is>
          <t>Grading</t>
        </is>
      </c>
      <c r="F312" s="21" t="inlineStr">
        <is>
          <t>Mobile — Operasional Stasiun (MB-)</t>
        </is>
      </c>
      <c r="G312" s="20" t="inlineStr">
        <is>
          <t>Back dengan perubahan belum tersimpan meminta konfirmasi</t>
        </is>
      </c>
      <c r="H312" s="21" t="inlineStr">
        <is>
          <t>OPR-A</t>
        </is>
      </c>
      <c r="I312" s="21" t="inlineStr">
        <is>
          <t>—</t>
        </is>
      </c>
      <c r="J312" s="21" t="inlineStr">
        <is>
          <t>1. Login di mobile, buka Monitor Grading, lalu tekan New Data (/stations/grading/form/&lt;id&gt;).
2. Isi kolom identitas unit (jangan Simpan, jangan Pause).
3. Tekan Back.
4. Baca dialog yang muncul, lalu tekan Batal/tetap di halaman.
5. Tekan Back lagi dan kali ini setujui keluar.
6. Buka Login di mobile, buka Monitor Grading, lalu tekan New Data (/stations/grading/form/&lt;id&gt;) baru, tanpa mengisi apa pun, lalu tekan Back.</t>
        </is>
      </c>
      <c r="K312" s="21" t="inlineStr">
        <is>
          <t>- Langkah 3 memunculkan dialog konfirmasi karena ada perubahan belum tersimpan.
- Langkah 4: tetap di Form, isi tidak hilang.
- Langkah 6: tidak ada dialog — form yang belum disentuh tidak perlu konfirmasi.</t>
        </is>
      </c>
      <c r="L312" s="18" t="inlineStr">
        <is>
          <t>Sedang</t>
        </is>
      </c>
      <c r="M312" s="21" t="inlineStr"/>
      <c r="N312" s="17" t="n"/>
      <c r="O312" s="17" t="n"/>
      <c r="P312" s="17" t="n"/>
      <c r="Q312" s="17" t="n"/>
      <c r="R312" s="17" t="n"/>
    </row>
    <row r="313" ht="188.8" customHeight="1">
      <c r="A313" s="22" t="n">
        <v>309</v>
      </c>
      <c r="B313" s="22" t="n">
        <v>3</v>
      </c>
      <c r="C313" s="23" t="inlineStr">
        <is>
          <t>MB-FORM-10 / Cages Track</t>
        </is>
      </c>
      <c r="D313" s="23" t="inlineStr">
        <is>
          <t>MB-FORM-10</t>
        </is>
      </c>
      <c r="E313" s="24" t="inlineStr">
        <is>
          <t>Cages Track</t>
        </is>
      </c>
      <c r="F313" s="5" t="inlineStr">
        <is>
          <t>Mobile — Operasional Stasiun (MB-)</t>
        </is>
      </c>
      <c r="G313" s="24" t="inlineStr">
        <is>
          <t>Back dengan perubahan belum tersimpan meminta konfirmasi</t>
        </is>
      </c>
      <c r="H313" s="5" t="inlineStr">
        <is>
          <t>OPR-A</t>
        </is>
      </c>
      <c r="I313" s="5" t="inlineStr">
        <is>
          <t>—</t>
        </is>
      </c>
      <c r="J313" s="5" t="inlineStr">
        <is>
          <t>1. Login di mobile, buka Monitor Cages Track, lalu tekan New Data (/stations/cages-track/form/&lt;id&gt;).
2. Isi kolom identitas unit (jangan Simpan, jangan Pause).
3. Tekan Back.
4. Baca dialog yang muncul, lalu tekan Batal/tetap di halaman.
5. Tekan Back lagi dan kali ini setujui keluar.
6. Buka Login di mobile, buka Monitor Cages Track, lalu tekan New Data (/stations/cages-track/form/&lt;id&gt;) baru, tanpa mengisi apa pun, lalu tekan Back.</t>
        </is>
      </c>
      <c r="K313" s="5" t="inlineStr">
        <is>
          <t>- Langkah 3 memunculkan dialog konfirmasi karena ada perubahan belum tersimpan.
- Langkah 4: tetap di Form, isi tidak hilang.
- Langkah 6: tidak ada dialog — form yang belum disentuh tidak perlu konfirmasi.</t>
        </is>
      </c>
      <c r="L313" s="22" t="inlineStr">
        <is>
          <t>Sedang</t>
        </is>
      </c>
      <c r="M313" s="5" t="inlineStr"/>
      <c r="N313" s="17" t="n"/>
      <c r="O313" s="17" t="n"/>
      <c r="P313" s="17" t="n"/>
      <c r="Q313" s="17" t="n"/>
      <c r="R313" s="17" t="n"/>
    </row>
    <row r="314" ht="188.8" customHeight="1">
      <c r="A314" s="18" t="n">
        <v>310</v>
      </c>
      <c r="B314" s="18" t="n">
        <v>3</v>
      </c>
      <c r="C314" s="19" t="inlineStr">
        <is>
          <t>MB-FORM-10 / Sterilizer</t>
        </is>
      </c>
      <c r="D314" s="19" t="inlineStr">
        <is>
          <t>MB-FORM-10</t>
        </is>
      </c>
      <c r="E314" s="20" t="inlineStr">
        <is>
          <t>Sterilizer</t>
        </is>
      </c>
      <c r="F314" s="21" t="inlineStr">
        <is>
          <t>Mobile — Operasional Stasiun (MB-)</t>
        </is>
      </c>
      <c r="G314" s="20" t="inlineStr">
        <is>
          <t>Back dengan perubahan belum tersimpan meminta konfirmasi</t>
        </is>
      </c>
      <c r="H314" s="21" t="inlineStr">
        <is>
          <t>OPR-A</t>
        </is>
      </c>
      <c r="I314" s="21" t="inlineStr">
        <is>
          <t>—</t>
        </is>
      </c>
      <c r="J314" s="21" t="inlineStr">
        <is>
          <t>1. Login di mobile, buka Monitor Sterilizer, lalu tekan New Data (/stations/sterilizer/form/&lt;id&gt;).
2. Isi kolom identitas unit (jangan Simpan, jangan Pause).
3. Tekan Back.
4. Baca dialog yang muncul, lalu tekan Batal/tetap di halaman.
5. Tekan Back lagi dan kali ini setujui keluar.
6. Buka Login di mobile, buka Monitor Sterilizer, lalu tekan New Data (/stations/sterilizer/form/&lt;id&gt;) baru, tanpa mengisi apa pun, lalu tekan Back.</t>
        </is>
      </c>
      <c r="K314" s="21" t="inlineStr">
        <is>
          <t>- Langkah 3 memunculkan dialog konfirmasi karena ada perubahan belum tersimpan.
- Langkah 4: tetap di Form, isi tidak hilang.
- Langkah 6: tidak ada dialog — form yang belum disentuh tidak perlu konfirmasi.</t>
        </is>
      </c>
      <c r="L314" s="18" t="inlineStr">
        <is>
          <t>Sedang</t>
        </is>
      </c>
      <c r="M314" s="21" t="inlineStr"/>
      <c r="N314" s="17" t="n"/>
      <c r="O314" s="17" t="n"/>
      <c r="P314" s="17" t="n"/>
      <c r="Q314" s="17" t="n"/>
      <c r="R314" s="17" t="n"/>
    </row>
    <row r="315" ht="188.8" customHeight="1">
      <c r="A315" s="22" t="n">
        <v>311</v>
      </c>
      <c r="B315" s="22" t="n">
        <v>3</v>
      </c>
      <c r="C315" s="23" t="inlineStr">
        <is>
          <t>MB-FORM-10 / Threshing</t>
        </is>
      </c>
      <c r="D315" s="23" t="inlineStr">
        <is>
          <t>MB-FORM-10</t>
        </is>
      </c>
      <c r="E315" s="24" t="inlineStr">
        <is>
          <t>Threshing</t>
        </is>
      </c>
      <c r="F315" s="5" t="inlineStr">
        <is>
          <t>Mobile — Operasional Stasiun (MB-)</t>
        </is>
      </c>
      <c r="G315" s="24" t="inlineStr">
        <is>
          <t>Back dengan perubahan belum tersimpan meminta konfirmasi</t>
        </is>
      </c>
      <c r="H315" s="5" t="inlineStr">
        <is>
          <t>OPR-A</t>
        </is>
      </c>
      <c r="I315" s="5" t="inlineStr">
        <is>
          <t>—</t>
        </is>
      </c>
      <c r="J315" s="5" t="inlineStr">
        <is>
          <t>1. Login di mobile, buka Monitor Threshing, lalu tekan New Data (/stations/threshing/form/&lt;id&gt;).
2. Isi kolom identitas unit (jangan Simpan, jangan Pause).
3. Tekan Back.
4. Baca dialog yang muncul, lalu tekan Batal/tetap di halaman.
5. Tekan Back lagi dan kali ini setujui keluar.
6. Buka Login di mobile, buka Monitor Threshing, lalu tekan New Data (/stations/threshing/form/&lt;id&gt;) baru, tanpa mengisi apa pun, lalu tekan Back.</t>
        </is>
      </c>
      <c r="K315" s="5" t="inlineStr">
        <is>
          <t>- Langkah 3 memunculkan dialog konfirmasi karena ada perubahan belum tersimpan.
- Langkah 4: tetap di Form, isi tidak hilang.
- Langkah 6: tidak ada dialog — form yang belum disentuh tidak perlu konfirmasi.</t>
        </is>
      </c>
      <c r="L315" s="22" t="inlineStr">
        <is>
          <t>Sedang</t>
        </is>
      </c>
      <c r="M315" s="5" t="inlineStr"/>
      <c r="N315" s="17" t="n"/>
      <c r="O315" s="17" t="n"/>
      <c r="P315" s="17" t="n"/>
      <c r="Q315" s="17" t="n"/>
      <c r="R315" s="17" t="n"/>
    </row>
    <row r="316" ht="188.8" customHeight="1">
      <c r="A316" s="18" t="n">
        <v>312</v>
      </c>
      <c r="B316" s="18" t="n">
        <v>3</v>
      </c>
      <c r="C316" s="19" t="inlineStr">
        <is>
          <t>MB-FORM-10 / Pressing</t>
        </is>
      </c>
      <c r="D316" s="19" t="inlineStr">
        <is>
          <t>MB-FORM-10</t>
        </is>
      </c>
      <c r="E316" s="20" t="inlineStr">
        <is>
          <t>Pressing</t>
        </is>
      </c>
      <c r="F316" s="21" t="inlineStr">
        <is>
          <t>Mobile — Operasional Stasiun (MB-)</t>
        </is>
      </c>
      <c r="G316" s="20" t="inlineStr">
        <is>
          <t>Back dengan perubahan belum tersimpan meminta konfirmasi</t>
        </is>
      </c>
      <c r="H316" s="21" t="inlineStr">
        <is>
          <t>OPR-A</t>
        </is>
      </c>
      <c r="I316" s="21" t="inlineStr">
        <is>
          <t>—</t>
        </is>
      </c>
      <c r="J316" s="21" t="inlineStr">
        <is>
          <t>1. Login di mobile, buka Monitor Pressing, lalu tekan New Data (/stations/pressing/form/&lt;id&gt;).
2. Isi kolom identitas unit (jangan Simpan, jangan Pause).
3. Tekan Back.
4. Baca dialog yang muncul, lalu tekan Batal/tetap di halaman.
5. Tekan Back lagi dan kali ini setujui keluar.
6. Buka Login di mobile, buka Monitor Pressing, lalu tekan New Data (/stations/pressing/form/&lt;id&gt;) baru, tanpa mengisi apa pun, lalu tekan Back.</t>
        </is>
      </c>
      <c r="K316" s="21" t="inlineStr">
        <is>
          <t>- Langkah 3 memunculkan dialog konfirmasi karena ada perubahan belum tersimpan.
- Langkah 4: tetap di Form, isi tidak hilang.
- Langkah 6: tidak ada dialog — form yang belum disentuh tidak perlu konfirmasi.</t>
        </is>
      </c>
      <c r="L316" s="18" t="inlineStr">
        <is>
          <t>Sedang</t>
        </is>
      </c>
      <c r="M316" s="21" t="inlineStr"/>
      <c r="N316" s="17" t="n"/>
      <c r="O316" s="17" t="n"/>
      <c r="P316" s="17" t="n"/>
      <c r="Q316" s="17" t="n"/>
      <c r="R316" s="17" t="n"/>
    </row>
    <row r="317" ht="188.8" customHeight="1">
      <c r="A317" s="22" t="n">
        <v>313</v>
      </c>
      <c r="B317" s="22" t="n">
        <v>3</v>
      </c>
      <c r="C317" s="23" t="inlineStr">
        <is>
          <t>MB-FORM-10 / Clarification</t>
        </is>
      </c>
      <c r="D317" s="23" t="inlineStr">
        <is>
          <t>MB-FORM-10</t>
        </is>
      </c>
      <c r="E317" s="24" t="inlineStr">
        <is>
          <t>Clarification</t>
        </is>
      </c>
      <c r="F317" s="5" t="inlineStr">
        <is>
          <t>Mobile — Operasional Stasiun (MB-)</t>
        </is>
      </c>
      <c r="G317" s="24" t="inlineStr">
        <is>
          <t>Back dengan perubahan belum tersimpan meminta konfirmasi</t>
        </is>
      </c>
      <c r="H317" s="5" t="inlineStr">
        <is>
          <t>OPR-A</t>
        </is>
      </c>
      <c r="I317" s="5" t="inlineStr">
        <is>
          <t>—</t>
        </is>
      </c>
      <c r="J317" s="5" t="inlineStr">
        <is>
          <t>1. Login di mobile, buka Monitor Clarification, lalu tekan New Data (/stations/clarification/form/&lt;id&gt;).
2. Isi kolom identitas unit (jangan Simpan, jangan Pause).
3. Tekan Back.
4. Baca dialog yang muncul, lalu tekan Batal/tetap di halaman.
5. Tekan Back lagi dan kali ini setujui keluar.
6. Buka Login di mobile, buka Monitor Clarification, lalu tekan New Data (/stations/clarification/form/&lt;id&gt;) baru, tanpa mengisi apa pun, lalu tekan Back.</t>
        </is>
      </c>
      <c r="K317" s="5" t="inlineStr">
        <is>
          <t>- Langkah 3 memunculkan dialog konfirmasi karena ada perubahan belum tersimpan.
- Langkah 4: tetap di Form, isi tidak hilang.
- Langkah 6: tidak ada dialog — form yang belum disentuh tidak perlu konfirmasi.</t>
        </is>
      </c>
      <c r="L317" s="22" t="inlineStr">
        <is>
          <t>Sedang</t>
        </is>
      </c>
      <c r="M317" s="5" t="inlineStr"/>
      <c r="N317" s="17" t="n"/>
      <c r="O317" s="17" t="n"/>
      <c r="P317" s="17" t="n"/>
      <c r="Q317" s="17" t="n"/>
      <c r="R317" s="17" t="n"/>
    </row>
    <row r="318" ht="188.8" customHeight="1">
      <c r="A318" s="18" t="n">
        <v>314</v>
      </c>
      <c r="B318" s="18" t="n">
        <v>3</v>
      </c>
      <c r="C318" s="19" t="inlineStr">
        <is>
          <t>MB-FORM-10 / Kernel Plant</t>
        </is>
      </c>
      <c r="D318" s="19" t="inlineStr">
        <is>
          <t>MB-FORM-10</t>
        </is>
      </c>
      <c r="E318" s="20" t="inlineStr">
        <is>
          <t>Kernel Plant</t>
        </is>
      </c>
      <c r="F318" s="21" t="inlineStr">
        <is>
          <t>Mobile — Operasional Stasiun (MB-)</t>
        </is>
      </c>
      <c r="G318" s="20" t="inlineStr">
        <is>
          <t>Back dengan perubahan belum tersimpan meminta konfirmasi</t>
        </is>
      </c>
      <c r="H318" s="21" t="inlineStr">
        <is>
          <t>OPR-A</t>
        </is>
      </c>
      <c r="I318" s="21" t="inlineStr">
        <is>
          <t>—</t>
        </is>
      </c>
      <c r="J318" s="21" t="inlineStr">
        <is>
          <t>1. Login di mobile, buka Monitor Kernel Plant, lalu tekan New Data (/stations/kernel-plant/form/&lt;id&gt;).
2. Isi kolom identitas unit (jangan Simpan, jangan Pause).
3. Tekan Back.
4. Baca dialog yang muncul, lalu tekan Batal/tetap di halaman.
5. Tekan Back lagi dan kali ini setujui keluar.
6. Buka Login di mobile, buka Monitor Kernel Plant, lalu tekan New Data (/stations/kernel-plant/form/&lt;id&gt;) baru, tanpa mengisi apa pun, lalu tekan Back.</t>
        </is>
      </c>
      <c r="K318" s="21" t="inlineStr">
        <is>
          <t>- Langkah 3 memunculkan dialog konfirmasi karena ada perubahan belum tersimpan.
- Langkah 4: tetap di Form, isi tidak hilang.
- Langkah 6: tidak ada dialog — form yang belum disentuh tidak perlu konfirmasi.</t>
        </is>
      </c>
      <c r="L318" s="18" t="inlineStr">
        <is>
          <t>Sedang</t>
        </is>
      </c>
      <c r="M318" s="21" t="inlineStr"/>
      <c r="N318" s="17" t="n"/>
      <c r="O318" s="17" t="n"/>
      <c r="P318" s="17" t="n"/>
      <c r="Q318" s="17" t="n"/>
      <c r="R318" s="17" t="n"/>
    </row>
    <row r="319" ht="188.8" customHeight="1">
      <c r="A319" s="22" t="n">
        <v>315</v>
      </c>
      <c r="B319" s="22" t="n">
        <v>3</v>
      </c>
      <c r="C319" s="23" t="inlineStr">
        <is>
          <t>MB-FORM-10 / Boiler Room</t>
        </is>
      </c>
      <c r="D319" s="23" t="inlineStr">
        <is>
          <t>MB-FORM-10</t>
        </is>
      </c>
      <c r="E319" s="24" t="inlineStr">
        <is>
          <t>Boiler Room</t>
        </is>
      </c>
      <c r="F319" s="5" t="inlineStr">
        <is>
          <t>Mobile — Operasional Stasiun (MB-)</t>
        </is>
      </c>
      <c r="G319" s="24" t="inlineStr">
        <is>
          <t>Back dengan perubahan belum tersimpan meminta konfirmasi</t>
        </is>
      </c>
      <c r="H319" s="5" t="inlineStr">
        <is>
          <t>OPR-A</t>
        </is>
      </c>
      <c r="I319" s="5" t="inlineStr">
        <is>
          <t>—</t>
        </is>
      </c>
      <c r="J319" s="5" t="inlineStr">
        <is>
          <t>1. Login di mobile, buka Monitor Boiler Room, lalu tekan New Data (/stations/boiler-room/form/&lt;id&gt;).
2. Isi kolom identitas unit (jangan Simpan, jangan Pause).
3. Tekan Back.
4. Baca dialog yang muncul, lalu tekan Batal/tetap di halaman.
5. Tekan Back lagi dan kali ini setujui keluar.
6. Buka Login di mobile, buka Monitor Boiler Room, lalu tekan New Data (/stations/boiler-room/form/&lt;id&gt;) baru, tanpa mengisi apa pun, lalu tekan Back.</t>
        </is>
      </c>
      <c r="K319" s="5" t="inlineStr">
        <is>
          <t>- Langkah 3 memunculkan dialog konfirmasi karena ada perubahan belum tersimpan.
- Langkah 4: tetap di Form, isi tidak hilang.
- Langkah 6: tidak ada dialog — form yang belum disentuh tidak perlu konfirmasi.</t>
        </is>
      </c>
      <c r="L319" s="22" t="inlineStr">
        <is>
          <t>Sedang</t>
        </is>
      </c>
      <c r="M319" s="5" t="inlineStr"/>
      <c r="N319" s="17" t="n"/>
      <c r="O319" s="17" t="n"/>
      <c r="P319" s="17" t="n"/>
      <c r="Q319" s="17" t="n"/>
      <c r="R319" s="17" t="n"/>
    </row>
    <row r="320" ht="188.8" customHeight="1">
      <c r="A320" s="18" t="n">
        <v>316</v>
      </c>
      <c r="B320" s="18" t="n">
        <v>3</v>
      </c>
      <c r="C320" s="19" t="inlineStr">
        <is>
          <t>MB-FORM-10 / Effluent Plant</t>
        </is>
      </c>
      <c r="D320" s="19" t="inlineStr">
        <is>
          <t>MB-FORM-10</t>
        </is>
      </c>
      <c r="E320" s="20" t="inlineStr">
        <is>
          <t>Effluent Plant</t>
        </is>
      </c>
      <c r="F320" s="21" t="inlineStr">
        <is>
          <t>Mobile — Operasional Stasiun (MB-)</t>
        </is>
      </c>
      <c r="G320" s="20" t="inlineStr">
        <is>
          <t>Back dengan perubahan belum tersimpan meminta konfirmasi</t>
        </is>
      </c>
      <c r="H320" s="21" t="inlineStr">
        <is>
          <t>OPR-A</t>
        </is>
      </c>
      <c r="I320" s="21" t="inlineStr">
        <is>
          <t>—</t>
        </is>
      </c>
      <c r="J320" s="21" t="inlineStr">
        <is>
          <t>1. Login di mobile, buka Monitor Effluent Plant, lalu tekan New Data (/stations/effluent-plant/form/&lt;id&gt;).
2. Isi kolom identitas unit (jangan Simpan, jangan Pause).
3. Tekan Back.
4. Baca dialog yang muncul, lalu tekan Batal/tetap di halaman.
5. Tekan Back lagi dan kali ini setujui keluar.
6. Buka Login di mobile, buka Monitor Effluent Plant, lalu tekan New Data (/stations/effluent-plant/form/&lt;id&gt;) baru, tanpa mengisi apa pun, lalu tekan Back.</t>
        </is>
      </c>
      <c r="K320" s="21" t="inlineStr">
        <is>
          <t>- Langkah 3 memunculkan dialog konfirmasi karena ada perubahan belum tersimpan.
- Langkah 4: tetap di Form, isi tidak hilang.
- Langkah 6: tidak ada dialog — form yang belum disentuh tidak perlu konfirmasi.</t>
        </is>
      </c>
      <c r="L320" s="18" t="inlineStr">
        <is>
          <t>Sedang</t>
        </is>
      </c>
      <c r="M320" s="21" t="inlineStr"/>
      <c r="N320" s="17" t="n"/>
      <c r="O320" s="17" t="n"/>
      <c r="P320" s="17" t="n"/>
      <c r="Q320" s="17" t="n"/>
      <c r="R320" s="17" t="n"/>
    </row>
    <row r="321" ht="188.8" customHeight="1">
      <c r="A321" s="11" t="n">
        <v>317</v>
      </c>
      <c r="B321" s="12" t="n">
        <v>1</v>
      </c>
      <c r="C321" s="13" t="inlineStr">
        <is>
          <t>MB-FORM-10 / Depricarping</t>
        </is>
      </c>
      <c r="D321" s="13" t="inlineStr">
        <is>
          <t>MB-FORM-10</t>
        </is>
      </c>
      <c r="E321" s="15" t="inlineStr">
        <is>
          <t>Depricarping</t>
        </is>
      </c>
      <c r="F321" s="14" t="inlineStr">
        <is>
          <t>Mobile — Operasional Stasiun (MB-)</t>
        </is>
      </c>
      <c r="G321" s="15" t="inlineStr">
        <is>
          <t>Back dengan perubahan belum tersimpan meminta konfirmasi</t>
        </is>
      </c>
      <c r="H321" s="14" t="inlineStr">
        <is>
          <t>OPR-A</t>
        </is>
      </c>
      <c r="I321" s="14" t="inlineStr">
        <is>
          <t>—</t>
        </is>
      </c>
      <c r="J321" s="14" t="inlineStr">
        <is>
          <t>1. Login di mobile, buka Monitor Depricarping, lalu tekan New Data (/stations/depricarping/form/&lt;id&gt;).
2. Isi kolom identitas unit (jangan Simpan, jangan Pause).
3. Tekan Back.
4. Baca dialog yang muncul, lalu tekan Batal/tetap di halaman.
5. Tekan Back lagi dan kali ini setujui keluar.
6. Buka Login di mobile, buka Monitor Depricarping, lalu tekan New Data (/stations/depricarping/form/&lt;id&gt;) baru, tanpa mengisi apa pun, lalu tekan Back.</t>
        </is>
      </c>
      <c r="K321" s="14" t="inlineStr">
        <is>
          <t>- Langkah 3 memunculkan dialog konfirmasi karena ada perubahan belum tersimpan.
- Langkah 4: tetap di Form, isi tidak hilang.
- Langkah 6: tidak ada dialog — form yang belum disentuh tidak perlu konfirmasi.</t>
        </is>
      </c>
      <c r="L321" s="11" t="inlineStr">
        <is>
          <t>Sedang</t>
        </is>
      </c>
      <c r="M321" s="14" t="inlineStr"/>
      <c r="N321" s="17" t="n"/>
      <c r="O321" s="17" t="n"/>
      <c r="P321" s="17" t="n"/>
      <c r="Q321" s="17" t="n"/>
      <c r="R321" s="17" t="n"/>
    </row>
    <row r="322" ht="188.8" customHeight="1">
      <c r="A322" s="18" t="n">
        <v>318</v>
      </c>
      <c r="B322" s="18" t="n">
        <v>3</v>
      </c>
      <c r="C322" s="19" t="inlineStr">
        <is>
          <t>MB-FORM-10 / Engine Room</t>
        </is>
      </c>
      <c r="D322" s="19" t="inlineStr">
        <is>
          <t>MB-FORM-10</t>
        </is>
      </c>
      <c r="E322" s="20" t="inlineStr">
        <is>
          <t>Engine Room</t>
        </is>
      </c>
      <c r="F322" s="21" t="inlineStr">
        <is>
          <t>Mobile — Operasional Stasiun (MB-)</t>
        </is>
      </c>
      <c r="G322" s="20" t="inlineStr">
        <is>
          <t>Back dengan perubahan belum tersimpan meminta konfirmasi</t>
        </is>
      </c>
      <c r="H322" s="21" t="inlineStr">
        <is>
          <t>OPR-A</t>
        </is>
      </c>
      <c r="I322" s="21" t="inlineStr">
        <is>
          <t>—</t>
        </is>
      </c>
      <c r="J322" s="21" t="inlineStr">
        <is>
          <t>1. Login di mobile, buka Monitor Engine Room, lalu tekan New Data (/stations/engine-room/form/&lt;id&gt;).
2. Isi kolom identitas unit (jangan Simpan, jangan Pause).
3. Tekan Back.
4. Baca dialog yang muncul, lalu tekan Batal/tetap di halaman.
5. Tekan Back lagi dan kali ini setujui keluar.
6. Buka Login di mobile, buka Monitor Engine Room, lalu tekan New Data (/stations/engine-room/form/&lt;id&gt;) baru, tanpa mengisi apa pun, lalu tekan Back.</t>
        </is>
      </c>
      <c r="K322" s="21" t="inlineStr">
        <is>
          <t>- Langkah 3 memunculkan dialog konfirmasi karena ada perubahan belum tersimpan.
- Langkah 4: tetap di Form, isi tidak hilang.
- Langkah 6: tidak ada dialog — form yang belum disentuh tidak perlu konfirmasi.</t>
        </is>
      </c>
      <c r="L322" s="18" t="inlineStr">
        <is>
          <t>Sedang</t>
        </is>
      </c>
      <c r="M322" s="21" t="inlineStr"/>
      <c r="N322" s="17" t="n"/>
      <c r="O322" s="17" t="n"/>
      <c r="P322" s="17" t="n"/>
      <c r="Q322" s="17" t="n"/>
      <c r="R322" s="17" t="n"/>
    </row>
    <row r="323" ht="188.8" customHeight="1">
      <c r="A323" s="22" t="n">
        <v>319</v>
      </c>
      <c r="B323" s="22" t="n">
        <v>3</v>
      </c>
      <c r="C323" s="23" t="inlineStr">
        <is>
          <t>MB-FORM-10 / Process Water</t>
        </is>
      </c>
      <c r="D323" s="23" t="inlineStr">
        <is>
          <t>MB-FORM-10</t>
        </is>
      </c>
      <c r="E323" s="24" t="inlineStr">
        <is>
          <t>Process Water</t>
        </is>
      </c>
      <c r="F323" s="5" t="inlineStr">
        <is>
          <t>Mobile — Operasional Stasiun (MB-)</t>
        </is>
      </c>
      <c r="G323" s="24" t="inlineStr">
        <is>
          <t>Back dengan perubahan belum tersimpan meminta konfirmasi</t>
        </is>
      </c>
      <c r="H323" s="5" t="inlineStr">
        <is>
          <t>OPR-A</t>
        </is>
      </c>
      <c r="I323" s="5" t="inlineStr">
        <is>
          <t>—</t>
        </is>
      </c>
      <c r="J323" s="5" t="inlineStr">
        <is>
          <t>1. Login di mobile, buka Monitor Process Water, lalu tekan New Data (/stations/process-water/form/&lt;id&gt;).
2. Isi kolom identitas unit (jangan Simpan, jangan Pause).
3. Tekan Back.
4. Baca dialog yang muncul, lalu tekan Batal/tetap di halaman.
5. Tekan Back lagi dan kali ini setujui keluar.
6. Buka Login di mobile, buka Monitor Process Water, lalu tekan New Data (/stations/process-water/form/&lt;id&gt;) baru, tanpa mengisi apa pun, lalu tekan Back.</t>
        </is>
      </c>
      <c r="K323" s="5" t="inlineStr">
        <is>
          <t>- Langkah 3 memunculkan dialog konfirmasi karena ada perubahan belum tersimpan.
- Langkah 4: tetap di Form, isi tidak hilang.
- Langkah 6: tidak ada dialog — form yang belum disentuh tidak perlu konfirmasi.</t>
        </is>
      </c>
      <c r="L323" s="22" t="inlineStr">
        <is>
          <t>Sedang</t>
        </is>
      </c>
      <c r="M323" s="5" t="inlineStr"/>
      <c r="N323" s="17" t="n"/>
      <c r="O323" s="17" t="n"/>
      <c r="P323" s="17" t="n"/>
      <c r="Q323" s="17" t="n"/>
      <c r="R323" s="17" t="n"/>
    </row>
    <row r="324" ht="188.8" customHeight="1">
      <c r="A324" s="18" t="n">
        <v>320</v>
      </c>
      <c r="B324" s="18" t="n">
        <v>3</v>
      </c>
      <c r="C324" s="19" t="inlineStr">
        <is>
          <t>MB-FORM-10 / Storage Tank</t>
        </is>
      </c>
      <c r="D324" s="19" t="inlineStr">
        <is>
          <t>MB-FORM-10</t>
        </is>
      </c>
      <c r="E324" s="20" t="inlineStr">
        <is>
          <t>Storage Tank</t>
        </is>
      </c>
      <c r="F324" s="21" t="inlineStr">
        <is>
          <t>Mobile — Operasional Stasiun (MB-)</t>
        </is>
      </c>
      <c r="G324" s="20" t="inlineStr">
        <is>
          <t>Back dengan perubahan belum tersimpan meminta konfirmasi</t>
        </is>
      </c>
      <c r="H324" s="21" t="inlineStr">
        <is>
          <t>OPR-A</t>
        </is>
      </c>
      <c r="I324" s="21" t="inlineStr">
        <is>
          <t>—</t>
        </is>
      </c>
      <c r="J324" s="21" t="inlineStr">
        <is>
          <t>1. Login di mobile, buka Monitor Storage Tank, lalu tekan New Data (/stations/storage-tank/form/&lt;id&gt;).
2. Isi kolom identitas unit (jangan Simpan, jangan Pause).
3. Tekan Back.
4. Baca dialog yang muncul, lalu tekan Batal/tetap di halaman.
5. Tekan Back lagi dan kali ini setujui keluar.
6. Buka Login di mobile, buka Monitor Storage Tank, lalu tekan New Data (/stations/storage-tank/form/&lt;id&gt;) baru, tanpa mengisi apa pun, lalu tekan Back.</t>
        </is>
      </c>
      <c r="K324" s="21" t="inlineStr">
        <is>
          <t>- Langkah 3 memunculkan dialog konfirmasi karena ada perubahan belum tersimpan.
- Langkah 4: tetap di Form, isi tidak hilang.
- Langkah 6: tidak ada dialog — form yang belum disentuh tidak perlu konfirmasi.</t>
        </is>
      </c>
      <c r="L324" s="18" t="inlineStr">
        <is>
          <t>Sedang</t>
        </is>
      </c>
      <c r="M324" s="21" t="inlineStr"/>
      <c r="N324" s="17" t="n"/>
      <c r="O324" s="17" t="n"/>
      <c r="P324" s="17" t="n"/>
      <c r="Q324" s="17" t="n"/>
      <c r="R324" s="17" t="n"/>
    </row>
    <row r="325" ht="188.8" customHeight="1">
      <c r="A325" s="22" t="n">
        <v>321</v>
      </c>
      <c r="B325" s="22" t="n">
        <v>3</v>
      </c>
      <c r="C325" s="23" t="inlineStr">
        <is>
          <t>MB-FORM-10 / Solid Waste Disposal</t>
        </is>
      </c>
      <c r="D325" s="23" t="inlineStr">
        <is>
          <t>MB-FORM-10</t>
        </is>
      </c>
      <c r="E325" s="24" t="inlineStr">
        <is>
          <t>Solid Waste Disposal</t>
        </is>
      </c>
      <c r="F325" s="5" t="inlineStr">
        <is>
          <t>Mobile — Operasional Stasiun (MB-)</t>
        </is>
      </c>
      <c r="G325" s="24" t="inlineStr">
        <is>
          <t>Back dengan perubahan belum tersimpan meminta konfirmasi</t>
        </is>
      </c>
      <c r="H325" s="5" t="inlineStr">
        <is>
          <t>OPR-A</t>
        </is>
      </c>
      <c r="I325" s="5" t="inlineStr">
        <is>
          <t>—</t>
        </is>
      </c>
      <c r="J325" s="5" t="inlineStr">
        <is>
          <t>1. Login di mobile, buka Monitor Solid Waste Disposal, lalu tekan New Data (/stations/solid-waste-disposal/form/&lt;id&gt;).
2. Isi kolom identitas unit (jangan Simpan, jangan Pause).
3. Tekan Back.
4. Baca dialog yang muncul, lalu tekan Batal/tetap di halaman.
5. Tekan Back lagi dan kali ini setujui keluar.
6. Buka Login di mobile, buka Monitor Solid Waste Disposal, lalu tekan New Data (/stations/solid-waste-disposal/form/&lt;id&gt;) baru, tanpa mengisi apa pun, lalu tekan Back.</t>
        </is>
      </c>
      <c r="K325" s="5" t="inlineStr">
        <is>
          <t>- Langkah 3 memunculkan dialog konfirmasi karena ada perubahan belum tersimpan.
- Langkah 4: tetap di Form, isi tidak hilang.
- Langkah 6: tidak ada dialog — form yang belum disentuh tidak perlu konfirmasi.</t>
        </is>
      </c>
      <c r="L325" s="22" t="inlineStr">
        <is>
          <t>Sedang</t>
        </is>
      </c>
      <c r="M325" s="5" t="inlineStr"/>
      <c r="N325" s="17" t="n"/>
      <c r="O325" s="17" t="n"/>
      <c r="P325" s="17" t="n"/>
      <c r="Q325" s="17" t="n"/>
      <c r="R325" s="17" t="n"/>
    </row>
    <row r="326" ht="188.8" customHeight="1">
      <c r="A326" s="18" t="n">
        <v>322</v>
      </c>
      <c r="B326" s="18" t="n">
        <v>3</v>
      </c>
      <c r="C326" s="19" t="inlineStr">
        <is>
          <t>MB-FORM-10 / Kernel Dispatch</t>
        </is>
      </c>
      <c r="D326" s="19" t="inlineStr">
        <is>
          <t>MB-FORM-10</t>
        </is>
      </c>
      <c r="E326" s="20" t="inlineStr">
        <is>
          <t>Kernel Dispatch</t>
        </is>
      </c>
      <c r="F326" s="21" t="inlineStr">
        <is>
          <t>Mobile — Operasional Stasiun (MB-)</t>
        </is>
      </c>
      <c r="G326" s="20" t="inlineStr">
        <is>
          <t>Back dengan perubahan belum tersimpan meminta konfirmasi</t>
        </is>
      </c>
      <c r="H326" s="21" t="inlineStr">
        <is>
          <t>OPR-A</t>
        </is>
      </c>
      <c r="I326" s="21" t="inlineStr">
        <is>
          <t>—</t>
        </is>
      </c>
      <c r="J326" s="21" t="inlineStr">
        <is>
          <t>1. Login di mobile, buka Monitor Kernel Dispatch, lalu tekan New Data (/stations/kernel-dispatch/form/&lt;id&gt;).
2. Isi kolom identitas unit (jangan Simpan, jangan Pause).
3. Tekan Back.
4. Baca dialog yang muncul, lalu tekan Batal/tetap di halaman.
5. Tekan Back lagi dan kali ini setujui keluar.
6. Buka Login di mobile, buka Monitor Kernel Dispatch, lalu tekan New Data (/stations/kernel-dispatch/form/&lt;id&gt;) baru, tanpa mengisi apa pun, lalu tekan Back.</t>
        </is>
      </c>
      <c r="K326" s="21" t="inlineStr">
        <is>
          <t>- Langkah 3 memunculkan dialog konfirmasi karena ada perubahan belum tersimpan.
- Langkah 4: tetap di Form, isi tidak hilang.
- Langkah 6: tidak ada dialog — form yang belum disentuh tidak perlu konfirmasi.</t>
        </is>
      </c>
      <c r="L326" s="18" t="inlineStr">
        <is>
          <t>Sedang</t>
        </is>
      </c>
      <c r="M326" s="21" t="inlineStr"/>
      <c r="N326" s="17" t="n"/>
      <c r="O326" s="17" t="n"/>
      <c r="P326" s="17" t="n"/>
      <c r="Q326" s="17" t="n"/>
      <c r="R326" s="17" t="n"/>
    </row>
    <row r="327" ht="188.8" customHeight="1">
      <c r="A327" s="22" t="n">
        <v>323</v>
      </c>
      <c r="B327" s="22" t="n">
        <v>3</v>
      </c>
      <c r="C327" s="23" t="inlineStr">
        <is>
          <t>MB-FORM-10 / CPO Dispatch</t>
        </is>
      </c>
      <c r="D327" s="23" t="inlineStr">
        <is>
          <t>MB-FORM-10</t>
        </is>
      </c>
      <c r="E327" s="24" t="inlineStr">
        <is>
          <t>CPO Dispatch</t>
        </is>
      </c>
      <c r="F327" s="5" t="inlineStr">
        <is>
          <t>Mobile — Operasional Stasiun (MB-)</t>
        </is>
      </c>
      <c r="G327" s="24" t="inlineStr">
        <is>
          <t>Back dengan perubahan belum tersimpan meminta konfirmasi</t>
        </is>
      </c>
      <c r="H327" s="5" t="inlineStr">
        <is>
          <t>OPR-A</t>
        </is>
      </c>
      <c r="I327" s="5" t="inlineStr">
        <is>
          <t>—</t>
        </is>
      </c>
      <c r="J327" s="5" t="inlineStr">
        <is>
          <t>1. Login di mobile, buka Monitor CPO Dispatch, lalu tekan New Data (/stations/cpo-dispatch/form/&lt;id&gt;).
2. Isi kolom identitas unit (jangan Simpan, jangan Pause).
3. Tekan Back.
4. Baca dialog yang muncul, lalu tekan Batal/tetap di halaman.
5. Tekan Back lagi dan kali ini setujui keluar.
6. Buka Login di mobile, buka Monitor CPO Dispatch, lalu tekan New Data (/stations/cpo-dispatch/form/&lt;id&gt;) baru, tanpa mengisi apa pun, lalu tekan Back.</t>
        </is>
      </c>
      <c r="K327" s="5" t="inlineStr">
        <is>
          <t>- Langkah 3 memunculkan dialog konfirmasi karena ada perubahan belum tersimpan.
- Langkah 4: tetap di Form, isi tidak hilang.
- Langkah 6: tidak ada dialog — form yang belum disentuh tidak perlu konfirmasi.</t>
        </is>
      </c>
      <c r="L327" s="22" t="inlineStr">
        <is>
          <t>Sedang</t>
        </is>
      </c>
      <c r="M327" s="5" t="inlineStr"/>
      <c r="N327" s="17" t="n"/>
      <c r="O327" s="17" t="n"/>
      <c r="P327" s="17" t="n"/>
      <c r="Q327" s="17" t="n"/>
      <c r="R327" s="17" t="n"/>
    </row>
    <row r="328" ht="188.8" customHeight="1">
      <c r="A328" s="18" t="n">
        <v>324</v>
      </c>
      <c r="B328" s="18" t="n">
        <v>3</v>
      </c>
      <c r="C328" s="19" t="inlineStr">
        <is>
          <t>MB-FORM-10 / Process Quality Control</t>
        </is>
      </c>
      <c r="D328" s="19" t="inlineStr">
        <is>
          <t>MB-FORM-10</t>
        </is>
      </c>
      <c r="E328" s="20" t="inlineStr">
        <is>
          <t>Process Quality Control</t>
        </is>
      </c>
      <c r="F328" s="21" t="inlineStr">
        <is>
          <t>Mobile — Operasional Stasiun (MB-)</t>
        </is>
      </c>
      <c r="G328" s="20" t="inlineStr">
        <is>
          <t>Back dengan perubahan belum tersimpan meminta konfirmasi</t>
        </is>
      </c>
      <c r="H328" s="21" t="inlineStr">
        <is>
          <t>OPR-A</t>
        </is>
      </c>
      <c r="I328" s="21" t="inlineStr">
        <is>
          <t>—</t>
        </is>
      </c>
      <c r="J328" s="21" t="inlineStr">
        <is>
          <t>1. Login di mobile, buka Monitor Process Quality Control, lalu tekan New Data (/stations/process-quality-control/form/&lt;id&gt;).
2. Isi kolom identitas unit (jangan Simpan, jangan Pause).
3. Tekan Back.
4. Baca dialog yang muncul, lalu tekan Batal/tetap di halaman.
5. Tekan Back lagi dan kali ini setujui keluar.
6. Buka Login di mobile, buka Monitor Process Quality Control, lalu tekan New Data (/stations/process-quality-control/form/&lt;id&gt;) baru, tanpa mengisi apa pun, lalu tekan Back.</t>
        </is>
      </c>
      <c r="K328" s="21" t="inlineStr">
        <is>
          <t>- Langkah 3 memunculkan dialog konfirmasi karena ada perubahan belum tersimpan.
- Langkah 4: tetap di Form, isi tidak hilang.
- Langkah 6: tidak ada dialog — form yang belum disentuh tidak perlu konfirmasi.</t>
        </is>
      </c>
      <c r="L328" s="18" t="inlineStr">
        <is>
          <t>Sedang</t>
        </is>
      </c>
      <c r="M328" s="21" t="inlineStr"/>
      <c r="N328" s="17" t="n"/>
      <c r="O328" s="17" t="n"/>
      <c r="P328" s="17" t="n"/>
      <c r="Q328" s="17" t="n"/>
      <c r="R328" s="17" t="n"/>
    </row>
    <row r="329" ht="162.4" customHeight="1">
      <c r="A329" s="11" t="n">
        <v>325</v>
      </c>
      <c r="B329" s="12" t="n">
        <v>1</v>
      </c>
      <c r="C329" s="13" t="inlineStr">
        <is>
          <t>MB-FORM-11 / Weighbridge</t>
        </is>
      </c>
      <c r="D329" s="13" t="inlineStr">
        <is>
          <t>MB-FORM-11</t>
        </is>
      </c>
      <c r="E329" s="15" t="inlineStr">
        <is>
          <t>Weighbridge</t>
        </is>
      </c>
      <c r="F329" s="14" t="inlineStr">
        <is>
          <t>Mobile — Operasional Stasiun (MB-)</t>
        </is>
      </c>
      <c r="G329" s="15" t="inlineStr">
        <is>
          <t>Stasiun per-transaksi: satu record per transaksi (Weighbridge, Grading, Kernel Dispatch, CPO Dispatch)</t>
        </is>
      </c>
      <c r="H329" s="14" t="inlineStr">
        <is>
          <t>OPR-A</t>
        </is>
      </c>
      <c r="I329" s="14" t="inlineStr">
        <is>
          <t>periode Terbuka</t>
        </is>
      </c>
      <c r="J329" s="14" t="inlineStr">
        <is>
          <t>1. Pastikan periode Terbuka. Login di mobile, buka Monitor Weighbridge, lalu tekan New Data (/stations/weighbridge/form/&lt;id&gt;).
2. Baca layarnya: apakah ada grid 24 slot waktu?
3. Isi kolom wajib (No. Kartu / Kendaraan) dan nilai bobot yang diperlukan. Tekan Simpan.
4. Perhatikan apakah ada pembedaan arus Masuk dan Keluar.
5. Ulangi langkah 1–3 untuk Grading, Kernel Dispatch, dan CPO Dispatch.</t>
        </is>
      </c>
      <c r="K329" s="14" t="inlineStr">
        <is>
          <t>- Tidak ada grid 24 slot waktu pada keempat layar ini.
- Masing-masing tersimpan sebagai satu transaksi — satu record per penimbangan/muatan/pengiriman.
- Weighbridge membedakan arus Masuk dan Keluar, dan keduanya tidak dijumlah bersama.
- Dapat membuat beberapa record pada tanggal yang sama tanpa saling menimpa.</t>
        </is>
      </c>
      <c r="L329" s="16" t="inlineStr">
        <is>
          <t>Tinggi</t>
        </is>
      </c>
      <c r="M329" s="14" t="inlineStr"/>
      <c r="N329" s="17" t="n"/>
      <c r="O329" s="17" t="n"/>
      <c r="P329" s="17" t="n"/>
      <c r="Q329" s="17" t="n"/>
      <c r="R329" s="17" t="n"/>
    </row>
    <row r="330" ht="175.6" customHeight="1">
      <c r="A330" s="18" t="n">
        <v>326</v>
      </c>
      <c r="B330" s="18" t="n">
        <v>3</v>
      </c>
      <c r="C330" s="19" t="inlineStr">
        <is>
          <t>MB-FORM-11 / Grading</t>
        </is>
      </c>
      <c r="D330" s="19" t="inlineStr">
        <is>
          <t>MB-FORM-11</t>
        </is>
      </c>
      <c r="E330" s="20" t="inlineStr">
        <is>
          <t>Grading</t>
        </is>
      </c>
      <c r="F330" s="21" t="inlineStr">
        <is>
          <t>Mobile — Operasional Stasiun (MB-)</t>
        </is>
      </c>
      <c r="G330" s="20" t="inlineStr">
        <is>
          <t>Stasiun per-transaksi: satu record per transaksi (Weighbridge, Grading, Kernel Dispatch, CPO Dispatch)</t>
        </is>
      </c>
      <c r="H330" s="21" t="inlineStr">
        <is>
          <t>OPR-A</t>
        </is>
      </c>
      <c r="I330" s="21" t="inlineStr">
        <is>
          <t>periode Terbuka</t>
        </is>
      </c>
      <c r="J330" s="21" t="inlineStr">
        <is>
          <t>1. Pastikan periode Terbuka. Login di mobile, buka Monitor Grading, lalu tekan New Data (/stations/grading/form/&lt;id&gt;) untuk Weighbridge.
2. Baca layarnya: apakah ada grid 24 slot waktu?
3. Isi kolom wajib (No. Kartu / Kendaraan) dan nilai bobot yang diperlukan. Tekan Simpan.
4. Perhatikan apakah ada pembedaan arus Masuk dan Keluar.
5. Ulangi langkah 1–3 untuk Grading, Kernel Dispatch, dan CPO Dispatch.</t>
        </is>
      </c>
      <c r="K330" s="21" t="inlineStr">
        <is>
          <t>- Tidak ada grid 24 slot waktu pada keempat layar ini.
- Masing-masing tersimpan sebagai satu transaksi — satu record per penimbangan/muatan/pengiriman.
- Weighbridge membedakan arus Masuk dan Keluar, dan keduanya tidak dijumlah bersama.
- Dapat membuat beberapa record pada tanggal yang sama tanpa saling menimpa.</t>
        </is>
      </c>
      <c r="L330" s="16" t="inlineStr">
        <is>
          <t>Tinggi</t>
        </is>
      </c>
      <c r="M330" s="21" t="inlineStr"/>
      <c r="N330" s="17" t="n"/>
      <c r="O330" s="17" t="n"/>
      <c r="P330" s="17" t="n"/>
      <c r="Q330" s="17" t="n"/>
      <c r="R330" s="17" t="n"/>
    </row>
    <row r="331" ht="175.6" customHeight="1">
      <c r="A331" s="22" t="n">
        <v>327</v>
      </c>
      <c r="B331" s="22" t="n">
        <v>3</v>
      </c>
      <c r="C331" s="23" t="inlineStr">
        <is>
          <t>MB-FORM-11 / Kernel Dispatch</t>
        </is>
      </c>
      <c r="D331" s="23" t="inlineStr">
        <is>
          <t>MB-FORM-11</t>
        </is>
      </c>
      <c r="E331" s="24" t="inlineStr">
        <is>
          <t>Kernel Dispatch</t>
        </is>
      </c>
      <c r="F331" s="5" t="inlineStr">
        <is>
          <t>Mobile — Operasional Stasiun (MB-)</t>
        </is>
      </c>
      <c r="G331" s="24" t="inlineStr">
        <is>
          <t>Stasiun per-transaksi: satu record per transaksi (Weighbridge, Grading, Kernel Dispatch, CPO Dispatch)</t>
        </is>
      </c>
      <c r="H331" s="5" t="inlineStr">
        <is>
          <t>OPR-A</t>
        </is>
      </c>
      <c r="I331" s="5" t="inlineStr">
        <is>
          <t>periode Terbuka</t>
        </is>
      </c>
      <c r="J331" s="5" t="inlineStr">
        <is>
          <t>1. Pastikan periode Terbuka. Login di mobile, buka Monitor Kernel Dispatch, lalu tekan New Data (/stations/kernel-dispatch/form/&lt;id&gt;) untuk Weighbridge.
2. Baca layarnya: apakah ada grid 24 slot waktu?
3. Isi kolom wajib (No. Kartu / Kendaraan) dan nilai bobot yang diperlukan. Tekan Simpan.
4. Perhatikan apakah ada pembedaan arus Masuk dan Keluar.
5. Ulangi langkah 1–3 untuk Grading, Kernel Dispatch, dan CPO Dispatch.</t>
        </is>
      </c>
      <c r="K331" s="5" t="inlineStr">
        <is>
          <t>- Tidak ada grid 24 slot waktu pada keempat layar ini.
- Masing-masing tersimpan sebagai satu transaksi — satu record per penimbangan/muatan/pengiriman.
- Weighbridge membedakan arus Masuk dan Keluar, dan keduanya tidak dijumlah bersama.
- Dapat membuat beberapa record pada tanggal yang sama tanpa saling menimpa.</t>
        </is>
      </c>
      <c r="L331" s="16" t="inlineStr">
        <is>
          <t>Tinggi</t>
        </is>
      </c>
      <c r="M331" s="5" t="inlineStr"/>
      <c r="N331" s="17" t="n"/>
      <c r="O331" s="17" t="n"/>
      <c r="P331" s="17" t="n"/>
      <c r="Q331" s="17" t="n"/>
      <c r="R331" s="17" t="n"/>
    </row>
    <row r="332" ht="175.6" customHeight="1">
      <c r="A332" s="18" t="n">
        <v>328</v>
      </c>
      <c r="B332" s="18" t="n">
        <v>3</v>
      </c>
      <c r="C332" s="19" t="inlineStr">
        <is>
          <t>MB-FORM-11 / CPO Dispatch</t>
        </is>
      </c>
      <c r="D332" s="19" t="inlineStr">
        <is>
          <t>MB-FORM-11</t>
        </is>
      </c>
      <c r="E332" s="20" t="inlineStr">
        <is>
          <t>CPO Dispatch</t>
        </is>
      </c>
      <c r="F332" s="21" t="inlineStr">
        <is>
          <t>Mobile — Operasional Stasiun (MB-)</t>
        </is>
      </c>
      <c r="G332" s="20" t="inlineStr">
        <is>
          <t>Stasiun per-transaksi: satu record per transaksi (Weighbridge, Grading, Kernel Dispatch, CPO Dispatch)</t>
        </is>
      </c>
      <c r="H332" s="21" t="inlineStr">
        <is>
          <t>OPR-A</t>
        </is>
      </c>
      <c r="I332" s="21" t="inlineStr">
        <is>
          <t>periode Terbuka</t>
        </is>
      </c>
      <c r="J332" s="21" t="inlineStr">
        <is>
          <t>1. Pastikan periode Terbuka. Login di mobile, buka Monitor CPO Dispatch, lalu tekan New Data (/stations/cpo-dispatch/form/&lt;id&gt;) untuk Weighbridge.
2. Baca layarnya: apakah ada grid 24 slot waktu?
3. Isi kolom wajib (No. Kartu / Kendaraan) dan nilai bobot yang diperlukan. Tekan Simpan.
4. Perhatikan apakah ada pembedaan arus Masuk dan Keluar.
5. Ulangi langkah 1–3 untuk Grading, Kernel Dispatch, dan CPO Dispatch.</t>
        </is>
      </c>
      <c r="K332" s="21" t="inlineStr">
        <is>
          <t>- Tidak ada grid 24 slot waktu pada keempat layar ini.
- Masing-masing tersimpan sebagai satu transaksi — satu record per penimbangan/muatan/pengiriman.
- Weighbridge membedakan arus Masuk dan Keluar, dan keduanya tidak dijumlah bersama.
- Dapat membuat beberapa record pada tanggal yang sama tanpa saling menimpa.</t>
        </is>
      </c>
      <c r="L332" s="16" t="inlineStr">
        <is>
          <t>Tinggi</t>
        </is>
      </c>
      <c r="M332" s="21" t="inlineStr"/>
      <c r="N332" s="17" t="n"/>
      <c r="O332" s="17" t="n"/>
      <c r="P332" s="17" t="n"/>
      <c r="Q332" s="17" t="n"/>
      <c r="R332" s="17" t="n"/>
    </row>
    <row r="333" ht="109.6" customHeight="1">
      <c r="A333" s="22" t="n">
        <v>329</v>
      </c>
      <c r="B333" s="22" t="n">
        <v>3</v>
      </c>
      <c r="C333" s="23" t="inlineStr">
        <is>
          <t>MB-FORM-12 / Weighbridge</t>
        </is>
      </c>
      <c r="D333" s="23" t="inlineStr">
        <is>
          <t>MB-FORM-12</t>
        </is>
      </c>
      <c r="E333" s="24" t="inlineStr">
        <is>
          <t>Weighbridge</t>
        </is>
      </c>
      <c r="F333" s="5" t="inlineStr">
        <is>
          <t>Mobile — Operasional Stasiun (MB-)</t>
        </is>
      </c>
      <c r="G333" s="24" t="inlineStr">
        <is>
          <t>Operator tidak dapat mengisi Checked By maupun Acknowledged By</t>
        </is>
      </c>
      <c r="H333" s="5" t="inlineStr">
        <is>
          <t>OPR-A</t>
        </is>
      </c>
      <c r="I333" s="5" t="inlineStr">
        <is>
          <t>—</t>
        </is>
      </c>
      <c r="J333" s="5" t="inlineStr">
        <is>
          <t>1. Login di mobile, buka Monitor Weighbridge, lalu tekan New Data (/stations/weighbridge/form/&lt;id&gt;) sebagai OPR-A.
2. Cari kolom Checked By dan Acknowledged By.
3. Coba mengetik atau memilih pada keduanya.
4. Pada stasiun Sterilizer, periksa juga kolom centang "Checked by SPV" per baris.</t>
        </is>
      </c>
      <c r="K333" s="5" t="inlineStr">
        <is>
          <t>- Keduanya tidak dapat diisi oleh Operator.
- Ada keterangan di layar yang menyebut siapa yang boleh mengisinya — bukan kolom mati tanpa alasan (lihat LS-14).
- Centang "Checked by SPV" per baris pada Sterilizer juga tidak dapat ditekan Operator.</t>
        </is>
      </c>
      <c r="L333" s="16" t="inlineStr">
        <is>
          <t>Tinggi</t>
        </is>
      </c>
      <c r="M333" s="5" t="inlineStr"/>
      <c r="N333" s="17" t="n"/>
      <c r="O333" s="17" t="n"/>
      <c r="P333" s="17" t="n"/>
      <c r="Q333" s="17" t="n"/>
      <c r="R333" s="17" t="n"/>
    </row>
    <row r="334" ht="109.6" customHeight="1">
      <c r="A334" s="18" t="n">
        <v>330</v>
      </c>
      <c r="B334" s="18" t="n">
        <v>3</v>
      </c>
      <c r="C334" s="19" t="inlineStr">
        <is>
          <t>MB-FORM-12 / Grading</t>
        </is>
      </c>
      <c r="D334" s="19" t="inlineStr">
        <is>
          <t>MB-FORM-12</t>
        </is>
      </c>
      <c r="E334" s="20" t="inlineStr">
        <is>
          <t>Grading</t>
        </is>
      </c>
      <c r="F334" s="21" t="inlineStr">
        <is>
          <t>Mobile — Operasional Stasiun (MB-)</t>
        </is>
      </c>
      <c r="G334" s="20" t="inlineStr">
        <is>
          <t>Operator tidak dapat mengisi Checked By maupun Acknowledged By</t>
        </is>
      </c>
      <c r="H334" s="21" t="inlineStr">
        <is>
          <t>OPR-A</t>
        </is>
      </c>
      <c r="I334" s="21" t="inlineStr">
        <is>
          <t>—</t>
        </is>
      </c>
      <c r="J334" s="21" t="inlineStr">
        <is>
          <t>1. Login di mobile, buka Monitor Grading, lalu tekan New Data (/stations/grading/form/&lt;id&gt;) sebagai OPR-A.
2. Cari kolom Checked By dan Acknowledged By.
3. Coba mengetik atau memilih pada keduanya.
4. Pada stasiun Sterilizer, periksa juga kolom centang "Checked by SPV" per baris.</t>
        </is>
      </c>
      <c r="K334" s="21" t="inlineStr">
        <is>
          <t>- Keduanya tidak dapat diisi oleh Operator.
- Ada keterangan di layar yang menyebut siapa yang boleh mengisinya — bukan kolom mati tanpa alasan (lihat LS-14).
- Centang "Checked by SPV" per baris pada Sterilizer juga tidak dapat ditekan Operator.</t>
        </is>
      </c>
      <c r="L334" s="16" t="inlineStr">
        <is>
          <t>Tinggi</t>
        </is>
      </c>
      <c r="M334" s="21" t="inlineStr"/>
      <c r="N334" s="17" t="n"/>
      <c r="O334" s="17" t="n"/>
      <c r="P334" s="17" t="n"/>
      <c r="Q334" s="17" t="n"/>
      <c r="R334" s="17" t="n"/>
    </row>
    <row r="335" ht="109.6" customHeight="1">
      <c r="A335" s="22" t="n">
        <v>331</v>
      </c>
      <c r="B335" s="22" t="n">
        <v>3</v>
      </c>
      <c r="C335" s="23" t="inlineStr">
        <is>
          <t>MB-FORM-12 / Cages Track</t>
        </is>
      </c>
      <c r="D335" s="23" t="inlineStr">
        <is>
          <t>MB-FORM-12</t>
        </is>
      </c>
      <c r="E335" s="24" t="inlineStr">
        <is>
          <t>Cages Track</t>
        </is>
      </c>
      <c r="F335" s="5" t="inlineStr">
        <is>
          <t>Mobile — Operasional Stasiun (MB-)</t>
        </is>
      </c>
      <c r="G335" s="24" t="inlineStr">
        <is>
          <t>Operator tidak dapat mengisi Checked By maupun Acknowledged By</t>
        </is>
      </c>
      <c r="H335" s="5" t="inlineStr">
        <is>
          <t>OPR-A</t>
        </is>
      </c>
      <c r="I335" s="5" t="inlineStr">
        <is>
          <t>—</t>
        </is>
      </c>
      <c r="J335" s="5" t="inlineStr">
        <is>
          <t>1. Login di mobile, buka Monitor Cages Track, lalu tekan New Data (/stations/cages-track/form/&lt;id&gt;) sebagai OPR-A.
2. Cari kolom Checked By dan Acknowledged By.
3. Coba mengetik atau memilih pada keduanya.
4. Pada stasiun Sterilizer, periksa juga kolom centang "Checked by SPV" per baris.</t>
        </is>
      </c>
      <c r="K335" s="5" t="inlineStr">
        <is>
          <t>- Keduanya tidak dapat diisi oleh Operator.
- Ada keterangan di layar yang menyebut siapa yang boleh mengisinya — bukan kolom mati tanpa alasan (lihat LS-14).
- Centang "Checked by SPV" per baris pada Sterilizer juga tidak dapat ditekan Operator.</t>
        </is>
      </c>
      <c r="L335" s="16" t="inlineStr">
        <is>
          <t>Tinggi</t>
        </is>
      </c>
      <c r="M335" s="5" t="inlineStr"/>
      <c r="N335" s="17" t="n"/>
      <c r="O335" s="17" t="n"/>
      <c r="P335" s="17" t="n"/>
      <c r="Q335" s="17" t="n"/>
      <c r="R335" s="17" t="n"/>
    </row>
    <row r="336" ht="109.6" customHeight="1">
      <c r="A336" s="18" t="n">
        <v>332</v>
      </c>
      <c r="B336" s="18" t="n">
        <v>3</v>
      </c>
      <c r="C336" s="19" t="inlineStr">
        <is>
          <t>MB-FORM-12 / Sterilizer</t>
        </is>
      </c>
      <c r="D336" s="19" t="inlineStr">
        <is>
          <t>MB-FORM-12</t>
        </is>
      </c>
      <c r="E336" s="20" t="inlineStr">
        <is>
          <t>Sterilizer</t>
        </is>
      </c>
      <c r="F336" s="21" t="inlineStr">
        <is>
          <t>Mobile — Operasional Stasiun (MB-)</t>
        </is>
      </c>
      <c r="G336" s="20" t="inlineStr">
        <is>
          <t>Operator tidak dapat mengisi Checked By maupun Acknowledged By</t>
        </is>
      </c>
      <c r="H336" s="21" t="inlineStr">
        <is>
          <t>OPR-A</t>
        </is>
      </c>
      <c r="I336" s="21" t="inlineStr">
        <is>
          <t>—</t>
        </is>
      </c>
      <c r="J336" s="21" t="inlineStr">
        <is>
          <t>1. Login di mobile, buka Monitor Sterilizer, lalu tekan New Data (/stations/sterilizer/form/&lt;id&gt;) sebagai OPR-A.
2. Cari kolom Checked By dan Acknowledged By.
3. Coba mengetik atau memilih pada keduanya.
4. Pada stasiun Sterilizer, periksa juga kolom centang "Checked by SPV" per baris.</t>
        </is>
      </c>
      <c r="K336" s="21" t="inlineStr">
        <is>
          <t>- Keduanya tidak dapat diisi oleh Operator.
- Ada keterangan di layar yang menyebut siapa yang boleh mengisinya — bukan kolom mati tanpa alasan (lihat LS-14).
- Centang "Checked by SPV" per baris pada Sterilizer juga tidak dapat ditekan Operator.</t>
        </is>
      </c>
      <c r="L336" s="16" t="inlineStr">
        <is>
          <t>Tinggi</t>
        </is>
      </c>
      <c r="M336" s="21" t="inlineStr"/>
      <c r="N336" s="17" t="n"/>
      <c r="O336" s="17" t="n"/>
      <c r="P336" s="17" t="n"/>
      <c r="Q336" s="17" t="n"/>
      <c r="R336" s="17" t="n"/>
    </row>
    <row r="337" ht="109.6" customHeight="1">
      <c r="A337" s="22" t="n">
        <v>333</v>
      </c>
      <c r="B337" s="22" t="n">
        <v>3</v>
      </c>
      <c r="C337" s="23" t="inlineStr">
        <is>
          <t>MB-FORM-12 / Threshing</t>
        </is>
      </c>
      <c r="D337" s="23" t="inlineStr">
        <is>
          <t>MB-FORM-12</t>
        </is>
      </c>
      <c r="E337" s="24" t="inlineStr">
        <is>
          <t>Threshing</t>
        </is>
      </c>
      <c r="F337" s="5" t="inlineStr">
        <is>
          <t>Mobile — Operasional Stasiun (MB-)</t>
        </is>
      </c>
      <c r="G337" s="24" t="inlineStr">
        <is>
          <t>Operator tidak dapat mengisi Checked By maupun Acknowledged By</t>
        </is>
      </c>
      <c r="H337" s="5" t="inlineStr">
        <is>
          <t>OPR-A</t>
        </is>
      </c>
      <c r="I337" s="5" t="inlineStr">
        <is>
          <t>—</t>
        </is>
      </c>
      <c r="J337" s="5" t="inlineStr">
        <is>
          <t>1. Login di mobile, buka Monitor Threshing, lalu tekan New Data (/stations/threshing/form/&lt;id&gt;) sebagai OPR-A.
2. Cari kolom Checked By dan Acknowledged By.
3. Coba mengetik atau memilih pada keduanya.
4. Pada stasiun Sterilizer, periksa juga kolom centang "Checked by SPV" per baris.</t>
        </is>
      </c>
      <c r="K337" s="5" t="inlineStr">
        <is>
          <t>- Keduanya tidak dapat diisi oleh Operator.
- Ada keterangan di layar yang menyebut siapa yang boleh mengisinya — bukan kolom mati tanpa alasan (lihat LS-14).
- Centang "Checked by SPV" per baris pada Sterilizer juga tidak dapat ditekan Operator.</t>
        </is>
      </c>
      <c r="L337" s="16" t="inlineStr">
        <is>
          <t>Tinggi</t>
        </is>
      </c>
      <c r="M337" s="5" t="inlineStr"/>
      <c r="N337" s="17" t="n"/>
      <c r="O337" s="17" t="n"/>
      <c r="P337" s="17" t="n"/>
      <c r="Q337" s="17" t="n"/>
      <c r="R337" s="17" t="n"/>
    </row>
    <row r="338" ht="109.6" customHeight="1">
      <c r="A338" s="18" t="n">
        <v>334</v>
      </c>
      <c r="B338" s="18" t="n">
        <v>3</v>
      </c>
      <c r="C338" s="19" t="inlineStr">
        <is>
          <t>MB-FORM-12 / Pressing</t>
        </is>
      </c>
      <c r="D338" s="19" t="inlineStr">
        <is>
          <t>MB-FORM-12</t>
        </is>
      </c>
      <c r="E338" s="20" t="inlineStr">
        <is>
          <t>Pressing</t>
        </is>
      </c>
      <c r="F338" s="21" t="inlineStr">
        <is>
          <t>Mobile — Operasional Stasiun (MB-)</t>
        </is>
      </c>
      <c r="G338" s="20" t="inlineStr">
        <is>
          <t>Operator tidak dapat mengisi Checked By maupun Acknowledged By</t>
        </is>
      </c>
      <c r="H338" s="21" t="inlineStr">
        <is>
          <t>OPR-A</t>
        </is>
      </c>
      <c r="I338" s="21" t="inlineStr">
        <is>
          <t>—</t>
        </is>
      </c>
      <c r="J338" s="21" t="inlineStr">
        <is>
          <t>1. Login di mobile, buka Monitor Pressing, lalu tekan New Data (/stations/pressing/form/&lt;id&gt;) sebagai OPR-A.
2. Cari kolom Checked By dan Acknowledged By.
3. Coba mengetik atau memilih pada keduanya.
4. Pada stasiun Sterilizer, periksa juga kolom centang "Checked by SPV" per baris.</t>
        </is>
      </c>
      <c r="K338" s="21" t="inlineStr">
        <is>
          <t>- Keduanya tidak dapat diisi oleh Operator.
- Ada keterangan di layar yang menyebut siapa yang boleh mengisinya — bukan kolom mati tanpa alasan (lihat LS-14).
- Centang "Checked by SPV" per baris pada Sterilizer juga tidak dapat ditekan Operator.</t>
        </is>
      </c>
      <c r="L338" s="16" t="inlineStr">
        <is>
          <t>Tinggi</t>
        </is>
      </c>
      <c r="M338" s="21" t="inlineStr"/>
      <c r="N338" s="17" t="n"/>
      <c r="O338" s="17" t="n"/>
      <c r="P338" s="17" t="n"/>
      <c r="Q338" s="17" t="n"/>
      <c r="R338" s="17" t="n"/>
    </row>
    <row r="339" ht="109.6" customHeight="1">
      <c r="A339" s="22" t="n">
        <v>335</v>
      </c>
      <c r="B339" s="22" t="n">
        <v>3</v>
      </c>
      <c r="C339" s="23" t="inlineStr">
        <is>
          <t>MB-FORM-12 / Clarification</t>
        </is>
      </c>
      <c r="D339" s="23" t="inlineStr">
        <is>
          <t>MB-FORM-12</t>
        </is>
      </c>
      <c r="E339" s="24" t="inlineStr">
        <is>
          <t>Clarification</t>
        </is>
      </c>
      <c r="F339" s="5" t="inlineStr">
        <is>
          <t>Mobile — Operasional Stasiun (MB-)</t>
        </is>
      </c>
      <c r="G339" s="24" t="inlineStr">
        <is>
          <t>Operator tidak dapat mengisi Checked By maupun Acknowledged By</t>
        </is>
      </c>
      <c r="H339" s="5" t="inlineStr">
        <is>
          <t>OPR-A</t>
        </is>
      </c>
      <c r="I339" s="5" t="inlineStr">
        <is>
          <t>—</t>
        </is>
      </c>
      <c r="J339" s="5" t="inlineStr">
        <is>
          <t>1. Login di mobile, buka Monitor Clarification, lalu tekan New Data (/stations/clarification/form/&lt;id&gt;) sebagai OPR-A.
2. Cari kolom Checked By dan Acknowledged By.
3. Coba mengetik atau memilih pada keduanya.
4. Pada stasiun Sterilizer, periksa juga kolom centang "Checked by SPV" per baris.</t>
        </is>
      </c>
      <c r="K339" s="5" t="inlineStr">
        <is>
          <t>- Keduanya tidak dapat diisi oleh Operator.
- Ada keterangan di layar yang menyebut siapa yang boleh mengisinya — bukan kolom mati tanpa alasan (lihat LS-14).
- Centang "Checked by SPV" per baris pada Sterilizer juga tidak dapat ditekan Operator.</t>
        </is>
      </c>
      <c r="L339" s="16" t="inlineStr">
        <is>
          <t>Tinggi</t>
        </is>
      </c>
      <c r="M339" s="5" t="inlineStr"/>
      <c r="N339" s="17" t="n"/>
      <c r="O339" s="17" t="n"/>
      <c r="P339" s="17" t="n"/>
      <c r="Q339" s="17" t="n"/>
      <c r="R339" s="17" t="n"/>
    </row>
    <row r="340" ht="109.6" customHeight="1">
      <c r="A340" s="18" t="n">
        <v>336</v>
      </c>
      <c r="B340" s="18" t="n">
        <v>3</v>
      </c>
      <c r="C340" s="19" t="inlineStr">
        <is>
          <t>MB-FORM-12 / Kernel Plant</t>
        </is>
      </c>
      <c r="D340" s="19" t="inlineStr">
        <is>
          <t>MB-FORM-12</t>
        </is>
      </c>
      <c r="E340" s="20" t="inlineStr">
        <is>
          <t>Kernel Plant</t>
        </is>
      </c>
      <c r="F340" s="21" t="inlineStr">
        <is>
          <t>Mobile — Operasional Stasiun (MB-)</t>
        </is>
      </c>
      <c r="G340" s="20" t="inlineStr">
        <is>
          <t>Operator tidak dapat mengisi Checked By maupun Acknowledged By</t>
        </is>
      </c>
      <c r="H340" s="21" t="inlineStr">
        <is>
          <t>OPR-A</t>
        </is>
      </c>
      <c r="I340" s="21" t="inlineStr">
        <is>
          <t>—</t>
        </is>
      </c>
      <c r="J340" s="21" t="inlineStr">
        <is>
          <t>1. Login di mobile, buka Monitor Kernel Plant, lalu tekan New Data (/stations/kernel-plant/form/&lt;id&gt;) sebagai OPR-A.
2. Cari kolom Checked By dan Acknowledged By.
3. Coba mengetik atau memilih pada keduanya.
4. Pada stasiun Sterilizer, periksa juga kolom centang "Checked by SPV" per baris.</t>
        </is>
      </c>
      <c r="K340" s="21" t="inlineStr">
        <is>
          <t>- Keduanya tidak dapat diisi oleh Operator.
- Ada keterangan di layar yang menyebut siapa yang boleh mengisinya — bukan kolom mati tanpa alasan (lihat LS-14).
- Centang "Checked by SPV" per baris pada Sterilizer juga tidak dapat ditekan Operator.</t>
        </is>
      </c>
      <c r="L340" s="16" t="inlineStr">
        <is>
          <t>Tinggi</t>
        </is>
      </c>
      <c r="M340" s="21" t="inlineStr"/>
      <c r="N340" s="17" t="n"/>
      <c r="O340" s="17" t="n"/>
      <c r="P340" s="17" t="n"/>
      <c r="Q340" s="17" t="n"/>
      <c r="R340" s="17" t="n"/>
    </row>
    <row r="341" ht="109.6" customHeight="1">
      <c r="A341" s="22" t="n">
        <v>337</v>
      </c>
      <c r="B341" s="22" t="n">
        <v>3</v>
      </c>
      <c r="C341" s="23" t="inlineStr">
        <is>
          <t>MB-FORM-12 / Boiler Room</t>
        </is>
      </c>
      <c r="D341" s="23" t="inlineStr">
        <is>
          <t>MB-FORM-12</t>
        </is>
      </c>
      <c r="E341" s="24" t="inlineStr">
        <is>
          <t>Boiler Room</t>
        </is>
      </c>
      <c r="F341" s="5" t="inlineStr">
        <is>
          <t>Mobile — Operasional Stasiun (MB-)</t>
        </is>
      </c>
      <c r="G341" s="24" t="inlineStr">
        <is>
          <t>Operator tidak dapat mengisi Checked By maupun Acknowledged By</t>
        </is>
      </c>
      <c r="H341" s="5" t="inlineStr">
        <is>
          <t>OPR-A</t>
        </is>
      </c>
      <c r="I341" s="5" t="inlineStr">
        <is>
          <t>—</t>
        </is>
      </c>
      <c r="J341" s="5" t="inlineStr">
        <is>
          <t>1. Login di mobile, buka Monitor Boiler Room, lalu tekan New Data (/stations/boiler-room/form/&lt;id&gt;) sebagai OPR-A.
2. Cari kolom Checked By dan Acknowledged By.
3. Coba mengetik atau memilih pada keduanya.
4. Pada stasiun Sterilizer, periksa juga kolom centang "Checked by SPV" per baris.</t>
        </is>
      </c>
      <c r="K341" s="5" t="inlineStr">
        <is>
          <t>- Keduanya tidak dapat diisi oleh Operator.
- Ada keterangan di layar yang menyebut siapa yang boleh mengisinya — bukan kolom mati tanpa alasan (lihat LS-14).
- Centang "Checked by SPV" per baris pada Sterilizer juga tidak dapat ditekan Operator.</t>
        </is>
      </c>
      <c r="L341" s="16" t="inlineStr">
        <is>
          <t>Tinggi</t>
        </is>
      </c>
      <c r="M341" s="5" t="inlineStr"/>
      <c r="N341" s="17" t="n"/>
      <c r="O341" s="17" t="n"/>
      <c r="P341" s="17" t="n"/>
      <c r="Q341" s="17" t="n"/>
      <c r="R341" s="17" t="n"/>
    </row>
    <row r="342" ht="109.6" customHeight="1">
      <c r="A342" s="18" t="n">
        <v>338</v>
      </c>
      <c r="B342" s="18" t="n">
        <v>3</v>
      </c>
      <c r="C342" s="19" t="inlineStr">
        <is>
          <t>MB-FORM-12 / Effluent Plant</t>
        </is>
      </c>
      <c r="D342" s="19" t="inlineStr">
        <is>
          <t>MB-FORM-12</t>
        </is>
      </c>
      <c r="E342" s="20" t="inlineStr">
        <is>
          <t>Effluent Plant</t>
        </is>
      </c>
      <c r="F342" s="21" t="inlineStr">
        <is>
          <t>Mobile — Operasional Stasiun (MB-)</t>
        </is>
      </c>
      <c r="G342" s="20" t="inlineStr">
        <is>
          <t>Operator tidak dapat mengisi Checked By maupun Acknowledged By</t>
        </is>
      </c>
      <c r="H342" s="21" t="inlineStr">
        <is>
          <t>OPR-A</t>
        </is>
      </c>
      <c r="I342" s="21" t="inlineStr">
        <is>
          <t>—</t>
        </is>
      </c>
      <c r="J342" s="21" t="inlineStr">
        <is>
          <t>1. Login di mobile, buka Monitor Effluent Plant, lalu tekan New Data (/stations/effluent-plant/form/&lt;id&gt;) sebagai OPR-A.
2. Cari kolom Checked By dan Acknowledged By.
3. Coba mengetik atau memilih pada keduanya.
4. Pada stasiun Sterilizer, periksa juga kolom centang "Checked by SPV" per baris.</t>
        </is>
      </c>
      <c r="K342" s="21" t="inlineStr">
        <is>
          <t>- Keduanya tidak dapat diisi oleh Operator.
- Ada keterangan di layar yang menyebut siapa yang boleh mengisinya — bukan kolom mati tanpa alasan (lihat LS-14).
- Centang "Checked by SPV" per baris pada Sterilizer juga tidak dapat ditekan Operator.</t>
        </is>
      </c>
      <c r="L342" s="16" t="inlineStr">
        <is>
          <t>Tinggi</t>
        </is>
      </c>
      <c r="M342" s="21" t="inlineStr"/>
      <c r="N342" s="17" t="n"/>
      <c r="O342" s="17" t="n"/>
      <c r="P342" s="17" t="n"/>
      <c r="Q342" s="17" t="n"/>
      <c r="R342" s="17" t="n"/>
    </row>
    <row r="343" ht="109.6" customHeight="1">
      <c r="A343" s="11" t="n">
        <v>339</v>
      </c>
      <c r="B343" s="12" t="n">
        <v>1</v>
      </c>
      <c r="C343" s="13" t="inlineStr">
        <is>
          <t>MB-FORM-12 / Depricarping</t>
        </is>
      </c>
      <c r="D343" s="13" t="inlineStr">
        <is>
          <t>MB-FORM-12</t>
        </is>
      </c>
      <c r="E343" s="15" t="inlineStr">
        <is>
          <t>Depricarping</t>
        </is>
      </c>
      <c r="F343" s="14" t="inlineStr">
        <is>
          <t>Mobile — Operasional Stasiun (MB-)</t>
        </is>
      </c>
      <c r="G343" s="15" t="inlineStr">
        <is>
          <t>Operator tidak dapat mengisi Checked By maupun Acknowledged By</t>
        </is>
      </c>
      <c r="H343" s="14" t="inlineStr">
        <is>
          <t>OPR-A</t>
        </is>
      </c>
      <c r="I343" s="14" t="inlineStr">
        <is>
          <t>—</t>
        </is>
      </c>
      <c r="J343" s="14" t="inlineStr">
        <is>
          <t>1. Login di mobile, buka Monitor Depricarping, lalu tekan New Data (/stations/depricarping/form/&lt;id&gt;) sebagai OPR-A.
2. Cari kolom Checked By dan Acknowledged By.
3. Coba mengetik atau memilih pada keduanya.
4. Pada stasiun Sterilizer, periksa juga kolom centang "Checked by SPV" per baris.</t>
        </is>
      </c>
      <c r="K343" s="14" t="inlineStr">
        <is>
          <t>- Keduanya tidak dapat diisi oleh Operator.
- Ada keterangan di layar yang menyebut siapa yang boleh mengisinya — bukan kolom mati tanpa alasan (lihat LS-14).
- Centang "Checked by SPV" per baris pada Sterilizer juga tidak dapat ditekan Operator.</t>
        </is>
      </c>
      <c r="L343" s="16" t="inlineStr">
        <is>
          <t>Tinggi</t>
        </is>
      </c>
      <c r="M343" s="14" t="inlineStr"/>
      <c r="N343" s="17" t="n"/>
      <c r="O343" s="17" t="n"/>
      <c r="P343" s="17" t="n"/>
      <c r="Q343" s="17" t="n"/>
      <c r="R343" s="17" t="n"/>
    </row>
    <row r="344" ht="109.6" customHeight="1">
      <c r="A344" s="18" t="n">
        <v>340</v>
      </c>
      <c r="B344" s="18" t="n">
        <v>3</v>
      </c>
      <c r="C344" s="19" t="inlineStr">
        <is>
          <t>MB-FORM-12 / Engine Room</t>
        </is>
      </c>
      <c r="D344" s="19" t="inlineStr">
        <is>
          <t>MB-FORM-12</t>
        </is>
      </c>
      <c r="E344" s="20" t="inlineStr">
        <is>
          <t>Engine Room</t>
        </is>
      </c>
      <c r="F344" s="21" t="inlineStr">
        <is>
          <t>Mobile — Operasional Stasiun (MB-)</t>
        </is>
      </c>
      <c r="G344" s="20" t="inlineStr">
        <is>
          <t>Operator tidak dapat mengisi Checked By maupun Acknowledged By</t>
        </is>
      </c>
      <c r="H344" s="21" t="inlineStr">
        <is>
          <t>OPR-A</t>
        </is>
      </c>
      <c r="I344" s="21" t="inlineStr">
        <is>
          <t>—</t>
        </is>
      </c>
      <c r="J344" s="21" t="inlineStr">
        <is>
          <t>1. Login di mobile, buka Monitor Engine Room, lalu tekan New Data (/stations/engine-room/form/&lt;id&gt;) sebagai OPR-A.
2. Cari kolom Checked By dan Acknowledged By.
3. Coba mengetik atau memilih pada keduanya.
4. Pada stasiun Sterilizer, periksa juga kolom centang "Checked by SPV" per baris.</t>
        </is>
      </c>
      <c r="K344" s="21" t="inlineStr">
        <is>
          <t>- Keduanya tidak dapat diisi oleh Operator.
- Ada keterangan di layar yang menyebut siapa yang boleh mengisinya — bukan kolom mati tanpa alasan (lihat LS-14).
- Centang "Checked by SPV" per baris pada Sterilizer juga tidak dapat ditekan Operator.</t>
        </is>
      </c>
      <c r="L344" s="16" t="inlineStr">
        <is>
          <t>Tinggi</t>
        </is>
      </c>
      <c r="M344" s="21" t="inlineStr"/>
      <c r="N344" s="17" t="n"/>
      <c r="O344" s="17" t="n"/>
      <c r="P344" s="17" t="n"/>
      <c r="Q344" s="17" t="n"/>
      <c r="R344" s="17" t="n"/>
    </row>
    <row r="345" ht="109.6" customHeight="1">
      <c r="A345" s="22" t="n">
        <v>341</v>
      </c>
      <c r="B345" s="22" t="n">
        <v>3</v>
      </c>
      <c r="C345" s="23" t="inlineStr">
        <is>
          <t>MB-FORM-12 / Process Water</t>
        </is>
      </c>
      <c r="D345" s="23" t="inlineStr">
        <is>
          <t>MB-FORM-12</t>
        </is>
      </c>
      <c r="E345" s="24" t="inlineStr">
        <is>
          <t>Process Water</t>
        </is>
      </c>
      <c r="F345" s="5" t="inlineStr">
        <is>
          <t>Mobile — Operasional Stasiun (MB-)</t>
        </is>
      </c>
      <c r="G345" s="24" t="inlineStr">
        <is>
          <t>Operator tidak dapat mengisi Checked By maupun Acknowledged By</t>
        </is>
      </c>
      <c r="H345" s="5" t="inlineStr">
        <is>
          <t>OPR-A</t>
        </is>
      </c>
      <c r="I345" s="5" t="inlineStr">
        <is>
          <t>—</t>
        </is>
      </c>
      <c r="J345" s="5" t="inlineStr">
        <is>
          <t>1. Login di mobile, buka Monitor Process Water, lalu tekan New Data (/stations/process-water/form/&lt;id&gt;) sebagai OPR-A.
2. Cari kolom Checked By dan Acknowledged By.
3. Coba mengetik atau memilih pada keduanya.
4. Pada stasiun Sterilizer, periksa juga kolom centang "Checked by SPV" per baris.</t>
        </is>
      </c>
      <c r="K345" s="5" t="inlineStr">
        <is>
          <t>- Keduanya tidak dapat diisi oleh Operator.
- Ada keterangan di layar yang menyebut siapa yang boleh mengisinya — bukan kolom mati tanpa alasan (lihat LS-14).
- Centang "Checked by SPV" per baris pada Sterilizer juga tidak dapat ditekan Operator.</t>
        </is>
      </c>
      <c r="L345" s="16" t="inlineStr">
        <is>
          <t>Tinggi</t>
        </is>
      </c>
      <c r="M345" s="5" t="inlineStr"/>
      <c r="N345" s="17" t="n"/>
      <c r="O345" s="17" t="n"/>
      <c r="P345" s="17" t="n"/>
      <c r="Q345" s="17" t="n"/>
      <c r="R345" s="17" t="n"/>
    </row>
    <row r="346" ht="109.6" customHeight="1">
      <c r="A346" s="18" t="n">
        <v>342</v>
      </c>
      <c r="B346" s="18" t="n">
        <v>3</v>
      </c>
      <c r="C346" s="19" t="inlineStr">
        <is>
          <t>MB-FORM-12 / Storage Tank</t>
        </is>
      </c>
      <c r="D346" s="19" t="inlineStr">
        <is>
          <t>MB-FORM-12</t>
        </is>
      </c>
      <c r="E346" s="20" t="inlineStr">
        <is>
          <t>Storage Tank</t>
        </is>
      </c>
      <c r="F346" s="21" t="inlineStr">
        <is>
          <t>Mobile — Operasional Stasiun (MB-)</t>
        </is>
      </c>
      <c r="G346" s="20" t="inlineStr">
        <is>
          <t>Operator tidak dapat mengisi Checked By maupun Acknowledged By</t>
        </is>
      </c>
      <c r="H346" s="21" t="inlineStr">
        <is>
          <t>OPR-A</t>
        </is>
      </c>
      <c r="I346" s="21" t="inlineStr">
        <is>
          <t>—</t>
        </is>
      </c>
      <c r="J346" s="21" t="inlineStr">
        <is>
          <t>1. Login di mobile, buka Monitor Storage Tank, lalu tekan New Data (/stations/storage-tank/form/&lt;id&gt;) sebagai OPR-A.
2. Cari kolom Checked By dan Acknowledged By.
3. Coba mengetik atau memilih pada keduanya.
4. Pada stasiun Sterilizer, periksa juga kolom centang "Checked by SPV" per baris.</t>
        </is>
      </c>
      <c r="K346" s="21" t="inlineStr">
        <is>
          <t>- Keduanya tidak dapat diisi oleh Operator.
- Ada keterangan di layar yang menyebut siapa yang boleh mengisinya — bukan kolom mati tanpa alasan (lihat LS-14).
- Centang "Checked by SPV" per baris pada Sterilizer juga tidak dapat ditekan Operator.</t>
        </is>
      </c>
      <c r="L346" s="16" t="inlineStr">
        <is>
          <t>Tinggi</t>
        </is>
      </c>
      <c r="M346" s="21" t="inlineStr"/>
      <c r="N346" s="17" t="n"/>
      <c r="O346" s="17" t="n"/>
      <c r="P346" s="17" t="n"/>
      <c r="Q346" s="17" t="n"/>
      <c r="R346" s="17" t="n"/>
    </row>
    <row r="347" ht="109.6" customHeight="1">
      <c r="A347" s="22" t="n">
        <v>343</v>
      </c>
      <c r="B347" s="22" t="n">
        <v>3</v>
      </c>
      <c r="C347" s="23" t="inlineStr">
        <is>
          <t>MB-FORM-12 / Solid Waste Disposal</t>
        </is>
      </c>
      <c r="D347" s="23" t="inlineStr">
        <is>
          <t>MB-FORM-12</t>
        </is>
      </c>
      <c r="E347" s="24" t="inlineStr">
        <is>
          <t>Solid Waste Disposal</t>
        </is>
      </c>
      <c r="F347" s="5" t="inlineStr">
        <is>
          <t>Mobile — Operasional Stasiun (MB-)</t>
        </is>
      </c>
      <c r="G347" s="24" t="inlineStr">
        <is>
          <t>Operator tidak dapat mengisi Checked By maupun Acknowledged By</t>
        </is>
      </c>
      <c r="H347" s="5" t="inlineStr">
        <is>
          <t>OPR-A</t>
        </is>
      </c>
      <c r="I347" s="5" t="inlineStr">
        <is>
          <t>—</t>
        </is>
      </c>
      <c r="J347" s="5" t="inlineStr">
        <is>
          <t>1. Login di mobile, buka Monitor Solid Waste Disposal, lalu tekan New Data (/stations/solid-waste-disposal/form/&lt;id&gt;) sebagai OPR-A.
2. Cari kolom Checked By dan Acknowledged By.
3. Coba mengetik atau memilih pada keduanya.
4. Pada stasiun Sterilizer, periksa juga kolom centang "Checked by SPV" per baris.</t>
        </is>
      </c>
      <c r="K347" s="5" t="inlineStr">
        <is>
          <t>- Keduanya tidak dapat diisi oleh Operator.
- Ada keterangan di layar yang menyebut siapa yang boleh mengisinya — bukan kolom mati tanpa alasan (lihat LS-14).
- Centang "Checked by SPV" per baris pada Sterilizer juga tidak dapat ditekan Operator.</t>
        </is>
      </c>
      <c r="L347" s="16" t="inlineStr">
        <is>
          <t>Tinggi</t>
        </is>
      </c>
      <c r="M347" s="5" t="inlineStr"/>
      <c r="N347" s="17" t="n"/>
      <c r="O347" s="17" t="n"/>
      <c r="P347" s="17" t="n"/>
      <c r="Q347" s="17" t="n"/>
      <c r="R347" s="17" t="n"/>
    </row>
    <row r="348" ht="109.6" customHeight="1">
      <c r="A348" s="18" t="n">
        <v>344</v>
      </c>
      <c r="B348" s="18" t="n">
        <v>3</v>
      </c>
      <c r="C348" s="19" t="inlineStr">
        <is>
          <t>MB-FORM-12 / Kernel Dispatch</t>
        </is>
      </c>
      <c r="D348" s="19" t="inlineStr">
        <is>
          <t>MB-FORM-12</t>
        </is>
      </c>
      <c r="E348" s="20" t="inlineStr">
        <is>
          <t>Kernel Dispatch</t>
        </is>
      </c>
      <c r="F348" s="21" t="inlineStr">
        <is>
          <t>Mobile — Operasional Stasiun (MB-)</t>
        </is>
      </c>
      <c r="G348" s="20" t="inlineStr">
        <is>
          <t>Operator tidak dapat mengisi Checked By maupun Acknowledged By</t>
        </is>
      </c>
      <c r="H348" s="21" t="inlineStr">
        <is>
          <t>OPR-A</t>
        </is>
      </c>
      <c r="I348" s="21" t="inlineStr">
        <is>
          <t>—</t>
        </is>
      </c>
      <c r="J348" s="21" t="inlineStr">
        <is>
          <t>1. Login di mobile, buka Monitor Kernel Dispatch, lalu tekan New Data (/stations/kernel-dispatch/form/&lt;id&gt;) sebagai OPR-A.
2. Cari kolom Checked By dan Acknowledged By.
3. Coba mengetik atau memilih pada keduanya.
4. Pada stasiun Sterilizer, periksa juga kolom centang "Checked by SPV" per baris.</t>
        </is>
      </c>
      <c r="K348" s="21" t="inlineStr">
        <is>
          <t>- Keduanya tidak dapat diisi oleh Operator.
- Ada keterangan di layar yang menyebut siapa yang boleh mengisinya — bukan kolom mati tanpa alasan (lihat LS-14).
- Centang "Checked by SPV" per baris pada Sterilizer juga tidak dapat ditekan Operator.</t>
        </is>
      </c>
      <c r="L348" s="16" t="inlineStr">
        <is>
          <t>Tinggi</t>
        </is>
      </c>
      <c r="M348" s="21" t="inlineStr"/>
      <c r="N348" s="17" t="n"/>
      <c r="O348" s="17" t="n"/>
      <c r="P348" s="17" t="n"/>
      <c r="Q348" s="17" t="n"/>
      <c r="R348" s="17" t="n"/>
    </row>
    <row r="349" ht="109.6" customHeight="1">
      <c r="A349" s="22" t="n">
        <v>345</v>
      </c>
      <c r="B349" s="22" t="n">
        <v>3</v>
      </c>
      <c r="C349" s="23" t="inlineStr">
        <is>
          <t>MB-FORM-12 / CPO Dispatch</t>
        </is>
      </c>
      <c r="D349" s="23" t="inlineStr">
        <is>
          <t>MB-FORM-12</t>
        </is>
      </c>
      <c r="E349" s="24" t="inlineStr">
        <is>
          <t>CPO Dispatch</t>
        </is>
      </c>
      <c r="F349" s="5" t="inlineStr">
        <is>
          <t>Mobile — Operasional Stasiun (MB-)</t>
        </is>
      </c>
      <c r="G349" s="24" t="inlineStr">
        <is>
          <t>Operator tidak dapat mengisi Checked By maupun Acknowledged By</t>
        </is>
      </c>
      <c r="H349" s="5" t="inlineStr">
        <is>
          <t>OPR-A</t>
        </is>
      </c>
      <c r="I349" s="5" t="inlineStr">
        <is>
          <t>—</t>
        </is>
      </c>
      <c r="J349" s="5" t="inlineStr">
        <is>
          <t>1. Login di mobile, buka Monitor CPO Dispatch, lalu tekan New Data (/stations/cpo-dispatch/form/&lt;id&gt;) sebagai OPR-A.
2. Cari kolom Checked By dan Acknowledged By.
3. Coba mengetik atau memilih pada keduanya.
4. Pada stasiun Sterilizer, periksa juga kolom centang "Checked by SPV" per baris.</t>
        </is>
      </c>
      <c r="K349" s="5" t="inlineStr">
        <is>
          <t>- Keduanya tidak dapat diisi oleh Operator.
- Ada keterangan di layar yang menyebut siapa yang boleh mengisinya — bukan kolom mati tanpa alasan (lihat LS-14).
- Centang "Checked by SPV" per baris pada Sterilizer juga tidak dapat ditekan Operator.</t>
        </is>
      </c>
      <c r="L349" s="16" t="inlineStr">
        <is>
          <t>Tinggi</t>
        </is>
      </c>
      <c r="M349" s="5" t="inlineStr"/>
      <c r="N349" s="17" t="n"/>
      <c r="O349" s="17" t="n"/>
      <c r="P349" s="17" t="n"/>
      <c r="Q349" s="17" t="n"/>
      <c r="R349" s="17" t="n"/>
    </row>
    <row r="350" ht="122.8" customHeight="1">
      <c r="A350" s="18" t="n">
        <v>346</v>
      </c>
      <c r="B350" s="18" t="n">
        <v>3</v>
      </c>
      <c r="C350" s="19" t="inlineStr">
        <is>
          <t>MB-FORM-12 / Process Quality Control</t>
        </is>
      </c>
      <c r="D350" s="19" t="inlineStr">
        <is>
          <t>MB-FORM-12</t>
        </is>
      </c>
      <c r="E350" s="20" t="inlineStr">
        <is>
          <t>Process Quality Control</t>
        </is>
      </c>
      <c r="F350" s="21" t="inlineStr">
        <is>
          <t>Mobile — Operasional Stasiun (MB-)</t>
        </is>
      </c>
      <c r="G350" s="20" t="inlineStr">
        <is>
          <t>Operator tidak dapat mengisi Checked By maupun Acknowledged By</t>
        </is>
      </c>
      <c r="H350" s="21" t="inlineStr">
        <is>
          <t>OPR-A</t>
        </is>
      </c>
      <c r="I350" s="21" t="inlineStr">
        <is>
          <t>—</t>
        </is>
      </c>
      <c r="J350" s="21" t="inlineStr">
        <is>
          <t>1. Login di mobile, buka Monitor Process Quality Control, lalu tekan New Data (/stations/process-quality-control/form/&lt;id&gt;) sebagai OPR-A.
2. Cari kolom Checked By dan Acknowledged By.
3. Coba mengetik atau memilih pada keduanya.
4. Pada stasiun Sterilizer, periksa juga kolom centang "Checked by SPV" per baris.</t>
        </is>
      </c>
      <c r="K350" s="21" t="inlineStr">
        <is>
          <t>- Keduanya tidak dapat diisi oleh Operator.
- Ada keterangan di layar yang menyebut siapa yang boleh mengisinya — bukan kolom mati tanpa alasan (lihat LS-14).
- Centang "Checked by SPV" per baris pada Sterilizer juga tidak dapat ditekan Operator.</t>
        </is>
      </c>
      <c r="L350" s="16" t="inlineStr">
        <is>
          <t>Tinggi</t>
        </is>
      </c>
      <c r="M350" s="21" t="inlineStr"/>
      <c r="N350" s="17" t="n"/>
      <c r="O350" s="17" t="n"/>
      <c r="P350" s="17" t="n"/>
      <c r="Q350" s="17" t="n"/>
      <c r="R350" s="17" t="n"/>
    </row>
    <row r="351" ht="294.4" customHeight="1">
      <c r="A351" s="22" t="n">
        <v>347</v>
      </c>
      <c r="B351" s="22" t="n">
        <v>3</v>
      </c>
      <c r="C351" s="23" t="inlineStr">
        <is>
          <t>MB-FORM-13 / Weighbridge</t>
        </is>
      </c>
      <c r="D351" s="23" t="inlineStr">
        <is>
          <t>MB-FORM-13</t>
        </is>
      </c>
      <c r="E351" s="24" t="inlineStr">
        <is>
          <t>Weighbridge</t>
        </is>
      </c>
      <c r="F351" s="5" t="inlineStr">
        <is>
          <t>Mobile — Operasional Stasiun (MB-)</t>
        </is>
      </c>
      <c r="G351" s="24" t="inlineStr">
        <is>
          <t>Supervisor mengisi Checked, Mill Management mengisi Acknowledged</t>
        </is>
      </c>
      <c r="H351" s="5" t="inlineStr">
        <is>
          <t>SPV-A, lalu MGR-A</t>
        </is>
      </c>
      <c r="I351" s="5" t="inlineStr">
        <is>
          <t>—</t>
        </is>
      </c>
      <c r="J351" s="5" t="inlineStr">
        <is>
          <t>1. Login di mobile, buka Monitor Weighbridge, lalu tekan New Data (/stations/weighbridge/form/&lt;id&gt;) sebagai SPV-A. Isi satu record. Periksa kolom Checked By dan
Acknowledged By sebelum menyimpan, lalu Simpan.
2. Logout. Login di mobile, buka Monitor Weighbridge, lalu tekan New Data (/stations/weighbridge/form/&lt;id&gt;) sebagai MGR-A. Ulangi langkah 1 dan periksa kedua kolom yang sama.</t>
        </is>
      </c>
      <c r="K351"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1" s="16" t="inlineStr">
        <is>
          <t>Tinggi</t>
        </is>
      </c>
      <c r="M351"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1" s="17" t="n"/>
      <c r="O351" s="17" t="n"/>
      <c r="P351" s="17" t="n"/>
      <c r="Q351" s="17" t="n"/>
      <c r="R351" s="17" t="n"/>
    </row>
    <row r="352" ht="294.4" customHeight="1">
      <c r="A352" s="18" t="n">
        <v>348</v>
      </c>
      <c r="B352" s="18" t="n">
        <v>3</v>
      </c>
      <c r="C352" s="19" t="inlineStr">
        <is>
          <t>MB-FORM-13 / Grading</t>
        </is>
      </c>
      <c r="D352" s="19" t="inlineStr">
        <is>
          <t>MB-FORM-13</t>
        </is>
      </c>
      <c r="E352" s="20" t="inlineStr">
        <is>
          <t>Grading</t>
        </is>
      </c>
      <c r="F352" s="21" t="inlineStr">
        <is>
          <t>Mobile — Operasional Stasiun (MB-)</t>
        </is>
      </c>
      <c r="G352" s="20" t="inlineStr">
        <is>
          <t>Supervisor mengisi Checked, Mill Management mengisi Acknowledged</t>
        </is>
      </c>
      <c r="H352" s="21" t="inlineStr">
        <is>
          <t>SPV-A, lalu MGR-A</t>
        </is>
      </c>
      <c r="I352" s="21" t="inlineStr">
        <is>
          <t>—</t>
        </is>
      </c>
      <c r="J352" s="21" t="inlineStr">
        <is>
          <t>1. Login di mobile, buka Monitor Grading, lalu tekan New Data (/stations/grading/form/&lt;id&gt;) sebagai SPV-A. Isi satu record. Periksa kolom Checked By dan
Acknowledged By sebelum menyimpan, lalu Simpan.
2. Logout. Login di mobile, buka Monitor Grading, lalu tekan New Data (/stations/grading/form/&lt;id&gt;) sebagai MGR-A. Ulangi langkah 1 dan periksa kedua kolom yang sama.</t>
        </is>
      </c>
      <c r="K352" s="21"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2" s="16" t="inlineStr">
        <is>
          <t>Tinggi</t>
        </is>
      </c>
      <c r="M352" s="21"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2" s="17" t="n"/>
      <c r="O352" s="17" t="n"/>
      <c r="P352" s="17" t="n"/>
      <c r="Q352" s="17" t="n"/>
      <c r="R352" s="17" t="n"/>
    </row>
    <row r="353" ht="294.4" customHeight="1">
      <c r="A353" s="22" t="n">
        <v>349</v>
      </c>
      <c r="B353" s="22" t="n">
        <v>3</v>
      </c>
      <c r="C353" s="23" t="inlineStr">
        <is>
          <t>MB-FORM-13 / Cages Track</t>
        </is>
      </c>
      <c r="D353" s="23" t="inlineStr">
        <is>
          <t>MB-FORM-13</t>
        </is>
      </c>
      <c r="E353" s="24" t="inlineStr">
        <is>
          <t>Cages Track</t>
        </is>
      </c>
      <c r="F353" s="5" t="inlineStr">
        <is>
          <t>Mobile — Operasional Stasiun (MB-)</t>
        </is>
      </c>
      <c r="G353" s="24" t="inlineStr">
        <is>
          <t>Supervisor mengisi Checked, Mill Management mengisi Acknowledged</t>
        </is>
      </c>
      <c r="H353" s="5" t="inlineStr">
        <is>
          <t>SPV-A, lalu MGR-A</t>
        </is>
      </c>
      <c r="I353" s="5" t="inlineStr">
        <is>
          <t>—</t>
        </is>
      </c>
      <c r="J353" s="5" t="inlineStr">
        <is>
          <t>1. Login di mobile, buka Monitor Cages Track, lalu tekan New Data (/stations/cages-track/form/&lt;id&gt;) sebagai SPV-A. Isi satu record. Periksa kolom Checked By dan
Acknowledged By sebelum menyimpan, lalu Simpan.
2. Logout. Login di mobile, buka Monitor Cages Track, lalu tekan New Data (/stations/cages-track/form/&lt;id&gt;) sebagai MGR-A. Ulangi langkah 1 dan periksa kedua kolom yang sama.</t>
        </is>
      </c>
      <c r="K353"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3" s="16" t="inlineStr">
        <is>
          <t>Tinggi</t>
        </is>
      </c>
      <c r="M353"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3" s="17" t="n"/>
      <c r="O353" s="17" t="n"/>
      <c r="P353" s="17" t="n"/>
      <c r="Q353" s="17" t="n"/>
      <c r="R353" s="17" t="n"/>
    </row>
    <row r="354" ht="294.4" customHeight="1">
      <c r="A354" s="18" t="n">
        <v>350</v>
      </c>
      <c r="B354" s="18" t="n">
        <v>3</v>
      </c>
      <c r="C354" s="19" t="inlineStr">
        <is>
          <t>MB-FORM-13 / Sterilizer</t>
        </is>
      </c>
      <c r="D354" s="19" t="inlineStr">
        <is>
          <t>MB-FORM-13</t>
        </is>
      </c>
      <c r="E354" s="20" t="inlineStr">
        <is>
          <t>Sterilizer</t>
        </is>
      </c>
      <c r="F354" s="21" t="inlineStr">
        <is>
          <t>Mobile — Operasional Stasiun (MB-)</t>
        </is>
      </c>
      <c r="G354" s="20" t="inlineStr">
        <is>
          <t>Supervisor mengisi Checked, Mill Management mengisi Acknowledged</t>
        </is>
      </c>
      <c r="H354" s="21" t="inlineStr">
        <is>
          <t>SPV-A, lalu MGR-A</t>
        </is>
      </c>
      <c r="I354" s="21" t="inlineStr">
        <is>
          <t>—</t>
        </is>
      </c>
      <c r="J354" s="21" t="inlineStr">
        <is>
          <t>1. Login di mobile, buka Monitor Sterilizer, lalu tekan New Data (/stations/sterilizer/form/&lt;id&gt;) sebagai SPV-A. Isi satu record. Periksa kolom Checked By dan
Acknowledged By sebelum menyimpan, lalu Simpan.
2. Logout. Login di mobile, buka Monitor Sterilizer, lalu tekan New Data (/stations/sterilizer/form/&lt;id&gt;) sebagai MGR-A. Ulangi langkah 1 dan periksa kedua kolom yang sama.</t>
        </is>
      </c>
      <c r="K354" s="21"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4" s="16" t="inlineStr">
        <is>
          <t>Tinggi</t>
        </is>
      </c>
      <c r="M354" s="21"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4" s="17" t="n"/>
      <c r="O354" s="17" t="n"/>
      <c r="P354" s="17" t="n"/>
      <c r="Q354" s="17" t="n"/>
      <c r="R354" s="17" t="n"/>
    </row>
    <row r="355" ht="294.4" customHeight="1">
      <c r="A355" s="22" t="n">
        <v>351</v>
      </c>
      <c r="B355" s="22" t="n">
        <v>3</v>
      </c>
      <c r="C355" s="23" t="inlineStr">
        <is>
          <t>MB-FORM-13 / Threshing</t>
        </is>
      </c>
      <c r="D355" s="23" t="inlineStr">
        <is>
          <t>MB-FORM-13</t>
        </is>
      </c>
      <c r="E355" s="24" t="inlineStr">
        <is>
          <t>Threshing</t>
        </is>
      </c>
      <c r="F355" s="5" t="inlineStr">
        <is>
          <t>Mobile — Operasional Stasiun (MB-)</t>
        </is>
      </c>
      <c r="G355" s="24" t="inlineStr">
        <is>
          <t>Supervisor mengisi Checked, Mill Management mengisi Acknowledged</t>
        </is>
      </c>
      <c r="H355" s="5" t="inlineStr">
        <is>
          <t>SPV-A, lalu MGR-A</t>
        </is>
      </c>
      <c r="I355" s="5" t="inlineStr">
        <is>
          <t>—</t>
        </is>
      </c>
      <c r="J355" s="5" t="inlineStr">
        <is>
          <t>1. Login di mobile, buka Monitor Threshing, lalu tekan New Data (/stations/threshing/form/&lt;id&gt;) sebagai SPV-A. Isi satu record. Periksa kolom Checked By dan
Acknowledged By sebelum menyimpan, lalu Simpan.
2. Logout. Login di mobile, buka Monitor Threshing, lalu tekan New Data (/stations/threshing/form/&lt;id&gt;) sebagai MGR-A. Ulangi langkah 1 dan periksa kedua kolom yang sama.</t>
        </is>
      </c>
      <c r="K355"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5" s="16" t="inlineStr">
        <is>
          <t>Tinggi</t>
        </is>
      </c>
      <c r="M355"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5" s="17" t="n"/>
      <c r="O355" s="17" t="n"/>
      <c r="P355" s="17" t="n"/>
      <c r="Q355" s="17" t="n"/>
      <c r="R355" s="17" t="n"/>
    </row>
    <row r="356" ht="294.4" customHeight="1">
      <c r="A356" s="18" t="n">
        <v>352</v>
      </c>
      <c r="B356" s="18" t="n">
        <v>3</v>
      </c>
      <c r="C356" s="19" t="inlineStr">
        <is>
          <t>MB-FORM-13 / Pressing</t>
        </is>
      </c>
      <c r="D356" s="19" t="inlineStr">
        <is>
          <t>MB-FORM-13</t>
        </is>
      </c>
      <c r="E356" s="20" t="inlineStr">
        <is>
          <t>Pressing</t>
        </is>
      </c>
      <c r="F356" s="21" t="inlineStr">
        <is>
          <t>Mobile — Operasional Stasiun (MB-)</t>
        </is>
      </c>
      <c r="G356" s="20" t="inlineStr">
        <is>
          <t>Supervisor mengisi Checked, Mill Management mengisi Acknowledged</t>
        </is>
      </c>
      <c r="H356" s="21" t="inlineStr">
        <is>
          <t>SPV-A, lalu MGR-A</t>
        </is>
      </c>
      <c r="I356" s="21" t="inlineStr">
        <is>
          <t>—</t>
        </is>
      </c>
      <c r="J356" s="21" t="inlineStr">
        <is>
          <t>1. Login di mobile, buka Monitor Pressing, lalu tekan New Data (/stations/pressing/form/&lt;id&gt;) sebagai SPV-A. Isi satu record. Periksa kolom Checked By dan
Acknowledged By sebelum menyimpan, lalu Simpan.
2. Logout. Login di mobile, buka Monitor Pressing, lalu tekan New Data (/stations/pressing/form/&lt;id&gt;) sebagai MGR-A. Ulangi langkah 1 dan periksa kedua kolom yang sama.</t>
        </is>
      </c>
      <c r="K356" s="21"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6" s="16" t="inlineStr">
        <is>
          <t>Tinggi</t>
        </is>
      </c>
      <c r="M356" s="21"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6" s="17" t="n"/>
      <c r="O356" s="17" t="n"/>
      <c r="P356" s="17" t="n"/>
      <c r="Q356" s="17" t="n"/>
      <c r="R356" s="17" t="n"/>
    </row>
    <row r="357" ht="294.4" customHeight="1">
      <c r="A357" s="22" t="n">
        <v>353</v>
      </c>
      <c r="B357" s="22" t="n">
        <v>3</v>
      </c>
      <c r="C357" s="23" t="inlineStr">
        <is>
          <t>MB-FORM-13 / Clarification</t>
        </is>
      </c>
      <c r="D357" s="23" t="inlineStr">
        <is>
          <t>MB-FORM-13</t>
        </is>
      </c>
      <c r="E357" s="24" t="inlineStr">
        <is>
          <t>Clarification</t>
        </is>
      </c>
      <c r="F357" s="5" t="inlineStr">
        <is>
          <t>Mobile — Operasional Stasiun (MB-)</t>
        </is>
      </c>
      <c r="G357" s="24" t="inlineStr">
        <is>
          <t>Supervisor mengisi Checked, Mill Management mengisi Acknowledged</t>
        </is>
      </c>
      <c r="H357" s="5" t="inlineStr">
        <is>
          <t>SPV-A, lalu MGR-A</t>
        </is>
      </c>
      <c r="I357" s="5" t="inlineStr">
        <is>
          <t>—</t>
        </is>
      </c>
      <c r="J357" s="5" t="inlineStr">
        <is>
          <t>1. Login di mobile, buka Monitor Clarification, lalu tekan New Data (/stations/clarification/form/&lt;id&gt;) sebagai SPV-A. Isi satu record. Periksa kolom Checked By dan
Acknowledged By sebelum menyimpan, lalu Simpan.
2. Logout. Login di mobile, buka Monitor Clarification, lalu tekan New Data (/stations/clarification/form/&lt;id&gt;) sebagai MGR-A. Ulangi langkah 1 dan periksa kedua kolom yang sama.</t>
        </is>
      </c>
      <c r="K357"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7" s="16" t="inlineStr">
        <is>
          <t>Tinggi</t>
        </is>
      </c>
      <c r="M357"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7" s="17" t="n"/>
      <c r="O357" s="17" t="n"/>
      <c r="P357" s="17" t="n"/>
      <c r="Q357" s="17" t="n"/>
      <c r="R357" s="17" t="n"/>
    </row>
    <row r="358" ht="294.4" customHeight="1">
      <c r="A358" s="18" t="n">
        <v>354</v>
      </c>
      <c r="B358" s="18" t="n">
        <v>3</v>
      </c>
      <c r="C358" s="19" t="inlineStr">
        <is>
          <t>MB-FORM-13 / Kernel Plant</t>
        </is>
      </c>
      <c r="D358" s="19" t="inlineStr">
        <is>
          <t>MB-FORM-13</t>
        </is>
      </c>
      <c r="E358" s="20" t="inlineStr">
        <is>
          <t>Kernel Plant</t>
        </is>
      </c>
      <c r="F358" s="21" t="inlineStr">
        <is>
          <t>Mobile — Operasional Stasiun (MB-)</t>
        </is>
      </c>
      <c r="G358" s="20" t="inlineStr">
        <is>
          <t>Supervisor mengisi Checked, Mill Management mengisi Acknowledged</t>
        </is>
      </c>
      <c r="H358" s="21" t="inlineStr">
        <is>
          <t>SPV-A, lalu MGR-A</t>
        </is>
      </c>
      <c r="I358" s="21" t="inlineStr">
        <is>
          <t>—</t>
        </is>
      </c>
      <c r="J358" s="21" t="inlineStr">
        <is>
          <t>1. Login di mobile, buka Monitor Kernel Plant, lalu tekan New Data (/stations/kernel-plant/form/&lt;id&gt;) sebagai SPV-A. Isi satu record. Periksa kolom Checked By dan
Acknowledged By sebelum menyimpan, lalu Simpan.
2. Logout. Login di mobile, buka Monitor Kernel Plant, lalu tekan New Data (/stations/kernel-plant/form/&lt;id&gt;) sebagai MGR-A. Ulangi langkah 1 dan periksa kedua kolom yang sama.</t>
        </is>
      </c>
      <c r="K358" s="21"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8" s="16" t="inlineStr">
        <is>
          <t>Tinggi</t>
        </is>
      </c>
      <c r="M358" s="21"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8" s="17" t="n"/>
      <c r="O358" s="17" t="n"/>
      <c r="P358" s="17" t="n"/>
      <c r="Q358" s="17" t="n"/>
      <c r="R358" s="17" t="n"/>
    </row>
    <row r="359" ht="294.4" customHeight="1">
      <c r="A359" s="22" t="n">
        <v>355</v>
      </c>
      <c r="B359" s="22" t="n">
        <v>3</v>
      </c>
      <c r="C359" s="23" t="inlineStr">
        <is>
          <t>MB-FORM-13 / Boiler Room</t>
        </is>
      </c>
      <c r="D359" s="23" t="inlineStr">
        <is>
          <t>MB-FORM-13</t>
        </is>
      </c>
      <c r="E359" s="24" t="inlineStr">
        <is>
          <t>Boiler Room</t>
        </is>
      </c>
      <c r="F359" s="5" t="inlineStr">
        <is>
          <t>Mobile — Operasional Stasiun (MB-)</t>
        </is>
      </c>
      <c r="G359" s="24" t="inlineStr">
        <is>
          <t>Supervisor mengisi Checked, Mill Management mengisi Acknowledged</t>
        </is>
      </c>
      <c r="H359" s="5" t="inlineStr">
        <is>
          <t>SPV-A, lalu MGR-A</t>
        </is>
      </c>
      <c r="I359" s="5" t="inlineStr">
        <is>
          <t>—</t>
        </is>
      </c>
      <c r="J359" s="5" t="inlineStr">
        <is>
          <t>1. Login di mobile, buka Monitor Boiler Room, lalu tekan New Data (/stations/boiler-room/form/&lt;id&gt;) sebagai SPV-A. Isi satu record. Periksa kolom Checked By dan
Acknowledged By sebelum menyimpan, lalu Simpan.
2. Logout. Login di mobile, buka Monitor Boiler Room, lalu tekan New Data (/stations/boiler-room/form/&lt;id&gt;) sebagai MGR-A. Ulangi langkah 1 dan periksa kedua kolom yang sama.</t>
        </is>
      </c>
      <c r="K359"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9" s="16" t="inlineStr">
        <is>
          <t>Tinggi</t>
        </is>
      </c>
      <c r="M359"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9" s="17" t="n"/>
      <c r="O359" s="17" t="n"/>
      <c r="P359" s="17" t="n"/>
      <c r="Q359" s="17" t="n"/>
      <c r="R359" s="17" t="n"/>
    </row>
    <row r="360" ht="294.4" customHeight="1">
      <c r="A360" s="18" t="n">
        <v>356</v>
      </c>
      <c r="B360" s="18" t="n">
        <v>3</v>
      </c>
      <c r="C360" s="19" t="inlineStr">
        <is>
          <t>MB-FORM-13 / Effluent Plant</t>
        </is>
      </c>
      <c r="D360" s="19" t="inlineStr">
        <is>
          <t>MB-FORM-13</t>
        </is>
      </c>
      <c r="E360" s="20" t="inlineStr">
        <is>
          <t>Effluent Plant</t>
        </is>
      </c>
      <c r="F360" s="21" t="inlineStr">
        <is>
          <t>Mobile — Operasional Stasiun (MB-)</t>
        </is>
      </c>
      <c r="G360" s="20" t="inlineStr">
        <is>
          <t>Supervisor mengisi Checked, Mill Management mengisi Acknowledged</t>
        </is>
      </c>
      <c r="H360" s="21" t="inlineStr">
        <is>
          <t>SPV-A, lalu MGR-A</t>
        </is>
      </c>
      <c r="I360" s="21" t="inlineStr">
        <is>
          <t>—</t>
        </is>
      </c>
      <c r="J360" s="21" t="inlineStr">
        <is>
          <t>1. Login di mobile, buka Monitor Effluent Plant, lalu tekan New Data (/stations/effluent-plant/form/&lt;id&gt;) sebagai SPV-A. Isi satu record. Periksa kolom Checked By dan
Acknowledged By sebelum menyimpan, lalu Simpan.
2. Logout. Login di mobile, buka Monitor Effluent Plant, lalu tekan New Data (/stations/effluent-plant/form/&lt;id&gt;) sebagai MGR-A. Ulangi langkah 1 dan periksa kedua kolom yang sama.</t>
        </is>
      </c>
      <c r="K360" s="21"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0" s="16" t="inlineStr">
        <is>
          <t>Tinggi</t>
        </is>
      </c>
      <c r="M360" s="21"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0" s="17" t="n"/>
      <c r="O360" s="17" t="n"/>
      <c r="P360" s="17" t="n"/>
      <c r="Q360" s="17" t="n"/>
      <c r="R360" s="17" t="n"/>
    </row>
    <row r="361" ht="294.4" customHeight="1">
      <c r="A361" s="11" t="n">
        <v>357</v>
      </c>
      <c r="B361" s="12" t="n">
        <v>1</v>
      </c>
      <c r="C361" s="13" t="inlineStr">
        <is>
          <t>MB-FORM-13 / Depricarping</t>
        </is>
      </c>
      <c r="D361" s="13" t="inlineStr">
        <is>
          <t>MB-FORM-13</t>
        </is>
      </c>
      <c r="E361" s="15" t="inlineStr">
        <is>
          <t>Depricarping</t>
        </is>
      </c>
      <c r="F361" s="14" t="inlineStr">
        <is>
          <t>Mobile — Operasional Stasiun (MB-)</t>
        </is>
      </c>
      <c r="G361" s="15" t="inlineStr">
        <is>
          <t>Supervisor mengisi Checked, Mill Management mengisi Acknowledged</t>
        </is>
      </c>
      <c r="H361" s="14" t="inlineStr">
        <is>
          <t>SPV-A, lalu MGR-A</t>
        </is>
      </c>
      <c r="I361" s="14" t="inlineStr">
        <is>
          <t>—</t>
        </is>
      </c>
      <c r="J361" s="14" t="inlineStr">
        <is>
          <t>1. Login di mobile, buka Monitor Depricarping, lalu tekan New Data (/stations/depricarping/form/&lt;id&gt;) sebagai SPV-A. Isi satu record. Periksa kolom Checked By dan
Acknowledged By sebelum menyimpan, lalu Simpan.
2. Logout. Login di mobile, buka Monitor Depricarping, lalu tekan New Data (/stations/depricarping/form/&lt;id&gt;) sebagai MGR-A. Ulangi langkah 1 dan periksa kedua kolom yang sama.</t>
        </is>
      </c>
      <c r="K361" s="14"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1" s="16" t="inlineStr">
        <is>
          <t>Tinggi</t>
        </is>
      </c>
      <c r="M361" s="14"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1" s="17" t="n"/>
      <c r="O361" s="17" t="n"/>
      <c r="P361" s="17" t="n"/>
      <c r="Q361" s="17" t="n"/>
      <c r="R361" s="17" t="n"/>
    </row>
    <row r="362" ht="294.4" customHeight="1">
      <c r="A362" s="18" t="n">
        <v>358</v>
      </c>
      <c r="B362" s="18" t="n">
        <v>3</v>
      </c>
      <c r="C362" s="19" t="inlineStr">
        <is>
          <t>MB-FORM-13 / Engine Room</t>
        </is>
      </c>
      <c r="D362" s="19" t="inlineStr">
        <is>
          <t>MB-FORM-13</t>
        </is>
      </c>
      <c r="E362" s="20" t="inlineStr">
        <is>
          <t>Engine Room</t>
        </is>
      </c>
      <c r="F362" s="21" t="inlineStr">
        <is>
          <t>Mobile — Operasional Stasiun (MB-)</t>
        </is>
      </c>
      <c r="G362" s="20" t="inlineStr">
        <is>
          <t>Supervisor mengisi Checked, Mill Management mengisi Acknowledged</t>
        </is>
      </c>
      <c r="H362" s="21" t="inlineStr">
        <is>
          <t>SPV-A, lalu MGR-A</t>
        </is>
      </c>
      <c r="I362" s="21" t="inlineStr">
        <is>
          <t>—</t>
        </is>
      </c>
      <c r="J362" s="21" t="inlineStr">
        <is>
          <t>1. Login di mobile, buka Monitor Engine Room, lalu tekan New Data (/stations/engine-room/form/&lt;id&gt;) sebagai SPV-A. Isi satu record. Periksa kolom Checked By dan
Acknowledged By sebelum menyimpan, lalu Simpan.
2. Logout. Login di mobile, buka Monitor Engine Room, lalu tekan New Data (/stations/engine-room/form/&lt;id&gt;) sebagai MGR-A. Ulangi langkah 1 dan periksa kedua kolom yang sama.</t>
        </is>
      </c>
      <c r="K362" s="21"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2" s="16" t="inlineStr">
        <is>
          <t>Tinggi</t>
        </is>
      </c>
      <c r="M362" s="21"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2" s="17" t="n"/>
      <c r="O362" s="17" t="n"/>
      <c r="P362" s="17" t="n"/>
      <c r="Q362" s="17" t="n"/>
      <c r="R362" s="17" t="n"/>
    </row>
    <row r="363" ht="294.4" customHeight="1">
      <c r="A363" s="22" t="n">
        <v>359</v>
      </c>
      <c r="B363" s="22" t="n">
        <v>3</v>
      </c>
      <c r="C363" s="23" t="inlineStr">
        <is>
          <t>MB-FORM-13 / Process Water</t>
        </is>
      </c>
      <c r="D363" s="23" t="inlineStr">
        <is>
          <t>MB-FORM-13</t>
        </is>
      </c>
      <c r="E363" s="24" t="inlineStr">
        <is>
          <t>Process Water</t>
        </is>
      </c>
      <c r="F363" s="5" t="inlineStr">
        <is>
          <t>Mobile — Operasional Stasiun (MB-)</t>
        </is>
      </c>
      <c r="G363" s="24" t="inlineStr">
        <is>
          <t>Supervisor mengisi Checked, Mill Management mengisi Acknowledged</t>
        </is>
      </c>
      <c r="H363" s="5" t="inlineStr">
        <is>
          <t>SPV-A, lalu MGR-A</t>
        </is>
      </c>
      <c r="I363" s="5" t="inlineStr">
        <is>
          <t>—</t>
        </is>
      </c>
      <c r="J363" s="5" t="inlineStr">
        <is>
          <t>1. Login di mobile, buka Monitor Process Water, lalu tekan New Data (/stations/process-water/form/&lt;id&gt;) sebagai SPV-A. Isi satu record. Periksa kolom Checked By dan
Acknowledged By sebelum menyimpan, lalu Simpan.
2. Logout. Login di mobile, buka Monitor Process Water, lalu tekan New Data (/stations/process-water/form/&lt;id&gt;) sebagai MGR-A. Ulangi langkah 1 dan periksa kedua kolom yang sama.</t>
        </is>
      </c>
      <c r="K363"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3" s="16" t="inlineStr">
        <is>
          <t>Tinggi</t>
        </is>
      </c>
      <c r="M363"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3" s="17" t="n"/>
      <c r="O363" s="17" t="n"/>
      <c r="P363" s="17" t="n"/>
      <c r="Q363" s="17" t="n"/>
      <c r="R363" s="17" t="n"/>
    </row>
    <row r="364" ht="294.4" customHeight="1">
      <c r="A364" s="18" t="n">
        <v>360</v>
      </c>
      <c r="B364" s="18" t="n">
        <v>3</v>
      </c>
      <c r="C364" s="19" t="inlineStr">
        <is>
          <t>MB-FORM-13 / Storage Tank</t>
        </is>
      </c>
      <c r="D364" s="19" t="inlineStr">
        <is>
          <t>MB-FORM-13</t>
        </is>
      </c>
      <c r="E364" s="20" t="inlineStr">
        <is>
          <t>Storage Tank</t>
        </is>
      </c>
      <c r="F364" s="21" t="inlineStr">
        <is>
          <t>Mobile — Operasional Stasiun (MB-)</t>
        </is>
      </c>
      <c r="G364" s="20" t="inlineStr">
        <is>
          <t>Supervisor mengisi Checked, Mill Management mengisi Acknowledged</t>
        </is>
      </c>
      <c r="H364" s="21" t="inlineStr">
        <is>
          <t>SPV-A, lalu MGR-A</t>
        </is>
      </c>
      <c r="I364" s="21" t="inlineStr">
        <is>
          <t>—</t>
        </is>
      </c>
      <c r="J364" s="21" t="inlineStr">
        <is>
          <t>1. Login di mobile, buka Monitor Storage Tank, lalu tekan New Data (/stations/storage-tank/form/&lt;id&gt;) sebagai SPV-A. Isi satu record. Periksa kolom Checked By dan
Acknowledged By sebelum menyimpan, lalu Simpan.
2. Logout. Login di mobile, buka Monitor Storage Tank, lalu tekan New Data (/stations/storage-tank/form/&lt;id&gt;) sebagai MGR-A. Ulangi langkah 1 dan periksa kedua kolom yang sama.</t>
        </is>
      </c>
      <c r="K364" s="21"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4" s="16" t="inlineStr">
        <is>
          <t>Tinggi</t>
        </is>
      </c>
      <c r="M364" s="21"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4" s="17" t="n"/>
      <c r="O364" s="17" t="n"/>
      <c r="P364" s="17" t="n"/>
      <c r="Q364" s="17" t="n"/>
      <c r="R364" s="17" t="n"/>
    </row>
    <row r="365" ht="294.4" customHeight="1">
      <c r="A365" s="22" t="n">
        <v>361</v>
      </c>
      <c r="B365" s="22" t="n">
        <v>3</v>
      </c>
      <c r="C365" s="23" t="inlineStr">
        <is>
          <t>MB-FORM-13 / Solid Waste Disposal</t>
        </is>
      </c>
      <c r="D365" s="23" t="inlineStr">
        <is>
          <t>MB-FORM-13</t>
        </is>
      </c>
      <c r="E365" s="24" t="inlineStr">
        <is>
          <t>Solid Waste Disposal</t>
        </is>
      </c>
      <c r="F365" s="5" t="inlineStr">
        <is>
          <t>Mobile — Operasional Stasiun (MB-)</t>
        </is>
      </c>
      <c r="G365" s="24" t="inlineStr">
        <is>
          <t>Supervisor mengisi Checked, Mill Management mengisi Acknowledged</t>
        </is>
      </c>
      <c r="H365" s="5" t="inlineStr">
        <is>
          <t>SPV-A, lalu MGR-A</t>
        </is>
      </c>
      <c r="I365" s="5" t="inlineStr">
        <is>
          <t>—</t>
        </is>
      </c>
      <c r="J365" s="5" t="inlineStr">
        <is>
          <t>1. Login di mobile, buka Monitor Solid Waste Disposal, lalu tekan New Data (/stations/solid-waste-disposal/form/&lt;id&gt;) sebagai SPV-A. Isi satu record. Periksa kolom Checked By dan
Acknowledged By sebelum menyimpan, lalu Simpan.
2. Logout. Login di mobile, buka Monitor Solid Waste Disposal, lalu tekan New Data (/stations/solid-waste-disposal/form/&lt;id&gt;) sebagai MGR-A. Ulangi langkah 1 dan periksa kedua kolom yang sama.</t>
        </is>
      </c>
      <c r="K365"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5" s="16" t="inlineStr">
        <is>
          <t>Tinggi</t>
        </is>
      </c>
      <c r="M365"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5" s="17" t="n"/>
      <c r="O365" s="17" t="n"/>
      <c r="P365" s="17" t="n"/>
      <c r="Q365" s="17" t="n"/>
      <c r="R365" s="17" t="n"/>
    </row>
    <row r="366" ht="294.4" customHeight="1">
      <c r="A366" s="18" t="n">
        <v>362</v>
      </c>
      <c r="B366" s="18" t="n">
        <v>3</v>
      </c>
      <c r="C366" s="19" t="inlineStr">
        <is>
          <t>MB-FORM-13 / Kernel Dispatch</t>
        </is>
      </c>
      <c r="D366" s="19" t="inlineStr">
        <is>
          <t>MB-FORM-13</t>
        </is>
      </c>
      <c r="E366" s="20" t="inlineStr">
        <is>
          <t>Kernel Dispatch</t>
        </is>
      </c>
      <c r="F366" s="21" t="inlineStr">
        <is>
          <t>Mobile — Operasional Stasiun (MB-)</t>
        </is>
      </c>
      <c r="G366" s="20" t="inlineStr">
        <is>
          <t>Supervisor mengisi Checked, Mill Management mengisi Acknowledged</t>
        </is>
      </c>
      <c r="H366" s="21" t="inlineStr">
        <is>
          <t>SPV-A, lalu MGR-A</t>
        </is>
      </c>
      <c r="I366" s="21" t="inlineStr">
        <is>
          <t>—</t>
        </is>
      </c>
      <c r="J366" s="21" t="inlineStr">
        <is>
          <t>1. Login di mobile, buka Monitor Kernel Dispatch, lalu tekan New Data (/stations/kernel-dispatch/form/&lt;id&gt;) sebagai SPV-A. Isi satu record. Periksa kolom Checked By dan
Acknowledged By sebelum menyimpan, lalu Simpan.
2. Logout. Login di mobile, buka Monitor Kernel Dispatch, lalu tekan New Data (/stations/kernel-dispatch/form/&lt;id&gt;) sebagai MGR-A. Ulangi langkah 1 dan periksa kedua kolom yang sama.</t>
        </is>
      </c>
      <c r="K366" s="21"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6" s="16" t="inlineStr">
        <is>
          <t>Tinggi</t>
        </is>
      </c>
      <c r="M366" s="21"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6" s="17" t="n"/>
      <c r="O366" s="17" t="n"/>
      <c r="P366" s="17" t="n"/>
      <c r="Q366" s="17" t="n"/>
      <c r="R366" s="17" t="n"/>
    </row>
    <row r="367" ht="294.4" customHeight="1">
      <c r="A367" s="22" t="n">
        <v>363</v>
      </c>
      <c r="B367" s="22" t="n">
        <v>3</v>
      </c>
      <c r="C367" s="23" t="inlineStr">
        <is>
          <t>MB-FORM-13 / CPO Dispatch</t>
        </is>
      </c>
      <c r="D367" s="23" t="inlineStr">
        <is>
          <t>MB-FORM-13</t>
        </is>
      </c>
      <c r="E367" s="24" t="inlineStr">
        <is>
          <t>CPO Dispatch</t>
        </is>
      </c>
      <c r="F367" s="5" t="inlineStr">
        <is>
          <t>Mobile — Operasional Stasiun (MB-)</t>
        </is>
      </c>
      <c r="G367" s="24" t="inlineStr">
        <is>
          <t>Supervisor mengisi Checked, Mill Management mengisi Acknowledged</t>
        </is>
      </c>
      <c r="H367" s="5" t="inlineStr">
        <is>
          <t>SPV-A, lalu MGR-A</t>
        </is>
      </c>
      <c r="I367" s="5" t="inlineStr">
        <is>
          <t>—</t>
        </is>
      </c>
      <c r="J367" s="5" t="inlineStr">
        <is>
          <t>1. Login di mobile, buka Monitor CPO Dispatch, lalu tekan New Data (/stations/cpo-dispatch/form/&lt;id&gt;) sebagai SPV-A. Isi satu record. Periksa kolom Checked By dan
Acknowledged By sebelum menyimpan, lalu Simpan.
2. Logout. Login di mobile, buka Monitor CPO Dispatch, lalu tekan New Data (/stations/cpo-dispatch/form/&lt;id&gt;) sebagai MGR-A. Ulangi langkah 1 dan periksa kedua kolom yang sama.</t>
        </is>
      </c>
      <c r="K367"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7" s="16" t="inlineStr">
        <is>
          <t>Tinggi</t>
        </is>
      </c>
      <c r="M367"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7" s="17" t="n"/>
      <c r="O367" s="17" t="n"/>
      <c r="P367" s="17" t="n"/>
      <c r="Q367" s="17" t="n"/>
      <c r="R367" s="17" t="n"/>
    </row>
    <row r="368" ht="294.4" customHeight="1">
      <c r="A368" s="18" t="n">
        <v>364</v>
      </c>
      <c r="B368" s="18" t="n">
        <v>3</v>
      </c>
      <c r="C368" s="19" t="inlineStr">
        <is>
          <t>MB-FORM-13 / Process Quality Control</t>
        </is>
      </c>
      <c r="D368" s="19" t="inlineStr">
        <is>
          <t>MB-FORM-13</t>
        </is>
      </c>
      <c r="E368" s="20" t="inlineStr">
        <is>
          <t>Process Quality Control</t>
        </is>
      </c>
      <c r="F368" s="21" t="inlineStr">
        <is>
          <t>Mobile — Operasional Stasiun (MB-)</t>
        </is>
      </c>
      <c r="G368" s="20" t="inlineStr">
        <is>
          <t>Supervisor mengisi Checked, Mill Management mengisi Acknowledged</t>
        </is>
      </c>
      <c r="H368" s="21" t="inlineStr">
        <is>
          <t>SPV-A, lalu MGR-A</t>
        </is>
      </c>
      <c r="I368" s="21" t="inlineStr">
        <is>
          <t>—</t>
        </is>
      </c>
      <c r="J368" s="21" t="inlineStr">
        <is>
          <t>1. Login di mobile, buka Monitor Process Quality Control, lalu tekan New Data (/stations/process-quality-control/form/&lt;id&gt;) sebagai SPV-A. Isi satu record. Periksa kolom Checked By dan
Acknowledged By sebelum menyimpan, lalu Simpan.
2. Logout. Login di mobile, buka Monitor Process Quality Control, lalu tekan New Data (/stations/process-quality-control/form/&lt;id&gt;) sebagai MGR-A. Ulangi langkah 1 dan periksa kedua kolom yang sama.</t>
        </is>
      </c>
      <c r="K368" s="21"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8" s="16" t="inlineStr">
        <is>
          <t>Tinggi</t>
        </is>
      </c>
      <c r="M368" s="21"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8" s="17" t="n"/>
      <c r="O368" s="17" t="n"/>
      <c r="P368" s="17" t="n"/>
      <c r="Q368" s="17" t="n"/>
      <c r="R368" s="17" t="n"/>
    </row>
    <row r="369" ht="175.6" customHeight="1">
      <c r="A369" s="22" t="n">
        <v>365</v>
      </c>
      <c r="B369" s="22" t="n">
        <v>3</v>
      </c>
      <c r="C369" s="23" t="inlineStr">
        <is>
          <t>MB-FORM-14 / Weighbridge</t>
        </is>
      </c>
      <c r="D369" s="23" t="inlineStr">
        <is>
          <t>MB-FORM-14</t>
        </is>
      </c>
      <c r="E369" s="24" t="inlineStr">
        <is>
          <t>Weighbridge</t>
        </is>
      </c>
      <c r="F369" s="5" t="inlineStr">
        <is>
          <t>Mobile — Operasional Stasiun (MB-)</t>
        </is>
      </c>
      <c r="G369" s="24" t="inlineStr">
        <is>
          <t>Tabel Target Operasional hanya referensi, tidak tersimpan</t>
        </is>
      </c>
      <c r="H369" s="5" t="inlineStr">
        <is>
          <t>OPR-A</t>
        </is>
      </c>
      <c r="I369" s="5" t="inlineStr">
        <is>
          <t>stasiun yang punya tabel target (Threshing, Pressing, Depricarping, Kernel Plant, Grading)</t>
        </is>
      </c>
      <c r="J369" s="5" t="inlineStr">
        <is>
          <t>1. Pilih stasiun yang punya tabel target: Threshing, Pressing, Depricarping, Kernel Plant, atau Grading.
2. Login di mobile, buka Monitor Weighbridge, lalu tekan New Data (/stations/weighbridge/form/&lt;id&gt;) untuk stasiun itu.
3. Gulir ke bawah sampai tabel Target Operasional.
4. Coba mengetik pada tabel itu.
5. Isi form dengan benar dan Simpan.
6. Buka record itu di Data Preview dan periksa apakah nilai target ikut tersimpan sebagai data record.</t>
        </is>
      </c>
      <c r="K369" s="5" t="inlineStr">
        <is>
          <t>- Tabel target tampil read-only — tidak satu pun selnya dapat diketik.
- Isinya sama di mobile dan di web untuk stasiun yang sama.
- Nilai target tidak menjadi bagian data record — ia hanya acuan yang ditampilkan.</t>
        </is>
      </c>
      <c r="L369" s="22" t="inlineStr">
        <is>
          <t>Rendah</t>
        </is>
      </c>
      <c r="M369" s="5" t="inlineStr"/>
      <c r="N369" s="17" t="n"/>
      <c r="O369" s="17" t="n"/>
      <c r="P369" s="17" t="n"/>
      <c r="Q369" s="17" t="n"/>
      <c r="R369" s="17" t="n"/>
    </row>
    <row r="370" ht="175.6" customHeight="1">
      <c r="A370" s="18" t="n">
        <v>366</v>
      </c>
      <c r="B370" s="18" t="n">
        <v>3</v>
      </c>
      <c r="C370" s="19" t="inlineStr">
        <is>
          <t>MB-FORM-14 / Grading</t>
        </is>
      </c>
      <c r="D370" s="19" t="inlineStr">
        <is>
          <t>MB-FORM-14</t>
        </is>
      </c>
      <c r="E370" s="20" t="inlineStr">
        <is>
          <t>Grading</t>
        </is>
      </c>
      <c r="F370" s="21" t="inlineStr">
        <is>
          <t>Mobile — Operasional Stasiun (MB-)</t>
        </is>
      </c>
      <c r="G370" s="20" t="inlineStr">
        <is>
          <t>Tabel Target Operasional hanya referensi, tidak tersimpan</t>
        </is>
      </c>
      <c r="H370" s="21" t="inlineStr">
        <is>
          <t>OPR-A</t>
        </is>
      </c>
      <c r="I370" s="21" t="inlineStr">
        <is>
          <t>stasiun yang punya tabel target (Threshing, Pressing, Depricarping, Kernel Plant, Grading)</t>
        </is>
      </c>
      <c r="J370" s="21" t="inlineStr">
        <is>
          <t>1. Pilih stasiun yang punya tabel target: Threshing, Pressing, Depricarping, Kernel Plant, atau Grading.
2. Login di mobile, buka Monitor Grading, lalu tekan New Data (/stations/grading/form/&lt;id&gt;) untuk stasiun itu.
3. Gulir ke bawah sampai tabel Target Operasional.
4. Coba mengetik pada tabel itu.
5. Isi form dengan benar dan Simpan.
6. Buka record itu di Data Preview dan periksa apakah nilai target ikut tersimpan sebagai data record.</t>
        </is>
      </c>
      <c r="K370" s="21" t="inlineStr">
        <is>
          <t>- Tabel target tampil read-only — tidak satu pun selnya dapat diketik.
- Isinya sama di mobile dan di web untuk stasiun yang sama.
- Nilai target tidak menjadi bagian data record — ia hanya acuan yang ditampilkan.</t>
        </is>
      </c>
      <c r="L370" s="18" t="inlineStr">
        <is>
          <t>Rendah</t>
        </is>
      </c>
      <c r="M370" s="21" t="inlineStr"/>
      <c r="N370" s="17" t="n"/>
      <c r="O370" s="17" t="n"/>
      <c r="P370" s="17" t="n"/>
      <c r="Q370" s="17" t="n"/>
      <c r="R370" s="17" t="n"/>
    </row>
    <row r="371" ht="175.6" customHeight="1">
      <c r="A371" s="22" t="n">
        <v>367</v>
      </c>
      <c r="B371" s="22" t="n">
        <v>3</v>
      </c>
      <c r="C371" s="23" t="inlineStr">
        <is>
          <t>MB-FORM-14 / Cages Track</t>
        </is>
      </c>
      <c r="D371" s="23" t="inlineStr">
        <is>
          <t>MB-FORM-14</t>
        </is>
      </c>
      <c r="E371" s="24" t="inlineStr">
        <is>
          <t>Cages Track</t>
        </is>
      </c>
      <c r="F371" s="5" t="inlineStr">
        <is>
          <t>Mobile — Operasional Stasiun (MB-)</t>
        </is>
      </c>
      <c r="G371" s="24" t="inlineStr">
        <is>
          <t>Tabel Target Operasional hanya referensi, tidak tersimpan</t>
        </is>
      </c>
      <c r="H371" s="5" t="inlineStr">
        <is>
          <t>OPR-A</t>
        </is>
      </c>
      <c r="I371" s="5" t="inlineStr">
        <is>
          <t>stasiun yang punya tabel target (Threshing, Pressing, Depricarping, Kernel Plant, Grading)</t>
        </is>
      </c>
      <c r="J371" s="5" t="inlineStr">
        <is>
          <t>1. Pilih stasiun yang punya tabel target: Threshing, Pressing, Depricarping, Kernel Plant, atau Grading.
2. Login di mobile, buka Monitor Cages Track, lalu tekan New Data (/stations/cages-track/form/&lt;id&gt;) untuk stasiun itu.
3. Gulir ke bawah sampai tabel Target Operasional.
4. Coba mengetik pada tabel itu.
5. Isi form dengan benar dan Simpan.
6. Buka record itu di Data Preview dan periksa apakah nilai target ikut tersimpan sebagai data record.</t>
        </is>
      </c>
      <c r="K371" s="5" t="inlineStr">
        <is>
          <t>- Tabel target tampil read-only — tidak satu pun selnya dapat diketik.
- Isinya sama di mobile dan di web untuk stasiun yang sama.
- Nilai target tidak menjadi bagian data record — ia hanya acuan yang ditampilkan.</t>
        </is>
      </c>
      <c r="L371" s="22" t="inlineStr">
        <is>
          <t>Rendah</t>
        </is>
      </c>
      <c r="M371" s="5" t="inlineStr"/>
      <c r="N371" s="17" t="n"/>
      <c r="O371" s="17" t="n"/>
      <c r="P371" s="17" t="n"/>
      <c r="Q371" s="17" t="n"/>
      <c r="R371" s="17" t="n"/>
    </row>
    <row r="372" ht="175.6" customHeight="1">
      <c r="A372" s="18" t="n">
        <v>368</v>
      </c>
      <c r="B372" s="18" t="n">
        <v>3</v>
      </c>
      <c r="C372" s="19" t="inlineStr">
        <is>
          <t>MB-FORM-14 / Sterilizer</t>
        </is>
      </c>
      <c r="D372" s="19" t="inlineStr">
        <is>
          <t>MB-FORM-14</t>
        </is>
      </c>
      <c r="E372" s="20" t="inlineStr">
        <is>
          <t>Sterilizer</t>
        </is>
      </c>
      <c r="F372" s="21" t="inlineStr">
        <is>
          <t>Mobile — Operasional Stasiun (MB-)</t>
        </is>
      </c>
      <c r="G372" s="20" t="inlineStr">
        <is>
          <t>Tabel Target Operasional hanya referensi, tidak tersimpan</t>
        </is>
      </c>
      <c r="H372" s="21" t="inlineStr">
        <is>
          <t>OPR-A</t>
        </is>
      </c>
      <c r="I372" s="21" t="inlineStr">
        <is>
          <t>stasiun yang punya tabel target (Threshing, Pressing, Depricarping, Kernel Plant, Grading)</t>
        </is>
      </c>
      <c r="J372" s="21" t="inlineStr">
        <is>
          <t>1. Pilih stasiun yang punya tabel target: Threshing, Pressing, Depricarping, Kernel Plant, atau Grading.
2. Login di mobile, buka Monitor Sterilizer, lalu tekan New Data (/stations/sterilizer/form/&lt;id&gt;) untuk stasiun itu.
3. Gulir ke bawah sampai tabel Target Operasional.
4. Coba mengetik pada tabel itu.
5. Isi form dengan benar dan Simpan.
6. Buka record itu di Data Preview dan periksa apakah nilai target ikut tersimpan sebagai data record.</t>
        </is>
      </c>
      <c r="K372" s="21" t="inlineStr">
        <is>
          <t>- Tabel target tampil read-only — tidak satu pun selnya dapat diketik.
- Isinya sama di mobile dan di web untuk stasiun yang sama.
- Nilai target tidak menjadi bagian data record — ia hanya acuan yang ditampilkan.</t>
        </is>
      </c>
      <c r="L372" s="18" t="inlineStr">
        <is>
          <t>Rendah</t>
        </is>
      </c>
      <c r="M372" s="21" t="inlineStr"/>
      <c r="N372" s="17" t="n"/>
      <c r="O372" s="17" t="n"/>
      <c r="P372" s="17" t="n"/>
      <c r="Q372" s="17" t="n"/>
      <c r="R372" s="17" t="n"/>
    </row>
    <row r="373" ht="175.6" customHeight="1">
      <c r="A373" s="22" t="n">
        <v>369</v>
      </c>
      <c r="B373" s="22" t="n">
        <v>3</v>
      </c>
      <c r="C373" s="23" t="inlineStr">
        <is>
          <t>MB-FORM-14 / Threshing</t>
        </is>
      </c>
      <c r="D373" s="23" t="inlineStr">
        <is>
          <t>MB-FORM-14</t>
        </is>
      </c>
      <c r="E373" s="24" t="inlineStr">
        <is>
          <t>Threshing</t>
        </is>
      </c>
      <c r="F373" s="5" t="inlineStr">
        <is>
          <t>Mobile — Operasional Stasiun (MB-)</t>
        </is>
      </c>
      <c r="G373" s="24" t="inlineStr">
        <is>
          <t>Tabel Target Operasional hanya referensi, tidak tersimpan</t>
        </is>
      </c>
      <c r="H373" s="5" t="inlineStr">
        <is>
          <t>OPR-A</t>
        </is>
      </c>
      <c r="I373" s="5" t="inlineStr">
        <is>
          <t>stasiun yang punya tabel target (Threshing, Pressing, Depricarping, Kernel Plant, Grading)</t>
        </is>
      </c>
      <c r="J373" s="5" t="inlineStr">
        <is>
          <t>1. Pilih stasiun yang punya tabel target: Threshing, Pressing, Depricarping, Kernel Plant, atau Grading.
2. Login di mobile, buka Monitor Threshing, lalu tekan New Data (/stations/threshing/form/&lt;id&gt;) untuk stasiun itu.
3. Gulir ke bawah sampai tabel Target Operasional.
4. Coba mengetik pada tabel itu.
5. Isi form dengan benar dan Simpan.
6. Buka record itu di Data Preview dan periksa apakah nilai target ikut tersimpan sebagai data record.</t>
        </is>
      </c>
      <c r="K373" s="5" t="inlineStr">
        <is>
          <t>- Tabel target tampil read-only — tidak satu pun selnya dapat diketik.
- Isinya sama di mobile dan di web untuk stasiun yang sama.
- Nilai target tidak menjadi bagian data record — ia hanya acuan yang ditampilkan.</t>
        </is>
      </c>
      <c r="L373" s="22" t="inlineStr">
        <is>
          <t>Rendah</t>
        </is>
      </c>
      <c r="M373" s="5" t="inlineStr"/>
      <c r="N373" s="17" t="n"/>
      <c r="O373" s="17" t="n"/>
      <c r="P373" s="17" t="n"/>
      <c r="Q373" s="17" t="n"/>
      <c r="R373" s="17" t="n"/>
    </row>
    <row r="374" ht="175.6" customHeight="1">
      <c r="A374" s="18" t="n">
        <v>370</v>
      </c>
      <c r="B374" s="18" t="n">
        <v>3</v>
      </c>
      <c r="C374" s="19" t="inlineStr">
        <is>
          <t>MB-FORM-14 / Pressing</t>
        </is>
      </c>
      <c r="D374" s="19" t="inlineStr">
        <is>
          <t>MB-FORM-14</t>
        </is>
      </c>
      <c r="E374" s="20" t="inlineStr">
        <is>
          <t>Pressing</t>
        </is>
      </c>
      <c r="F374" s="21" t="inlineStr">
        <is>
          <t>Mobile — Operasional Stasiun (MB-)</t>
        </is>
      </c>
      <c r="G374" s="20" t="inlineStr">
        <is>
          <t>Tabel Target Operasional hanya referensi, tidak tersimpan</t>
        </is>
      </c>
      <c r="H374" s="21" t="inlineStr">
        <is>
          <t>OPR-A</t>
        </is>
      </c>
      <c r="I374" s="21" t="inlineStr">
        <is>
          <t>stasiun yang punya tabel target (Threshing, Pressing, Depricarping, Kernel Plant, Grading)</t>
        </is>
      </c>
      <c r="J374" s="21" t="inlineStr">
        <is>
          <t>1. Pilih stasiun yang punya tabel target: Threshing, Pressing, Depricarping, Kernel Plant, atau Grading.
2. Login di mobile, buka Monitor Pressing, lalu tekan New Data (/stations/pressing/form/&lt;id&gt;) untuk stasiun itu.
3. Gulir ke bawah sampai tabel Target Operasional.
4. Coba mengetik pada tabel itu.
5. Isi form dengan benar dan Simpan.
6. Buka record itu di Data Preview dan periksa apakah nilai target ikut tersimpan sebagai data record.</t>
        </is>
      </c>
      <c r="K374" s="21" t="inlineStr">
        <is>
          <t>- Tabel target tampil read-only — tidak satu pun selnya dapat diketik.
- Isinya sama di mobile dan di web untuk stasiun yang sama.
- Nilai target tidak menjadi bagian data record — ia hanya acuan yang ditampilkan.</t>
        </is>
      </c>
      <c r="L374" s="18" t="inlineStr">
        <is>
          <t>Rendah</t>
        </is>
      </c>
      <c r="M374" s="21" t="inlineStr"/>
      <c r="N374" s="17" t="n"/>
      <c r="O374" s="17" t="n"/>
      <c r="P374" s="17" t="n"/>
      <c r="Q374" s="17" t="n"/>
      <c r="R374" s="17" t="n"/>
    </row>
    <row r="375" ht="175.6" customHeight="1">
      <c r="A375" s="22" t="n">
        <v>371</v>
      </c>
      <c r="B375" s="22" t="n">
        <v>3</v>
      </c>
      <c r="C375" s="23" t="inlineStr">
        <is>
          <t>MB-FORM-14 / Clarification</t>
        </is>
      </c>
      <c r="D375" s="23" t="inlineStr">
        <is>
          <t>MB-FORM-14</t>
        </is>
      </c>
      <c r="E375" s="24" t="inlineStr">
        <is>
          <t>Clarification</t>
        </is>
      </c>
      <c r="F375" s="5" t="inlineStr">
        <is>
          <t>Mobile — Operasional Stasiun (MB-)</t>
        </is>
      </c>
      <c r="G375" s="24" t="inlineStr">
        <is>
          <t>Tabel Target Operasional hanya referensi, tidak tersimpan</t>
        </is>
      </c>
      <c r="H375" s="5" t="inlineStr">
        <is>
          <t>OPR-A</t>
        </is>
      </c>
      <c r="I375" s="5" t="inlineStr">
        <is>
          <t>stasiun yang punya tabel target (Threshing, Pressing, Depricarping, Kernel Plant, Grading)</t>
        </is>
      </c>
      <c r="J375" s="5" t="inlineStr">
        <is>
          <t>1. Pilih stasiun yang punya tabel target: Threshing, Pressing, Depricarping, Kernel Plant, atau Grading.
2. Login di mobile, buka Monitor Clarification, lalu tekan New Data (/stations/clarification/form/&lt;id&gt;) untuk stasiun itu.
3. Gulir ke bawah sampai tabel Target Operasional.
4. Coba mengetik pada tabel itu.
5. Isi form dengan benar dan Simpan.
6. Buka record itu di Data Preview dan periksa apakah nilai target ikut tersimpan sebagai data record.</t>
        </is>
      </c>
      <c r="K375" s="5" t="inlineStr">
        <is>
          <t>- Tabel target tampil read-only — tidak satu pun selnya dapat diketik.
- Isinya sama di mobile dan di web untuk stasiun yang sama.
- Nilai target tidak menjadi bagian data record — ia hanya acuan yang ditampilkan.</t>
        </is>
      </c>
      <c r="L375" s="22" t="inlineStr">
        <is>
          <t>Rendah</t>
        </is>
      </c>
      <c r="M375" s="5" t="inlineStr"/>
      <c r="N375" s="17" t="n"/>
      <c r="O375" s="17" t="n"/>
      <c r="P375" s="17" t="n"/>
      <c r="Q375" s="17" t="n"/>
      <c r="R375" s="17" t="n"/>
    </row>
    <row r="376" ht="175.6" customHeight="1">
      <c r="A376" s="18" t="n">
        <v>372</v>
      </c>
      <c r="B376" s="18" t="n">
        <v>3</v>
      </c>
      <c r="C376" s="19" t="inlineStr">
        <is>
          <t>MB-FORM-14 / Kernel Plant</t>
        </is>
      </c>
      <c r="D376" s="19" t="inlineStr">
        <is>
          <t>MB-FORM-14</t>
        </is>
      </c>
      <c r="E376" s="20" t="inlineStr">
        <is>
          <t>Kernel Plant</t>
        </is>
      </c>
      <c r="F376" s="21" t="inlineStr">
        <is>
          <t>Mobile — Operasional Stasiun (MB-)</t>
        </is>
      </c>
      <c r="G376" s="20" t="inlineStr">
        <is>
          <t>Tabel Target Operasional hanya referensi, tidak tersimpan</t>
        </is>
      </c>
      <c r="H376" s="21" t="inlineStr">
        <is>
          <t>OPR-A</t>
        </is>
      </c>
      <c r="I376" s="21" t="inlineStr">
        <is>
          <t>stasiun yang punya tabel target (Threshing, Pressing, Depricarping, Kernel Plant, Grading)</t>
        </is>
      </c>
      <c r="J376" s="21" t="inlineStr">
        <is>
          <t>1. Pilih stasiun yang punya tabel target: Threshing, Pressing, Depricarping, Kernel Plant, atau Grading.
2. Login di mobile, buka Monitor Kernel Plant, lalu tekan New Data (/stations/kernel-plant/form/&lt;id&gt;) untuk stasiun itu.
3. Gulir ke bawah sampai tabel Target Operasional.
4. Coba mengetik pada tabel itu.
5. Isi form dengan benar dan Simpan.
6. Buka record itu di Data Preview dan periksa apakah nilai target ikut tersimpan sebagai data record.</t>
        </is>
      </c>
      <c r="K376" s="21" t="inlineStr">
        <is>
          <t>- Tabel target tampil read-only — tidak satu pun selnya dapat diketik.
- Isinya sama di mobile dan di web untuk stasiun yang sama.
- Nilai target tidak menjadi bagian data record — ia hanya acuan yang ditampilkan.</t>
        </is>
      </c>
      <c r="L376" s="18" t="inlineStr">
        <is>
          <t>Rendah</t>
        </is>
      </c>
      <c r="M376" s="21" t="inlineStr"/>
      <c r="N376" s="17" t="n"/>
      <c r="O376" s="17" t="n"/>
      <c r="P376" s="17" t="n"/>
      <c r="Q376" s="17" t="n"/>
      <c r="R376" s="17" t="n"/>
    </row>
    <row r="377" ht="175.6" customHeight="1">
      <c r="A377" s="22" t="n">
        <v>373</v>
      </c>
      <c r="B377" s="22" t="n">
        <v>3</v>
      </c>
      <c r="C377" s="23" t="inlineStr">
        <is>
          <t>MB-FORM-14 / Boiler Room</t>
        </is>
      </c>
      <c r="D377" s="23" t="inlineStr">
        <is>
          <t>MB-FORM-14</t>
        </is>
      </c>
      <c r="E377" s="24" t="inlineStr">
        <is>
          <t>Boiler Room</t>
        </is>
      </c>
      <c r="F377" s="5" t="inlineStr">
        <is>
          <t>Mobile — Operasional Stasiun (MB-)</t>
        </is>
      </c>
      <c r="G377" s="24" t="inlineStr">
        <is>
          <t>Tabel Target Operasional hanya referensi, tidak tersimpan</t>
        </is>
      </c>
      <c r="H377" s="5" t="inlineStr">
        <is>
          <t>OPR-A</t>
        </is>
      </c>
      <c r="I377" s="5" t="inlineStr">
        <is>
          <t>stasiun yang punya tabel target (Threshing, Pressing, Depricarping, Kernel Plant, Grading)</t>
        </is>
      </c>
      <c r="J377" s="5" t="inlineStr">
        <is>
          <t>1. Pilih stasiun yang punya tabel target: Threshing, Pressing, Depricarping, Kernel Plant, atau Grading.
2. Login di mobile, buka Monitor Boiler Room, lalu tekan New Data (/stations/boiler-room/form/&lt;id&gt;) untuk stasiun itu.
3. Gulir ke bawah sampai tabel Target Operasional.
4. Coba mengetik pada tabel itu.
5. Isi form dengan benar dan Simpan.
6. Buka record itu di Data Preview dan periksa apakah nilai target ikut tersimpan sebagai data record.</t>
        </is>
      </c>
      <c r="K377" s="5" t="inlineStr">
        <is>
          <t>- Tabel target tampil read-only — tidak satu pun selnya dapat diketik.
- Isinya sama di mobile dan di web untuk stasiun yang sama.
- Nilai target tidak menjadi bagian data record — ia hanya acuan yang ditampilkan.</t>
        </is>
      </c>
      <c r="L377" s="22" t="inlineStr">
        <is>
          <t>Rendah</t>
        </is>
      </c>
      <c r="M377" s="5" t="inlineStr"/>
      <c r="N377" s="17" t="n"/>
      <c r="O377" s="17" t="n"/>
      <c r="P377" s="17" t="n"/>
      <c r="Q377" s="17" t="n"/>
      <c r="R377" s="17" t="n"/>
    </row>
    <row r="378" ht="175.6" customHeight="1">
      <c r="A378" s="18" t="n">
        <v>374</v>
      </c>
      <c r="B378" s="18" t="n">
        <v>3</v>
      </c>
      <c r="C378" s="19" t="inlineStr">
        <is>
          <t>MB-FORM-14 / Effluent Plant</t>
        </is>
      </c>
      <c r="D378" s="19" t="inlineStr">
        <is>
          <t>MB-FORM-14</t>
        </is>
      </c>
      <c r="E378" s="20" t="inlineStr">
        <is>
          <t>Effluent Plant</t>
        </is>
      </c>
      <c r="F378" s="21" t="inlineStr">
        <is>
          <t>Mobile — Operasional Stasiun (MB-)</t>
        </is>
      </c>
      <c r="G378" s="20" t="inlineStr">
        <is>
          <t>Tabel Target Operasional hanya referensi, tidak tersimpan</t>
        </is>
      </c>
      <c r="H378" s="21" t="inlineStr">
        <is>
          <t>OPR-A</t>
        </is>
      </c>
      <c r="I378" s="21" t="inlineStr">
        <is>
          <t>stasiun yang punya tabel target (Threshing, Pressing, Depricarping, Kernel Plant, Grading)</t>
        </is>
      </c>
      <c r="J378" s="21" t="inlineStr">
        <is>
          <t>1. Pilih stasiun yang punya tabel target: Threshing, Pressing, Depricarping, Kernel Plant, atau Grading.
2. Login di mobile, buka Monitor Effluent Plant, lalu tekan New Data (/stations/effluent-plant/form/&lt;id&gt;) untuk stasiun itu.
3. Gulir ke bawah sampai tabel Target Operasional.
4. Coba mengetik pada tabel itu.
5. Isi form dengan benar dan Simpan.
6. Buka record itu di Data Preview dan periksa apakah nilai target ikut tersimpan sebagai data record.</t>
        </is>
      </c>
      <c r="K378" s="21" t="inlineStr">
        <is>
          <t>- Tabel target tampil read-only — tidak satu pun selnya dapat diketik.
- Isinya sama di mobile dan di web untuk stasiun yang sama.
- Nilai target tidak menjadi bagian data record — ia hanya acuan yang ditampilkan.</t>
        </is>
      </c>
      <c r="L378" s="18" t="inlineStr">
        <is>
          <t>Rendah</t>
        </is>
      </c>
      <c r="M378" s="21" t="inlineStr"/>
      <c r="N378" s="17" t="n"/>
      <c r="O378" s="17" t="n"/>
      <c r="P378" s="17" t="n"/>
      <c r="Q378" s="17" t="n"/>
      <c r="R378" s="17" t="n"/>
    </row>
    <row r="379" ht="175.6" customHeight="1">
      <c r="A379" s="11" t="n">
        <v>375</v>
      </c>
      <c r="B379" s="12" t="n">
        <v>1</v>
      </c>
      <c r="C379" s="13" t="inlineStr">
        <is>
          <t>MB-FORM-14 / Depricarping</t>
        </is>
      </c>
      <c r="D379" s="13" t="inlineStr">
        <is>
          <t>MB-FORM-14</t>
        </is>
      </c>
      <c r="E379" s="15" t="inlineStr">
        <is>
          <t>Depricarping</t>
        </is>
      </c>
      <c r="F379" s="14" t="inlineStr">
        <is>
          <t>Mobile — Operasional Stasiun (MB-)</t>
        </is>
      </c>
      <c r="G379" s="15" t="inlineStr">
        <is>
          <t>Tabel Target Operasional hanya referensi, tidak tersimpan</t>
        </is>
      </c>
      <c r="H379" s="14" t="inlineStr">
        <is>
          <t>OPR-A</t>
        </is>
      </c>
      <c r="I379" s="14" t="inlineStr">
        <is>
          <t>stasiun yang punya tabel target (Threshing, Pressing, Depricarping, Kernel Plant, Grading)</t>
        </is>
      </c>
      <c r="J379" s="14" t="inlineStr">
        <is>
          <t>1. Pilih stasiun yang punya tabel target: Threshing, Pressing, Depricarping, Kernel Plant, atau Grading.
2. Login di mobile, buka Monitor Depricarping, lalu tekan New Data (/stations/depricarping/form/&lt;id&gt;) untuk stasiun itu.
3. Gulir ke bawah sampai tabel Target Operasional.
4. Coba mengetik pada tabel itu.
5. Isi form dengan benar dan Simpan.
6. Buka record itu di Data Preview dan periksa apakah nilai target ikut tersimpan sebagai data record.</t>
        </is>
      </c>
      <c r="K379" s="14" t="inlineStr">
        <is>
          <t>- Tabel target tampil read-only — tidak satu pun selnya dapat diketik.
- Isinya sama di mobile dan di web untuk stasiun yang sama.
- Nilai target tidak menjadi bagian data record — ia hanya acuan yang ditampilkan.</t>
        </is>
      </c>
      <c r="L379" s="11" t="inlineStr">
        <is>
          <t>Rendah</t>
        </is>
      </c>
      <c r="M379" s="14" t="inlineStr"/>
      <c r="N379" s="17" t="n"/>
      <c r="O379" s="17" t="n"/>
      <c r="P379" s="17" t="n"/>
      <c r="Q379" s="17" t="n"/>
      <c r="R379" s="17" t="n"/>
    </row>
    <row r="380" ht="175.6" customHeight="1">
      <c r="A380" s="18" t="n">
        <v>376</v>
      </c>
      <c r="B380" s="18" t="n">
        <v>3</v>
      </c>
      <c r="C380" s="19" t="inlineStr">
        <is>
          <t>MB-FORM-14 / Engine Room</t>
        </is>
      </c>
      <c r="D380" s="19" t="inlineStr">
        <is>
          <t>MB-FORM-14</t>
        </is>
      </c>
      <c r="E380" s="20" t="inlineStr">
        <is>
          <t>Engine Room</t>
        </is>
      </c>
      <c r="F380" s="21" t="inlineStr">
        <is>
          <t>Mobile — Operasional Stasiun (MB-)</t>
        </is>
      </c>
      <c r="G380" s="20" t="inlineStr">
        <is>
          <t>Tabel Target Operasional hanya referensi, tidak tersimpan</t>
        </is>
      </c>
      <c r="H380" s="21" t="inlineStr">
        <is>
          <t>OPR-A</t>
        </is>
      </c>
      <c r="I380" s="21" t="inlineStr">
        <is>
          <t>stasiun yang punya tabel target (Threshing, Pressing, Depricarping, Kernel Plant, Grading)</t>
        </is>
      </c>
      <c r="J380" s="21" t="inlineStr">
        <is>
          <t>1. Pilih stasiun yang punya tabel target: Threshing, Pressing, Depricarping, Kernel Plant, atau Grading.
2. Login di mobile, buka Monitor Engine Room, lalu tekan New Data (/stations/engine-room/form/&lt;id&gt;) untuk stasiun itu.
3. Gulir ke bawah sampai tabel Target Operasional.
4. Coba mengetik pada tabel itu.
5. Isi form dengan benar dan Simpan.
6. Buka record itu di Data Preview dan periksa apakah nilai target ikut tersimpan sebagai data record.</t>
        </is>
      </c>
      <c r="K380" s="21" t="inlineStr">
        <is>
          <t>- Tabel target tampil read-only — tidak satu pun selnya dapat diketik.
- Isinya sama di mobile dan di web untuk stasiun yang sama.
- Nilai target tidak menjadi bagian data record — ia hanya acuan yang ditampilkan.</t>
        </is>
      </c>
      <c r="L380" s="18" t="inlineStr">
        <is>
          <t>Rendah</t>
        </is>
      </c>
      <c r="M380" s="21" t="inlineStr"/>
      <c r="N380" s="17" t="n"/>
      <c r="O380" s="17" t="n"/>
      <c r="P380" s="17" t="n"/>
      <c r="Q380" s="17" t="n"/>
      <c r="R380" s="17" t="n"/>
    </row>
    <row r="381" ht="175.6" customHeight="1">
      <c r="A381" s="22" t="n">
        <v>377</v>
      </c>
      <c r="B381" s="22" t="n">
        <v>3</v>
      </c>
      <c r="C381" s="23" t="inlineStr">
        <is>
          <t>MB-FORM-14 / Process Water</t>
        </is>
      </c>
      <c r="D381" s="23" t="inlineStr">
        <is>
          <t>MB-FORM-14</t>
        </is>
      </c>
      <c r="E381" s="24" t="inlineStr">
        <is>
          <t>Process Water</t>
        </is>
      </c>
      <c r="F381" s="5" t="inlineStr">
        <is>
          <t>Mobile — Operasional Stasiun (MB-)</t>
        </is>
      </c>
      <c r="G381" s="24" t="inlineStr">
        <is>
          <t>Tabel Target Operasional hanya referensi, tidak tersimpan</t>
        </is>
      </c>
      <c r="H381" s="5" t="inlineStr">
        <is>
          <t>OPR-A</t>
        </is>
      </c>
      <c r="I381" s="5" t="inlineStr">
        <is>
          <t>stasiun yang punya tabel target (Threshing, Pressing, Depricarping, Kernel Plant, Grading)</t>
        </is>
      </c>
      <c r="J381" s="5" t="inlineStr">
        <is>
          <t>1. Pilih stasiun yang punya tabel target: Threshing, Pressing, Depricarping, Kernel Plant, atau Grading.
2. Login di mobile, buka Monitor Process Water, lalu tekan New Data (/stations/process-water/form/&lt;id&gt;) untuk stasiun itu.
3. Gulir ke bawah sampai tabel Target Operasional.
4. Coba mengetik pada tabel itu.
5. Isi form dengan benar dan Simpan.
6. Buka record itu di Data Preview dan periksa apakah nilai target ikut tersimpan sebagai data record.</t>
        </is>
      </c>
      <c r="K381" s="5" t="inlineStr">
        <is>
          <t>- Tabel target tampil read-only — tidak satu pun selnya dapat diketik.
- Isinya sama di mobile dan di web untuk stasiun yang sama.
- Nilai target tidak menjadi bagian data record — ia hanya acuan yang ditampilkan.</t>
        </is>
      </c>
      <c r="L381" s="22" t="inlineStr">
        <is>
          <t>Rendah</t>
        </is>
      </c>
      <c r="M381" s="5" t="inlineStr"/>
      <c r="N381" s="17" t="n"/>
      <c r="O381" s="17" t="n"/>
      <c r="P381" s="17" t="n"/>
      <c r="Q381" s="17" t="n"/>
      <c r="R381" s="17" t="n"/>
    </row>
    <row r="382" ht="175.6" customHeight="1">
      <c r="A382" s="18" t="n">
        <v>378</v>
      </c>
      <c r="B382" s="18" t="n">
        <v>3</v>
      </c>
      <c r="C382" s="19" t="inlineStr">
        <is>
          <t>MB-FORM-14 / Storage Tank</t>
        </is>
      </c>
      <c r="D382" s="19" t="inlineStr">
        <is>
          <t>MB-FORM-14</t>
        </is>
      </c>
      <c r="E382" s="20" t="inlineStr">
        <is>
          <t>Storage Tank</t>
        </is>
      </c>
      <c r="F382" s="21" t="inlineStr">
        <is>
          <t>Mobile — Operasional Stasiun (MB-)</t>
        </is>
      </c>
      <c r="G382" s="20" t="inlineStr">
        <is>
          <t>Tabel Target Operasional hanya referensi, tidak tersimpan</t>
        </is>
      </c>
      <c r="H382" s="21" t="inlineStr">
        <is>
          <t>OPR-A</t>
        </is>
      </c>
      <c r="I382" s="21" t="inlineStr">
        <is>
          <t>stasiun yang punya tabel target (Threshing, Pressing, Depricarping, Kernel Plant, Grading)</t>
        </is>
      </c>
      <c r="J382" s="21" t="inlineStr">
        <is>
          <t>1. Pilih stasiun yang punya tabel target: Threshing, Pressing, Depricarping, Kernel Plant, atau Grading.
2. Login di mobile, buka Monitor Storage Tank, lalu tekan New Data (/stations/storage-tank/form/&lt;id&gt;) untuk stasiun itu.
3. Gulir ke bawah sampai tabel Target Operasional.
4. Coba mengetik pada tabel itu.
5. Isi form dengan benar dan Simpan.
6. Buka record itu di Data Preview dan periksa apakah nilai target ikut tersimpan sebagai data record.</t>
        </is>
      </c>
      <c r="K382" s="21" t="inlineStr">
        <is>
          <t>- Tabel target tampil read-only — tidak satu pun selnya dapat diketik.
- Isinya sama di mobile dan di web untuk stasiun yang sama.
- Nilai target tidak menjadi bagian data record — ia hanya acuan yang ditampilkan.</t>
        </is>
      </c>
      <c r="L382" s="18" t="inlineStr">
        <is>
          <t>Rendah</t>
        </is>
      </c>
      <c r="M382" s="21" t="inlineStr"/>
      <c r="N382" s="17" t="n"/>
      <c r="O382" s="17" t="n"/>
      <c r="P382" s="17" t="n"/>
      <c r="Q382" s="17" t="n"/>
      <c r="R382" s="17" t="n"/>
    </row>
    <row r="383" ht="188.8" customHeight="1">
      <c r="A383" s="22" t="n">
        <v>379</v>
      </c>
      <c r="B383" s="22" t="n">
        <v>3</v>
      </c>
      <c r="C383" s="23" t="inlineStr">
        <is>
          <t>MB-FORM-14 / Solid Waste Disposal</t>
        </is>
      </c>
      <c r="D383" s="23" t="inlineStr">
        <is>
          <t>MB-FORM-14</t>
        </is>
      </c>
      <c r="E383" s="24" t="inlineStr">
        <is>
          <t>Solid Waste Disposal</t>
        </is>
      </c>
      <c r="F383" s="5" t="inlineStr">
        <is>
          <t>Mobile — Operasional Stasiun (MB-)</t>
        </is>
      </c>
      <c r="G383" s="24" t="inlineStr">
        <is>
          <t>Tabel Target Operasional hanya referensi, tidak tersimpan</t>
        </is>
      </c>
      <c r="H383" s="5" t="inlineStr">
        <is>
          <t>OPR-A</t>
        </is>
      </c>
      <c r="I383" s="5" t="inlineStr">
        <is>
          <t>stasiun yang punya tabel target (Threshing, Pressing, Depricarping, Kernel Plant, Grading)</t>
        </is>
      </c>
      <c r="J383" s="5" t="inlineStr">
        <is>
          <t>1. Pilih stasiun yang punya tabel target: Threshing, Pressing, Depricarping, Kernel Plant, atau Grading.
2. Login di mobile, buka Monitor Solid Waste Disposal, lalu tekan New Data (/stations/solid-waste-disposal/form/&lt;id&gt;) untuk stasiun itu.
3. Gulir ke bawah sampai tabel Target Operasional.
4. Coba mengetik pada tabel itu.
5. Isi form dengan benar dan Simpan.
6. Buka record itu di Data Preview dan periksa apakah nilai target ikut tersimpan sebagai data record.</t>
        </is>
      </c>
      <c r="K383" s="5" t="inlineStr">
        <is>
          <t>- Tabel target tampil read-only — tidak satu pun selnya dapat diketik.
- Isinya sama di mobile dan di web untuk stasiun yang sama.
- Nilai target tidak menjadi bagian data record — ia hanya acuan yang ditampilkan.</t>
        </is>
      </c>
      <c r="L383" s="22" t="inlineStr">
        <is>
          <t>Rendah</t>
        </is>
      </c>
      <c r="M383" s="5" t="inlineStr"/>
      <c r="N383" s="17" t="n"/>
      <c r="O383" s="17" t="n"/>
      <c r="P383" s="17" t="n"/>
      <c r="Q383" s="17" t="n"/>
      <c r="R383" s="17" t="n"/>
    </row>
    <row r="384" ht="175.6" customHeight="1">
      <c r="A384" s="18" t="n">
        <v>380</v>
      </c>
      <c r="B384" s="18" t="n">
        <v>3</v>
      </c>
      <c r="C384" s="19" t="inlineStr">
        <is>
          <t>MB-FORM-14 / Kernel Dispatch</t>
        </is>
      </c>
      <c r="D384" s="19" t="inlineStr">
        <is>
          <t>MB-FORM-14</t>
        </is>
      </c>
      <c r="E384" s="20" t="inlineStr">
        <is>
          <t>Kernel Dispatch</t>
        </is>
      </c>
      <c r="F384" s="21" t="inlineStr">
        <is>
          <t>Mobile — Operasional Stasiun (MB-)</t>
        </is>
      </c>
      <c r="G384" s="20" t="inlineStr">
        <is>
          <t>Tabel Target Operasional hanya referensi, tidak tersimpan</t>
        </is>
      </c>
      <c r="H384" s="21" t="inlineStr">
        <is>
          <t>OPR-A</t>
        </is>
      </c>
      <c r="I384" s="21" t="inlineStr">
        <is>
          <t>stasiun yang punya tabel target (Threshing, Pressing, Depricarping, Kernel Plant, Grading)</t>
        </is>
      </c>
      <c r="J384" s="21" t="inlineStr">
        <is>
          <t>1. Pilih stasiun yang punya tabel target: Threshing, Pressing, Depricarping, Kernel Plant, atau Grading.
2. Login di mobile, buka Monitor Kernel Dispatch, lalu tekan New Data (/stations/kernel-dispatch/form/&lt;id&gt;) untuk stasiun itu.
3. Gulir ke bawah sampai tabel Target Operasional.
4. Coba mengetik pada tabel itu.
5. Isi form dengan benar dan Simpan.
6. Buka record itu di Data Preview dan periksa apakah nilai target ikut tersimpan sebagai data record.</t>
        </is>
      </c>
      <c r="K384" s="21" t="inlineStr">
        <is>
          <t>- Tabel target tampil read-only — tidak satu pun selnya dapat diketik.
- Isinya sama di mobile dan di web untuk stasiun yang sama.
- Nilai target tidak menjadi bagian data record — ia hanya acuan yang ditampilkan.</t>
        </is>
      </c>
      <c r="L384" s="18" t="inlineStr">
        <is>
          <t>Rendah</t>
        </is>
      </c>
      <c r="M384" s="21" t="inlineStr"/>
      <c r="N384" s="17" t="n"/>
      <c r="O384" s="17" t="n"/>
      <c r="P384" s="17" t="n"/>
      <c r="Q384" s="17" t="n"/>
      <c r="R384" s="17" t="n"/>
    </row>
    <row r="385" ht="175.6" customHeight="1">
      <c r="A385" s="22" t="n">
        <v>381</v>
      </c>
      <c r="B385" s="22" t="n">
        <v>3</v>
      </c>
      <c r="C385" s="23" t="inlineStr">
        <is>
          <t>MB-FORM-14 / CPO Dispatch</t>
        </is>
      </c>
      <c r="D385" s="23" t="inlineStr">
        <is>
          <t>MB-FORM-14</t>
        </is>
      </c>
      <c r="E385" s="24" t="inlineStr">
        <is>
          <t>CPO Dispatch</t>
        </is>
      </c>
      <c r="F385" s="5" t="inlineStr">
        <is>
          <t>Mobile — Operasional Stasiun (MB-)</t>
        </is>
      </c>
      <c r="G385" s="24" t="inlineStr">
        <is>
          <t>Tabel Target Operasional hanya referensi, tidak tersimpan</t>
        </is>
      </c>
      <c r="H385" s="5" t="inlineStr">
        <is>
          <t>OPR-A</t>
        </is>
      </c>
      <c r="I385" s="5" t="inlineStr">
        <is>
          <t>stasiun yang punya tabel target (Threshing, Pressing, Depricarping, Kernel Plant, Grading)</t>
        </is>
      </c>
      <c r="J385" s="5" t="inlineStr">
        <is>
          <t>1. Pilih stasiun yang punya tabel target: Threshing, Pressing, Depricarping, Kernel Plant, atau Grading.
2. Login di mobile, buka Monitor CPO Dispatch, lalu tekan New Data (/stations/cpo-dispatch/form/&lt;id&gt;) untuk stasiun itu.
3. Gulir ke bawah sampai tabel Target Operasional.
4. Coba mengetik pada tabel itu.
5. Isi form dengan benar dan Simpan.
6. Buka record itu di Data Preview dan periksa apakah nilai target ikut tersimpan sebagai data record.</t>
        </is>
      </c>
      <c r="K385" s="5" t="inlineStr">
        <is>
          <t>- Tabel target tampil read-only — tidak satu pun selnya dapat diketik.
- Isinya sama di mobile dan di web untuk stasiun yang sama.
- Nilai target tidak menjadi bagian data record — ia hanya acuan yang ditampilkan.</t>
        </is>
      </c>
      <c r="L385" s="22" t="inlineStr">
        <is>
          <t>Rendah</t>
        </is>
      </c>
      <c r="M385" s="5" t="inlineStr"/>
      <c r="N385" s="17" t="n"/>
      <c r="O385" s="17" t="n"/>
      <c r="P385" s="17" t="n"/>
      <c r="Q385" s="17" t="n"/>
      <c r="R385" s="17" t="n"/>
    </row>
    <row r="386" ht="188.8" customHeight="1">
      <c r="A386" s="18" t="n">
        <v>382</v>
      </c>
      <c r="B386" s="18" t="n">
        <v>3</v>
      </c>
      <c r="C386" s="19" t="inlineStr">
        <is>
          <t>MB-FORM-14 / Process Quality Control</t>
        </is>
      </c>
      <c r="D386" s="19" t="inlineStr">
        <is>
          <t>MB-FORM-14</t>
        </is>
      </c>
      <c r="E386" s="20" t="inlineStr">
        <is>
          <t>Process Quality Control</t>
        </is>
      </c>
      <c r="F386" s="21" t="inlineStr">
        <is>
          <t>Mobile — Operasional Stasiun (MB-)</t>
        </is>
      </c>
      <c r="G386" s="20" t="inlineStr">
        <is>
          <t>Tabel Target Operasional hanya referensi, tidak tersimpan</t>
        </is>
      </c>
      <c r="H386" s="21" t="inlineStr">
        <is>
          <t>OPR-A</t>
        </is>
      </c>
      <c r="I386" s="21" t="inlineStr">
        <is>
          <t>stasiun yang punya tabel target (Threshing, Pressing, Depricarping, Kernel Plant, Grading)</t>
        </is>
      </c>
      <c r="J386" s="21" t="inlineStr">
        <is>
          <t>1. Pilih stasiun yang punya tabel target: Threshing, Pressing, Depricarping, Kernel Plant, atau Grading.
2. Login di mobile, buka Monitor Process Quality Control, lalu tekan New Data (/stations/process-quality-control/form/&lt;id&gt;) untuk stasiun itu.
3. Gulir ke bawah sampai tabel Target Operasional.
4. Coba mengetik pada tabel itu.
5. Isi form dengan benar dan Simpan.
6. Buka record itu di Data Preview dan periksa apakah nilai target ikut tersimpan sebagai data record.</t>
        </is>
      </c>
      <c r="K386" s="21" t="inlineStr">
        <is>
          <t>- Tabel target tampil read-only — tidak satu pun selnya dapat diketik.
- Isinya sama di mobile dan di web untuk stasiun yang sama.
- Nilai target tidak menjadi bagian data record — ia hanya acuan yang ditampilkan.</t>
        </is>
      </c>
      <c r="L386" s="18" t="inlineStr">
        <is>
          <t>Rendah</t>
        </is>
      </c>
      <c r="M386" s="21" t="inlineStr"/>
      <c r="N386" s="17" t="n"/>
      <c r="O386" s="17" t="n"/>
      <c r="P386" s="17" t="n"/>
      <c r="Q386" s="17" t="n"/>
      <c r="R386" s="17" t="n"/>
    </row>
    <row r="387" ht="122.8" customHeight="1">
      <c r="A387" s="22" t="n">
        <v>383</v>
      </c>
      <c r="B387" s="22" t="n">
        <v>3</v>
      </c>
      <c r="C387" s="23" t="inlineStr">
        <is>
          <t>MB-FORM-15 / Weighbridge</t>
        </is>
      </c>
      <c r="D387" s="23" t="inlineStr">
        <is>
          <t>MB-FORM-15</t>
        </is>
      </c>
      <c r="E387" s="24" t="inlineStr">
        <is>
          <t>Weighbridge</t>
        </is>
      </c>
      <c r="F387" s="5" t="inlineStr">
        <is>
          <t>Mobile — Operasional Stasiun (MB-)</t>
        </is>
      </c>
      <c r="G387" s="24" t="inlineStr">
        <is>
          <t>Simpan ditolak bila Production Line tidak punya stasiun aktif</t>
        </is>
      </c>
      <c r="H387" s="5" t="inlineStr">
        <is>
          <t>OPR-A</t>
        </is>
      </c>
      <c r="I387" s="5" t="inlineStr">
        <is>
          <t>satu Production Line yang tidak punya stasiun jenis itu dalam keadaan aktif</t>
        </is>
      </c>
      <c r="J387" s="5" t="inlineStr">
        <is>
          <t>1. Sebagai ADM di web, siapkan satu Production Line yang tidak punya stasiun jenis ini dalam keadaan aktif.
2. Login di mobile, tekan Station List (/stations); pilih Production Line bila diminta sebagai OPR-A dan pilih Production Line itu.
3. Buka Monitor Weighbridge, tekan New Data.
4. Isi form dengan benar, lalu tekan Simpan.
5. Baca pesannya.</t>
        </is>
      </c>
      <c r="K387" s="5" t="inlineStr">
        <is>
          <t>- Ditolak — record tidak tersimpan.
- Pesannya menyebut bahwa Production Line itu tidak punya stasiun jenis ini yang aktif.
- BUKAN pesan galat teknis, BUKAN layar yang diam tanpa tanggapan.</t>
        </is>
      </c>
      <c r="L387" s="16" t="inlineStr">
        <is>
          <t>Tinggi</t>
        </is>
      </c>
      <c r="M387" s="5" t="inlineStr"/>
      <c r="N387" s="17" t="n"/>
      <c r="O387" s="17" t="n"/>
      <c r="P387" s="17" t="n"/>
      <c r="Q387" s="17" t="n"/>
      <c r="R387" s="17" t="n"/>
    </row>
    <row r="388" ht="122.8" customHeight="1">
      <c r="A388" s="18" t="n">
        <v>384</v>
      </c>
      <c r="B388" s="18" t="n">
        <v>3</v>
      </c>
      <c r="C388" s="19" t="inlineStr">
        <is>
          <t>MB-FORM-15 / Grading</t>
        </is>
      </c>
      <c r="D388" s="19" t="inlineStr">
        <is>
          <t>MB-FORM-15</t>
        </is>
      </c>
      <c r="E388" s="20" t="inlineStr">
        <is>
          <t>Grading</t>
        </is>
      </c>
      <c r="F388" s="21" t="inlineStr">
        <is>
          <t>Mobile — Operasional Stasiun (MB-)</t>
        </is>
      </c>
      <c r="G388" s="20" t="inlineStr">
        <is>
          <t>Simpan ditolak bila Production Line tidak punya stasiun aktif</t>
        </is>
      </c>
      <c r="H388" s="21" t="inlineStr">
        <is>
          <t>OPR-A</t>
        </is>
      </c>
      <c r="I388" s="21" t="inlineStr">
        <is>
          <t>satu Production Line yang tidak punya stasiun jenis itu dalam keadaan aktif</t>
        </is>
      </c>
      <c r="J388" s="21" t="inlineStr">
        <is>
          <t>1. Sebagai ADM di web, siapkan satu Production Line yang tidak punya stasiun jenis ini dalam keadaan aktif.
2. Login di mobile, tekan Station List (/stations); pilih Production Line bila diminta sebagai OPR-A dan pilih Production Line itu.
3. Buka Monitor Grading, tekan New Data.
4. Isi form dengan benar, lalu tekan Simpan.
5. Baca pesannya.</t>
        </is>
      </c>
      <c r="K388" s="21" t="inlineStr">
        <is>
          <t>- Ditolak — record tidak tersimpan.
- Pesannya menyebut bahwa Production Line itu tidak punya stasiun jenis ini yang aktif.
- BUKAN pesan galat teknis, BUKAN layar yang diam tanpa tanggapan.</t>
        </is>
      </c>
      <c r="L388" s="16" t="inlineStr">
        <is>
          <t>Tinggi</t>
        </is>
      </c>
      <c r="M388" s="21" t="inlineStr"/>
      <c r="N388" s="17" t="n"/>
      <c r="O388" s="17" t="n"/>
      <c r="P388" s="17" t="n"/>
      <c r="Q388" s="17" t="n"/>
      <c r="R388" s="17" t="n"/>
    </row>
    <row r="389" ht="122.8" customHeight="1">
      <c r="A389" s="22" t="n">
        <v>385</v>
      </c>
      <c r="B389" s="22" t="n">
        <v>3</v>
      </c>
      <c r="C389" s="23" t="inlineStr">
        <is>
          <t>MB-FORM-15 / Cages Track</t>
        </is>
      </c>
      <c r="D389" s="23" t="inlineStr">
        <is>
          <t>MB-FORM-15</t>
        </is>
      </c>
      <c r="E389" s="24" t="inlineStr">
        <is>
          <t>Cages Track</t>
        </is>
      </c>
      <c r="F389" s="5" t="inlineStr">
        <is>
          <t>Mobile — Operasional Stasiun (MB-)</t>
        </is>
      </c>
      <c r="G389" s="24" t="inlineStr">
        <is>
          <t>Simpan ditolak bila Production Line tidak punya stasiun aktif</t>
        </is>
      </c>
      <c r="H389" s="5" t="inlineStr">
        <is>
          <t>OPR-A</t>
        </is>
      </c>
      <c r="I389" s="5" t="inlineStr">
        <is>
          <t>satu Production Line yang tidak punya stasiun jenis itu dalam keadaan aktif</t>
        </is>
      </c>
      <c r="J389" s="5" t="inlineStr">
        <is>
          <t>1. Sebagai ADM di web, siapkan satu Production Line yang tidak punya stasiun jenis ini dalam keadaan aktif.
2. Login di mobile, tekan Station List (/stations); pilih Production Line bila diminta sebagai OPR-A dan pilih Production Line itu.
3. Buka Monitor Cages Track, tekan New Data.
4. Isi form dengan benar, lalu tekan Simpan.
5. Baca pesannya.</t>
        </is>
      </c>
      <c r="K389" s="5" t="inlineStr">
        <is>
          <t>- Ditolak — record tidak tersimpan.
- Pesannya menyebut bahwa Production Line itu tidak punya stasiun jenis ini yang aktif.
- BUKAN pesan galat teknis, BUKAN layar yang diam tanpa tanggapan.</t>
        </is>
      </c>
      <c r="L389" s="16" t="inlineStr">
        <is>
          <t>Tinggi</t>
        </is>
      </c>
      <c r="M389" s="5" t="inlineStr"/>
      <c r="N389" s="17" t="n"/>
      <c r="O389" s="17" t="n"/>
      <c r="P389" s="17" t="n"/>
      <c r="Q389" s="17" t="n"/>
      <c r="R389" s="17" t="n"/>
    </row>
    <row r="390" ht="122.8" customHeight="1">
      <c r="A390" s="18" t="n">
        <v>386</v>
      </c>
      <c r="B390" s="18" t="n">
        <v>3</v>
      </c>
      <c r="C390" s="19" t="inlineStr">
        <is>
          <t>MB-FORM-15 / Sterilizer</t>
        </is>
      </c>
      <c r="D390" s="19" t="inlineStr">
        <is>
          <t>MB-FORM-15</t>
        </is>
      </c>
      <c r="E390" s="20" t="inlineStr">
        <is>
          <t>Sterilizer</t>
        </is>
      </c>
      <c r="F390" s="21" t="inlineStr">
        <is>
          <t>Mobile — Operasional Stasiun (MB-)</t>
        </is>
      </c>
      <c r="G390" s="20" t="inlineStr">
        <is>
          <t>Simpan ditolak bila Production Line tidak punya stasiun aktif</t>
        </is>
      </c>
      <c r="H390" s="21" t="inlineStr">
        <is>
          <t>OPR-A</t>
        </is>
      </c>
      <c r="I390" s="21" t="inlineStr">
        <is>
          <t>satu Production Line yang tidak punya stasiun jenis itu dalam keadaan aktif</t>
        </is>
      </c>
      <c r="J390" s="21" t="inlineStr">
        <is>
          <t>1. Sebagai ADM di web, siapkan satu Production Line yang tidak punya stasiun jenis ini dalam keadaan aktif.
2. Login di mobile, tekan Station List (/stations); pilih Production Line bila diminta sebagai OPR-A dan pilih Production Line itu.
3. Buka Monitor Sterilizer, tekan New Data.
4. Isi form dengan benar, lalu tekan Simpan.
5. Baca pesannya.</t>
        </is>
      </c>
      <c r="K390" s="21" t="inlineStr">
        <is>
          <t>- Ditolak — record tidak tersimpan.
- Pesannya menyebut bahwa Production Line itu tidak punya stasiun jenis ini yang aktif.
- BUKAN pesan galat teknis, BUKAN layar yang diam tanpa tanggapan.</t>
        </is>
      </c>
      <c r="L390" s="16" t="inlineStr">
        <is>
          <t>Tinggi</t>
        </is>
      </c>
      <c r="M390" s="21" t="inlineStr"/>
      <c r="N390" s="17" t="n"/>
      <c r="O390" s="17" t="n"/>
      <c r="P390" s="17" t="n"/>
      <c r="Q390" s="17" t="n"/>
      <c r="R390" s="17" t="n"/>
    </row>
    <row r="391" ht="122.8" customHeight="1">
      <c r="A391" s="22" t="n">
        <v>387</v>
      </c>
      <c r="B391" s="22" t="n">
        <v>3</v>
      </c>
      <c r="C391" s="23" t="inlineStr">
        <is>
          <t>MB-FORM-15 / Threshing</t>
        </is>
      </c>
      <c r="D391" s="23" t="inlineStr">
        <is>
          <t>MB-FORM-15</t>
        </is>
      </c>
      <c r="E391" s="24" t="inlineStr">
        <is>
          <t>Threshing</t>
        </is>
      </c>
      <c r="F391" s="5" t="inlineStr">
        <is>
          <t>Mobile — Operasional Stasiun (MB-)</t>
        </is>
      </c>
      <c r="G391" s="24" t="inlineStr">
        <is>
          <t>Simpan ditolak bila Production Line tidak punya stasiun aktif</t>
        </is>
      </c>
      <c r="H391" s="5" t="inlineStr">
        <is>
          <t>OPR-A</t>
        </is>
      </c>
      <c r="I391" s="5" t="inlineStr">
        <is>
          <t>satu Production Line yang tidak punya stasiun jenis itu dalam keadaan aktif</t>
        </is>
      </c>
      <c r="J391" s="5" t="inlineStr">
        <is>
          <t>1. Sebagai ADM di web, siapkan satu Production Line yang tidak punya stasiun jenis ini dalam keadaan aktif.
2. Login di mobile, tekan Station List (/stations); pilih Production Line bila diminta sebagai OPR-A dan pilih Production Line itu.
3. Buka Monitor Threshing, tekan New Data.
4. Isi form dengan benar, lalu tekan Simpan.
5. Baca pesannya.</t>
        </is>
      </c>
      <c r="K391" s="5" t="inlineStr">
        <is>
          <t>- Ditolak — record tidak tersimpan.
- Pesannya menyebut bahwa Production Line itu tidak punya stasiun jenis ini yang aktif.
- BUKAN pesan galat teknis, BUKAN layar yang diam tanpa tanggapan.</t>
        </is>
      </c>
      <c r="L391" s="16" t="inlineStr">
        <is>
          <t>Tinggi</t>
        </is>
      </c>
      <c r="M391" s="5" t="inlineStr"/>
      <c r="N391" s="17" t="n"/>
      <c r="O391" s="17" t="n"/>
      <c r="P391" s="17" t="n"/>
      <c r="Q391" s="17" t="n"/>
      <c r="R391" s="17" t="n"/>
    </row>
    <row r="392" ht="122.8" customHeight="1">
      <c r="A392" s="18" t="n">
        <v>388</v>
      </c>
      <c r="B392" s="18" t="n">
        <v>3</v>
      </c>
      <c r="C392" s="19" t="inlineStr">
        <is>
          <t>MB-FORM-15 / Pressing</t>
        </is>
      </c>
      <c r="D392" s="19" t="inlineStr">
        <is>
          <t>MB-FORM-15</t>
        </is>
      </c>
      <c r="E392" s="20" t="inlineStr">
        <is>
          <t>Pressing</t>
        </is>
      </c>
      <c r="F392" s="21" t="inlineStr">
        <is>
          <t>Mobile — Operasional Stasiun (MB-)</t>
        </is>
      </c>
      <c r="G392" s="20" t="inlineStr">
        <is>
          <t>Simpan ditolak bila Production Line tidak punya stasiun aktif</t>
        </is>
      </c>
      <c r="H392" s="21" t="inlineStr">
        <is>
          <t>OPR-A</t>
        </is>
      </c>
      <c r="I392" s="21" t="inlineStr">
        <is>
          <t>satu Production Line yang tidak punya stasiun jenis itu dalam keadaan aktif</t>
        </is>
      </c>
      <c r="J392" s="21" t="inlineStr">
        <is>
          <t>1. Sebagai ADM di web, siapkan satu Production Line yang tidak punya stasiun jenis ini dalam keadaan aktif.
2. Login di mobile, tekan Station List (/stations); pilih Production Line bila diminta sebagai OPR-A dan pilih Production Line itu.
3. Buka Monitor Pressing, tekan New Data.
4. Isi form dengan benar, lalu tekan Simpan.
5. Baca pesannya.</t>
        </is>
      </c>
      <c r="K392" s="21" t="inlineStr">
        <is>
          <t>- Ditolak — record tidak tersimpan.
- Pesannya menyebut bahwa Production Line itu tidak punya stasiun jenis ini yang aktif.
- BUKAN pesan galat teknis, BUKAN layar yang diam tanpa tanggapan.</t>
        </is>
      </c>
      <c r="L392" s="16" t="inlineStr">
        <is>
          <t>Tinggi</t>
        </is>
      </c>
      <c r="M392" s="21" t="inlineStr"/>
      <c r="N392" s="17" t="n"/>
      <c r="O392" s="17" t="n"/>
      <c r="P392" s="17" t="n"/>
      <c r="Q392" s="17" t="n"/>
      <c r="R392" s="17" t="n"/>
    </row>
    <row r="393" ht="136" customHeight="1">
      <c r="A393" s="22" t="n">
        <v>389</v>
      </c>
      <c r="B393" s="22" t="n">
        <v>3</v>
      </c>
      <c r="C393" s="23" t="inlineStr">
        <is>
          <t>MB-FORM-15 / Clarification</t>
        </is>
      </c>
      <c r="D393" s="23" t="inlineStr">
        <is>
          <t>MB-FORM-15</t>
        </is>
      </c>
      <c r="E393" s="24" t="inlineStr">
        <is>
          <t>Clarification</t>
        </is>
      </c>
      <c r="F393" s="5" t="inlineStr">
        <is>
          <t>Mobile — Operasional Stasiun (MB-)</t>
        </is>
      </c>
      <c r="G393" s="24" t="inlineStr">
        <is>
          <t>Simpan ditolak bila Production Line tidak punya stasiun aktif</t>
        </is>
      </c>
      <c r="H393" s="5" t="inlineStr">
        <is>
          <t>OPR-A</t>
        </is>
      </c>
      <c r="I393" s="5" t="inlineStr">
        <is>
          <t>satu Production Line yang tidak punya stasiun jenis itu dalam keadaan aktif</t>
        </is>
      </c>
      <c r="J393" s="5" t="inlineStr">
        <is>
          <t>1. Sebagai ADM di web, siapkan satu Production Line yang tidak punya stasiun jenis ini dalam keadaan aktif.
2. Login di mobile, tekan Station List (/stations); pilih Production Line bila diminta sebagai OPR-A dan pilih Production Line itu.
3. Buka Monitor Clarification, tekan New Data.
4. Isi form dengan benar, lalu tekan Simpan.
5. Baca pesannya.</t>
        </is>
      </c>
      <c r="K393" s="5" t="inlineStr">
        <is>
          <t>- Ditolak — record tidak tersimpan.
- Pesannya menyebut bahwa Production Line itu tidak punya stasiun jenis ini yang aktif.
- BUKAN pesan galat teknis, BUKAN layar yang diam tanpa tanggapan.</t>
        </is>
      </c>
      <c r="L393" s="16" t="inlineStr">
        <is>
          <t>Tinggi</t>
        </is>
      </c>
      <c r="M393" s="5" t="inlineStr"/>
      <c r="N393" s="17" t="n"/>
      <c r="O393" s="17" t="n"/>
      <c r="P393" s="17" t="n"/>
      <c r="Q393" s="17" t="n"/>
      <c r="R393" s="17" t="n"/>
    </row>
    <row r="394" ht="136" customHeight="1">
      <c r="A394" s="18" t="n">
        <v>390</v>
      </c>
      <c r="B394" s="18" t="n">
        <v>3</v>
      </c>
      <c r="C394" s="19" t="inlineStr">
        <is>
          <t>MB-FORM-15 / Kernel Plant</t>
        </is>
      </c>
      <c r="D394" s="19" t="inlineStr">
        <is>
          <t>MB-FORM-15</t>
        </is>
      </c>
      <c r="E394" s="20" t="inlineStr">
        <is>
          <t>Kernel Plant</t>
        </is>
      </c>
      <c r="F394" s="21" t="inlineStr">
        <is>
          <t>Mobile — Operasional Stasiun (MB-)</t>
        </is>
      </c>
      <c r="G394" s="20" t="inlineStr">
        <is>
          <t>Simpan ditolak bila Production Line tidak punya stasiun aktif</t>
        </is>
      </c>
      <c r="H394" s="21" t="inlineStr">
        <is>
          <t>OPR-A</t>
        </is>
      </c>
      <c r="I394" s="21" t="inlineStr">
        <is>
          <t>satu Production Line yang tidak punya stasiun jenis itu dalam keadaan aktif</t>
        </is>
      </c>
      <c r="J394" s="21" t="inlineStr">
        <is>
          <t>1. Sebagai ADM di web, siapkan satu Production Line yang tidak punya stasiun jenis ini dalam keadaan aktif.
2. Login di mobile, tekan Station List (/stations); pilih Production Line bila diminta sebagai OPR-A dan pilih Production Line itu.
3. Buka Monitor Kernel Plant, tekan New Data.
4. Isi form dengan benar, lalu tekan Simpan.
5. Baca pesannya.</t>
        </is>
      </c>
      <c r="K394" s="21" t="inlineStr">
        <is>
          <t>- Ditolak — record tidak tersimpan.
- Pesannya menyebut bahwa Production Line itu tidak punya stasiun jenis ini yang aktif.
- BUKAN pesan galat teknis, BUKAN layar yang diam tanpa tanggapan.</t>
        </is>
      </c>
      <c r="L394" s="16" t="inlineStr">
        <is>
          <t>Tinggi</t>
        </is>
      </c>
      <c r="M394" s="21" t="inlineStr"/>
      <c r="N394" s="17" t="n"/>
      <c r="O394" s="17" t="n"/>
      <c r="P394" s="17" t="n"/>
      <c r="Q394" s="17" t="n"/>
      <c r="R394" s="17" t="n"/>
    </row>
    <row r="395" ht="122.8" customHeight="1">
      <c r="A395" s="22" t="n">
        <v>391</v>
      </c>
      <c r="B395" s="22" t="n">
        <v>3</v>
      </c>
      <c r="C395" s="23" t="inlineStr">
        <is>
          <t>MB-FORM-15 / Boiler Room</t>
        </is>
      </c>
      <c r="D395" s="23" t="inlineStr">
        <is>
          <t>MB-FORM-15</t>
        </is>
      </c>
      <c r="E395" s="24" t="inlineStr">
        <is>
          <t>Boiler Room</t>
        </is>
      </c>
      <c r="F395" s="5" t="inlineStr">
        <is>
          <t>Mobile — Operasional Stasiun (MB-)</t>
        </is>
      </c>
      <c r="G395" s="24" t="inlineStr">
        <is>
          <t>Simpan ditolak bila Production Line tidak punya stasiun aktif</t>
        </is>
      </c>
      <c r="H395" s="5" t="inlineStr">
        <is>
          <t>OPR-A</t>
        </is>
      </c>
      <c r="I395" s="5" t="inlineStr">
        <is>
          <t>satu Production Line yang tidak punya stasiun jenis itu dalam keadaan aktif</t>
        </is>
      </c>
      <c r="J395" s="5" t="inlineStr">
        <is>
          <t>1. Sebagai ADM di web, siapkan satu Production Line yang tidak punya stasiun jenis ini dalam keadaan aktif.
2. Login di mobile, tekan Station List (/stations); pilih Production Line bila diminta sebagai OPR-A dan pilih Production Line itu.
3. Buka Monitor Boiler Room, tekan New Data.
4. Isi form dengan benar, lalu tekan Simpan.
5. Baca pesannya.</t>
        </is>
      </c>
      <c r="K395" s="5" t="inlineStr">
        <is>
          <t>- Ditolak — record tidak tersimpan.
- Pesannya menyebut bahwa Production Line itu tidak punya stasiun jenis ini yang aktif.
- BUKAN pesan galat teknis, BUKAN layar yang diam tanpa tanggapan.</t>
        </is>
      </c>
      <c r="L395" s="16" t="inlineStr">
        <is>
          <t>Tinggi</t>
        </is>
      </c>
      <c r="M395" s="5" t="inlineStr"/>
      <c r="N395" s="17" t="n"/>
      <c r="O395" s="17" t="n"/>
      <c r="P395" s="17" t="n"/>
      <c r="Q395" s="17" t="n"/>
      <c r="R395" s="17" t="n"/>
    </row>
    <row r="396" ht="136" customHeight="1">
      <c r="A396" s="18" t="n">
        <v>392</v>
      </c>
      <c r="B396" s="18" t="n">
        <v>3</v>
      </c>
      <c r="C396" s="19" t="inlineStr">
        <is>
          <t>MB-FORM-15 / Effluent Plant</t>
        </is>
      </c>
      <c r="D396" s="19" t="inlineStr">
        <is>
          <t>MB-FORM-15</t>
        </is>
      </c>
      <c r="E396" s="20" t="inlineStr">
        <is>
          <t>Effluent Plant</t>
        </is>
      </c>
      <c r="F396" s="21" t="inlineStr">
        <is>
          <t>Mobile — Operasional Stasiun (MB-)</t>
        </is>
      </c>
      <c r="G396" s="20" t="inlineStr">
        <is>
          <t>Simpan ditolak bila Production Line tidak punya stasiun aktif</t>
        </is>
      </c>
      <c r="H396" s="21" t="inlineStr">
        <is>
          <t>OPR-A</t>
        </is>
      </c>
      <c r="I396" s="21" t="inlineStr">
        <is>
          <t>satu Production Line yang tidak punya stasiun jenis itu dalam keadaan aktif</t>
        </is>
      </c>
      <c r="J396" s="21" t="inlineStr">
        <is>
          <t>1. Sebagai ADM di web, siapkan satu Production Line yang tidak punya stasiun jenis ini dalam keadaan aktif.
2. Login di mobile, tekan Station List (/stations); pilih Production Line bila diminta sebagai OPR-A dan pilih Production Line itu.
3. Buka Monitor Effluent Plant, tekan New Data.
4. Isi form dengan benar, lalu tekan Simpan.
5. Baca pesannya.</t>
        </is>
      </c>
      <c r="K396" s="21" t="inlineStr">
        <is>
          <t>- Ditolak — record tidak tersimpan.
- Pesannya menyebut bahwa Production Line itu tidak punya stasiun jenis ini yang aktif.
- BUKAN pesan galat teknis, BUKAN layar yang diam tanpa tanggapan.</t>
        </is>
      </c>
      <c r="L396" s="16" t="inlineStr">
        <is>
          <t>Tinggi</t>
        </is>
      </c>
      <c r="M396" s="21" t="inlineStr"/>
      <c r="N396" s="17" t="n"/>
      <c r="O396" s="17" t="n"/>
      <c r="P396" s="17" t="n"/>
      <c r="Q396" s="17" t="n"/>
      <c r="R396" s="17" t="n"/>
    </row>
    <row r="397" ht="136" customHeight="1">
      <c r="A397" s="11" t="n">
        <v>393</v>
      </c>
      <c r="B397" s="12" t="n">
        <v>1</v>
      </c>
      <c r="C397" s="13" t="inlineStr">
        <is>
          <t>MB-FORM-15 / Depricarping</t>
        </is>
      </c>
      <c r="D397" s="13" t="inlineStr">
        <is>
          <t>MB-FORM-15</t>
        </is>
      </c>
      <c r="E397" s="15" t="inlineStr">
        <is>
          <t>Depricarping</t>
        </is>
      </c>
      <c r="F397" s="14" t="inlineStr">
        <is>
          <t>Mobile — Operasional Stasiun (MB-)</t>
        </is>
      </c>
      <c r="G397" s="15" t="inlineStr">
        <is>
          <t>Simpan ditolak bila Production Line tidak punya stasiun aktif</t>
        </is>
      </c>
      <c r="H397" s="14" t="inlineStr">
        <is>
          <t>OPR-A</t>
        </is>
      </c>
      <c r="I397" s="14" t="inlineStr">
        <is>
          <t>satu Production Line yang tidak punya stasiun jenis itu dalam keadaan aktif</t>
        </is>
      </c>
      <c r="J397" s="14" t="inlineStr">
        <is>
          <t>1. Sebagai ADM di web, siapkan satu Production Line yang tidak punya stasiun jenis ini dalam keadaan aktif.
2. Login di mobile, tekan Station List (/stations); pilih Production Line bila diminta sebagai OPR-A dan pilih Production Line itu.
3. Buka Monitor Depricarping, tekan New Data.
4. Isi form dengan benar, lalu tekan Simpan.
5. Baca pesannya.</t>
        </is>
      </c>
      <c r="K397" s="14" t="inlineStr">
        <is>
          <t>- Ditolak — record tidak tersimpan.
- Pesannya menyebut bahwa Production Line itu tidak punya stasiun jenis ini yang aktif.
- BUKAN pesan galat teknis, BUKAN layar yang diam tanpa tanggapan.</t>
        </is>
      </c>
      <c r="L397" s="16" t="inlineStr">
        <is>
          <t>Tinggi</t>
        </is>
      </c>
      <c r="M397" s="14" t="inlineStr"/>
      <c r="N397" s="17" t="n"/>
      <c r="O397" s="17" t="n"/>
      <c r="P397" s="17" t="n"/>
      <c r="Q397" s="17" t="n"/>
      <c r="R397" s="17" t="n"/>
    </row>
    <row r="398" ht="122.8" customHeight="1">
      <c r="A398" s="18" t="n">
        <v>394</v>
      </c>
      <c r="B398" s="18" t="n">
        <v>3</v>
      </c>
      <c r="C398" s="19" t="inlineStr">
        <is>
          <t>MB-FORM-15 / Engine Room</t>
        </is>
      </c>
      <c r="D398" s="19" t="inlineStr">
        <is>
          <t>MB-FORM-15</t>
        </is>
      </c>
      <c r="E398" s="20" t="inlineStr">
        <is>
          <t>Engine Room</t>
        </is>
      </c>
      <c r="F398" s="21" t="inlineStr">
        <is>
          <t>Mobile — Operasional Stasiun (MB-)</t>
        </is>
      </c>
      <c r="G398" s="20" t="inlineStr">
        <is>
          <t>Simpan ditolak bila Production Line tidak punya stasiun aktif</t>
        </is>
      </c>
      <c r="H398" s="21" t="inlineStr">
        <is>
          <t>OPR-A</t>
        </is>
      </c>
      <c r="I398" s="21" t="inlineStr">
        <is>
          <t>satu Production Line yang tidak punya stasiun jenis itu dalam keadaan aktif</t>
        </is>
      </c>
      <c r="J398" s="21" t="inlineStr">
        <is>
          <t>1. Sebagai ADM di web, siapkan satu Production Line yang tidak punya stasiun jenis ini dalam keadaan aktif.
2. Login di mobile, tekan Station List (/stations); pilih Production Line bila diminta sebagai OPR-A dan pilih Production Line itu.
3. Buka Monitor Engine Room, tekan New Data.
4. Isi form dengan benar, lalu tekan Simpan.
5. Baca pesannya.</t>
        </is>
      </c>
      <c r="K398" s="21" t="inlineStr">
        <is>
          <t>- Ditolak — record tidak tersimpan.
- Pesannya menyebut bahwa Production Line itu tidak punya stasiun jenis ini yang aktif.
- BUKAN pesan galat teknis, BUKAN layar yang diam tanpa tanggapan.</t>
        </is>
      </c>
      <c r="L398" s="16" t="inlineStr">
        <is>
          <t>Tinggi</t>
        </is>
      </c>
      <c r="M398" s="21" t="inlineStr"/>
      <c r="N398" s="17" t="n"/>
      <c r="O398" s="17" t="n"/>
      <c r="P398" s="17" t="n"/>
      <c r="Q398" s="17" t="n"/>
      <c r="R398" s="17" t="n"/>
    </row>
    <row r="399" ht="136" customHeight="1">
      <c r="A399" s="22" t="n">
        <v>395</v>
      </c>
      <c r="B399" s="22" t="n">
        <v>3</v>
      </c>
      <c r="C399" s="23" t="inlineStr">
        <is>
          <t>MB-FORM-15 / Process Water</t>
        </is>
      </c>
      <c r="D399" s="23" t="inlineStr">
        <is>
          <t>MB-FORM-15</t>
        </is>
      </c>
      <c r="E399" s="24" t="inlineStr">
        <is>
          <t>Process Water</t>
        </is>
      </c>
      <c r="F399" s="5" t="inlineStr">
        <is>
          <t>Mobile — Operasional Stasiun (MB-)</t>
        </is>
      </c>
      <c r="G399" s="24" t="inlineStr">
        <is>
          <t>Simpan ditolak bila Production Line tidak punya stasiun aktif</t>
        </is>
      </c>
      <c r="H399" s="5" t="inlineStr">
        <is>
          <t>OPR-A</t>
        </is>
      </c>
      <c r="I399" s="5" t="inlineStr">
        <is>
          <t>satu Production Line yang tidak punya stasiun jenis itu dalam keadaan aktif</t>
        </is>
      </c>
      <c r="J399" s="5" t="inlineStr">
        <is>
          <t>1. Sebagai ADM di web, siapkan satu Production Line yang tidak punya stasiun jenis ini dalam keadaan aktif.
2. Login di mobile, tekan Station List (/stations); pilih Production Line bila diminta sebagai OPR-A dan pilih Production Line itu.
3. Buka Monitor Process Water, tekan New Data.
4. Isi form dengan benar, lalu tekan Simpan.
5. Baca pesannya.</t>
        </is>
      </c>
      <c r="K399" s="5" t="inlineStr">
        <is>
          <t>- Ditolak — record tidak tersimpan.
- Pesannya menyebut bahwa Production Line itu tidak punya stasiun jenis ini yang aktif.
- BUKAN pesan galat teknis, BUKAN layar yang diam tanpa tanggapan.</t>
        </is>
      </c>
      <c r="L399" s="16" t="inlineStr">
        <is>
          <t>Tinggi</t>
        </is>
      </c>
      <c r="M399" s="5" t="inlineStr"/>
      <c r="N399" s="17" t="n"/>
      <c r="O399" s="17" t="n"/>
      <c r="P399" s="17" t="n"/>
      <c r="Q399" s="17" t="n"/>
      <c r="R399" s="17" t="n"/>
    </row>
    <row r="400" ht="136" customHeight="1">
      <c r="A400" s="18" t="n">
        <v>396</v>
      </c>
      <c r="B400" s="18" t="n">
        <v>3</v>
      </c>
      <c r="C400" s="19" t="inlineStr">
        <is>
          <t>MB-FORM-15 / Storage Tank</t>
        </is>
      </c>
      <c r="D400" s="19" t="inlineStr">
        <is>
          <t>MB-FORM-15</t>
        </is>
      </c>
      <c r="E400" s="20" t="inlineStr">
        <is>
          <t>Storage Tank</t>
        </is>
      </c>
      <c r="F400" s="21" t="inlineStr">
        <is>
          <t>Mobile — Operasional Stasiun (MB-)</t>
        </is>
      </c>
      <c r="G400" s="20" t="inlineStr">
        <is>
          <t>Simpan ditolak bila Production Line tidak punya stasiun aktif</t>
        </is>
      </c>
      <c r="H400" s="21" t="inlineStr">
        <is>
          <t>OPR-A</t>
        </is>
      </c>
      <c r="I400" s="21" t="inlineStr">
        <is>
          <t>satu Production Line yang tidak punya stasiun jenis itu dalam keadaan aktif</t>
        </is>
      </c>
      <c r="J400" s="21" t="inlineStr">
        <is>
          <t>1. Sebagai ADM di web, siapkan satu Production Line yang tidak punya stasiun jenis ini dalam keadaan aktif.
2. Login di mobile, tekan Station List (/stations); pilih Production Line bila diminta sebagai OPR-A dan pilih Production Line itu.
3. Buka Monitor Storage Tank, tekan New Data.
4. Isi form dengan benar, lalu tekan Simpan.
5. Baca pesannya.</t>
        </is>
      </c>
      <c r="K400" s="21" t="inlineStr">
        <is>
          <t>- Ditolak — record tidak tersimpan.
- Pesannya menyebut bahwa Production Line itu tidak punya stasiun jenis ini yang aktif.
- BUKAN pesan galat teknis, BUKAN layar yang diam tanpa tanggapan.</t>
        </is>
      </c>
      <c r="L400" s="16" t="inlineStr">
        <is>
          <t>Tinggi</t>
        </is>
      </c>
      <c r="M400" s="21" t="inlineStr"/>
      <c r="N400" s="17" t="n"/>
      <c r="O400" s="17" t="n"/>
      <c r="P400" s="17" t="n"/>
      <c r="Q400" s="17" t="n"/>
      <c r="R400" s="17" t="n"/>
    </row>
    <row r="401" ht="136" customHeight="1">
      <c r="A401" s="22" t="n">
        <v>397</v>
      </c>
      <c r="B401" s="22" t="n">
        <v>3</v>
      </c>
      <c r="C401" s="23" t="inlineStr">
        <is>
          <t>MB-FORM-15 / Solid Waste Disposal</t>
        </is>
      </c>
      <c r="D401" s="23" t="inlineStr">
        <is>
          <t>MB-FORM-15</t>
        </is>
      </c>
      <c r="E401" s="24" t="inlineStr">
        <is>
          <t>Solid Waste Disposal</t>
        </is>
      </c>
      <c r="F401" s="5" t="inlineStr">
        <is>
          <t>Mobile — Operasional Stasiun (MB-)</t>
        </is>
      </c>
      <c r="G401" s="24" t="inlineStr">
        <is>
          <t>Simpan ditolak bila Production Line tidak punya stasiun aktif</t>
        </is>
      </c>
      <c r="H401" s="5" t="inlineStr">
        <is>
          <t>OPR-A</t>
        </is>
      </c>
      <c r="I401" s="5" t="inlineStr">
        <is>
          <t>satu Production Line yang tidak punya stasiun jenis itu dalam keadaan aktif</t>
        </is>
      </c>
      <c r="J401" s="5" t="inlineStr">
        <is>
          <t>1. Sebagai ADM di web, siapkan satu Production Line yang tidak punya stasiun jenis ini dalam keadaan aktif.
2. Login di mobile, tekan Station List (/stations); pilih Production Line bila diminta sebagai OPR-A dan pilih Production Line itu.
3. Buka Monitor Solid Waste Disposal, tekan New Data.
4. Isi form dengan benar, lalu tekan Simpan.
5. Baca pesannya.</t>
        </is>
      </c>
      <c r="K401" s="5" t="inlineStr">
        <is>
          <t>- Ditolak — record tidak tersimpan.
- Pesannya menyebut bahwa Production Line itu tidak punya stasiun jenis ini yang aktif.
- BUKAN pesan galat teknis, BUKAN layar yang diam tanpa tanggapan.</t>
        </is>
      </c>
      <c r="L401" s="16" t="inlineStr">
        <is>
          <t>Tinggi</t>
        </is>
      </c>
      <c r="M401" s="5" t="inlineStr"/>
      <c r="N401" s="17" t="n"/>
      <c r="O401" s="17" t="n"/>
      <c r="P401" s="17" t="n"/>
      <c r="Q401" s="17" t="n"/>
      <c r="R401" s="17" t="n"/>
    </row>
    <row r="402" ht="136" customHeight="1">
      <c r="A402" s="18" t="n">
        <v>398</v>
      </c>
      <c r="B402" s="18" t="n">
        <v>3</v>
      </c>
      <c r="C402" s="19" t="inlineStr">
        <is>
          <t>MB-FORM-15 / Kernel Dispatch</t>
        </is>
      </c>
      <c r="D402" s="19" t="inlineStr">
        <is>
          <t>MB-FORM-15</t>
        </is>
      </c>
      <c r="E402" s="20" t="inlineStr">
        <is>
          <t>Kernel Dispatch</t>
        </is>
      </c>
      <c r="F402" s="21" t="inlineStr">
        <is>
          <t>Mobile — Operasional Stasiun (MB-)</t>
        </is>
      </c>
      <c r="G402" s="20" t="inlineStr">
        <is>
          <t>Simpan ditolak bila Production Line tidak punya stasiun aktif</t>
        </is>
      </c>
      <c r="H402" s="21" t="inlineStr">
        <is>
          <t>OPR-A</t>
        </is>
      </c>
      <c r="I402" s="21" t="inlineStr">
        <is>
          <t>satu Production Line yang tidak punya stasiun jenis itu dalam keadaan aktif</t>
        </is>
      </c>
      <c r="J402" s="21" t="inlineStr">
        <is>
          <t>1. Sebagai ADM di web, siapkan satu Production Line yang tidak punya stasiun jenis ini dalam keadaan aktif.
2. Login di mobile, tekan Station List (/stations); pilih Production Line bila diminta sebagai OPR-A dan pilih Production Line itu.
3. Buka Monitor Kernel Dispatch, tekan New Data.
4. Isi form dengan benar, lalu tekan Simpan.
5. Baca pesannya.</t>
        </is>
      </c>
      <c r="K402" s="21" t="inlineStr">
        <is>
          <t>- Ditolak — record tidak tersimpan.
- Pesannya menyebut bahwa Production Line itu tidak punya stasiun jenis ini yang aktif.
- BUKAN pesan galat teknis, BUKAN layar yang diam tanpa tanggapan.</t>
        </is>
      </c>
      <c r="L402" s="16" t="inlineStr">
        <is>
          <t>Tinggi</t>
        </is>
      </c>
      <c r="M402" s="21" t="inlineStr"/>
      <c r="N402" s="17" t="n"/>
      <c r="O402" s="17" t="n"/>
      <c r="P402" s="17" t="n"/>
      <c r="Q402" s="17" t="n"/>
      <c r="R402" s="17" t="n"/>
    </row>
    <row r="403" ht="136" customHeight="1">
      <c r="A403" s="22" t="n">
        <v>399</v>
      </c>
      <c r="B403" s="22" t="n">
        <v>3</v>
      </c>
      <c r="C403" s="23" t="inlineStr">
        <is>
          <t>MB-FORM-15 / CPO Dispatch</t>
        </is>
      </c>
      <c r="D403" s="23" t="inlineStr">
        <is>
          <t>MB-FORM-15</t>
        </is>
      </c>
      <c r="E403" s="24" t="inlineStr">
        <is>
          <t>CPO Dispatch</t>
        </is>
      </c>
      <c r="F403" s="5" t="inlineStr">
        <is>
          <t>Mobile — Operasional Stasiun (MB-)</t>
        </is>
      </c>
      <c r="G403" s="24" t="inlineStr">
        <is>
          <t>Simpan ditolak bila Production Line tidak punya stasiun aktif</t>
        </is>
      </c>
      <c r="H403" s="5" t="inlineStr">
        <is>
          <t>OPR-A</t>
        </is>
      </c>
      <c r="I403" s="5" t="inlineStr">
        <is>
          <t>satu Production Line yang tidak punya stasiun jenis itu dalam keadaan aktif</t>
        </is>
      </c>
      <c r="J403" s="5" t="inlineStr">
        <is>
          <t>1. Sebagai ADM di web, siapkan satu Production Line yang tidak punya stasiun jenis ini dalam keadaan aktif.
2. Login di mobile, tekan Station List (/stations); pilih Production Line bila diminta sebagai OPR-A dan pilih Production Line itu.
3. Buka Monitor CPO Dispatch, tekan New Data.
4. Isi form dengan benar, lalu tekan Simpan.
5. Baca pesannya.</t>
        </is>
      </c>
      <c r="K403" s="5" t="inlineStr">
        <is>
          <t>- Ditolak — record tidak tersimpan.
- Pesannya menyebut bahwa Production Line itu tidak punya stasiun jenis ini yang aktif.
- BUKAN pesan galat teknis, BUKAN layar yang diam tanpa tanggapan.</t>
        </is>
      </c>
      <c r="L403" s="16" t="inlineStr">
        <is>
          <t>Tinggi</t>
        </is>
      </c>
      <c r="M403" s="5" t="inlineStr"/>
      <c r="N403" s="17" t="n"/>
      <c r="O403" s="17" t="n"/>
      <c r="P403" s="17" t="n"/>
      <c r="Q403" s="17" t="n"/>
      <c r="R403" s="17" t="n"/>
    </row>
    <row r="404" ht="136" customHeight="1">
      <c r="A404" s="18" t="n">
        <v>400</v>
      </c>
      <c r="B404" s="18" t="n">
        <v>3</v>
      </c>
      <c r="C404" s="19" t="inlineStr">
        <is>
          <t>MB-FORM-15 / Process Quality Control</t>
        </is>
      </c>
      <c r="D404" s="19" t="inlineStr">
        <is>
          <t>MB-FORM-15</t>
        </is>
      </c>
      <c r="E404" s="20" t="inlineStr">
        <is>
          <t>Process Quality Control</t>
        </is>
      </c>
      <c r="F404" s="21" t="inlineStr">
        <is>
          <t>Mobile — Operasional Stasiun (MB-)</t>
        </is>
      </c>
      <c r="G404" s="20" t="inlineStr">
        <is>
          <t>Simpan ditolak bila Production Line tidak punya stasiun aktif</t>
        </is>
      </c>
      <c r="H404" s="21" t="inlineStr">
        <is>
          <t>OPR-A</t>
        </is>
      </c>
      <c r="I404" s="21" t="inlineStr">
        <is>
          <t>satu Production Line yang tidak punya stasiun jenis itu dalam keadaan aktif</t>
        </is>
      </c>
      <c r="J404" s="21" t="inlineStr">
        <is>
          <t>1. Sebagai ADM di web, siapkan satu Production Line yang tidak punya stasiun jenis ini dalam keadaan aktif.
2. Login di mobile, tekan Station List (/stations); pilih Production Line bila diminta sebagai OPR-A dan pilih Production Line itu.
3. Buka Monitor Process Quality Control, tekan New Data.
4. Isi form dengan benar, lalu tekan Simpan.
5. Baca pesannya.</t>
        </is>
      </c>
      <c r="K404" s="21" t="inlineStr">
        <is>
          <t>- Ditolak — record tidak tersimpan.
- Pesannya menyebut bahwa Production Line itu tidak punya stasiun jenis ini yang aktif.
- BUKAN pesan galat teknis, BUKAN layar yang diam tanpa tanggapan.</t>
        </is>
      </c>
      <c r="L404" s="16" t="inlineStr">
        <is>
          <t>Tinggi</t>
        </is>
      </c>
      <c r="M404" s="21" t="inlineStr"/>
      <c r="N404" s="17" t="n"/>
      <c r="O404" s="17" t="n"/>
      <c r="P404" s="17" t="n"/>
      <c r="Q404" s="17" t="n"/>
      <c r="R404" s="17" t="n"/>
    </row>
    <row r="405" ht="215.2" customHeight="1">
      <c r="A405" s="11" t="n">
        <v>401</v>
      </c>
      <c r="B405" s="12" t="n">
        <v>1</v>
      </c>
      <c r="C405" s="13" t="inlineStr">
        <is>
          <t>MB-SYNC-01 / Depricarping (24 slot)</t>
        </is>
      </c>
      <c r="D405" s="13" t="inlineStr">
        <is>
          <t>MB-SYNC-01</t>
        </is>
      </c>
      <c r="E405" s="15" t="inlineStr">
        <is>
          <t>Depricarping (24 slot)</t>
        </is>
      </c>
      <c r="F405" s="14" t="inlineStr">
        <is>
          <t>Mobile — Operasional Stasiun (MB-)</t>
        </is>
      </c>
      <c r="G405" s="15" t="inlineStr">
        <is>
          <t>Input berhasil sepenuhnya tanpa koneksi</t>
        </is>
      </c>
      <c r="H405" s="14" t="inlineStr">
        <is>
          <t>OPR-A</t>
        </is>
      </c>
      <c r="I405" s="14" t="inlineStr">
        <is>
          <t>sudah login sebelum koneksi dimatikan</t>
        </is>
      </c>
      <c r="J405" s="14" t="inlineStr">
        <is>
          <t>1. Login lebih dulu sambil online (Login di mobile (buka aplikasi, isi username dan password, tekan Login), mendarat di /home), dan buka Station List sekali supaya daftar stasiun tersimpan di perangkat.
2. Matikan koneksi perangkat sepenuhnya (mode pesawat).
3. Buka Monitor Depricarping (24 slot) → New Data.
4. Isi kolom identitas dan minimal satu baris terisi.
5. Tekan Simpan.
6. Kembali ke Monitor, lalu buka Load Data dan cari record itu.
7. Tutup aplikasi, buka lagi (masih tanpa koneksi), dan cari record itu lagi.</t>
        </is>
      </c>
      <c r="K405" s="14" t="inlineStr">
        <is>
          <t>- Seluruh alur berjalan tanpa koneksi — tidak ada layar memuat yang menggantung.
- Simpan berhasil; record muncul di Data Preview dengan status Tersimpan (belum Tersinkron).
- Sesudah aplikasi ditutup dan dibuka lagi, record masih ada.
- Tidak ada pesan galat jaringan selama input — koneksi tidak dibutuhkan untuk menyimpan.</t>
        </is>
      </c>
      <c r="L405" s="16" t="inlineStr">
        <is>
          <t>Tinggi</t>
        </is>
      </c>
      <c r="M405" s="14" t="inlineStr">
        <is>
          <t>matikan koneksi sesudah login. Mematikannya sebelum login menguji hal yang berbeda (lihat MB-SYNC-05).</t>
        </is>
      </c>
      <c r="N405" s="17" t="n"/>
      <c r="O405" s="17" t="n"/>
      <c r="P405" s="17" t="n"/>
      <c r="Q405" s="17" t="n"/>
      <c r="R405" s="17" t="n"/>
    </row>
    <row r="406" ht="215.2" customHeight="1">
      <c r="A406" s="18" t="n">
        <v>402</v>
      </c>
      <c r="B406" s="18" t="n">
        <v>3</v>
      </c>
      <c r="C406" s="19" t="inlineStr">
        <is>
          <t>MB-SYNC-01 / Weighbridge (per-transaksi)</t>
        </is>
      </c>
      <c r="D406" s="19" t="inlineStr">
        <is>
          <t>MB-SYNC-01</t>
        </is>
      </c>
      <c r="E406" s="20" t="inlineStr">
        <is>
          <t>Weighbridge (per-transaksi)</t>
        </is>
      </c>
      <c r="F406" s="21" t="inlineStr">
        <is>
          <t>Mobile — Operasional Stasiun (MB-)</t>
        </is>
      </c>
      <c r="G406" s="20" t="inlineStr">
        <is>
          <t>Input berhasil sepenuhnya tanpa koneksi</t>
        </is>
      </c>
      <c r="H406" s="21" t="inlineStr">
        <is>
          <t>OPR-A</t>
        </is>
      </c>
      <c r="I406" s="21" t="inlineStr">
        <is>
          <t>sudah login sebelum koneksi dimatikan</t>
        </is>
      </c>
      <c r="J406" s="21" t="inlineStr">
        <is>
          <t>1. Login lebih dulu sambil online (Login di mobile (buka aplikasi, isi username dan password, tekan Login), mendarat di /home), dan buka Station List sekali supaya daftar stasiun tersimpan di perangkat.
2. Matikan koneksi perangkat sepenuhnya (mode pesawat).
3. Buka Monitor Weighbridge (per-transaksi) → New Data.
4. Isi kolom identitas dan minimal satu baris terisi.
5. Tekan Simpan.
6. Kembali ke Monitor, lalu buka Load Data dan cari record itu.
7. Tutup aplikasi, buka lagi (masih tanpa koneksi), dan cari record itu lagi.</t>
        </is>
      </c>
      <c r="K406" s="21" t="inlineStr">
        <is>
          <t>- Seluruh alur berjalan tanpa koneksi — tidak ada layar memuat yang menggantung.
- Simpan berhasil; record muncul di Data Preview dengan status Tersimpan (belum Tersinkron).
- Sesudah aplikasi ditutup dan dibuka lagi, record masih ada.
- Tidak ada pesan galat jaringan selama input — koneksi tidak dibutuhkan untuk menyimpan.</t>
        </is>
      </c>
      <c r="L406" s="16" t="inlineStr">
        <is>
          <t>Tinggi</t>
        </is>
      </c>
      <c r="M406" s="21" t="inlineStr">
        <is>
          <t>matikan koneksi sesudah login. Mematikannya sebelum login menguji hal yang berbeda (lihat MB-SYNC-05).</t>
        </is>
      </c>
      <c r="N406" s="17" t="n"/>
      <c r="O406" s="17" t="n"/>
      <c r="P406" s="17" t="n"/>
      <c r="Q406" s="17" t="n"/>
      <c r="R406" s="17" t="n"/>
    </row>
    <row r="407" ht="215.2" customHeight="1">
      <c r="A407" s="22" t="n">
        <v>403</v>
      </c>
      <c r="B407" s="22" t="n">
        <v>3</v>
      </c>
      <c r="C407" s="23" t="inlineStr">
        <is>
          <t>MB-SYNC-01 / Effluent Plant (kolom status)</t>
        </is>
      </c>
      <c r="D407" s="23" t="inlineStr">
        <is>
          <t>MB-SYNC-01</t>
        </is>
      </c>
      <c r="E407" s="24" t="inlineStr">
        <is>
          <t>Effluent Plant (kolom status)</t>
        </is>
      </c>
      <c r="F407" s="5" t="inlineStr">
        <is>
          <t>Mobile — Operasional Stasiun (MB-)</t>
        </is>
      </c>
      <c r="G407" s="24" t="inlineStr">
        <is>
          <t>Input berhasil sepenuhnya tanpa koneksi</t>
        </is>
      </c>
      <c r="H407" s="5" t="inlineStr">
        <is>
          <t>OPR-A</t>
        </is>
      </c>
      <c r="I407" s="5" t="inlineStr">
        <is>
          <t>sudah login sebelum koneksi dimatikan</t>
        </is>
      </c>
      <c r="J407" s="5" t="inlineStr">
        <is>
          <t>1. Login lebih dulu sambil online (Login di mobile (buka aplikasi, isi username dan password, tekan Login), mendarat di /home), dan buka Station List sekali supaya daftar stasiun tersimpan di perangkat.
2. Matikan koneksi perangkat sepenuhnya (mode pesawat).
3. Buka Monitor Effluent Plant (kolom status) → New Data.
4. Isi kolom identitas dan minimal satu baris terisi.
5. Tekan Simpan.
6. Kembali ke Monitor, lalu buka Load Data dan cari record itu.
7. Tutup aplikasi, buka lagi (masih tanpa koneksi), dan cari record itu lagi.</t>
        </is>
      </c>
      <c r="K407" s="5" t="inlineStr">
        <is>
          <t>- Seluruh alur berjalan tanpa koneksi — tidak ada layar memuat yang menggantung.
- Simpan berhasil; record muncul di Data Preview dengan status Tersimpan (belum Tersinkron).
- Sesudah aplikasi ditutup dan dibuka lagi, record masih ada.
- Tidak ada pesan galat jaringan selama input — koneksi tidak dibutuhkan untuk menyimpan.</t>
        </is>
      </c>
      <c r="L407" s="16" t="inlineStr">
        <is>
          <t>Tinggi</t>
        </is>
      </c>
      <c r="M407" s="5" t="inlineStr">
        <is>
          <t>matikan koneksi sesudah login. Mematikannya sebelum login menguji hal yang berbeda (lihat MB-SYNC-05).</t>
        </is>
      </c>
      <c r="N407" s="17" t="n"/>
      <c r="O407" s="17" t="n"/>
      <c r="P407" s="17" t="n"/>
      <c r="Q407" s="17" t="n"/>
      <c r="R407" s="17" t="n"/>
    </row>
    <row r="408" ht="175.6" customHeight="1">
      <c r="A408" s="11" t="n">
        <v>404</v>
      </c>
      <c r="B408" s="12" t="n">
        <v>1</v>
      </c>
      <c r="C408" s="13" t="inlineStr">
        <is>
          <t>MB-SYNC-02 / Depricarping (24 slot)</t>
        </is>
      </c>
      <c r="D408" s="13" t="inlineStr">
        <is>
          <t>MB-SYNC-02</t>
        </is>
      </c>
      <c r="E408" s="15" t="inlineStr">
        <is>
          <t>Depricarping (24 slot)</t>
        </is>
      </c>
      <c r="F408" s="14" t="inlineStr">
        <is>
          <t>Mobile — Operasional Stasiun (MB-)</t>
        </is>
      </c>
      <c r="G408" s="15" t="inlineStr">
        <is>
          <t>Sync manual mengirim record ke server</t>
        </is>
      </c>
      <c r="H408" s="14" t="inlineStr">
        <is>
          <t>OPR-A + SPV-A</t>
        </is>
      </c>
      <c r="I408" s="14" t="inlineStr">
        <is>
          <t>ada record offline berstatus Tersimpan</t>
        </is>
      </c>
      <c r="J408" s="14" t="inlineStr">
        <is>
          <t>1. Siapkan minimal satu record berstatus Tersimpan (hasil MB-SYNC-01).
2. Nyalakan kembali koneksi.
3. Jalankan Sync dari layar yang menyediakannya.
4. Tunggu sampai selesai dan baca ringkasannya.
5. Periksa status record itu di Data Preview.
6. Di web, Login di web, lalu sidebar &gt; Data &gt; Depricarping (24 slot) (/data/depricarping) untuk stasiun yang sama sebagai SPV-A dan cari record itu.</t>
        </is>
      </c>
      <c r="K408" s="14" t="inlineStr">
        <is>
          <t>- Sync melaporkan jumlah record yang terkirim.
- Status record berubah menjadi Tersinkron.
- Record itu muncul di web dengan isi yang sama — identitas, tanggal, dan nilai barisnya cocok.</t>
        </is>
      </c>
      <c r="L408" s="16" t="inlineStr">
        <is>
          <t>Tinggi</t>
        </is>
      </c>
      <c r="M408" s="14" t="inlineStr"/>
      <c r="N408" s="17" t="n"/>
      <c r="O408" s="17" t="n"/>
      <c r="P408" s="17" t="n"/>
      <c r="Q408" s="17" t="n"/>
      <c r="R408" s="17" t="n"/>
    </row>
    <row r="409" ht="175.6" customHeight="1">
      <c r="A409" s="22" t="n">
        <v>405</v>
      </c>
      <c r="B409" s="22" t="n">
        <v>3</v>
      </c>
      <c r="C409" s="23" t="inlineStr">
        <is>
          <t>MB-SYNC-02 / Weighbridge (per-transaksi)</t>
        </is>
      </c>
      <c r="D409" s="23" t="inlineStr">
        <is>
          <t>MB-SYNC-02</t>
        </is>
      </c>
      <c r="E409" s="24" t="inlineStr">
        <is>
          <t>Weighbridge (per-transaksi)</t>
        </is>
      </c>
      <c r="F409" s="5" t="inlineStr">
        <is>
          <t>Mobile — Operasional Stasiun (MB-)</t>
        </is>
      </c>
      <c r="G409" s="24" t="inlineStr">
        <is>
          <t>Sync manual mengirim record ke server</t>
        </is>
      </c>
      <c r="H409" s="5" t="inlineStr">
        <is>
          <t>OPR-A + SPV-A</t>
        </is>
      </c>
      <c r="I409" s="5" t="inlineStr">
        <is>
          <t>ada record offline berstatus Tersimpan</t>
        </is>
      </c>
      <c r="J409" s="5" t="inlineStr">
        <is>
          <t>1. Siapkan minimal satu record berstatus Tersimpan (hasil MB-SYNC-01).
2. Nyalakan kembali koneksi.
3. Jalankan Sync dari layar yang menyediakannya.
4. Tunggu sampai selesai dan baca ringkasannya.
5. Periksa status record itu di Data Preview.
6. Di web, Login di web, lalu sidebar &gt; Data &gt; Weighbridge (per-transaksi) (/data/weighbridge) untuk stasiun yang sama sebagai SPV-A dan cari record itu.</t>
        </is>
      </c>
      <c r="K409" s="5" t="inlineStr">
        <is>
          <t>- Sync melaporkan jumlah record yang terkirim.
- Status record berubah menjadi Tersinkron.
- Record itu muncul di web dengan isi yang sama — identitas, tanggal, dan nilai barisnya cocok.</t>
        </is>
      </c>
      <c r="L409" s="16" t="inlineStr">
        <is>
          <t>Tinggi</t>
        </is>
      </c>
      <c r="M409" s="5" t="inlineStr"/>
      <c r="N409" s="17" t="n"/>
      <c r="O409" s="17" t="n"/>
      <c r="P409" s="17" t="n"/>
      <c r="Q409" s="17" t="n"/>
      <c r="R409" s="17" t="n"/>
    </row>
    <row r="410" ht="175.6" customHeight="1">
      <c r="A410" s="18" t="n">
        <v>406</v>
      </c>
      <c r="B410" s="18" t="n">
        <v>3</v>
      </c>
      <c r="C410" s="19" t="inlineStr">
        <is>
          <t>MB-SYNC-02 / Effluent Plant (kolom status)</t>
        </is>
      </c>
      <c r="D410" s="19" t="inlineStr">
        <is>
          <t>MB-SYNC-02</t>
        </is>
      </c>
      <c r="E410" s="20" t="inlineStr">
        <is>
          <t>Effluent Plant (kolom status)</t>
        </is>
      </c>
      <c r="F410" s="21" t="inlineStr">
        <is>
          <t>Mobile — Operasional Stasiun (MB-)</t>
        </is>
      </c>
      <c r="G410" s="20" t="inlineStr">
        <is>
          <t>Sync manual mengirim record ke server</t>
        </is>
      </c>
      <c r="H410" s="21" t="inlineStr">
        <is>
          <t>OPR-A + SPV-A</t>
        </is>
      </c>
      <c r="I410" s="21" t="inlineStr">
        <is>
          <t>ada record offline berstatus Tersimpan</t>
        </is>
      </c>
      <c r="J410" s="21" t="inlineStr">
        <is>
          <t>1. Siapkan minimal satu record berstatus Tersimpan (hasil MB-SYNC-01).
2. Nyalakan kembali koneksi.
3. Jalankan Sync dari layar yang menyediakannya.
4. Tunggu sampai selesai dan baca ringkasannya.
5. Periksa status record itu di Data Preview.
6. Di web, Login di web, lalu sidebar &gt; Data &gt; Effluent Plant (kolom status) (/data/effluent-plant) untuk stasiun yang sama sebagai SPV-A dan cari record itu.</t>
        </is>
      </c>
      <c r="K410" s="21" t="inlineStr">
        <is>
          <t>- Sync melaporkan jumlah record yang terkirim.
- Status record berubah menjadi Tersinkron.
- Record itu muncul di web dengan isi yang sama — identitas, tanggal, dan nilai barisnya cocok.</t>
        </is>
      </c>
      <c r="L410" s="16" t="inlineStr">
        <is>
          <t>Tinggi</t>
        </is>
      </c>
      <c r="M410" s="21" t="inlineStr"/>
      <c r="N410" s="17" t="n"/>
      <c r="O410" s="17" t="n"/>
      <c r="P410" s="17" t="n"/>
      <c r="Q410" s="17" t="n"/>
      <c r="R410" s="17" t="n"/>
    </row>
    <row r="411" ht="122.8" customHeight="1">
      <c r="A411" s="11" t="n">
        <v>407</v>
      </c>
      <c r="B411" s="12" t="n">
        <v>1</v>
      </c>
      <c r="C411" s="13" t="inlineStr">
        <is>
          <t>MB-SYNC-03 / Depricarping (24 slot)</t>
        </is>
      </c>
      <c r="D411" s="13" t="inlineStr">
        <is>
          <t>MB-SYNC-03</t>
        </is>
      </c>
      <c r="E411" s="15" t="inlineStr">
        <is>
          <t>Depricarping (24 slot)</t>
        </is>
      </c>
      <c r="F411" s="14" t="inlineStr">
        <is>
          <t>Mobile — Operasional Stasiun (MB-)</t>
        </is>
      </c>
      <c r="G411" s="15" t="inlineStr">
        <is>
          <t>Sync tanpa koneksi gagal dengan pesan yang jelas dan tidak merusak data</t>
        </is>
      </c>
      <c r="H411" s="14" t="inlineStr">
        <is>
          <t>OPR-A</t>
        </is>
      </c>
      <c r="I411" s="14" t="inlineStr">
        <is>
          <t>—</t>
        </is>
      </c>
      <c r="J411" s="14" t="inlineStr">
        <is>
          <t>1. Siapkan satu record berstatus Tersimpan yang belum tersinkron.
2. Matikan koneksi perangkat.
3. Jalankan Sync.
4. Baca pesan yang muncul.
5. Periksa status dan isi record itu di Data Preview.
6. Nyalakan koneksi, jalankan Sync lagi.</t>
        </is>
      </c>
      <c r="K411" s="14" t="inlineStr">
        <is>
          <t>- Sync gagal dengan pesan yang menyebut koneksi/jaringan — jelas dan berbahasa Indonesia.
- Record tidak hilang dan tidak berubah — statusnya tetap Tersimpan.
- Record tidak ditandai Tersinkron secara keliru.
- Sesudah koneksi kembali, Sync berhasil mengirimnya.</t>
        </is>
      </c>
      <c r="L411" s="16" t="inlineStr">
        <is>
          <t>Tinggi</t>
        </is>
      </c>
      <c r="M411" s="14" t="inlineStr"/>
      <c r="N411" s="17" t="n"/>
      <c r="O411" s="17" t="n"/>
      <c r="P411" s="17" t="n"/>
      <c r="Q411" s="17" t="n"/>
      <c r="R411" s="17" t="n"/>
    </row>
    <row r="412" ht="122.8" customHeight="1">
      <c r="A412" s="18" t="n">
        <v>408</v>
      </c>
      <c r="B412" s="18" t="n">
        <v>3</v>
      </c>
      <c r="C412" s="19" t="inlineStr">
        <is>
          <t>MB-SYNC-03 / Weighbridge (per-transaksi)</t>
        </is>
      </c>
      <c r="D412" s="19" t="inlineStr">
        <is>
          <t>MB-SYNC-03</t>
        </is>
      </c>
      <c r="E412" s="20" t="inlineStr">
        <is>
          <t>Weighbridge (per-transaksi)</t>
        </is>
      </c>
      <c r="F412" s="21" t="inlineStr">
        <is>
          <t>Mobile — Operasional Stasiun (MB-)</t>
        </is>
      </c>
      <c r="G412" s="20" t="inlineStr">
        <is>
          <t>Sync tanpa koneksi gagal dengan pesan yang jelas dan tidak merusak data</t>
        </is>
      </c>
      <c r="H412" s="21" t="inlineStr">
        <is>
          <t>OPR-A</t>
        </is>
      </c>
      <c r="I412" s="21" t="inlineStr">
        <is>
          <t>—</t>
        </is>
      </c>
      <c r="J412" s="21" t="inlineStr">
        <is>
          <t>1. Siapkan satu record berstatus Tersimpan yang belum tersinkron.
2. Matikan koneksi perangkat.
3. Jalankan Sync.
4. Baca pesan yang muncul.
5. Periksa status dan isi record itu di Data Preview.
6. Nyalakan koneksi, jalankan Sync lagi.</t>
        </is>
      </c>
      <c r="K412" s="21" t="inlineStr">
        <is>
          <t>- Sync gagal dengan pesan yang menyebut koneksi/jaringan — jelas dan berbahasa Indonesia.
- Record tidak hilang dan tidak berubah — statusnya tetap Tersimpan.
- Record tidak ditandai Tersinkron secara keliru.
- Sesudah koneksi kembali, Sync berhasil mengirimnya.</t>
        </is>
      </c>
      <c r="L412" s="16" t="inlineStr">
        <is>
          <t>Tinggi</t>
        </is>
      </c>
      <c r="M412" s="21" t="inlineStr"/>
      <c r="N412" s="17" t="n"/>
      <c r="O412" s="17" t="n"/>
      <c r="P412" s="17" t="n"/>
      <c r="Q412" s="17" t="n"/>
      <c r="R412" s="17" t="n"/>
    </row>
    <row r="413" ht="122.8" customHeight="1">
      <c r="A413" s="22" t="n">
        <v>409</v>
      </c>
      <c r="B413" s="22" t="n">
        <v>3</v>
      </c>
      <c r="C413" s="23" t="inlineStr">
        <is>
          <t>MB-SYNC-03 / Effluent Plant (kolom status)</t>
        </is>
      </c>
      <c r="D413" s="23" t="inlineStr">
        <is>
          <t>MB-SYNC-03</t>
        </is>
      </c>
      <c r="E413" s="24" t="inlineStr">
        <is>
          <t>Effluent Plant (kolom status)</t>
        </is>
      </c>
      <c r="F413" s="5" t="inlineStr">
        <is>
          <t>Mobile — Operasional Stasiun (MB-)</t>
        </is>
      </c>
      <c r="G413" s="24" t="inlineStr">
        <is>
          <t>Sync tanpa koneksi gagal dengan pesan yang jelas dan tidak merusak data</t>
        </is>
      </c>
      <c r="H413" s="5" t="inlineStr">
        <is>
          <t>OPR-A</t>
        </is>
      </c>
      <c r="I413" s="5" t="inlineStr">
        <is>
          <t>—</t>
        </is>
      </c>
      <c r="J413" s="5" t="inlineStr">
        <is>
          <t>1. Siapkan satu record berstatus Tersimpan yang belum tersinkron.
2. Matikan koneksi perangkat.
3. Jalankan Sync.
4. Baca pesan yang muncul.
5. Periksa status dan isi record itu di Data Preview.
6. Nyalakan koneksi, jalankan Sync lagi.</t>
        </is>
      </c>
      <c r="K413" s="5" t="inlineStr">
        <is>
          <t>- Sync gagal dengan pesan yang menyebut koneksi/jaringan — jelas dan berbahasa Indonesia.
- Record tidak hilang dan tidak berubah — statusnya tetap Tersimpan.
- Record tidak ditandai Tersinkron secara keliru.
- Sesudah koneksi kembali, Sync berhasil mengirimnya.</t>
        </is>
      </c>
      <c r="L413" s="16" t="inlineStr">
        <is>
          <t>Tinggi</t>
        </is>
      </c>
      <c r="M413" s="5" t="inlineStr"/>
      <c r="N413" s="17" t="n"/>
      <c r="O413" s="17" t="n"/>
      <c r="P413" s="17" t="n"/>
      <c r="Q413" s="17" t="n"/>
      <c r="R413" s="17" t="n"/>
    </row>
    <row r="414" ht="149.2" customHeight="1">
      <c r="A414" s="11" t="n">
        <v>410</v>
      </c>
      <c r="B414" s="12" t="n">
        <v>1</v>
      </c>
      <c r="C414" s="13" t="inlineStr">
        <is>
          <t>MB-SYNC-04 / Depricarping (24 slot)</t>
        </is>
      </c>
      <c r="D414" s="13" t="inlineStr">
        <is>
          <t>MB-SYNC-04</t>
        </is>
      </c>
      <c r="E414" s="15" t="inlineStr">
        <is>
          <t>Depricarping (24 slot)</t>
        </is>
      </c>
      <c r="F414" s="14" t="inlineStr">
        <is>
          <t>Mobile — Operasional Stasiun (MB-)</t>
        </is>
      </c>
      <c r="G414" s="15" t="inlineStr">
        <is>
          <t>Sync dua kali tidak menggandakan data</t>
        </is>
      </c>
      <c r="H414" s="14" t="inlineStr">
        <is>
          <t>OPR-A + SPV-A</t>
        </is>
      </c>
      <c r="I414" s="14" t="inlineStr">
        <is>
          <t>—</t>
        </is>
      </c>
      <c r="J414" s="14" t="inlineStr">
        <is>
          <t>1. Siapkan satu record berstatus Tersimpan, dengan koneksi hidup.
2. Jalankan Sync. Tunggu sampai benar-benar selesai.
3. Jalankan Sync lagi.
4. Di web, Login di web, lalu sidebar &gt; Data &gt; Depricarping (24 slot) (/data/depricarping) untuk stasiun itu dan cari record tersebut.
5. Hitung berapa baris record dengan identitas dan tanggal itu.</t>
        </is>
      </c>
      <c r="K414" s="14" t="inlineStr">
        <is>
          <t>- Sync kedua berjalan tanpa galat.
- Di web hanya ada satu record — tidak ada duplikat.
- Jumlah baris detailnya juga tidak berganda.
- Sync kedua melaporkan 0 record terkirim, atau pesan sepadan.</t>
        </is>
      </c>
      <c r="L414" s="16" t="inlineStr">
        <is>
          <t>Tinggi</t>
        </is>
      </c>
      <c r="M414" s="14" t="inlineStr"/>
      <c r="N414" s="17" t="n"/>
      <c r="O414" s="17" t="n"/>
      <c r="P414" s="17" t="n"/>
      <c r="Q414" s="17" t="n"/>
      <c r="R414" s="17" t="n"/>
    </row>
    <row r="415" ht="149.2" customHeight="1">
      <c r="A415" s="22" t="n">
        <v>411</v>
      </c>
      <c r="B415" s="22" t="n">
        <v>3</v>
      </c>
      <c r="C415" s="23" t="inlineStr">
        <is>
          <t>MB-SYNC-04 / Weighbridge (per-transaksi)</t>
        </is>
      </c>
      <c r="D415" s="23" t="inlineStr">
        <is>
          <t>MB-SYNC-04</t>
        </is>
      </c>
      <c r="E415" s="24" t="inlineStr">
        <is>
          <t>Weighbridge (per-transaksi)</t>
        </is>
      </c>
      <c r="F415" s="5" t="inlineStr">
        <is>
          <t>Mobile — Operasional Stasiun (MB-)</t>
        </is>
      </c>
      <c r="G415" s="24" t="inlineStr">
        <is>
          <t>Sync dua kali tidak menggandakan data</t>
        </is>
      </c>
      <c r="H415" s="5" t="inlineStr">
        <is>
          <t>OPR-A + SPV-A</t>
        </is>
      </c>
      <c r="I415" s="5" t="inlineStr">
        <is>
          <t>—</t>
        </is>
      </c>
      <c r="J415" s="5" t="inlineStr">
        <is>
          <t>1. Siapkan satu record berstatus Tersimpan, dengan koneksi hidup.
2. Jalankan Sync. Tunggu sampai benar-benar selesai.
3. Jalankan Sync lagi.
4. Di web, Login di web, lalu sidebar &gt; Data &gt; Weighbridge (per-transaksi) (/data/weighbridge) untuk stasiun itu dan cari record tersebut.
5. Hitung berapa baris record dengan identitas dan tanggal itu.</t>
        </is>
      </c>
      <c r="K415" s="5" t="inlineStr">
        <is>
          <t>- Sync kedua berjalan tanpa galat.
- Di web hanya ada satu record — tidak ada duplikat.
- Jumlah baris detailnya juga tidak berganda.
- Sync kedua melaporkan 0 record terkirim, atau pesan sepadan.</t>
        </is>
      </c>
      <c r="L415" s="16" t="inlineStr">
        <is>
          <t>Tinggi</t>
        </is>
      </c>
      <c r="M415" s="5" t="inlineStr"/>
      <c r="N415" s="17" t="n"/>
      <c r="O415" s="17" t="n"/>
      <c r="P415" s="17" t="n"/>
      <c r="Q415" s="17" t="n"/>
      <c r="R415" s="17" t="n"/>
    </row>
    <row r="416" ht="149.2" customHeight="1">
      <c r="A416" s="18" t="n">
        <v>412</v>
      </c>
      <c r="B416" s="18" t="n">
        <v>3</v>
      </c>
      <c r="C416" s="19" t="inlineStr">
        <is>
          <t>MB-SYNC-04 / Effluent Plant (kolom status)</t>
        </is>
      </c>
      <c r="D416" s="19" t="inlineStr">
        <is>
          <t>MB-SYNC-04</t>
        </is>
      </c>
      <c r="E416" s="20" t="inlineStr">
        <is>
          <t>Effluent Plant (kolom status)</t>
        </is>
      </c>
      <c r="F416" s="21" t="inlineStr">
        <is>
          <t>Mobile — Operasional Stasiun (MB-)</t>
        </is>
      </c>
      <c r="G416" s="20" t="inlineStr">
        <is>
          <t>Sync dua kali tidak menggandakan data</t>
        </is>
      </c>
      <c r="H416" s="21" t="inlineStr">
        <is>
          <t>OPR-A + SPV-A</t>
        </is>
      </c>
      <c r="I416" s="21" t="inlineStr">
        <is>
          <t>—</t>
        </is>
      </c>
      <c r="J416" s="21" t="inlineStr">
        <is>
          <t>1. Siapkan satu record berstatus Tersimpan, dengan koneksi hidup.
2. Jalankan Sync. Tunggu sampai benar-benar selesai.
3. Jalankan Sync lagi.
4. Di web, Login di web, lalu sidebar &gt; Data &gt; Effluent Plant (kolom status) (/data/effluent-plant) untuk stasiun itu dan cari record tersebut.
5. Hitung berapa baris record dengan identitas dan tanggal itu.</t>
        </is>
      </c>
      <c r="K416" s="21" t="inlineStr">
        <is>
          <t>- Sync kedua berjalan tanpa galat.
- Di web hanya ada satu record — tidak ada duplikat.
- Jumlah baris detailnya juga tidak berganda.
- Sync kedua melaporkan 0 record terkirim, atau pesan sepadan.</t>
        </is>
      </c>
      <c r="L416" s="16" t="inlineStr">
        <is>
          <t>Tinggi</t>
        </is>
      </c>
      <c r="M416" s="21" t="inlineStr"/>
      <c r="N416" s="17" t="n"/>
      <c r="O416" s="17" t="n"/>
      <c r="P416" s="17" t="n"/>
      <c r="Q416" s="17" t="n"/>
      <c r="R416" s="17" t="n"/>
    </row>
    <row r="417" ht="70" customHeight="1">
      <c r="A417" s="11" t="n">
        <v>413</v>
      </c>
      <c r="B417" s="12" t="n">
        <v>1</v>
      </c>
      <c r="C417" s="13" t="inlineStr">
        <is>
          <t>MB-SYNC-05 / Depricarping (24 slot)</t>
        </is>
      </c>
      <c r="D417" s="13" t="inlineStr">
        <is>
          <t>MB-SYNC-05</t>
        </is>
      </c>
      <c r="E417" s="15" t="inlineStr">
        <is>
          <t>Depricarping (24 slot)</t>
        </is>
      </c>
      <c r="F417" s="14" t="inlineStr">
        <is>
          <t>Mobile — Operasional Stasiun (MB-)</t>
        </is>
      </c>
      <c r="G417" s="15" t="inlineStr">
        <is>
          <t>Tanpa koneksi saat login: pesan jaringan, bukan "password salah"</t>
        </is>
      </c>
      <c r="H417" s="14" t="inlineStr">
        <is>
          <t>OPR-A</t>
        </is>
      </c>
      <c r="I417" s="14" t="inlineStr">
        <is>
          <t>—</t>
        </is>
      </c>
      <c r="J417" s="14" t="inlineStr">
        <is>
          <t>1. Logout dari aplikasi mobile.
2. Matikan koneksi perangkat.
3. Isi username dan password yang benar, tekan Login.
4. Baca pesan yang muncul.</t>
        </is>
      </c>
      <c r="K417" s="14" t="inlineStr">
        <is>
          <t>- Pesannya menyebut koneksi/jaringan.
- Pesannya tidak menyebut password salah atau akun tidak ditemukan — itu akan mengirim operator mengejar masalah yang tidak ada.
- Tetap di layar Login, tidak masuk.</t>
        </is>
      </c>
      <c r="L417" s="16" t="inlineStr">
        <is>
          <t>Tinggi</t>
        </is>
      </c>
      <c r="M417" s="14" t="inlineStr"/>
      <c r="N417" s="17" t="n"/>
      <c r="O417" s="17" t="n"/>
      <c r="P417" s="17" t="n"/>
      <c r="Q417" s="17" t="n"/>
      <c r="R417" s="17" t="n"/>
    </row>
    <row r="418" ht="70" customHeight="1">
      <c r="A418" s="18" t="n">
        <v>414</v>
      </c>
      <c r="B418" s="18" t="n">
        <v>3</v>
      </c>
      <c r="C418" s="19" t="inlineStr">
        <is>
          <t>MB-SYNC-05 / Weighbridge (per-transaksi)</t>
        </is>
      </c>
      <c r="D418" s="19" t="inlineStr">
        <is>
          <t>MB-SYNC-05</t>
        </is>
      </c>
      <c r="E418" s="20" t="inlineStr">
        <is>
          <t>Weighbridge (per-transaksi)</t>
        </is>
      </c>
      <c r="F418" s="21" t="inlineStr">
        <is>
          <t>Mobile — Operasional Stasiun (MB-)</t>
        </is>
      </c>
      <c r="G418" s="20" t="inlineStr">
        <is>
          <t>Tanpa koneksi saat login: pesan jaringan, bukan "password salah"</t>
        </is>
      </c>
      <c r="H418" s="21" t="inlineStr">
        <is>
          <t>OPR-A</t>
        </is>
      </c>
      <c r="I418" s="21" t="inlineStr">
        <is>
          <t>—</t>
        </is>
      </c>
      <c r="J418" s="21" t="inlineStr">
        <is>
          <t>1. Logout dari aplikasi mobile.
2. Matikan koneksi perangkat.
3. Isi username dan password yang benar, tekan Login.
4. Baca pesan yang muncul.</t>
        </is>
      </c>
      <c r="K418" s="21" t="inlineStr">
        <is>
          <t>- Pesannya menyebut koneksi/jaringan.
- Pesannya tidak menyebut password salah atau akun tidak ditemukan — itu akan mengirim operator mengejar masalah yang tidak ada.
- Tetap di layar Login, tidak masuk.</t>
        </is>
      </c>
      <c r="L418" s="16" t="inlineStr">
        <is>
          <t>Tinggi</t>
        </is>
      </c>
      <c r="M418" s="21" t="inlineStr"/>
      <c r="N418" s="17" t="n"/>
      <c r="O418" s="17" t="n"/>
      <c r="P418" s="17" t="n"/>
      <c r="Q418" s="17" t="n"/>
      <c r="R418" s="17" t="n"/>
    </row>
    <row r="419" ht="70" customHeight="1">
      <c r="A419" s="22" t="n">
        <v>415</v>
      </c>
      <c r="B419" s="22" t="n">
        <v>3</v>
      </c>
      <c r="C419" s="23" t="inlineStr">
        <is>
          <t>MB-SYNC-05 / Effluent Plant (kolom status)</t>
        </is>
      </c>
      <c r="D419" s="23" t="inlineStr">
        <is>
          <t>MB-SYNC-05</t>
        </is>
      </c>
      <c r="E419" s="24" t="inlineStr">
        <is>
          <t>Effluent Plant (kolom status)</t>
        </is>
      </c>
      <c r="F419" s="5" t="inlineStr">
        <is>
          <t>Mobile — Operasional Stasiun (MB-)</t>
        </is>
      </c>
      <c r="G419" s="24" t="inlineStr">
        <is>
          <t>Tanpa koneksi saat login: pesan jaringan, bukan "password salah"</t>
        </is>
      </c>
      <c r="H419" s="5" t="inlineStr">
        <is>
          <t>OPR-A</t>
        </is>
      </c>
      <c r="I419" s="5" t="inlineStr">
        <is>
          <t>—</t>
        </is>
      </c>
      <c r="J419" s="5" t="inlineStr">
        <is>
          <t>1. Logout dari aplikasi mobile.
2. Matikan koneksi perangkat.
3. Isi username dan password yang benar, tekan Login.
4. Baca pesan yang muncul.</t>
        </is>
      </c>
      <c r="K419" s="5" t="inlineStr">
        <is>
          <t>- Pesannya menyebut koneksi/jaringan.
- Pesannya tidak menyebut password salah atau akun tidak ditemukan — itu akan mengirim operator mengejar masalah yang tidak ada.
- Tetap di layar Login, tidak masuk.</t>
        </is>
      </c>
      <c r="L419" s="16" t="inlineStr">
        <is>
          <t>Tinggi</t>
        </is>
      </c>
      <c r="M419" s="5" t="inlineStr"/>
      <c r="N419" s="17" t="n"/>
      <c r="O419" s="17" t="n"/>
      <c r="P419" s="17" t="n"/>
      <c r="Q419" s="17" t="n"/>
      <c r="R419" s="17" t="n"/>
    </row>
    <row r="420" ht="136" customHeight="1">
      <c r="A420" s="18" t="n">
        <v>416</v>
      </c>
      <c r="B420" s="18" t="n">
        <v>3</v>
      </c>
      <c r="C420" s="19" t="inlineStr">
        <is>
          <t>MB-PRV-01 / Weighbridge</t>
        </is>
      </c>
      <c r="D420" s="19" t="inlineStr">
        <is>
          <t>MB-PRV-01</t>
        </is>
      </c>
      <c r="E420" s="20" t="inlineStr">
        <is>
          <t>Weighbridge</t>
        </is>
      </c>
      <c r="F420" s="21" t="inlineStr">
        <is>
          <t>Mobile — Operasional Stasiun (MB-)</t>
        </is>
      </c>
      <c r="G420" s="20" t="inlineStr">
        <is>
          <t>Filter tanggal default ke hari ini</t>
        </is>
      </c>
      <c r="H420" s="21" t="inlineStr">
        <is>
          <t>OPR-A</t>
        </is>
      </c>
      <c r="I420" s="21" t="inlineStr">
        <is>
          <t>ada record hari ini dan record beberapa hari lalu</t>
        </is>
      </c>
      <c r="J420" s="21" t="inlineStr">
        <is>
          <t>1. Siapkan untuk stasiun ini: beberapa record bertanggal hari ini, dan beberapa bertanggal beberapa hari lalu.
2. Login di mobile, buka Monitor Weighbridge, lalu tekan Load Data (/stations/weighbridge/preview).
3. Baca isi kolom filter Tanggal sebelum menyentuh apa pun.
4. Hitung baris pada daftar dan bandingkan dengan jumlah record hari ini.</t>
        </is>
      </c>
      <c r="K420" s="21" t="inlineStr">
        <is>
          <t>- Filter Tanggal sudah terisi tanggal hari ini tanpa diisi penguji.
- Daftar hanya memuat record hari ini.
- Record tanggal lain tidak terlihat sampai filternya diubah.</t>
        </is>
      </c>
      <c r="L420" s="18" t="inlineStr">
        <is>
          <t>Sedang</t>
        </is>
      </c>
      <c r="M420" s="21" t="inlineStr"/>
      <c r="N420" s="17" t="n"/>
      <c r="O420" s="17" t="n"/>
      <c r="P420" s="17" t="n"/>
      <c r="Q420" s="17" t="n"/>
      <c r="R420" s="17" t="n"/>
    </row>
    <row r="421" ht="136" customHeight="1">
      <c r="A421" s="22" t="n">
        <v>417</v>
      </c>
      <c r="B421" s="22" t="n">
        <v>3</v>
      </c>
      <c r="C421" s="23" t="inlineStr">
        <is>
          <t>MB-PRV-01 / Grading</t>
        </is>
      </c>
      <c r="D421" s="23" t="inlineStr">
        <is>
          <t>MB-PRV-01</t>
        </is>
      </c>
      <c r="E421" s="24" t="inlineStr">
        <is>
          <t>Grading</t>
        </is>
      </c>
      <c r="F421" s="5" t="inlineStr">
        <is>
          <t>Mobile — Operasional Stasiun (MB-)</t>
        </is>
      </c>
      <c r="G421" s="24" t="inlineStr">
        <is>
          <t>Filter tanggal default ke hari ini</t>
        </is>
      </c>
      <c r="H421" s="5" t="inlineStr">
        <is>
          <t>OPR-A</t>
        </is>
      </c>
      <c r="I421" s="5" t="inlineStr">
        <is>
          <t>ada record hari ini dan record beberapa hari lalu</t>
        </is>
      </c>
      <c r="J421" s="5" t="inlineStr">
        <is>
          <t>1. Siapkan untuk stasiun ini: beberapa record bertanggal hari ini, dan beberapa bertanggal beberapa hari lalu.
2. Login di mobile, buka Monitor Grading, lalu tekan Load Data (/stations/grading/preview).
3. Baca isi kolom filter Tanggal sebelum menyentuh apa pun.
4. Hitung baris pada daftar dan bandingkan dengan jumlah record hari ini.</t>
        </is>
      </c>
      <c r="K421" s="5" t="inlineStr">
        <is>
          <t>- Filter Tanggal sudah terisi tanggal hari ini tanpa diisi penguji.
- Daftar hanya memuat record hari ini.
- Record tanggal lain tidak terlihat sampai filternya diubah.</t>
        </is>
      </c>
      <c r="L421" s="22" t="inlineStr">
        <is>
          <t>Sedang</t>
        </is>
      </c>
      <c r="M421" s="5" t="inlineStr"/>
      <c r="N421" s="17" t="n"/>
      <c r="O421" s="17" t="n"/>
      <c r="P421" s="17" t="n"/>
      <c r="Q421" s="17" t="n"/>
      <c r="R421" s="17" t="n"/>
    </row>
    <row r="422" ht="136" customHeight="1">
      <c r="A422" s="18" t="n">
        <v>418</v>
      </c>
      <c r="B422" s="18" t="n">
        <v>3</v>
      </c>
      <c r="C422" s="19" t="inlineStr">
        <is>
          <t>MB-PRV-01 / Cages Track</t>
        </is>
      </c>
      <c r="D422" s="19" t="inlineStr">
        <is>
          <t>MB-PRV-01</t>
        </is>
      </c>
      <c r="E422" s="20" t="inlineStr">
        <is>
          <t>Cages Track</t>
        </is>
      </c>
      <c r="F422" s="21" t="inlineStr">
        <is>
          <t>Mobile — Operasional Stasiun (MB-)</t>
        </is>
      </c>
      <c r="G422" s="20" t="inlineStr">
        <is>
          <t>Filter tanggal default ke hari ini</t>
        </is>
      </c>
      <c r="H422" s="21" t="inlineStr">
        <is>
          <t>OPR-A</t>
        </is>
      </c>
      <c r="I422" s="21" t="inlineStr">
        <is>
          <t>ada record hari ini dan record beberapa hari lalu</t>
        </is>
      </c>
      <c r="J422" s="21" t="inlineStr">
        <is>
          <t>1. Siapkan untuk stasiun ini: beberapa record bertanggal hari ini, dan beberapa bertanggal beberapa hari lalu.
2. Login di mobile, buka Monitor Cages Track, lalu tekan Load Data (/stations/cages-track/preview).
3. Baca isi kolom filter Tanggal sebelum menyentuh apa pun.
4. Hitung baris pada daftar dan bandingkan dengan jumlah record hari ini.</t>
        </is>
      </c>
      <c r="K422" s="21" t="inlineStr">
        <is>
          <t>- Filter Tanggal sudah terisi tanggal hari ini tanpa diisi penguji.
- Daftar hanya memuat record hari ini.
- Record tanggal lain tidak terlihat sampai filternya diubah.</t>
        </is>
      </c>
      <c r="L422" s="18" t="inlineStr">
        <is>
          <t>Sedang</t>
        </is>
      </c>
      <c r="M422" s="21" t="inlineStr"/>
      <c r="N422" s="17" t="n"/>
      <c r="O422" s="17" t="n"/>
      <c r="P422" s="17" t="n"/>
      <c r="Q422" s="17" t="n"/>
      <c r="R422" s="17" t="n"/>
    </row>
    <row r="423" ht="136" customHeight="1">
      <c r="A423" s="22" t="n">
        <v>419</v>
      </c>
      <c r="B423" s="22" t="n">
        <v>3</v>
      </c>
      <c r="C423" s="23" t="inlineStr">
        <is>
          <t>MB-PRV-01 / Sterilizer</t>
        </is>
      </c>
      <c r="D423" s="23" t="inlineStr">
        <is>
          <t>MB-PRV-01</t>
        </is>
      </c>
      <c r="E423" s="24" t="inlineStr">
        <is>
          <t>Sterilizer</t>
        </is>
      </c>
      <c r="F423" s="5" t="inlineStr">
        <is>
          <t>Mobile — Operasional Stasiun (MB-)</t>
        </is>
      </c>
      <c r="G423" s="24" t="inlineStr">
        <is>
          <t>Filter tanggal default ke hari ini</t>
        </is>
      </c>
      <c r="H423" s="5" t="inlineStr">
        <is>
          <t>OPR-A</t>
        </is>
      </c>
      <c r="I423" s="5" t="inlineStr">
        <is>
          <t>ada record hari ini dan record beberapa hari lalu</t>
        </is>
      </c>
      <c r="J423" s="5" t="inlineStr">
        <is>
          <t>1. Siapkan untuk stasiun ini: beberapa record bertanggal hari ini, dan beberapa bertanggal beberapa hari lalu.
2. Login di mobile, buka Monitor Sterilizer, lalu tekan Load Data (/stations/sterilizer/preview).
3. Baca isi kolom filter Tanggal sebelum menyentuh apa pun.
4. Hitung baris pada daftar dan bandingkan dengan jumlah record hari ini.</t>
        </is>
      </c>
      <c r="K423" s="5" t="inlineStr">
        <is>
          <t>- Filter Tanggal sudah terisi tanggal hari ini tanpa diisi penguji.
- Daftar hanya memuat record hari ini.
- Record tanggal lain tidak terlihat sampai filternya diubah.</t>
        </is>
      </c>
      <c r="L423" s="22" t="inlineStr">
        <is>
          <t>Sedang</t>
        </is>
      </c>
      <c r="M423" s="5" t="inlineStr"/>
      <c r="N423" s="17" t="n"/>
      <c r="O423" s="17" t="n"/>
      <c r="P423" s="17" t="n"/>
      <c r="Q423" s="17" t="n"/>
      <c r="R423" s="17" t="n"/>
    </row>
    <row r="424" ht="136" customHeight="1">
      <c r="A424" s="18" t="n">
        <v>420</v>
      </c>
      <c r="B424" s="18" t="n">
        <v>3</v>
      </c>
      <c r="C424" s="19" t="inlineStr">
        <is>
          <t>MB-PRV-01 / Threshing</t>
        </is>
      </c>
      <c r="D424" s="19" t="inlineStr">
        <is>
          <t>MB-PRV-01</t>
        </is>
      </c>
      <c r="E424" s="20" t="inlineStr">
        <is>
          <t>Threshing</t>
        </is>
      </c>
      <c r="F424" s="21" t="inlineStr">
        <is>
          <t>Mobile — Operasional Stasiun (MB-)</t>
        </is>
      </c>
      <c r="G424" s="20" t="inlineStr">
        <is>
          <t>Filter tanggal default ke hari ini</t>
        </is>
      </c>
      <c r="H424" s="21" t="inlineStr">
        <is>
          <t>OPR-A</t>
        </is>
      </c>
      <c r="I424" s="21" t="inlineStr">
        <is>
          <t>ada record hari ini dan record beberapa hari lalu</t>
        </is>
      </c>
      <c r="J424" s="21" t="inlineStr">
        <is>
          <t>1. Siapkan untuk stasiun ini: beberapa record bertanggal hari ini, dan beberapa bertanggal beberapa hari lalu.
2. Login di mobile, buka Monitor Threshing, lalu tekan Load Data (/stations/threshing/preview).
3. Baca isi kolom filter Tanggal sebelum menyentuh apa pun.
4. Hitung baris pada daftar dan bandingkan dengan jumlah record hari ini.</t>
        </is>
      </c>
      <c r="K424" s="21" t="inlineStr">
        <is>
          <t>- Filter Tanggal sudah terisi tanggal hari ini tanpa diisi penguji.
- Daftar hanya memuat record hari ini.
- Record tanggal lain tidak terlihat sampai filternya diubah.</t>
        </is>
      </c>
      <c r="L424" s="18" t="inlineStr">
        <is>
          <t>Sedang</t>
        </is>
      </c>
      <c r="M424" s="21" t="inlineStr"/>
      <c r="N424" s="17" t="n"/>
      <c r="O424" s="17" t="n"/>
      <c r="P424" s="17" t="n"/>
      <c r="Q424" s="17" t="n"/>
      <c r="R424" s="17" t="n"/>
    </row>
    <row r="425" ht="136" customHeight="1">
      <c r="A425" s="22" t="n">
        <v>421</v>
      </c>
      <c r="B425" s="22" t="n">
        <v>3</v>
      </c>
      <c r="C425" s="23" t="inlineStr">
        <is>
          <t>MB-PRV-01 / Pressing</t>
        </is>
      </c>
      <c r="D425" s="23" t="inlineStr">
        <is>
          <t>MB-PRV-01</t>
        </is>
      </c>
      <c r="E425" s="24" t="inlineStr">
        <is>
          <t>Pressing</t>
        </is>
      </c>
      <c r="F425" s="5" t="inlineStr">
        <is>
          <t>Mobile — Operasional Stasiun (MB-)</t>
        </is>
      </c>
      <c r="G425" s="24" t="inlineStr">
        <is>
          <t>Filter tanggal default ke hari ini</t>
        </is>
      </c>
      <c r="H425" s="5" t="inlineStr">
        <is>
          <t>OPR-A</t>
        </is>
      </c>
      <c r="I425" s="5" t="inlineStr">
        <is>
          <t>ada record hari ini dan record beberapa hari lalu</t>
        </is>
      </c>
      <c r="J425" s="5" t="inlineStr">
        <is>
          <t>1. Siapkan untuk stasiun ini: beberapa record bertanggal hari ini, dan beberapa bertanggal beberapa hari lalu.
2. Login di mobile, buka Monitor Pressing, lalu tekan Load Data (/stations/pressing/preview).
3. Baca isi kolom filter Tanggal sebelum menyentuh apa pun.
4. Hitung baris pada daftar dan bandingkan dengan jumlah record hari ini.</t>
        </is>
      </c>
      <c r="K425" s="5" t="inlineStr">
        <is>
          <t>- Filter Tanggal sudah terisi tanggal hari ini tanpa diisi penguji.
- Daftar hanya memuat record hari ini.
- Record tanggal lain tidak terlihat sampai filternya diubah.</t>
        </is>
      </c>
      <c r="L425" s="22" t="inlineStr">
        <is>
          <t>Sedang</t>
        </is>
      </c>
      <c r="M425" s="5" t="inlineStr"/>
      <c r="N425" s="17" t="n"/>
      <c r="O425" s="17" t="n"/>
      <c r="P425" s="17" t="n"/>
      <c r="Q425" s="17" t="n"/>
      <c r="R425" s="17" t="n"/>
    </row>
    <row r="426" ht="136" customHeight="1">
      <c r="A426" s="18" t="n">
        <v>422</v>
      </c>
      <c r="B426" s="18" t="n">
        <v>3</v>
      </c>
      <c r="C426" s="19" t="inlineStr">
        <is>
          <t>MB-PRV-01 / Clarification</t>
        </is>
      </c>
      <c r="D426" s="19" t="inlineStr">
        <is>
          <t>MB-PRV-01</t>
        </is>
      </c>
      <c r="E426" s="20" t="inlineStr">
        <is>
          <t>Clarification</t>
        </is>
      </c>
      <c r="F426" s="21" t="inlineStr">
        <is>
          <t>Mobile — Operasional Stasiun (MB-)</t>
        </is>
      </c>
      <c r="G426" s="20" t="inlineStr">
        <is>
          <t>Filter tanggal default ke hari ini</t>
        </is>
      </c>
      <c r="H426" s="21" t="inlineStr">
        <is>
          <t>OPR-A</t>
        </is>
      </c>
      <c r="I426" s="21" t="inlineStr">
        <is>
          <t>ada record hari ini dan record beberapa hari lalu</t>
        </is>
      </c>
      <c r="J426" s="21" t="inlineStr">
        <is>
          <t>1. Siapkan untuk stasiun ini: beberapa record bertanggal hari ini, dan beberapa bertanggal beberapa hari lalu.
2. Login di mobile, buka Monitor Clarification, lalu tekan Load Data (/stations/clarification/preview).
3. Baca isi kolom filter Tanggal sebelum menyentuh apa pun.
4. Hitung baris pada daftar dan bandingkan dengan jumlah record hari ini.</t>
        </is>
      </c>
      <c r="K426" s="21" t="inlineStr">
        <is>
          <t>- Filter Tanggal sudah terisi tanggal hari ini tanpa diisi penguji.
- Daftar hanya memuat record hari ini.
- Record tanggal lain tidak terlihat sampai filternya diubah.</t>
        </is>
      </c>
      <c r="L426" s="18" t="inlineStr">
        <is>
          <t>Sedang</t>
        </is>
      </c>
      <c r="M426" s="21" t="inlineStr"/>
      <c r="N426" s="17" t="n"/>
      <c r="O426" s="17" t="n"/>
      <c r="P426" s="17" t="n"/>
      <c r="Q426" s="17" t="n"/>
      <c r="R426" s="17" t="n"/>
    </row>
    <row r="427" ht="136" customHeight="1">
      <c r="A427" s="22" t="n">
        <v>423</v>
      </c>
      <c r="B427" s="22" t="n">
        <v>3</v>
      </c>
      <c r="C427" s="23" t="inlineStr">
        <is>
          <t>MB-PRV-01 / Kernel Plant</t>
        </is>
      </c>
      <c r="D427" s="23" t="inlineStr">
        <is>
          <t>MB-PRV-01</t>
        </is>
      </c>
      <c r="E427" s="24" t="inlineStr">
        <is>
          <t>Kernel Plant</t>
        </is>
      </c>
      <c r="F427" s="5" t="inlineStr">
        <is>
          <t>Mobile — Operasional Stasiun (MB-)</t>
        </is>
      </c>
      <c r="G427" s="24" t="inlineStr">
        <is>
          <t>Filter tanggal default ke hari ini</t>
        </is>
      </c>
      <c r="H427" s="5" t="inlineStr">
        <is>
          <t>OPR-A</t>
        </is>
      </c>
      <c r="I427" s="5" t="inlineStr">
        <is>
          <t>ada record hari ini dan record beberapa hari lalu</t>
        </is>
      </c>
      <c r="J427" s="5" t="inlineStr">
        <is>
          <t>1. Siapkan untuk stasiun ini: beberapa record bertanggal hari ini, dan beberapa bertanggal beberapa hari lalu.
2. Login di mobile, buka Monitor Kernel Plant, lalu tekan Load Data (/stations/kernel-plant/preview).
3. Baca isi kolom filter Tanggal sebelum menyentuh apa pun.
4. Hitung baris pada daftar dan bandingkan dengan jumlah record hari ini.</t>
        </is>
      </c>
      <c r="K427" s="5" t="inlineStr">
        <is>
          <t>- Filter Tanggal sudah terisi tanggal hari ini tanpa diisi penguji.
- Daftar hanya memuat record hari ini.
- Record tanggal lain tidak terlihat sampai filternya diubah.</t>
        </is>
      </c>
      <c r="L427" s="22" t="inlineStr">
        <is>
          <t>Sedang</t>
        </is>
      </c>
      <c r="M427" s="5" t="inlineStr"/>
      <c r="N427" s="17" t="n"/>
      <c r="O427" s="17" t="n"/>
      <c r="P427" s="17" t="n"/>
      <c r="Q427" s="17" t="n"/>
      <c r="R427" s="17" t="n"/>
    </row>
    <row r="428" ht="136" customHeight="1">
      <c r="A428" s="18" t="n">
        <v>424</v>
      </c>
      <c r="B428" s="18" t="n">
        <v>3</v>
      </c>
      <c r="C428" s="19" t="inlineStr">
        <is>
          <t>MB-PRV-01 / Boiler Room</t>
        </is>
      </c>
      <c r="D428" s="19" t="inlineStr">
        <is>
          <t>MB-PRV-01</t>
        </is>
      </c>
      <c r="E428" s="20" t="inlineStr">
        <is>
          <t>Boiler Room</t>
        </is>
      </c>
      <c r="F428" s="21" t="inlineStr">
        <is>
          <t>Mobile — Operasional Stasiun (MB-)</t>
        </is>
      </c>
      <c r="G428" s="20" t="inlineStr">
        <is>
          <t>Filter tanggal default ke hari ini</t>
        </is>
      </c>
      <c r="H428" s="21" t="inlineStr">
        <is>
          <t>OPR-A</t>
        </is>
      </c>
      <c r="I428" s="21" t="inlineStr">
        <is>
          <t>ada record hari ini dan record beberapa hari lalu</t>
        </is>
      </c>
      <c r="J428" s="21" t="inlineStr">
        <is>
          <t>1. Siapkan untuk stasiun ini: beberapa record bertanggal hari ini, dan beberapa bertanggal beberapa hari lalu.
2. Login di mobile, buka Monitor Boiler Room, lalu tekan Load Data (/stations/boiler-room/preview).
3. Baca isi kolom filter Tanggal sebelum menyentuh apa pun.
4. Hitung baris pada daftar dan bandingkan dengan jumlah record hari ini.</t>
        </is>
      </c>
      <c r="K428" s="21" t="inlineStr">
        <is>
          <t>- Filter Tanggal sudah terisi tanggal hari ini tanpa diisi penguji.
- Daftar hanya memuat record hari ini.
- Record tanggal lain tidak terlihat sampai filternya diubah.</t>
        </is>
      </c>
      <c r="L428" s="18" t="inlineStr">
        <is>
          <t>Sedang</t>
        </is>
      </c>
      <c r="M428" s="21" t="inlineStr"/>
      <c r="N428" s="17" t="n"/>
      <c r="O428" s="17" t="n"/>
      <c r="P428" s="17" t="n"/>
      <c r="Q428" s="17" t="n"/>
      <c r="R428" s="17" t="n"/>
    </row>
    <row r="429" ht="136" customHeight="1">
      <c r="A429" s="22" t="n">
        <v>425</v>
      </c>
      <c r="B429" s="22" t="n">
        <v>3</v>
      </c>
      <c r="C429" s="23" t="inlineStr">
        <is>
          <t>MB-PRV-01 / Effluent Plant</t>
        </is>
      </c>
      <c r="D429" s="23" t="inlineStr">
        <is>
          <t>MB-PRV-01</t>
        </is>
      </c>
      <c r="E429" s="24" t="inlineStr">
        <is>
          <t>Effluent Plant</t>
        </is>
      </c>
      <c r="F429" s="5" t="inlineStr">
        <is>
          <t>Mobile — Operasional Stasiun (MB-)</t>
        </is>
      </c>
      <c r="G429" s="24" t="inlineStr">
        <is>
          <t>Filter tanggal default ke hari ini</t>
        </is>
      </c>
      <c r="H429" s="5" t="inlineStr">
        <is>
          <t>OPR-A</t>
        </is>
      </c>
      <c r="I429" s="5" t="inlineStr">
        <is>
          <t>ada record hari ini dan record beberapa hari lalu</t>
        </is>
      </c>
      <c r="J429" s="5" t="inlineStr">
        <is>
          <t>1. Siapkan untuk stasiun ini: beberapa record bertanggal hari ini, dan beberapa bertanggal beberapa hari lalu.
2. Login di mobile, buka Monitor Effluent Plant, lalu tekan Load Data (/stations/effluent-plant/preview).
3. Baca isi kolom filter Tanggal sebelum menyentuh apa pun.
4. Hitung baris pada daftar dan bandingkan dengan jumlah record hari ini.</t>
        </is>
      </c>
      <c r="K429" s="5" t="inlineStr">
        <is>
          <t>- Filter Tanggal sudah terisi tanggal hari ini tanpa diisi penguji.
- Daftar hanya memuat record hari ini.
- Record tanggal lain tidak terlihat sampai filternya diubah.</t>
        </is>
      </c>
      <c r="L429" s="22" t="inlineStr">
        <is>
          <t>Sedang</t>
        </is>
      </c>
      <c r="M429" s="5" t="inlineStr"/>
      <c r="N429" s="17" t="n"/>
      <c r="O429" s="17" t="n"/>
      <c r="P429" s="17" t="n"/>
      <c r="Q429" s="17" t="n"/>
      <c r="R429" s="17" t="n"/>
    </row>
    <row r="430" ht="136" customHeight="1">
      <c r="A430" s="11" t="n">
        <v>426</v>
      </c>
      <c r="B430" s="12" t="n">
        <v>1</v>
      </c>
      <c r="C430" s="13" t="inlineStr">
        <is>
          <t>MB-PRV-01 / Depricarping</t>
        </is>
      </c>
      <c r="D430" s="13" t="inlineStr">
        <is>
          <t>MB-PRV-01</t>
        </is>
      </c>
      <c r="E430" s="15" t="inlineStr">
        <is>
          <t>Depricarping</t>
        </is>
      </c>
      <c r="F430" s="14" t="inlineStr">
        <is>
          <t>Mobile — Operasional Stasiun (MB-)</t>
        </is>
      </c>
      <c r="G430" s="15" t="inlineStr">
        <is>
          <t>Filter tanggal default ke hari ini</t>
        </is>
      </c>
      <c r="H430" s="14" t="inlineStr">
        <is>
          <t>OPR-A</t>
        </is>
      </c>
      <c r="I430" s="14" t="inlineStr">
        <is>
          <t>ada record hari ini dan record beberapa hari lalu</t>
        </is>
      </c>
      <c r="J430" s="14" t="inlineStr">
        <is>
          <t>1. Siapkan untuk stasiun ini: beberapa record bertanggal hari ini, dan beberapa bertanggal beberapa hari lalu.
2. Login di mobile, buka Monitor Depricarping, lalu tekan Load Data (/stations/depricarping/preview).
3. Baca isi kolom filter Tanggal sebelum menyentuh apa pun.
4. Hitung baris pada daftar dan bandingkan dengan jumlah record hari ini.</t>
        </is>
      </c>
      <c r="K430" s="14" t="inlineStr">
        <is>
          <t>- Filter Tanggal sudah terisi tanggal hari ini tanpa diisi penguji.
- Daftar hanya memuat record hari ini.
- Record tanggal lain tidak terlihat sampai filternya diubah.</t>
        </is>
      </c>
      <c r="L430" s="11" t="inlineStr">
        <is>
          <t>Sedang</t>
        </is>
      </c>
      <c r="M430" s="14" t="inlineStr"/>
      <c r="N430" s="17" t="n"/>
      <c r="O430" s="17" t="n"/>
      <c r="P430" s="17" t="n"/>
      <c r="Q430" s="17" t="n"/>
      <c r="R430" s="17" t="n"/>
    </row>
    <row r="431" ht="136" customHeight="1">
      <c r="A431" s="22" t="n">
        <v>427</v>
      </c>
      <c r="B431" s="22" t="n">
        <v>3</v>
      </c>
      <c r="C431" s="23" t="inlineStr">
        <is>
          <t>MB-PRV-01 / Engine Room</t>
        </is>
      </c>
      <c r="D431" s="23" t="inlineStr">
        <is>
          <t>MB-PRV-01</t>
        </is>
      </c>
      <c r="E431" s="24" t="inlineStr">
        <is>
          <t>Engine Room</t>
        </is>
      </c>
      <c r="F431" s="5" t="inlineStr">
        <is>
          <t>Mobile — Operasional Stasiun (MB-)</t>
        </is>
      </c>
      <c r="G431" s="24" t="inlineStr">
        <is>
          <t>Filter tanggal default ke hari ini</t>
        </is>
      </c>
      <c r="H431" s="5" t="inlineStr">
        <is>
          <t>OPR-A</t>
        </is>
      </c>
      <c r="I431" s="5" t="inlineStr">
        <is>
          <t>ada record hari ini dan record beberapa hari lalu</t>
        </is>
      </c>
      <c r="J431" s="5" t="inlineStr">
        <is>
          <t>1. Siapkan untuk stasiun ini: beberapa record bertanggal hari ini, dan beberapa bertanggal beberapa hari lalu.
2. Login di mobile, buka Monitor Engine Room, lalu tekan Load Data (/stations/engine-room/preview).
3. Baca isi kolom filter Tanggal sebelum menyentuh apa pun.
4. Hitung baris pada daftar dan bandingkan dengan jumlah record hari ini.</t>
        </is>
      </c>
      <c r="K431" s="5" t="inlineStr">
        <is>
          <t>- Filter Tanggal sudah terisi tanggal hari ini tanpa diisi penguji.
- Daftar hanya memuat record hari ini.
- Record tanggal lain tidak terlihat sampai filternya diubah.</t>
        </is>
      </c>
      <c r="L431" s="22" t="inlineStr">
        <is>
          <t>Sedang</t>
        </is>
      </c>
      <c r="M431" s="5" t="inlineStr"/>
      <c r="N431" s="17" t="n"/>
      <c r="O431" s="17" t="n"/>
      <c r="P431" s="17" t="n"/>
      <c r="Q431" s="17" t="n"/>
      <c r="R431" s="17" t="n"/>
    </row>
    <row r="432" ht="136" customHeight="1">
      <c r="A432" s="18" t="n">
        <v>428</v>
      </c>
      <c r="B432" s="18" t="n">
        <v>3</v>
      </c>
      <c r="C432" s="19" t="inlineStr">
        <is>
          <t>MB-PRV-01 / Process Water</t>
        </is>
      </c>
      <c r="D432" s="19" t="inlineStr">
        <is>
          <t>MB-PRV-01</t>
        </is>
      </c>
      <c r="E432" s="20" t="inlineStr">
        <is>
          <t>Process Water</t>
        </is>
      </c>
      <c r="F432" s="21" t="inlineStr">
        <is>
          <t>Mobile — Operasional Stasiun (MB-)</t>
        </is>
      </c>
      <c r="G432" s="20" t="inlineStr">
        <is>
          <t>Filter tanggal default ke hari ini</t>
        </is>
      </c>
      <c r="H432" s="21" t="inlineStr">
        <is>
          <t>OPR-A</t>
        </is>
      </c>
      <c r="I432" s="21" t="inlineStr">
        <is>
          <t>ada record hari ini dan record beberapa hari lalu</t>
        </is>
      </c>
      <c r="J432" s="21" t="inlineStr">
        <is>
          <t>1. Siapkan untuk stasiun ini: beberapa record bertanggal hari ini, dan beberapa bertanggal beberapa hari lalu.
2. Login di mobile, buka Monitor Process Water, lalu tekan Load Data (/stations/process-water/preview).
3. Baca isi kolom filter Tanggal sebelum menyentuh apa pun.
4. Hitung baris pada daftar dan bandingkan dengan jumlah record hari ini.</t>
        </is>
      </c>
      <c r="K432" s="21" t="inlineStr">
        <is>
          <t>- Filter Tanggal sudah terisi tanggal hari ini tanpa diisi penguji.
- Daftar hanya memuat record hari ini.
- Record tanggal lain tidak terlihat sampai filternya diubah.</t>
        </is>
      </c>
      <c r="L432" s="18" t="inlineStr">
        <is>
          <t>Sedang</t>
        </is>
      </c>
      <c r="M432" s="21" t="inlineStr"/>
      <c r="N432" s="17" t="n"/>
      <c r="O432" s="17" t="n"/>
      <c r="P432" s="17" t="n"/>
      <c r="Q432" s="17" t="n"/>
      <c r="R432" s="17" t="n"/>
    </row>
    <row r="433" ht="136" customHeight="1">
      <c r="A433" s="22" t="n">
        <v>429</v>
      </c>
      <c r="B433" s="22" t="n">
        <v>3</v>
      </c>
      <c r="C433" s="23" t="inlineStr">
        <is>
          <t>MB-PRV-01 / Storage Tank</t>
        </is>
      </c>
      <c r="D433" s="23" t="inlineStr">
        <is>
          <t>MB-PRV-01</t>
        </is>
      </c>
      <c r="E433" s="24" t="inlineStr">
        <is>
          <t>Storage Tank</t>
        </is>
      </c>
      <c r="F433" s="5" t="inlineStr">
        <is>
          <t>Mobile — Operasional Stasiun (MB-)</t>
        </is>
      </c>
      <c r="G433" s="24" t="inlineStr">
        <is>
          <t>Filter tanggal default ke hari ini</t>
        </is>
      </c>
      <c r="H433" s="5" t="inlineStr">
        <is>
          <t>OPR-A</t>
        </is>
      </c>
      <c r="I433" s="5" t="inlineStr">
        <is>
          <t>ada record hari ini dan record beberapa hari lalu</t>
        </is>
      </c>
      <c r="J433" s="5" t="inlineStr">
        <is>
          <t>1. Siapkan untuk stasiun ini: beberapa record bertanggal hari ini, dan beberapa bertanggal beberapa hari lalu.
2. Login di mobile, buka Monitor Storage Tank, lalu tekan Load Data (/stations/storage-tank/preview).
3. Baca isi kolom filter Tanggal sebelum menyentuh apa pun.
4. Hitung baris pada daftar dan bandingkan dengan jumlah record hari ini.</t>
        </is>
      </c>
      <c r="K433" s="5" t="inlineStr">
        <is>
          <t>- Filter Tanggal sudah terisi tanggal hari ini tanpa diisi penguji.
- Daftar hanya memuat record hari ini.
- Record tanggal lain tidak terlihat sampai filternya diubah.</t>
        </is>
      </c>
      <c r="L433" s="22" t="inlineStr">
        <is>
          <t>Sedang</t>
        </is>
      </c>
      <c r="M433" s="5" t="inlineStr"/>
      <c r="N433" s="17" t="n"/>
      <c r="O433" s="17" t="n"/>
      <c r="P433" s="17" t="n"/>
      <c r="Q433" s="17" t="n"/>
      <c r="R433" s="17" t="n"/>
    </row>
    <row r="434" ht="136" customHeight="1">
      <c r="A434" s="18" t="n">
        <v>430</v>
      </c>
      <c r="B434" s="18" t="n">
        <v>3</v>
      </c>
      <c r="C434" s="19" t="inlineStr">
        <is>
          <t>MB-PRV-01 / Solid Waste Disposal</t>
        </is>
      </c>
      <c r="D434" s="19" t="inlineStr">
        <is>
          <t>MB-PRV-01</t>
        </is>
      </c>
      <c r="E434" s="20" t="inlineStr">
        <is>
          <t>Solid Waste Disposal</t>
        </is>
      </c>
      <c r="F434" s="21" t="inlineStr">
        <is>
          <t>Mobile — Operasional Stasiun (MB-)</t>
        </is>
      </c>
      <c r="G434" s="20" t="inlineStr">
        <is>
          <t>Filter tanggal default ke hari ini</t>
        </is>
      </c>
      <c r="H434" s="21" t="inlineStr">
        <is>
          <t>OPR-A</t>
        </is>
      </c>
      <c r="I434" s="21" t="inlineStr">
        <is>
          <t>ada record hari ini dan record beberapa hari lalu</t>
        </is>
      </c>
      <c r="J434" s="21" t="inlineStr">
        <is>
          <t>1. Siapkan untuk stasiun ini: beberapa record bertanggal hari ini, dan beberapa bertanggal beberapa hari lalu.
2. Login di mobile, buka Monitor Solid Waste Disposal, lalu tekan Load Data (/stations/solid-waste-disposal/preview).
3. Baca isi kolom filter Tanggal sebelum menyentuh apa pun.
4. Hitung baris pada daftar dan bandingkan dengan jumlah record hari ini.</t>
        </is>
      </c>
      <c r="K434" s="21" t="inlineStr">
        <is>
          <t>- Filter Tanggal sudah terisi tanggal hari ini tanpa diisi penguji.
- Daftar hanya memuat record hari ini.
- Record tanggal lain tidak terlihat sampai filternya diubah.</t>
        </is>
      </c>
      <c r="L434" s="18" t="inlineStr">
        <is>
          <t>Sedang</t>
        </is>
      </c>
      <c r="M434" s="21" t="inlineStr"/>
      <c r="N434" s="17" t="n"/>
      <c r="O434" s="17" t="n"/>
      <c r="P434" s="17" t="n"/>
      <c r="Q434" s="17" t="n"/>
      <c r="R434" s="17" t="n"/>
    </row>
    <row r="435" ht="136" customHeight="1">
      <c r="A435" s="22" t="n">
        <v>431</v>
      </c>
      <c r="B435" s="22" t="n">
        <v>3</v>
      </c>
      <c r="C435" s="23" t="inlineStr">
        <is>
          <t>MB-PRV-01 / Kernel Dispatch</t>
        </is>
      </c>
      <c r="D435" s="23" t="inlineStr">
        <is>
          <t>MB-PRV-01</t>
        </is>
      </c>
      <c r="E435" s="24" t="inlineStr">
        <is>
          <t>Kernel Dispatch</t>
        </is>
      </c>
      <c r="F435" s="5" t="inlineStr">
        <is>
          <t>Mobile — Operasional Stasiun (MB-)</t>
        </is>
      </c>
      <c r="G435" s="24" t="inlineStr">
        <is>
          <t>Filter tanggal default ke hari ini</t>
        </is>
      </c>
      <c r="H435" s="5" t="inlineStr">
        <is>
          <t>OPR-A</t>
        </is>
      </c>
      <c r="I435" s="5" t="inlineStr">
        <is>
          <t>ada record hari ini dan record beberapa hari lalu</t>
        </is>
      </c>
      <c r="J435" s="5" t="inlineStr">
        <is>
          <t>1. Siapkan untuk stasiun ini: beberapa record bertanggal hari ini, dan beberapa bertanggal beberapa hari lalu.
2. Login di mobile, buka Monitor Kernel Dispatch, lalu tekan Load Data (/stations/kernel-dispatch/preview).
3. Baca isi kolom filter Tanggal sebelum menyentuh apa pun.
4. Hitung baris pada daftar dan bandingkan dengan jumlah record hari ini.</t>
        </is>
      </c>
      <c r="K435" s="5" t="inlineStr">
        <is>
          <t>- Filter Tanggal sudah terisi tanggal hari ini tanpa diisi penguji.
- Daftar hanya memuat record hari ini.
- Record tanggal lain tidak terlihat sampai filternya diubah.</t>
        </is>
      </c>
      <c r="L435" s="22" t="inlineStr">
        <is>
          <t>Sedang</t>
        </is>
      </c>
      <c r="M435" s="5" t="inlineStr"/>
      <c r="N435" s="17" t="n"/>
      <c r="O435" s="17" t="n"/>
      <c r="P435" s="17" t="n"/>
      <c r="Q435" s="17" t="n"/>
      <c r="R435" s="17" t="n"/>
    </row>
    <row r="436" ht="136" customHeight="1">
      <c r="A436" s="18" t="n">
        <v>432</v>
      </c>
      <c r="B436" s="18" t="n">
        <v>3</v>
      </c>
      <c r="C436" s="19" t="inlineStr">
        <is>
          <t>MB-PRV-01 / CPO Dispatch</t>
        </is>
      </c>
      <c r="D436" s="19" t="inlineStr">
        <is>
          <t>MB-PRV-01</t>
        </is>
      </c>
      <c r="E436" s="20" t="inlineStr">
        <is>
          <t>CPO Dispatch</t>
        </is>
      </c>
      <c r="F436" s="21" t="inlineStr">
        <is>
          <t>Mobile — Operasional Stasiun (MB-)</t>
        </is>
      </c>
      <c r="G436" s="20" t="inlineStr">
        <is>
          <t>Filter tanggal default ke hari ini</t>
        </is>
      </c>
      <c r="H436" s="21" t="inlineStr">
        <is>
          <t>OPR-A</t>
        </is>
      </c>
      <c r="I436" s="21" t="inlineStr">
        <is>
          <t>ada record hari ini dan record beberapa hari lalu</t>
        </is>
      </c>
      <c r="J436" s="21" t="inlineStr">
        <is>
          <t>1. Siapkan untuk stasiun ini: beberapa record bertanggal hari ini, dan beberapa bertanggal beberapa hari lalu.
2. Login di mobile, buka Monitor CPO Dispatch, lalu tekan Load Data (/stations/cpo-dispatch/preview).
3. Baca isi kolom filter Tanggal sebelum menyentuh apa pun.
4. Hitung baris pada daftar dan bandingkan dengan jumlah record hari ini.</t>
        </is>
      </c>
      <c r="K436" s="21" t="inlineStr">
        <is>
          <t>- Filter Tanggal sudah terisi tanggal hari ini tanpa diisi penguji.
- Daftar hanya memuat record hari ini.
- Record tanggal lain tidak terlihat sampai filternya diubah.</t>
        </is>
      </c>
      <c r="L436" s="18" t="inlineStr">
        <is>
          <t>Sedang</t>
        </is>
      </c>
      <c r="M436" s="21" t="inlineStr"/>
      <c r="N436" s="17" t="n"/>
      <c r="O436" s="17" t="n"/>
      <c r="P436" s="17" t="n"/>
      <c r="Q436" s="17" t="n"/>
      <c r="R436" s="17" t="n"/>
    </row>
    <row r="437" ht="136" customHeight="1">
      <c r="A437" s="22" t="n">
        <v>433</v>
      </c>
      <c r="B437" s="22" t="n">
        <v>3</v>
      </c>
      <c r="C437" s="23" t="inlineStr">
        <is>
          <t>MB-PRV-01 / Process Quality Control</t>
        </is>
      </c>
      <c r="D437" s="23" t="inlineStr">
        <is>
          <t>MB-PRV-01</t>
        </is>
      </c>
      <c r="E437" s="24" t="inlineStr">
        <is>
          <t>Process Quality Control</t>
        </is>
      </c>
      <c r="F437" s="5" t="inlineStr">
        <is>
          <t>Mobile — Operasional Stasiun (MB-)</t>
        </is>
      </c>
      <c r="G437" s="24" t="inlineStr">
        <is>
          <t>Filter tanggal default ke hari ini</t>
        </is>
      </c>
      <c r="H437" s="5" t="inlineStr">
        <is>
          <t>OPR-A</t>
        </is>
      </c>
      <c r="I437" s="5" t="inlineStr">
        <is>
          <t>ada record hari ini dan record beberapa hari lalu</t>
        </is>
      </c>
      <c r="J437" s="5" t="inlineStr">
        <is>
          <t>1. Siapkan untuk stasiun ini: beberapa record bertanggal hari ini, dan beberapa bertanggal beberapa hari lalu.
2. Login di mobile, buka Monitor Process Quality Control, lalu tekan Load Data (/stations/process-quality-control/preview).
3. Baca isi kolom filter Tanggal sebelum menyentuh apa pun.
4. Hitung baris pada daftar dan bandingkan dengan jumlah record hari ini.</t>
        </is>
      </c>
      <c r="K437" s="5" t="inlineStr">
        <is>
          <t>- Filter Tanggal sudah terisi tanggal hari ini tanpa diisi penguji.
- Daftar hanya memuat record hari ini.
- Record tanggal lain tidak terlihat sampai filternya diubah.</t>
        </is>
      </c>
      <c r="L437" s="22" t="inlineStr">
        <is>
          <t>Sedang</t>
        </is>
      </c>
      <c r="M437" s="5" t="inlineStr"/>
      <c r="N437" s="17" t="n"/>
      <c r="O437" s="17" t="n"/>
      <c r="P437" s="17" t="n"/>
      <c r="Q437" s="17" t="n"/>
      <c r="R437" s="17" t="n"/>
    </row>
    <row r="438" ht="109.6" customHeight="1">
      <c r="A438" s="11" t="n">
        <v>434</v>
      </c>
      <c r="B438" s="12" t="n">
        <v>1</v>
      </c>
      <c r="C438" s="13" t="inlineStr">
        <is>
          <t>MB-PRV-02 / Depricarping</t>
        </is>
      </c>
      <c r="D438" s="13" t="inlineStr">
        <is>
          <t>MB-PRV-02</t>
        </is>
      </c>
      <c r="E438" s="15" t="inlineStr">
        <is>
          <t>Depricarping</t>
        </is>
      </c>
      <c r="F438" s="14" t="inlineStr">
        <is>
          <t>Mobile — Operasional Stasiun (MB-)</t>
        </is>
      </c>
      <c r="G438" s="15" t="inlineStr">
        <is>
          <t>Pintasan "Semua" dan "Hari ini" bekerja</t>
        </is>
      </c>
      <c r="H438" s="14" t="inlineStr">
        <is>
          <t>OPR-A</t>
        </is>
      </c>
      <c r="I438" s="14" t="inlineStr">
        <is>
          <t>—</t>
        </is>
      </c>
      <c r="J438" s="14" t="inlineStr">
        <is>
          <t>1. Login di mobile, buka Monitor Depricarping, lalu tekan Load Data (/stations/depricarping/preview), dengan data hari ini dan data hari lain tersedia.
2. Tekan pintasan Semua. Hitung barisnya.
3. Tekan pintasan Hari ini. Hitung barisnya.
4. Bandingkan kedua angka itu dengan ringkasan jumlah hasil yang tertulis di layar.</t>
        </is>
      </c>
      <c r="K438" s="14" t="inlineStr">
        <is>
          <t>- Semua menampilkan record dari seluruh tanggal — jumlahnya lebih banyak.
- Hari ini mengembalikan daftar ke record hari ini saja.
- Ringkasan jumlah hasil cocok dengan jumlah baris yang terlihat.</t>
        </is>
      </c>
      <c r="L438" s="11" t="inlineStr">
        <is>
          <t>Sedang</t>
        </is>
      </c>
      <c r="M438" s="14" t="inlineStr"/>
      <c r="N438" s="17" t="n"/>
      <c r="O438" s="17" t="n"/>
      <c r="P438" s="17" t="n"/>
      <c r="Q438" s="17" t="n"/>
      <c r="R438" s="17" t="n"/>
    </row>
    <row r="439" ht="109.6" customHeight="1">
      <c r="A439" s="22" t="n">
        <v>435</v>
      </c>
      <c r="B439" s="22" t="n">
        <v>3</v>
      </c>
      <c r="C439" s="23" t="inlineStr">
        <is>
          <t>MB-PRV-02 / Weighbridge</t>
        </is>
      </c>
      <c r="D439" s="23" t="inlineStr">
        <is>
          <t>MB-PRV-02</t>
        </is>
      </c>
      <c r="E439" s="24" t="inlineStr">
        <is>
          <t>Weighbridge</t>
        </is>
      </c>
      <c r="F439" s="5" t="inlineStr">
        <is>
          <t>Mobile — Operasional Stasiun (MB-)</t>
        </is>
      </c>
      <c r="G439" s="24" t="inlineStr">
        <is>
          <t>Pintasan "Semua" dan "Hari ini" bekerja</t>
        </is>
      </c>
      <c r="H439" s="5" t="inlineStr">
        <is>
          <t>OPR-A</t>
        </is>
      </c>
      <c r="I439" s="5" t="inlineStr">
        <is>
          <t>—</t>
        </is>
      </c>
      <c r="J439" s="5" t="inlineStr">
        <is>
          <t>1. Login di mobile, buka Monitor Weighbridge, lalu tekan Load Data (/stations/weighbridge/preview), dengan data hari ini dan data hari lain tersedia.
2. Tekan pintasan Semua. Hitung barisnya.
3. Tekan pintasan Hari ini. Hitung barisnya.
4. Bandingkan kedua angka itu dengan ringkasan jumlah hasil yang tertulis di layar.</t>
        </is>
      </c>
      <c r="K439" s="5" t="inlineStr">
        <is>
          <t>- Semua menampilkan record dari seluruh tanggal — jumlahnya lebih banyak.
- Hari ini mengembalikan daftar ke record hari ini saja.
- Ringkasan jumlah hasil cocok dengan jumlah baris yang terlihat.</t>
        </is>
      </c>
      <c r="L439" s="22" t="inlineStr">
        <is>
          <t>Sedang</t>
        </is>
      </c>
      <c r="M439" s="5" t="inlineStr"/>
      <c r="N439" s="17" t="n"/>
      <c r="O439" s="17" t="n"/>
      <c r="P439" s="17" t="n"/>
      <c r="Q439" s="17" t="n"/>
      <c r="R439" s="17" t="n"/>
    </row>
    <row r="440" ht="109.6" customHeight="1">
      <c r="A440" s="18" t="n">
        <v>436</v>
      </c>
      <c r="B440" s="18" t="n">
        <v>3</v>
      </c>
      <c r="C440" s="19" t="inlineStr">
        <is>
          <t>MB-PRV-02 / Effluent Plant</t>
        </is>
      </c>
      <c r="D440" s="19" t="inlineStr">
        <is>
          <t>MB-PRV-02</t>
        </is>
      </c>
      <c r="E440" s="20" t="inlineStr">
        <is>
          <t>Effluent Plant</t>
        </is>
      </c>
      <c r="F440" s="21" t="inlineStr">
        <is>
          <t>Mobile — Operasional Stasiun (MB-)</t>
        </is>
      </c>
      <c r="G440" s="20" t="inlineStr">
        <is>
          <t>Pintasan "Semua" dan "Hari ini" bekerja</t>
        </is>
      </c>
      <c r="H440" s="21" t="inlineStr">
        <is>
          <t>OPR-A</t>
        </is>
      </c>
      <c r="I440" s="21" t="inlineStr">
        <is>
          <t>—</t>
        </is>
      </c>
      <c r="J440" s="21" t="inlineStr">
        <is>
          <t>1. Login di mobile, buka Monitor Effluent Plant, lalu tekan Load Data (/stations/effluent-plant/preview), dengan data hari ini dan data hari lain tersedia.
2. Tekan pintasan Semua. Hitung barisnya.
3. Tekan pintasan Hari ini. Hitung barisnya.
4. Bandingkan kedua angka itu dengan ringkasan jumlah hasil yang tertulis di layar.</t>
        </is>
      </c>
      <c r="K440" s="21" t="inlineStr">
        <is>
          <t>- Semua menampilkan record dari seluruh tanggal — jumlahnya lebih banyak.
- Hari ini mengembalikan daftar ke record hari ini saja.
- Ringkasan jumlah hasil cocok dengan jumlah baris yang terlihat.</t>
        </is>
      </c>
      <c r="L440" s="18" t="inlineStr">
        <is>
          <t>Sedang</t>
        </is>
      </c>
      <c r="M440" s="21" t="inlineStr"/>
      <c r="N440" s="17" t="n"/>
      <c r="O440" s="17" t="n"/>
      <c r="P440" s="17" t="n"/>
      <c r="Q440" s="17" t="n"/>
      <c r="R440" s="17" t="n"/>
    </row>
    <row r="441" ht="149.2" customHeight="1">
      <c r="A441" s="22" t="n">
        <v>437</v>
      </c>
      <c r="B441" s="22" t="n">
        <v>3</v>
      </c>
      <c r="C441" s="23" t="inlineStr">
        <is>
          <t>MB-PRV-03 / Weighbridge</t>
        </is>
      </c>
      <c r="D441" s="23" t="inlineStr">
        <is>
          <t>MB-PRV-03</t>
        </is>
      </c>
      <c r="E441" s="24" t="inlineStr">
        <is>
          <t>Weighbridge</t>
        </is>
      </c>
      <c r="F441" s="5" t="inlineStr">
        <is>
          <t>Mobile — Operasional Stasiun (MB-)</t>
        </is>
      </c>
      <c r="G441" s="24" t="inlineStr">
        <is>
          <t>Pencarian tidak peduli huruf besar-kecil</t>
        </is>
      </c>
      <c r="H441" s="5" t="inlineStr">
        <is>
          <t>OPR-A</t>
        </is>
      </c>
      <c r="I441" s="5" t="inlineStr">
        <is>
          <t>ada record dengan kolom wajib bernilai mis. PRESSER-01</t>
        </is>
      </c>
      <c r="J441" s="5" t="inlineStr">
        <is>
          <t>1. Siapkan satu record dengan kolom identitas bernilai mis. PRESSER-01.
2. Login di mobile, buka Monitor Weighbridge, lalu tekan Load Data (/stations/weighbridge/preview). Tekan pintasan Semua.
3. Pada kolom Cari, ketik presser-01 (huruf kecil semua).
4. Hapus, lalu ketik PRESSER (huruf besar semua).
5. Hapus, lalu ketik esser-0 (potongan di tengah).</t>
        </is>
      </c>
      <c r="K441" s="5" t="inlineStr">
        <is>
          <t>- Ketiga pencarian menemukan record itu.
- Pencarian tidak peduli huruf besar-kecil.
- Potongan di tengah juga cocok — bukan hanya awalan.</t>
        </is>
      </c>
      <c r="L441" s="22" t="inlineStr">
        <is>
          <t>Sedang</t>
        </is>
      </c>
      <c r="M441" s="5" t="inlineStr"/>
      <c r="N441" s="17" t="n"/>
      <c r="O441" s="17" t="n"/>
      <c r="P441" s="17" t="n"/>
      <c r="Q441" s="17" t="n"/>
      <c r="R441" s="17" t="n"/>
    </row>
    <row r="442" ht="149.2" customHeight="1">
      <c r="A442" s="18" t="n">
        <v>438</v>
      </c>
      <c r="B442" s="18" t="n">
        <v>3</v>
      </c>
      <c r="C442" s="19" t="inlineStr">
        <is>
          <t>MB-PRV-03 / Grading</t>
        </is>
      </c>
      <c r="D442" s="19" t="inlineStr">
        <is>
          <t>MB-PRV-03</t>
        </is>
      </c>
      <c r="E442" s="20" t="inlineStr">
        <is>
          <t>Grading</t>
        </is>
      </c>
      <c r="F442" s="21" t="inlineStr">
        <is>
          <t>Mobile — Operasional Stasiun (MB-)</t>
        </is>
      </c>
      <c r="G442" s="20" t="inlineStr">
        <is>
          <t>Pencarian tidak peduli huruf besar-kecil</t>
        </is>
      </c>
      <c r="H442" s="21" t="inlineStr">
        <is>
          <t>OPR-A</t>
        </is>
      </c>
      <c r="I442" s="21" t="inlineStr">
        <is>
          <t>ada record dengan kolom wajib bernilai mis. PRESSER-01</t>
        </is>
      </c>
      <c r="J442" s="21" t="inlineStr">
        <is>
          <t>1. Siapkan satu record dengan kolom identitas bernilai mis. PRESSER-01.
2. Login di mobile, buka Monitor Grading, lalu tekan Load Data (/stations/grading/preview). Tekan pintasan Semua.
3. Pada kolom Cari, ketik presser-01 (huruf kecil semua).
4. Hapus, lalu ketik PRESSER (huruf besar semua).
5. Hapus, lalu ketik esser-0 (potongan di tengah).</t>
        </is>
      </c>
      <c r="K442" s="21" t="inlineStr">
        <is>
          <t>- Ketiga pencarian menemukan record itu.
- Pencarian tidak peduli huruf besar-kecil.
- Potongan di tengah juga cocok — bukan hanya awalan.</t>
        </is>
      </c>
      <c r="L442" s="18" t="inlineStr">
        <is>
          <t>Sedang</t>
        </is>
      </c>
      <c r="M442" s="21" t="inlineStr"/>
      <c r="N442" s="17" t="n"/>
      <c r="O442" s="17" t="n"/>
      <c r="P442" s="17" t="n"/>
      <c r="Q442" s="17" t="n"/>
      <c r="R442" s="17" t="n"/>
    </row>
    <row r="443" ht="149.2" customHeight="1">
      <c r="A443" s="22" t="n">
        <v>439</v>
      </c>
      <c r="B443" s="22" t="n">
        <v>3</v>
      </c>
      <c r="C443" s="23" t="inlineStr">
        <is>
          <t>MB-PRV-03 / Cages Track</t>
        </is>
      </c>
      <c r="D443" s="23" t="inlineStr">
        <is>
          <t>MB-PRV-03</t>
        </is>
      </c>
      <c r="E443" s="24" t="inlineStr">
        <is>
          <t>Cages Track</t>
        </is>
      </c>
      <c r="F443" s="5" t="inlineStr">
        <is>
          <t>Mobile — Operasional Stasiun (MB-)</t>
        </is>
      </c>
      <c r="G443" s="24" t="inlineStr">
        <is>
          <t>Pencarian tidak peduli huruf besar-kecil</t>
        </is>
      </c>
      <c r="H443" s="5" t="inlineStr">
        <is>
          <t>OPR-A</t>
        </is>
      </c>
      <c r="I443" s="5" t="inlineStr">
        <is>
          <t>ada record dengan kolom wajib bernilai mis. PRESSER-01</t>
        </is>
      </c>
      <c r="J443" s="5" t="inlineStr">
        <is>
          <t>1. Siapkan satu record dengan kolom identitas bernilai mis. PRESSER-01.
2. Login di mobile, buka Monitor Cages Track, lalu tekan Load Data (/stations/cages-track/preview). Tekan pintasan Semua.
3. Pada kolom Cari, ketik presser-01 (huruf kecil semua).
4. Hapus, lalu ketik PRESSER (huruf besar semua).
5. Hapus, lalu ketik esser-0 (potongan di tengah).</t>
        </is>
      </c>
      <c r="K443" s="5" t="inlineStr">
        <is>
          <t>- Ketiga pencarian menemukan record itu.
- Pencarian tidak peduli huruf besar-kecil.
- Potongan di tengah juga cocok — bukan hanya awalan.</t>
        </is>
      </c>
      <c r="L443" s="22" t="inlineStr">
        <is>
          <t>Sedang</t>
        </is>
      </c>
      <c r="M443" s="5" t="inlineStr"/>
      <c r="N443" s="17" t="n"/>
      <c r="O443" s="17" t="n"/>
      <c r="P443" s="17" t="n"/>
      <c r="Q443" s="17" t="n"/>
      <c r="R443" s="17" t="n"/>
    </row>
    <row r="444" ht="149.2" customHeight="1">
      <c r="A444" s="18" t="n">
        <v>440</v>
      </c>
      <c r="B444" s="18" t="n">
        <v>3</v>
      </c>
      <c r="C444" s="19" t="inlineStr">
        <is>
          <t>MB-PRV-03 / Sterilizer</t>
        </is>
      </c>
      <c r="D444" s="19" t="inlineStr">
        <is>
          <t>MB-PRV-03</t>
        </is>
      </c>
      <c r="E444" s="20" t="inlineStr">
        <is>
          <t>Sterilizer</t>
        </is>
      </c>
      <c r="F444" s="21" t="inlineStr">
        <is>
          <t>Mobile — Operasional Stasiun (MB-)</t>
        </is>
      </c>
      <c r="G444" s="20" t="inlineStr">
        <is>
          <t>Pencarian tidak peduli huruf besar-kecil</t>
        </is>
      </c>
      <c r="H444" s="21" t="inlineStr">
        <is>
          <t>OPR-A</t>
        </is>
      </c>
      <c r="I444" s="21" t="inlineStr">
        <is>
          <t>ada record dengan kolom wajib bernilai mis. PRESSER-01</t>
        </is>
      </c>
      <c r="J444" s="21" t="inlineStr">
        <is>
          <t>1. Siapkan satu record dengan kolom identitas bernilai mis. PRESSER-01.
2. Login di mobile, buka Monitor Sterilizer, lalu tekan Load Data (/stations/sterilizer/preview). Tekan pintasan Semua.
3. Pada kolom Cari, ketik presser-01 (huruf kecil semua).
4. Hapus, lalu ketik PRESSER (huruf besar semua).
5. Hapus, lalu ketik esser-0 (potongan di tengah).</t>
        </is>
      </c>
      <c r="K444" s="21" t="inlineStr">
        <is>
          <t>- Ketiga pencarian menemukan record itu.
- Pencarian tidak peduli huruf besar-kecil.
- Potongan di tengah juga cocok — bukan hanya awalan.</t>
        </is>
      </c>
      <c r="L444" s="18" t="inlineStr">
        <is>
          <t>Sedang</t>
        </is>
      </c>
      <c r="M444" s="21" t="inlineStr"/>
      <c r="N444" s="17" t="n"/>
      <c r="O444" s="17" t="n"/>
      <c r="P444" s="17" t="n"/>
      <c r="Q444" s="17" t="n"/>
      <c r="R444" s="17" t="n"/>
    </row>
    <row r="445" ht="149.2" customHeight="1">
      <c r="A445" s="22" t="n">
        <v>441</v>
      </c>
      <c r="B445" s="22" t="n">
        <v>3</v>
      </c>
      <c r="C445" s="23" t="inlineStr">
        <is>
          <t>MB-PRV-03 / Threshing</t>
        </is>
      </c>
      <c r="D445" s="23" t="inlineStr">
        <is>
          <t>MB-PRV-03</t>
        </is>
      </c>
      <c r="E445" s="24" t="inlineStr">
        <is>
          <t>Threshing</t>
        </is>
      </c>
      <c r="F445" s="5" t="inlineStr">
        <is>
          <t>Mobile — Operasional Stasiun (MB-)</t>
        </is>
      </c>
      <c r="G445" s="24" t="inlineStr">
        <is>
          <t>Pencarian tidak peduli huruf besar-kecil</t>
        </is>
      </c>
      <c r="H445" s="5" t="inlineStr">
        <is>
          <t>OPR-A</t>
        </is>
      </c>
      <c r="I445" s="5" t="inlineStr">
        <is>
          <t>ada record dengan kolom wajib bernilai mis. PRESSER-01</t>
        </is>
      </c>
      <c r="J445" s="5" t="inlineStr">
        <is>
          <t>1. Siapkan satu record dengan kolom identitas bernilai mis. PRESSER-01.
2. Login di mobile, buka Monitor Threshing, lalu tekan Load Data (/stations/threshing/preview). Tekan pintasan Semua.
3. Pada kolom Cari, ketik presser-01 (huruf kecil semua).
4. Hapus, lalu ketik PRESSER (huruf besar semua).
5. Hapus, lalu ketik esser-0 (potongan di tengah).</t>
        </is>
      </c>
      <c r="K445" s="5" t="inlineStr">
        <is>
          <t>- Ketiga pencarian menemukan record itu.
- Pencarian tidak peduli huruf besar-kecil.
- Potongan di tengah juga cocok — bukan hanya awalan.</t>
        </is>
      </c>
      <c r="L445" s="22" t="inlineStr">
        <is>
          <t>Sedang</t>
        </is>
      </c>
      <c r="M445" s="5" t="inlineStr"/>
      <c r="N445" s="17" t="n"/>
      <c r="O445" s="17" t="n"/>
      <c r="P445" s="17" t="n"/>
      <c r="Q445" s="17" t="n"/>
      <c r="R445" s="17" t="n"/>
    </row>
    <row r="446" ht="149.2" customHeight="1">
      <c r="A446" s="18" t="n">
        <v>442</v>
      </c>
      <c r="B446" s="18" t="n">
        <v>3</v>
      </c>
      <c r="C446" s="19" t="inlineStr">
        <is>
          <t>MB-PRV-03 / Pressing</t>
        </is>
      </c>
      <c r="D446" s="19" t="inlineStr">
        <is>
          <t>MB-PRV-03</t>
        </is>
      </c>
      <c r="E446" s="20" t="inlineStr">
        <is>
          <t>Pressing</t>
        </is>
      </c>
      <c r="F446" s="21" t="inlineStr">
        <is>
          <t>Mobile — Operasional Stasiun (MB-)</t>
        </is>
      </c>
      <c r="G446" s="20" t="inlineStr">
        <is>
          <t>Pencarian tidak peduli huruf besar-kecil</t>
        </is>
      </c>
      <c r="H446" s="21" t="inlineStr">
        <is>
          <t>OPR-A</t>
        </is>
      </c>
      <c r="I446" s="21" t="inlineStr">
        <is>
          <t>ada record dengan kolom wajib bernilai mis. PRESSER-01</t>
        </is>
      </c>
      <c r="J446" s="21" t="inlineStr">
        <is>
          <t>1. Siapkan satu record dengan kolom identitas bernilai mis. PRESSER-01.
2. Login di mobile, buka Monitor Pressing, lalu tekan Load Data (/stations/pressing/preview). Tekan pintasan Semua.
3. Pada kolom Cari, ketik presser-01 (huruf kecil semua).
4. Hapus, lalu ketik PRESSER (huruf besar semua).
5. Hapus, lalu ketik esser-0 (potongan di tengah).</t>
        </is>
      </c>
      <c r="K446" s="21" t="inlineStr">
        <is>
          <t>- Ketiga pencarian menemukan record itu.
- Pencarian tidak peduli huruf besar-kecil.
- Potongan di tengah juga cocok — bukan hanya awalan.</t>
        </is>
      </c>
      <c r="L446" s="18" t="inlineStr">
        <is>
          <t>Sedang</t>
        </is>
      </c>
      <c r="M446" s="21" t="inlineStr"/>
      <c r="N446" s="17" t="n"/>
      <c r="O446" s="17" t="n"/>
      <c r="P446" s="17" t="n"/>
      <c r="Q446" s="17" t="n"/>
      <c r="R446" s="17" t="n"/>
    </row>
    <row r="447" ht="149.2" customHeight="1">
      <c r="A447" s="22" t="n">
        <v>443</v>
      </c>
      <c r="B447" s="22" t="n">
        <v>3</v>
      </c>
      <c r="C447" s="23" t="inlineStr">
        <is>
          <t>MB-PRV-03 / Clarification</t>
        </is>
      </c>
      <c r="D447" s="23" t="inlineStr">
        <is>
          <t>MB-PRV-03</t>
        </is>
      </c>
      <c r="E447" s="24" t="inlineStr">
        <is>
          <t>Clarification</t>
        </is>
      </c>
      <c r="F447" s="5" t="inlineStr">
        <is>
          <t>Mobile — Operasional Stasiun (MB-)</t>
        </is>
      </c>
      <c r="G447" s="24" t="inlineStr">
        <is>
          <t>Pencarian tidak peduli huruf besar-kecil</t>
        </is>
      </c>
      <c r="H447" s="5" t="inlineStr">
        <is>
          <t>OPR-A</t>
        </is>
      </c>
      <c r="I447" s="5" t="inlineStr">
        <is>
          <t>ada record dengan kolom wajib bernilai mis. PRESSER-01</t>
        </is>
      </c>
      <c r="J447" s="5" t="inlineStr">
        <is>
          <t>1. Siapkan satu record dengan kolom identitas bernilai mis. PRESSER-01.
2. Login di mobile, buka Monitor Clarification, lalu tekan Load Data (/stations/clarification/preview). Tekan pintasan Semua.
3. Pada kolom Cari, ketik presser-01 (huruf kecil semua).
4. Hapus, lalu ketik PRESSER (huruf besar semua).
5. Hapus, lalu ketik esser-0 (potongan di tengah).</t>
        </is>
      </c>
      <c r="K447" s="5" t="inlineStr">
        <is>
          <t>- Ketiga pencarian menemukan record itu.
- Pencarian tidak peduli huruf besar-kecil.
- Potongan di tengah juga cocok — bukan hanya awalan.</t>
        </is>
      </c>
      <c r="L447" s="22" t="inlineStr">
        <is>
          <t>Sedang</t>
        </is>
      </c>
      <c r="M447" s="5" t="inlineStr"/>
      <c r="N447" s="17" t="n"/>
      <c r="O447" s="17" t="n"/>
      <c r="P447" s="17" t="n"/>
      <c r="Q447" s="17" t="n"/>
      <c r="R447" s="17" t="n"/>
    </row>
    <row r="448" ht="149.2" customHeight="1">
      <c r="A448" s="18" t="n">
        <v>444</v>
      </c>
      <c r="B448" s="18" t="n">
        <v>3</v>
      </c>
      <c r="C448" s="19" t="inlineStr">
        <is>
          <t>MB-PRV-03 / Kernel Plant</t>
        </is>
      </c>
      <c r="D448" s="19" t="inlineStr">
        <is>
          <t>MB-PRV-03</t>
        </is>
      </c>
      <c r="E448" s="20" t="inlineStr">
        <is>
          <t>Kernel Plant</t>
        </is>
      </c>
      <c r="F448" s="21" t="inlineStr">
        <is>
          <t>Mobile — Operasional Stasiun (MB-)</t>
        </is>
      </c>
      <c r="G448" s="20" t="inlineStr">
        <is>
          <t>Pencarian tidak peduli huruf besar-kecil</t>
        </is>
      </c>
      <c r="H448" s="21" t="inlineStr">
        <is>
          <t>OPR-A</t>
        </is>
      </c>
      <c r="I448" s="21" t="inlineStr">
        <is>
          <t>ada record dengan kolom wajib bernilai mis. PRESSER-01</t>
        </is>
      </c>
      <c r="J448" s="21" t="inlineStr">
        <is>
          <t>1. Siapkan satu record dengan kolom identitas bernilai mis. PRESSER-01.
2. Login di mobile, buka Monitor Kernel Plant, lalu tekan Load Data (/stations/kernel-plant/preview). Tekan pintasan Semua.
3. Pada kolom Cari, ketik presser-01 (huruf kecil semua).
4. Hapus, lalu ketik PRESSER (huruf besar semua).
5. Hapus, lalu ketik esser-0 (potongan di tengah).</t>
        </is>
      </c>
      <c r="K448" s="21" t="inlineStr">
        <is>
          <t>- Ketiga pencarian menemukan record itu.
- Pencarian tidak peduli huruf besar-kecil.
- Potongan di tengah juga cocok — bukan hanya awalan.</t>
        </is>
      </c>
      <c r="L448" s="18" t="inlineStr">
        <is>
          <t>Sedang</t>
        </is>
      </c>
      <c r="M448" s="21" t="inlineStr"/>
      <c r="N448" s="17" t="n"/>
      <c r="O448" s="17" t="n"/>
      <c r="P448" s="17" t="n"/>
      <c r="Q448" s="17" t="n"/>
      <c r="R448" s="17" t="n"/>
    </row>
    <row r="449" ht="149.2" customHeight="1">
      <c r="A449" s="22" t="n">
        <v>445</v>
      </c>
      <c r="B449" s="22" t="n">
        <v>3</v>
      </c>
      <c r="C449" s="23" t="inlineStr">
        <is>
          <t>MB-PRV-03 / Boiler Room</t>
        </is>
      </c>
      <c r="D449" s="23" t="inlineStr">
        <is>
          <t>MB-PRV-03</t>
        </is>
      </c>
      <c r="E449" s="24" t="inlineStr">
        <is>
          <t>Boiler Room</t>
        </is>
      </c>
      <c r="F449" s="5" t="inlineStr">
        <is>
          <t>Mobile — Operasional Stasiun (MB-)</t>
        </is>
      </c>
      <c r="G449" s="24" t="inlineStr">
        <is>
          <t>Pencarian tidak peduli huruf besar-kecil</t>
        </is>
      </c>
      <c r="H449" s="5" t="inlineStr">
        <is>
          <t>OPR-A</t>
        </is>
      </c>
      <c r="I449" s="5" t="inlineStr">
        <is>
          <t>ada record dengan kolom wajib bernilai mis. PRESSER-01</t>
        </is>
      </c>
      <c r="J449" s="5" t="inlineStr">
        <is>
          <t>1. Siapkan satu record dengan kolom identitas bernilai mis. PRESSER-01.
2. Login di mobile, buka Monitor Boiler Room, lalu tekan Load Data (/stations/boiler-room/preview). Tekan pintasan Semua.
3. Pada kolom Cari, ketik presser-01 (huruf kecil semua).
4. Hapus, lalu ketik PRESSER (huruf besar semua).
5. Hapus, lalu ketik esser-0 (potongan di tengah).</t>
        </is>
      </c>
      <c r="K449" s="5" t="inlineStr">
        <is>
          <t>- Ketiga pencarian menemukan record itu.
- Pencarian tidak peduli huruf besar-kecil.
- Potongan di tengah juga cocok — bukan hanya awalan.</t>
        </is>
      </c>
      <c r="L449" s="22" t="inlineStr">
        <is>
          <t>Sedang</t>
        </is>
      </c>
      <c r="M449" s="5" t="inlineStr"/>
      <c r="N449" s="17" t="n"/>
      <c r="O449" s="17" t="n"/>
      <c r="P449" s="17" t="n"/>
      <c r="Q449" s="17" t="n"/>
      <c r="R449" s="17" t="n"/>
    </row>
    <row r="450" ht="149.2" customHeight="1">
      <c r="A450" s="18" t="n">
        <v>446</v>
      </c>
      <c r="B450" s="18" t="n">
        <v>3</v>
      </c>
      <c r="C450" s="19" t="inlineStr">
        <is>
          <t>MB-PRV-03 / Effluent Plant</t>
        </is>
      </c>
      <c r="D450" s="19" t="inlineStr">
        <is>
          <t>MB-PRV-03</t>
        </is>
      </c>
      <c r="E450" s="20" t="inlineStr">
        <is>
          <t>Effluent Plant</t>
        </is>
      </c>
      <c r="F450" s="21" t="inlineStr">
        <is>
          <t>Mobile — Operasional Stasiun (MB-)</t>
        </is>
      </c>
      <c r="G450" s="20" t="inlineStr">
        <is>
          <t>Pencarian tidak peduli huruf besar-kecil</t>
        </is>
      </c>
      <c r="H450" s="21" t="inlineStr">
        <is>
          <t>OPR-A</t>
        </is>
      </c>
      <c r="I450" s="21" t="inlineStr">
        <is>
          <t>ada record dengan kolom wajib bernilai mis. PRESSER-01</t>
        </is>
      </c>
      <c r="J450" s="21" t="inlineStr">
        <is>
          <t>1. Siapkan satu record dengan kolom identitas bernilai mis. PRESSER-01.
2. Login di mobile, buka Monitor Effluent Plant, lalu tekan Load Data (/stations/effluent-plant/preview). Tekan pintasan Semua.
3. Pada kolom Cari, ketik presser-01 (huruf kecil semua).
4. Hapus, lalu ketik PRESSER (huruf besar semua).
5. Hapus, lalu ketik esser-0 (potongan di tengah).</t>
        </is>
      </c>
      <c r="K450" s="21" t="inlineStr">
        <is>
          <t>- Ketiga pencarian menemukan record itu.
- Pencarian tidak peduli huruf besar-kecil.
- Potongan di tengah juga cocok — bukan hanya awalan.</t>
        </is>
      </c>
      <c r="L450" s="18" t="inlineStr">
        <is>
          <t>Sedang</t>
        </is>
      </c>
      <c r="M450" s="21" t="inlineStr"/>
      <c r="N450" s="17" t="n"/>
      <c r="O450" s="17" t="n"/>
      <c r="P450" s="17" t="n"/>
      <c r="Q450" s="17" t="n"/>
      <c r="R450" s="17" t="n"/>
    </row>
    <row r="451" ht="149.2" customHeight="1">
      <c r="A451" s="11" t="n">
        <v>447</v>
      </c>
      <c r="B451" s="12" t="n">
        <v>1</v>
      </c>
      <c r="C451" s="13" t="inlineStr">
        <is>
          <t>MB-PRV-03 / Depricarping</t>
        </is>
      </c>
      <c r="D451" s="13" t="inlineStr">
        <is>
          <t>MB-PRV-03</t>
        </is>
      </c>
      <c r="E451" s="15" t="inlineStr">
        <is>
          <t>Depricarping</t>
        </is>
      </c>
      <c r="F451" s="14" t="inlineStr">
        <is>
          <t>Mobile — Operasional Stasiun (MB-)</t>
        </is>
      </c>
      <c r="G451" s="15" t="inlineStr">
        <is>
          <t>Pencarian tidak peduli huruf besar-kecil</t>
        </is>
      </c>
      <c r="H451" s="14" t="inlineStr">
        <is>
          <t>OPR-A</t>
        </is>
      </c>
      <c r="I451" s="14" t="inlineStr">
        <is>
          <t>ada record dengan kolom wajib bernilai mis. PRESSER-01</t>
        </is>
      </c>
      <c r="J451" s="14" t="inlineStr">
        <is>
          <t>1. Siapkan satu record dengan kolom identitas bernilai mis. PRESSER-01.
2. Login di mobile, buka Monitor Depricarping, lalu tekan Load Data (/stations/depricarping/preview). Tekan pintasan Semua.
3. Pada kolom Cari, ketik presser-01 (huruf kecil semua).
4. Hapus, lalu ketik PRESSER (huruf besar semua).
5. Hapus, lalu ketik esser-0 (potongan di tengah).</t>
        </is>
      </c>
      <c r="K451" s="14" t="inlineStr">
        <is>
          <t>- Ketiga pencarian menemukan record itu.
- Pencarian tidak peduli huruf besar-kecil.
- Potongan di tengah juga cocok — bukan hanya awalan.</t>
        </is>
      </c>
      <c r="L451" s="11" t="inlineStr">
        <is>
          <t>Sedang</t>
        </is>
      </c>
      <c r="M451" s="14" t="inlineStr"/>
      <c r="N451" s="17" t="n"/>
      <c r="O451" s="17" t="n"/>
      <c r="P451" s="17" t="n"/>
      <c r="Q451" s="17" t="n"/>
      <c r="R451" s="17" t="n"/>
    </row>
    <row r="452" ht="149.2" customHeight="1">
      <c r="A452" s="18" t="n">
        <v>448</v>
      </c>
      <c r="B452" s="18" t="n">
        <v>3</v>
      </c>
      <c r="C452" s="19" t="inlineStr">
        <is>
          <t>MB-PRV-03 / Engine Room</t>
        </is>
      </c>
      <c r="D452" s="19" t="inlineStr">
        <is>
          <t>MB-PRV-03</t>
        </is>
      </c>
      <c r="E452" s="20" t="inlineStr">
        <is>
          <t>Engine Room</t>
        </is>
      </c>
      <c r="F452" s="21" t="inlineStr">
        <is>
          <t>Mobile — Operasional Stasiun (MB-)</t>
        </is>
      </c>
      <c r="G452" s="20" t="inlineStr">
        <is>
          <t>Pencarian tidak peduli huruf besar-kecil</t>
        </is>
      </c>
      <c r="H452" s="21" t="inlineStr">
        <is>
          <t>OPR-A</t>
        </is>
      </c>
      <c r="I452" s="21" t="inlineStr">
        <is>
          <t>ada record dengan kolom wajib bernilai mis. PRESSER-01</t>
        </is>
      </c>
      <c r="J452" s="21" t="inlineStr">
        <is>
          <t>1. Siapkan satu record dengan kolom identitas bernilai mis. PRESSER-01.
2. Login di mobile, buka Monitor Engine Room, lalu tekan Load Data (/stations/engine-room/preview). Tekan pintasan Semua.
3. Pada kolom Cari, ketik presser-01 (huruf kecil semua).
4. Hapus, lalu ketik PRESSER (huruf besar semua).
5. Hapus, lalu ketik esser-0 (potongan di tengah).</t>
        </is>
      </c>
      <c r="K452" s="21" t="inlineStr">
        <is>
          <t>- Ketiga pencarian menemukan record itu.
- Pencarian tidak peduli huruf besar-kecil.
- Potongan di tengah juga cocok — bukan hanya awalan.</t>
        </is>
      </c>
      <c r="L452" s="18" t="inlineStr">
        <is>
          <t>Sedang</t>
        </is>
      </c>
      <c r="M452" s="21" t="inlineStr"/>
      <c r="N452" s="17" t="n"/>
      <c r="O452" s="17" t="n"/>
      <c r="P452" s="17" t="n"/>
      <c r="Q452" s="17" t="n"/>
      <c r="R452" s="17" t="n"/>
    </row>
    <row r="453" ht="149.2" customHeight="1">
      <c r="A453" s="22" t="n">
        <v>449</v>
      </c>
      <c r="B453" s="22" t="n">
        <v>3</v>
      </c>
      <c r="C453" s="23" t="inlineStr">
        <is>
          <t>MB-PRV-03 / Process Water</t>
        </is>
      </c>
      <c r="D453" s="23" t="inlineStr">
        <is>
          <t>MB-PRV-03</t>
        </is>
      </c>
      <c r="E453" s="24" t="inlineStr">
        <is>
          <t>Process Water</t>
        </is>
      </c>
      <c r="F453" s="5" t="inlineStr">
        <is>
          <t>Mobile — Operasional Stasiun (MB-)</t>
        </is>
      </c>
      <c r="G453" s="24" t="inlineStr">
        <is>
          <t>Pencarian tidak peduli huruf besar-kecil</t>
        </is>
      </c>
      <c r="H453" s="5" t="inlineStr">
        <is>
          <t>OPR-A</t>
        </is>
      </c>
      <c r="I453" s="5" t="inlineStr">
        <is>
          <t>ada record dengan kolom wajib bernilai mis. PRESSER-01</t>
        </is>
      </c>
      <c r="J453" s="5" t="inlineStr">
        <is>
          <t>1. Siapkan satu record dengan kolom identitas bernilai mis. PRESSER-01.
2. Login di mobile, buka Monitor Process Water, lalu tekan Load Data (/stations/process-water/preview). Tekan pintasan Semua.
3. Pada kolom Cari, ketik presser-01 (huruf kecil semua).
4. Hapus, lalu ketik PRESSER (huruf besar semua).
5. Hapus, lalu ketik esser-0 (potongan di tengah).</t>
        </is>
      </c>
      <c r="K453" s="5" t="inlineStr">
        <is>
          <t>- Ketiga pencarian menemukan record itu.
- Pencarian tidak peduli huruf besar-kecil.
- Potongan di tengah juga cocok — bukan hanya awalan.</t>
        </is>
      </c>
      <c r="L453" s="22" t="inlineStr">
        <is>
          <t>Sedang</t>
        </is>
      </c>
      <c r="M453" s="5" t="inlineStr"/>
      <c r="N453" s="17" t="n"/>
      <c r="O453" s="17" t="n"/>
      <c r="P453" s="17" t="n"/>
      <c r="Q453" s="17" t="n"/>
      <c r="R453" s="17" t="n"/>
    </row>
    <row r="454" ht="149.2" customHeight="1">
      <c r="A454" s="18" t="n">
        <v>450</v>
      </c>
      <c r="B454" s="18" t="n">
        <v>3</v>
      </c>
      <c r="C454" s="19" t="inlineStr">
        <is>
          <t>MB-PRV-03 / Storage Tank</t>
        </is>
      </c>
      <c r="D454" s="19" t="inlineStr">
        <is>
          <t>MB-PRV-03</t>
        </is>
      </c>
      <c r="E454" s="20" t="inlineStr">
        <is>
          <t>Storage Tank</t>
        </is>
      </c>
      <c r="F454" s="21" t="inlineStr">
        <is>
          <t>Mobile — Operasional Stasiun (MB-)</t>
        </is>
      </c>
      <c r="G454" s="20" t="inlineStr">
        <is>
          <t>Pencarian tidak peduli huruf besar-kecil</t>
        </is>
      </c>
      <c r="H454" s="21" t="inlineStr">
        <is>
          <t>OPR-A</t>
        </is>
      </c>
      <c r="I454" s="21" t="inlineStr">
        <is>
          <t>ada record dengan kolom wajib bernilai mis. PRESSER-01</t>
        </is>
      </c>
      <c r="J454" s="21" t="inlineStr">
        <is>
          <t>1. Siapkan satu record dengan kolom identitas bernilai mis. PRESSER-01.
2. Login di mobile, buka Monitor Storage Tank, lalu tekan Load Data (/stations/storage-tank/preview). Tekan pintasan Semua.
3. Pada kolom Cari, ketik presser-01 (huruf kecil semua).
4. Hapus, lalu ketik PRESSER (huruf besar semua).
5. Hapus, lalu ketik esser-0 (potongan di tengah).</t>
        </is>
      </c>
      <c r="K454" s="21" t="inlineStr">
        <is>
          <t>- Ketiga pencarian menemukan record itu.
- Pencarian tidak peduli huruf besar-kecil.
- Potongan di tengah juga cocok — bukan hanya awalan.</t>
        </is>
      </c>
      <c r="L454" s="18" t="inlineStr">
        <is>
          <t>Sedang</t>
        </is>
      </c>
      <c r="M454" s="21" t="inlineStr"/>
      <c r="N454" s="17" t="n"/>
      <c r="O454" s="17" t="n"/>
      <c r="P454" s="17" t="n"/>
      <c r="Q454" s="17" t="n"/>
      <c r="R454" s="17" t="n"/>
    </row>
    <row r="455" ht="162.4" customHeight="1">
      <c r="A455" s="22" t="n">
        <v>451</v>
      </c>
      <c r="B455" s="22" t="n">
        <v>3</v>
      </c>
      <c r="C455" s="23" t="inlineStr">
        <is>
          <t>MB-PRV-03 / Solid Waste Disposal</t>
        </is>
      </c>
      <c r="D455" s="23" t="inlineStr">
        <is>
          <t>MB-PRV-03</t>
        </is>
      </c>
      <c r="E455" s="24" t="inlineStr">
        <is>
          <t>Solid Waste Disposal</t>
        </is>
      </c>
      <c r="F455" s="5" t="inlineStr">
        <is>
          <t>Mobile — Operasional Stasiun (MB-)</t>
        </is>
      </c>
      <c r="G455" s="24" t="inlineStr">
        <is>
          <t>Pencarian tidak peduli huruf besar-kecil</t>
        </is>
      </c>
      <c r="H455" s="5" t="inlineStr">
        <is>
          <t>OPR-A</t>
        </is>
      </c>
      <c r="I455" s="5" t="inlineStr">
        <is>
          <t>ada record dengan kolom wajib bernilai mis. PRESSER-01</t>
        </is>
      </c>
      <c r="J455" s="5" t="inlineStr">
        <is>
          <t>1. Siapkan satu record dengan kolom identitas bernilai mis. PRESSER-01.
2. Login di mobile, buka Monitor Solid Waste Disposal, lalu tekan Load Data (/stations/solid-waste-disposal/preview). Tekan pintasan Semua.
3. Pada kolom Cari, ketik presser-01 (huruf kecil semua).
4. Hapus, lalu ketik PRESSER (huruf besar semua).
5. Hapus, lalu ketik esser-0 (potongan di tengah).</t>
        </is>
      </c>
      <c r="K455" s="5" t="inlineStr">
        <is>
          <t>- Ketiga pencarian menemukan record itu.
- Pencarian tidak peduli huruf besar-kecil.
- Potongan di tengah juga cocok — bukan hanya awalan.</t>
        </is>
      </c>
      <c r="L455" s="22" t="inlineStr">
        <is>
          <t>Sedang</t>
        </is>
      </c>
      <c r="M455" s="5" t="inlineStr"/>
      <c r="N455" s="17" t="n"/>
      <c r="O455" s="17" t="n"/>
      <c r="P455" s="17" t="n"/>
      <c r="Q455" s="17" t="n"/>
      <c r="R455" s="17" t="n"/>
    </row>
    <row r="456" ht="149.2" customHeight="1">
      <c r="A456" s="18" t="n">
        <v>452</v>
      </c>
      <c r="B456" s="18" t="n">
        <v>3</v>
      </c>
      <c r="C456" s="19" t="inlineStr">
        <is>
          <t>MB-PRV-03 / Kernel Dispatch</t>
        </is>
      </c>
      <c r="D456" s="19" t="inlineStr">
        <is>
          <t>MB-PRV-03</t>
        </is>
      </c>
      <c r="E456" s="20" t="inlineStr">
        <is>
          <t>Kernel Dispatch</t>
        </is>
      </c>
      <c r="F456" s="21" t="inlineStr">
        <is>
          <t>Mobile — Operasional Stasiun (MB-)</t>
        </is>
      </c>
      <c r="G456" s="20" t="inlineStr">
        <is>
          <t>Pencarian tidak peduli huruf besar-kecil</t>
        </is>
      </c>
      <c r="H456" s="21" t="inlineStr">
        <is>
          <t>OPR-A</t>
        </is>
      </c>
      <c r="I456" s="21" t="inlineStr">
        <is>
          <t>ada record dengan kolom wajib bernilai mis. PRESSER-01</t>
        </is>
      </c>
      <c r="J456" s="21" t="inlineStr">
        <is>
          <t>1. Siapkan satu record dengan kolom identitas bernilai mis. PRESSER-01.
2. Login di mobile, buka Monitor Kernel Dispatch, lalu tekan Load Data (/stations/kernel-dispatch/preview). Tekan pintasan Semua.
3. Pada kolom Cari, ketik presser-01 (huruf kecil semua).
4. Hapus, lalu ketik PRESSER (huruf besar semua).
5. Hapus, lalu ketik esser-0 (potongan di tengah).</t>
        </is>
      </c>
      <c r="K456" s="21" t="inlineStr">
        <is>
          <t>- Ketiga pencarian menemukan record itu.
- Pencarian tidak peduli huruf besar-kecil.
- Potongan di tengah juga cocok — bukan hanya awalan.</t>
        </is>
      </c>
      <c r="L456" s="18" t="inlineStr">
        <is>
          <t>Sedang</t>
        </is>
      </c>
      <c r="M456" s="21" t="inlineStr"/>
      <c r="N456" s="17" t="n"/>
      <c r="O456" s="17" t="n"/>
      <c r="P456" s="17" t="n"/>
      <c r="Q456" s="17" t="n"/>
      <c r="R456" s="17" t="n"/>
    </row>
    <row r="457" ht="149.2" customHeight="1">
      <c r="A457" s="22" t="n">
        <v>453</v>
      </c>
      <c r="B457" s="22" t="n">
        <v>3</v>
      </c>
      <c r="C457" s="23" t="inlineStr">
        <is>
          <t>MB-PRV-03 / CPO Dispatch</t>
        </is>
      </c>
      <c r="D457" s="23" t="inlineStr">
        <is>
          <t>MB-PRV-03</t>
        </is>
      </c>
      <c r="E457" s="24" t="inlineStr">
        <is>
          <t>CPO Dispatch</t>
        </is>
      </c>
      <c r="F457" s="5" t="inlineStr">
        <is>
          <t>Mobile — Operasional Stasiun (MB-)</t>
        </is>
      </c>
      <c r="G457" s="24" t="inlineStr">
        <is>
          <t>Pencarian tidak peduli huruf besar-kecil</t>
        </is>
      </c>
      <c r="H457" s="5" t="inlineStr">
        <is>
          <t>OPR-A</t>
        </is>
      </c>
      <c r="I457" s="5" t="inlineStr">
        <is>
          <t>ada record dengan kolom wajib bernilai mis. PRESSER-01</t>
        </is>
      </c>
      <c r="J457" s="5" t="inlineStr">
        <is>
          <t>1. Siapkan satu record dengan kolom identitas bernilai mis. PRESSER-01.
2. Login di mobile, buka Monitor CPO Dispatch, lalu tekan Load Data (/stations/cpo-dispatch/preview). Tekan pintasan Semua.
3. Pada kolom Cari, ketik presser-01 (huruf kecil semua).
4. Hapus, lalu ketik PRESSER (huruf besar semua).
5. Hapus, lalu ketik esser-0 (potongan di tengah).</t>
        </is>
      </c>
      <c r="K457" s="5" t="inlineStr">
        <is>
          <t>- Ketiga pencarian menemukan record itu.
- Pencarian tidak peduli huruf besar-kecil.
- Potongan di tengah juga cocok — bukan hanya awalan.</t>
        </is>
      </c>
      <c r="L457" s="22" t="inlineStr">
        <is>
          <t>Sedang</t>
        </is>
      </c>
      <c r="M457" s="5" t="inlineStr"/>
      <c r="N457" s="17" t="n"/>
      <c r="O457" s="17" t="n"/>
      <c r="P457" s="17" t="n"/>
      <c r="Q457" s="17" t="n"/>
      <c r="R457" s="17" t="n"/>
    </row>
    <row r="458" ht="162.4" customHeight="1">
      <c r="A458" s="18" t="n">
        <v>454</v>
      </c>
      <c r="B458" s="18" t="n">
        <v>3</v>
      </c>
      <c r="C458" s="19" t="inlineStr">
        <is>
          <t>MB-PRV-03 / Process Quality Control</t>
        </is>
      </c>
      <c r="D458" s="19" t="inlineStr">
        <is>
          <t>MB-PRV-03</t>
        </is>
      </c>
      <c r="E458" s="20" t="inlineStr">
        <is>
          <t>Process Quality Control</t>
        </is>
      </c>
      <c r="F458" s="21" t="inlineStr">
        <is>
          <t>Mobile — Operasional Stasiun (MB-)</t>
        </is>
      </c>
      <c r="G458" s="20" t="inlineStr">
        <is>
          <t>Pencarian tidak peduli huruf besar-kecil</t>
        </is>
      </c>
      <c r="H458" s="21" t="inlineStr">
        <is>
          <t>OPR-A</t>
        </is>
      </c>
      <c r="I458" s="21" t="inlineStr">
        <is>
          <t>ada record dengan kolom wajib bernilai mis. PRESSER-01</t>
        </is>
      </c>
      <c r="J458" s="21" t="inlineStr">
        <is>
          <t>1. Siapkan satu record dengan kolom identitas bernilai mis. PRESSER-01.
2. Login di mobile, buka Monitor Process Quality Control, lalu tekan Load Data (/stations/process-quality-control/preview). Tekan pintasan Semua.
3. Pada kolom Cari, ketik presser-01 (huruf kecil semua).
4. Hapus, lalu ketik PRESSER (huruf besar semua).
5. Hapus, lalu ketik esser-0 (potongan di tengah).</t>
        </is>
      </c>
      <c r="K458" s="21" t="inlineStr">
        <is>
          <t>- Ketiga pencarian menemukan record itu.
- Pencarian tidak peduli huruf besar-kecil.
- Potongan di tengah juga cocok — bukan hanya awalan.</t>
        </is>
      </c>
      <c r="L458" s="18" t="inlineStr">
        <is>
          <t>Sedang</t>
        </is>
      </c>
      <c r="M458" s="21" t="inlineStr"/>
      <c r="N458" s="17" t="n"/>
      <c r="O458" s="17" t="n"/>
      <c r="P458" s="17" t="n"/>
      <c r="Q458" s="17" t="n"/>
      <c r="R458" s="17" t="n"/>
    </row>
    <row r="459" ht="122.8" customHeight="1">
      <c r="A459" s="11" t="n">
        <v>455</v>
      </c>
      <c r="B459" s="12" t="n">
        <v>1</v>
      </c>
      <c r="C459" s="13" t="inlineStr">
        <is>
          <t>MB-PRV-04 / Depricarping</t>
        </is>
      </c>
      <c r="D459" s="13" t="inlineStr">
        <is>
          <t>MB-PRV-04</t>
        </is>
      </c>
      <c r="E459" s="15" t="inlineStr">
        <is>
          <t>Depricarping</t>
        </is>
      </c>
      <c r="F459" s="14" t="inlineStr">
        <is>
          <t>Mobile — Operasional Stasiun (MB-)</t>
        </is>
      </c>
      <c r="G459" s="15" t="inlineStr">
        <is>
          <t>Tombol × menghapus kata kunci dan memulihkan daftar</t>
        </is>
      </c>
      <c r="H459" s="14" t="inlineStr">
        <is>
          <t>OPR-A</t>
        </is>
      </c>
      <c r="I459" s="14" t="inlineStr">
        <is>
          <t>—</t>
        </is>
      </c>
      <c r="J459" s="14" t="inlineStr">
        <is>
          <t>1. Login di mobile, buka Monitor Depricarping, lalu tekan Load Data (/stations/depricarping/preview). Tekan Semua. Catat jumlah baris.
2. Ketik satu kata kunci yang menyaring daftar. Catat jumlah barisnya.
3. Perhatikan apakah muncul tombol × pada kolom Cari.
4. Tekan tombol ×.</t>
        </is>
      </c>
      <c r="K459" s="14" t="inlineStr">
        <is>
          <t>- Tombol × muncul hanya ketika kolom Cari terisi.
- Menekan × mengosongkan kata kuncinya.
- Daftar kembali ke jumlah baris langkah 1.</t>
        </is>
      </c>
      <c r="L459" s="11" t="inlineStr">
        <is>
          <t>Rendah</t>
        </is>
      </c>
      <c r="M459" s="14" t="inlineStr"/>
      <c r="N459" s="17" t="n"/>
      <c r="O459" s="17" t="n"/>
      <c r="P459" s="17" t="n"/>
      <c r="Q459" s="17" t="n"/>
      <c r="R459" s="17" t="n"/>
    </row>
    <row r="460" ht="109.6" customHeight="1">
      <c r="A460" s="18" t="n">
        <v>456</v>
      </c>
      <c r="B460" s="18" t="n">
        <v>3</v>
      </c>
      <c r="C460" s="19" t="inlineStr">
        <is>
          <t>MB-PRV-04 / Weighbridge</t>
        </is>
      </c>
      <c r="D460" s="19" t="inlineStr">
        <is>
          <t>MB-PRV-04</t>
        </is>
      </c>
      <c r="E460" s="20" t="inlineStr">
        <is>
          <t>Weighbridge</t>
        </is>
      </c>
      <c r="F460" s="21" t="inlineStr">
        <is>
          <t>Mobile — Operasional Stasiun (MB-)</t>
        </is>
      </c>
      <c r="G460" s="20" t="inlineStr">
        <is>
          <t>Tombol × menghapus kata kunci dan memulihkan daftar</t>
        </is>
      </c>
      <c r="H460" s="21" t="inlineStr">
        <is>
          <t>OPR-A</t>
        </is>
      </c>
      <c r="I460" s="21" t="inlineStr">
        <is>
          <t>—</t>
        </is>
      </c>
      <c r="J460" s="21" t="inlineStr">
        <is>
          <t>1. Login di mobile, buka Monitor Weighbridge, lalu tekan Load Data (/stations/weighbridge/preview). Tekan Semua. Catat jumlah baris.
2. Ketik satu kata kunci yang menyaring daftar. Catat jumlah barisnya.
3. Perhatikan apakah muncul tombol × pada kolom Cari.
4. Tekan tombol ×.</t>
        </is>
      </c>
      <c r="K460" s="21" t="inlineStr">
        <is>
          <t>- Tombol × muncul hanya ketika kolom Cari terisi.
- Menekan × mengosongkan kata kuncinya.
- Daftar kembali ke jumlah baris langkah 1.</t>
        </is>
      </c>
      <c r="L460" s="18" t="inlineStr">
        <is>
          <t>Rendah</t>
        </is>
      </c>
      <c r="M460" s="21" t="inlineStr"/>
      <c r="N460" s="17" t="n"/>
      <c r="O460" s="17" t="n"/>
      <c r="P460" s="17" t="n"/>
      <c r="Q460" s="17" t="n"/>
      <c r="R460" s="17" t="n"/>
    </row>
    <row r="461" ht="122.8" customHeight="1">
      <c r="A461" s="22" t="n">
        <v>457</v>
      </c>
      <c r="B461" s="22" t="n">
        <v>3</v>
      </c>
      <c r="C461" s="23" t="inlineStr">
        <is>
          <t>MB-PRV-04 / Effluent Plant</t>
        </is>
      </c>
      <c r="D461" s="23" t="inlineStr">
        <is>
          <t>MB-PRV-04</t>
        </is>
      </c>
      <c r="E461" s="24" t="inlineStr">
        <is>
          <t>Effluent Plant</t>
        </is>
      </c>
      <c r="F461" s="5" t="inlineStr">
        <is>
          <t>Mobile — Operasional Stasiun (MB-)</t>
        </is>
      </c>
      <c r="G461" s="24" t="inlineStr">
        <is>
          <t>Tombol × menghapus kata kunci dan memulihkan daftar</t>
        </is>
      </c>
      <c r="H461" s="5" t="inlineStr">
        <is>
          <t>OPR-A</t>
        </is>
      </c>
      <c r="I461" s="5" t="inlineStr">
        <is>
          <t>—</t>
        </is>
      </c>
      <c r="J461" s="5" t="inlineStr">
        <is>
          <t>1. Login di mobile, buka Monitor Effluent Plant, lalu tekan Load Data (/stations/effluent-plant/preview). Tekan Semua. Catat jumlah baris.
2. Ketik satu kata kunci yang menyaring daftar. Catat jumlah barisnya.
3. Perhatikan apakah muncul tombol × pada kolom Cari.
4. Tekan tombol ×.</t>
        </is>
      </c>
      <c r="K461" s="5" t="inlineStr">
        <is>
          <t>- Tombol × muncul hanya ketika kolom Cari terisi.
- Menekan × mengosongkan kata kuncinya.
- Daftar kembali ke jumlah baris langkah 1.</t>
        </is>
      </c>
      <c r="L461" s="22" t="inlineStr">
        <is>
          <t>Rendah</t>
        </is>
      </c>
      <c r="M461" s="5" t="inlineStr"/>
      <c r="N461" s="17" t="n"/>
      <c r="O461" s="17" t="n"/>
      <c r="P461" s="17" t="n"/>
      <c r="Q461" s="17" t="n"/>
      <c r="R461" s="17" t="n"/>
    </row>
    <row r="462" ht="149.2" customHeight="1">
      <c r="A462" s="18" t="n">
        <v>458</v>
      </c>
      <c r="B462" s="18" t="n">
        <v>3</v>
      </c>
      <c r="C462" s="19" t="inlineStr">
        <is>
          <t>MB-PRV-05 / Weighbridge</t>
        </is>
      </c>
      <c r="D462" s="19" t="inlineStr">
        <is>
          <t>MB-PRV-05</t>
        </is>
      </c>
      <c r="E462" s="20" t="inlineStr">
        <is>
          <t>Weighbridge</t>
        </is>
      </c>
      <c r="F462" s="21" t="inlineStr">
        <is>
          <t>Mobile — Operasional Stasiun (MB-)</t>
        </is>
      </c>
      <c r="G462" s="20" t="inlineStr">
        <is>
          <t>Draft mengarah ke Form, record final mengarah ke detail read-only</t>
        </is>
      </c>
      <c r="H462" s="21" t="inlineStr">
        <is>
          <t>OPR-A</t>
        </is>
      </c>
      <c r="I462" s="21" t="inlineStr">
        <is>
          <t>ada satu draft dan satu record Tersimpan</t>
        </is>
      </c>
      <c r="J462" s="21" t="inlineStr">
        <is>
          <t>1. Siapkan satu draft (dijeda) dan satu record Tersimpan untuk stasiun ini.
2. Login di mobile, buka Monitor Weighbridge, lalu tekan Load Data (/stations/weighbridge/preview). Tekan Semua.
3. Tekan baris draft. Catat layar yang terbuka.
4. Kembali, lalu tekan baris record Tersimpan. Catat layar yang terbuka.
5. Pada layar langkah 4, coba ubah salah satu nilainya.</t>
        </is>
      </c>
      <c r="K462" s="21" t="inlineStr">
        <is>
          <t>- Baris draft mendarat di Form — dapat dilanjutkan dan diubah.
- Baris Tersimpan mendarat di detail read-only.
- Pada detail read-only, tidak satu pun nilai dapat diubah.</t>
        </is>
      </c>
      <c r="L462" s="16" t="inlineStr">
        <is>
          <t>Tinggi</t>
        </is>
      </c>
      <c r="M462" s="21" t="inlineStr"/>
      <c r="N462" s="17" t="n"/>
      <c r="O462" s="17" t="n"/>
      <c r="P462" s="17" t="n"/>
      <c r="Q462" s="17" t="n"/>
      <c r="R462" s="17" t="n"/>
    </row>
    <row r="463" ht="149.2" customHeight="1">
      <c r="A463" s="22" t="n">
        <v>459</v>
      </c>
      <c r="B463" s="22" t="n">
        <v>3</v>
      </c>
      <c r="C463" s="23" t="inlineStr">
        <is>
          <t>MB-PRV-05 / Grading</t>
        </is>
      </c>
      <c r="D463" s="23" t="inlineStr">
        <is>
          <t>MB-PRV-05</t>
        </is>
      </c>
      <c r="E463" s="24" t="inlineStr">
        <is>
          <t>Grading</t>
        </is>
      </c>
      <c r="F463" s="5" t="inlineStr">
        <is>
          <t>Mobile — Operasional Stasiun (MB-)</t>
        </is>
      </c>
      <c r="G463" s="24" t="inlineStr">
        <is>
          <t>Draft mengarah ke Form, record final mengarah ke detail read-only</t>
        </is>
      </c>
      <c r="H463" s="5" t="inlineStr">
        <is>
          <t>OPR-A</t>
        </is>
      </c>
      <c r="I463" s="5" t="inlineStr">
        <is>
          <t>ada satu draft dan satu record Tersimpan</t>
        </is>
      </c>
      <c r="J463" s="5" t="inlineStr">
        <is>
          <t>1. Siapkan satu draft (dijeda) dan satu record Tersimpan untuk stasiun ini.
2. Login di mobile, buka Monitor Grading, lalu tekan Load Data (/stations/grading/preview). Tekan Semua.
3. Tekan baris draft. Catat layar yang terbuka.
4. Kembali, lalu tekan baris record Tersimpan. Catat layar yang terbuka.
5. Pada layar langkah 4, coba ubah salah satu nilainya.</t>
        </is>
      </c>
      <c r="K463" s="5" t="inlineStr">
        <is>
          <t>- Baris draft mendarat di Form — dapat dilanjutkan dan diubah.
- Baris Tersimpan mendarat di detail read-only.
- Pada detail read-only, tidak satu pun nilai dapat diubah.</t>
        </is>
      </c>
      <c r="L463" s="16" t="inlineStr">
        <is>
          <t>Tinggi</t>
        </is>
      </c>
      <c r="M463" s="5" t="inlineStr"/>
      <c r="N463" s="17" t="n"/>
      <c r="O463" s="17" t="n"/>
      <c r="P463" s="17" t="n"/>
      <c r="Q463" s="17" t="n"/>
      <c r="R463" s="17" t="n"/>
    </row>
    <row r="464" ht="149.2" customHeight="1">
      <c r="A464" s="18" t="n">
        <v>460</v>
      </c>
      <c r="B464" s="18" t="n">
        <v>3</v>
      </c>
      <c r="C464" s="19" t="inlineStr">
        <is>
          <t>MB-PRV-05 / Cages Track</t>
        </is>
      </c>
      <c r="D464" s="19" t="inlineStr">
        <is>
          <t>MB-PRV-05</t>
        </is>
      </c>
      <c r="E464" s="20" t="inlineStr">
        <is>
          <t>Cages Track</t>
        </is>
      </c>
      <c r="F464" s="21" t="inlineStr">
        <is>
          <t>Mobile — Operasional Stasiun (MB-)</t>
        </is>
      </c>
      <c r="G464" s="20" t="inlineStr">
        <is>
          <t>Draft mengarah ke Form, record final mengarah ke detail read-only</t>
        </is>
      </c>
      <c r="H464" s="21" t="inlineStr">
        <is>
          <t>OPR-A</t>
        </is>
      </c>
      <c r="I464" s="21" t="inlineStr">
        <is>
          <t>ada satu draft dan satu record Tersimpan</t>
        </is>
      </c>
      <c r="J464" s="21" t="inlineStr">
        <is>
          <t>1. Siapkan satu draft (dijeda) dan satu record Tersimpan untuk stasiun ini.
2. Login di mobile, buka Monitor Cages Track, lalu tekan Load Data (/stations/cages-track/preview). Tekan Semua.
3. Tekan baris draft. Catat layar yang terbuka.
4. Kembali, lalu tekan baris record Tersimpan. Catat layar yang terbuka.
5. Pada layar langkah 4, coba ubah salah satu nilainya.</t>
        </is>
      </c>
      <c r="K464" s="21" t="inlineStr">
        <is>
          <t>- Baris draft mendarat di Form — dapat dilanjutkan dan diubah.
- Baris Tersimpan mendarat di detail read-only.
- Pada detail read-only, tidak satu pun nilai dapat diubah.</t>
        </is>
      </c>
      <c r="L464" s="16" t="inlineStr">
        <is>
          <t>Tinggi</t>
        </is>
      </c>
      <c r="M464" s="21" t="inlineStr"/>
      <c r="N464" s="17" t="n"/>
      <c r="O464" s="17" t="n"/>
      <c r="P464" s="17" t="n"/>
      <c r="Q464" s="17" t="n"/>
      <c r="R464" s="17" t="n"/>
    </row>
    <row r="465" ht="149.2" customHeight="1">
      <c r="A465" s="22" t="n">
        <v>461</v>
      </c>
      <c r="B465" s="22" t="n">
        <v>3</v>
      </c>
      <c r="C465" s="23" t="inlineStr">
        <is>
          <t>MB-PRV-05 / Sterilizer</t>
        </is>
      </c>
      <c r="D465" s="23" t="inlineStr">
        <is>
          <t>MB-PRV-05</t>
        </is>
      </c>
      <c r="E465" s="24" t="inlineStr">
        <is>
          <t>Sterilizer</t>
        </is>
      </c>
      <c r="F465" s="5" t="inlineStr">
        <is>
          <t>Mobile — Operasional Stasiun (MB-)</t>
        </is>
      </c>
      <c r="G465" s="24" t="inlineStr">
        <is>
          <t>Draft mengarah ke Form, record final mengarah ke detail read-only</t>
        </is>
      </c>
      <c r="H465" s="5" t="inlineStr">
        <is>
          <t>OPR-A</t>
        </is>
      </c>
      <c r="I465" s="5" t="inlineStr">
        <is>
          <t>ada satu draft dan satu record Tersimpan</t>
        </is>
      </c>
      <c r="J465" s="5" t="inlineStr">
        <is>
          <t>1. Siapkan satu draft (dijeda) dan satu record Tersimpan untuk stasiun ini.
2. Login di mobile, buka Monitor Sterilizer, lalu tekan Load Data (/stations/sterilizer/preview). Tekan Semua.
3. Tekan baris draft. Catat layar yang terbuka.
4. Kembali, lalu tekan baris record Tersimpan. Catat layar yang terbuka.
5. Pada layar langkah 4, coba ubah salah satu nilainya.</t>
        </is>
      </c>
      <c r="K465" s="5" t="inlineStr">
        <is>
          <t>- Baris draft mendarat di Form — dapat dilanjutkan dan diubah.
- Baris Tersimpan mendarat di detail read-only.
- Pada detail read-only, tidak satu pun nilai dapat diubah.</t>
        </is>
      </c>
      <c r="L465" s="16" t="inlineStr">
        <is>
          <t>Tinggi</t>
        </is>
      </c>
      <c r="M465" s="5" t="inlineStr"/>
      <c r="N465" s="17" t="n"/>
      <c r="O465" s="17" t="n"/>
      <c r="P465" s="17" t="n"/>
      <c r="Q465" s="17" t="n"/>
      <c r="R465" s="17" t="n"/>
    </row>
    <row r="466" ht="149.2" customHeight="1">
      <c r="A466" s="18" t="n">
        <v>462</v>
      </c>
      <c r="B466" s="18" t="n">
        <v>3</v>
      </c>
      <c r="C466" s="19" t="inlineStr">
        <is>
          <t>MB-PRV-05 / Threshing</t>
        </is>
      </c>
      <c r="D466" s="19" t="inlineStr">
        <is>
          <t>MB-PRV-05</t>
        </is>
      </c>
      <c r="E466" s="20" t="inlineStr">
        <is>
          <t>Threshing</t>
        </is>
      </c>
      <c r="F466" s="21" t="inlineStr">
        <is>
          <t>Mobile — Operasional Stasiun (MB-)</t>
        </is>
      </c>
      <c r="G466" s="20" t="inlineStr">
        <is>
          <t>Draft mengarah ke Form, record final mengarah ke detail read-only</t>
        </is>
      </c>
      <c r="H466" s="21" t="inlineStr">
        <is>
          <t>OPR-A</t>
        </is>
      </c>
      <c r="I466" s="21" t="inlineStr">
        <is>
          <t>ada satu draft dan satu record Tersimpan</t>
        </is>
      </c>
      <c r="J466" s="21" t="inlineStr">
        <is>
          <t>1. Siapkan satu draft (dijeda) dan satu record Tersimpan untuk stasiun ini.
2. Login di mobile, buka Monitor Threshing, lalu tekan Load Data (/stations/threshing/preview). Tekan Semua.
3. Tekan baris draft. Catat layar yang terbuka.
4. Kembali, lalu tekan baris record Tersimpan. Catat layar yang terbuka.
5. Pada layar langkah 4, coba ubah salah satu nilainya.</t>
        </is>
      </c>
      <c r="K466" s="21" t="inlineStr">
        <is>
          <t>- Baris draft mendarat di Form — dapat dilanjutkan dan diubah.
- Baris Tersimpan mendarat di detail read-only.
- Pada detail read-only, tidak satu pun nilai dapat diubah.</t>
        </is>
      </c>
      <c r="L466" s="16" t="inlineStr">
        <is>
          <t>Tinggi</t>
        </is>
      </c>
      <c r="M466" s="21" t="inlineStr"/>
      <c r="N466" s="17" t="n"/>
      <c r="O466" s="17" t="n"/>
      <c r="P466" s="17" t="n"/>
      <c r="Q466" s="17" t="n"/>
      <c r="R466" s="17" t="n"/>
    </row>
    <row r="467" ht="149.2" customHeight="1">
      <c r="A467" s="22" t="n">
        <v>463</v>
      </c>
      <c r="B467" s="22" t="n">
        <v>3</v>
      </c>
      <c r="C467" s="23" t="inlineStr">
        <is>
          <t>MB-PRV-05 / Pressing</t>
        </is>
      </c>
      <c r="D467" s="23" t="inlineStr">
        <is>
          <t>MB-PRV-05</t>
        </is>
      </c>
      <c r="E467" s="24" t="inlineStr">
        <is>
          <t>Pressing</t>
        </is>
      </c>
      <c r="F467" s="5" t="inlineStr">
        <is>
          <t>Mobile — Operasional Stasiun (MB-)</t>
        </is>
      </c>
      <c r="G467" s="24" t="inlineStr">
        <is>
          <t>Draft mengarah ke Form, record final mengarah ke detail read-only</t>
        </is>
      </c>
      <c r="H467" s="5" t="inlineStr">
        <is>
          <t>OPR-A</t>
        </is>
      </c>
      <c r="I467" s="5" t="inlineStr">
        <is>
          <t>ada satu draft dan satu record Tersimpan</t>
        </is>
      </c>
      <c r="J467" s="5" t="inlineStr">
        <is>
          <t>1. Siapkan satu draft (dijeda) dan satu record Tersimpan untuk stasiun ini.
2. Login di mobile, buka Monitor Pressing, lalu tekan Load Data (/stations/pressing/preview). Tekan Semua.
3. Tekan baris draft. Catat layar yang terbuka.
4. Kembali, lalu tekan baris record Tersimpan. Catat layar yang terbuka.
5. Pada layar langkah 4, coba ubah salah satu nilainya.</t>
        </is>
      </c>
      <c r="K467" s="5" t="inlineStr">
        <is>
          <t>- Baris draft mendarat di Form — dapat dilanjutkan dan diubah.
- Baris Tersimpan mendarat di detail read-only.
- Pada detail read-only, tidak satu pun nilai dapat diubah.</t>
        </is>
      </c>
      <c r="L467" s="16" t="inlineStr">
        <is>
          <t>Tinggi</t>
        </is>
      </c>
      <c r="M467" s="5" t="inlineStr"/>
      <c r="N467" s="17" t="n"/>
      <c r="O467" s="17" t="n"/>
      <c r="P467" s="17" t="n"/>
      <c r="Q467" s="17" t="n"/>
      <c r="R467" s="17" t="n"/>
    </row>
    <row r="468" ht="149.2" customHeight="1">
      <c r="A468" s="18" t="n">
        <v>464</v>
      </c>
      <c r="B468" s="18" t="n">
        <v>3</v>
      </c>
      <c r="C468" s="19" t="inlineStr">
        <is>
          <t>MB-PRV-05 / Clarification</t>
        </is>
      </c>
      <c r="D468" s="19" t="inlineStr">
        <is>
          <t>MB-PRV-05</t>
        </is>
      </c>
      <c r="E468" s="20" t="inlineStr">
        <is>
          <t>Clarification</t>
        </is>
      </c>
      <c r="F468" s="21" t="inlineStr">
        <is>
          <t>Mobile — Operasional Stasiun (MB-)</t>
        </is>
      </c>
      <c r="G468" s="20" t="inlineStr">
        <is>
          <t>Draft mengarah ke Form, record final mengarah ke detail read-only</t>
        </is>
      </c>
      <c r="H468" s="21" t="inlineStr">
        <is>
          <t>OPR-A</t>
        </is>
      </c>
      <c r="I468" s="21" t="inlineStr">
        <is>
          <t>ada satu draft dan satu record Tersimpan</t>
        </is>
      </c>
      <c r="J468" s="21" t="inlineStr">
        <is>
          <t>1. Siapkan satu draft (dijeda) dan satu record Tersimpan untuk stasiun ini.
2. Login di mobile, buka Monitor Clarification, lalu tekan Load Data (/stations/clarification/preview). Tekan Semua.
3. Tekan baris draft. Catat layar yang terbuka.
4. Kembali, lalu tekan baris record Tersimpan. Catat layar yang terbuka.
5. Pada layar langkah 4, coba ubah salah satu nilainya.</t>
        </is>
      </c>
      <c r="K468" s="21" t="inlineStr">
        <is>
          <t>- Baris draft mendarat di Form — dapat dilanjutkan dan diubah.
- Baris Tersimpan mendarat di detail read-only.
- Pada detail read-only, tidak satu pun nilai dapat diubah.</t>
        </is>
      </c>
      <c r="L468" s="16" t="inlineStr">
        <is>
          <t>Tinggi</t>
        </is>
      </c>
      <c r="M468" s="21" t="inlineStr"/>
      <c r="N468" s="17" t="n"/>
      <c r="O468" s="17" t="n"/>
      <c r="P468" s="17" t="n"/>
      <c r="Q468" s="17" t="n"/>
      <c r="R468" s="17" t="n"/>
    </row>
    <row r="469" ht="149.2" customHeight="1">
      <c r="A469" s="22" t="n">
        <v>465</v>
      </c>
      <c r="B469" s="22" t="n">
        <v>3</v>
      </c>
      <c r="C469" s="23" t="inlineStr">
        <is>
          <t>MB-PRV-05 / Kernel Plant</t>
        </is>
      </c>
      <c r="D469" s="23" t="inlineStr">
        <is>
          <t>MB-PRV-05</t>
        </is>
      </c>
      <c r="E469" s="24" t="inlineStr">
        <is>
          <t>Kernel Plant</t>
        </is>
      </c>
      <c r="F469" s="5" t="inlineStr">
        <is>
          <t>Mobile — Operasional Stasiun (MB-)</t>
        </is>
      </c>
      <c r="G469" s="24" t="inlineStr">
        <is>
          <t>Draft mengarah ke Form, record final mengarah ke detail read-only</t>
        </is>
      </c>
      <c r="H469" s="5" t="inlineStr">
        <is>
          <t>OPR-A</t>
        </is>
      </c>
      <c r="I469" s="5" t="inlineStr">
        <is>
          <t>ada satu draft dan satu record Tersimpan</t>
        </is>
      </c>
      <c r="J469" s="5" t="inlineStr">
        <is>
          <t>1. Siapkan satu draft (dijeda) dan satu record Tersimpan untuk stasiun ini.
2. Login di mobile, buka Monitor Kernel Plant, lalu tekan Load Data (/stations/kernel-plant/preview). Tekan Semua.
3. Tekan baris draft. Catat layar yang terbuka.
4. Kembali, lalu tekan baris record Tersimpan. Catat layar yang terbuka.
5. Pada layar langkah 4, coba ubah salah satu nilainya.</t>
        </is>
      </c>
      <c r="K469" s="5" t="inlineStr">
        <is>
          <t>- Baris draft mendarat di Form — dapat dilanjutkan dan diubah.
- Baris Tersimpan mendarat di detail read-only.
- Pada detail read-only, tidak satu pun nilai dapat diubah.</t>
        </is>
      </c>
      <c r="L469" s="16" t="inlineStr">
        <is>
          <t>Tinggi</t>
        </is>
      </c>
      <c r="M469" s="5" t="inlineStr"/>
      <c r="N469" s="17" t="n"/>
      <c r="O469" s="17" t="n"/>
      <c r="P469" s="17" t="n"/>
      <c r="Q469" s="17" t="n"/>
      <c r="R469" s="17" t="n"/>
    </row>
    <row r="470" ht="149.2" customHeight="1">
      <c r="A470" s="18" t="n">
        <v>466</v>
      </c>
      <c r="B470" s="18" t="n">
        <v>3</v>
      </c>
      <c r="C470" s="19" t="inlineStr">
        <is>
          <t>MB-PRV-05 / Boiler Room</t>
        </is>
      </c>
      <c r="D470" s="19" t="inlineStr">
        <is>
          <t>MB-PRV-05</t>
        </is>
      </c>
      <c r="E470" s="20" t="inlineStr">
        <is>
          <t>Boiler Room</t>
        </is>
      </c>
      <c r="F470" s="21" t="inlineStr">
        <is>
          <t>Mobile — Operasional Stasiun (MB-)</t>
        </is>
      </c>
      <c r="G470" s="20" t="inlineStr">
        <is>
          <t>Draft mengarah ke Form, record final mengarah ke detail read-only</t>
        </is>
      </c>
      <c r="H470" s="21" t="inlineStr">
        <is>
          <t>OPR-A</t>
        </is>
      </c>
      <c r="I470" s="21" t="inlineStr">
        <is>
          <t>ada satu draft dan satu record Tersimpan</t>
        </is>
      </c>
      <c r="J470" s="21" t="inlineStr">
        <is>
          <t>1. Siapkan satu draft (dijeda) dan satu record Tersimpan untuk stasiun ini.
2. Login di mobile, buka Monitor Boiler Room, lalu tekan Load Data (/stations/boiler-room/preview). Tekan Semua.
3. Tekan baris draft. Catat layar yang terbuka.
4. Kembali, lalu tekan baris record Tersimpan. Catat layar yang terbuka.
5. Pada layar langkah 4, coba ubah salah satu nilainya.</t>
        </is>
      </c>
      <c r="K470" s="21" t="inlineStr">
        <is>
          <t>- Baris draft mendarat di Form — dapat dilanjutkan dan diubah.
- Baris Tersimpan mendarat di detail read-only.
- Pada detail read-only, tidak satu pun nilai dapat diubah.</t>
        </is>
      </c>
      <c r="L470" s="16" t="inlineStr">
        <is>
          <t>Tinggi</t>
        </is>
      </c>
      <c r="M470" s="21" t="inlineStr"/>
      <c r="N470" s="17" t="n"/>
      <c r="O470" s="17" t="n"/>
      <c r="P470" s="17" t="n"/>
      <c r="Q470" s="17" t="n"/>
      <c r="R470" s="17" t="n"/>
    </row>
    <row r="471" ht="149.2" customHeight="1">
      <c r="A471" s="22" t="n">
        <v>467</v>
      </c>
      <c r="B471" s="22" t="n">
        <v>3</v>
      </c>
      <c r="C471" s="23" t="inlineStr">
        <is>
          <t>MB-PRV-05 / Effluent Plant</t>
        </is>
      </c>
      <c r="D471" s="23" t="inlineStr">
        <is>
          <t>MB-PRV-05</t>
        </is>
      </c>
      <c r="E471" s="24" t="inlineStr">
        <is>
          <t>Effluent Plant</t>
        </is>
      </c>
      <c r="F471" s="5" t="inlineStr">
        <is>
          <t>Mobile — Operasional Stasiun (MB-)</t>
        </is>
      </c>
      <c r="G471" s="24" t="inlineStr">
        <is>
          <t>Draft mengarah ke Form, record final mengarah ke detail read-only</t>
        </is>
      </c>
      <c r="H471" s="5" t="inlineStr">
        <is>
          <t>OPR-A</t>
        </is>
      </c>
      <c r="I471" s="5" t="inlineStr">
        <is>
          <t>ada satu draft dan satu record Tersimpan</t>
        </is>
      </c>
      <c r="J471" s="5" t="inlineStr">
        <is>
          <t>1. Siapkan satu draft (dijeda) dan satu record Tersimpan untuk stasiun ini.
2. Login di mobile, buka Monitor Effluent Plant, lalu tekan Load Data (/stations/effluent-plant/preview). Tekan Semua.
3. Tekan baris draft. Catat layar yang terbuka.
4. Kembali, lalu tekan baris record Tersimpan. Catat layar yang terbuka.
5. Pada layar langkah 4, coba ubah salah satu nilainya.</t>
        </is>
      </c>
      <c r="K471" s="5" t="inlineStr">
        <is>
          <t>- Baris draft mendarat di Form — dapat dilanjutkan dan diubah.
- Baris Tersimpan mendarat di detail read-only.
- Pada detail read-only, tidak satu pun nilai dapat diubah.</t>
        </is>
      </c>
      <c r="L471" s="16" t="inlineStr">
        <is>
          <t>Tinggi</t>
        </is>
      </c>
      <c r="M471" s="5" t="inlineStr"/>
      <c r="N471" s="17" t="n"/>
      <c r="O471" s="17" t="n"/>
      <c r="P471" s="17" t="n"/>
      <c r="Q471" s="17" t="n"/>
      <c r="R471" s="17" t="n"/>
    </row>
    <row r="472" ht="149.2" customHeight="1">
      <c r="A472" s="11" t="n">
        <v>468</v>
      </c>
      <c r="B472" s="12" t="n">
        <v>1</v>
      </c>
      <c r="C472" s="13" t="inlineStr">
        <is>
          <t>MB-PRV-05 / Depricarping</t>
        </is>
      </c>
      <c r="D472" s="13" t="inlineStr">
        <is>
          <t>MB-PRV-05</t>
        </is>
      </c>
      <c r="E472" s="15" t="inlineStr">
        <is>
          <t>Depricarping</t>
        </is>
      </c>
      <c r="F472" s="14" t="inlineStr">
        <is>
          <t>Mobile — Operasional Stasiun (MB-)</t>
        </is>
      </c>
      <c r="G472" s="15" t="inlineStr">
        <is>
          <t>Draft mengarah ke Form, record final mengarah ke detail read-only</t>
        </is>
      </c>
      <c r="H472" s="14" t="inlineStr">
        <is>
          <t>OPR-A</t>
        </is>
      </c>
      <c r="I472" s="14" t="inlineStr">
        <is>
          <t>ada satu draft dan satu record Tersimpan</t>
        </is>
      </c>
      <c r="J472" s="14" t="inlineStr">
        <is>
          <t>1. Siapkan satu draft (dijeda) dan satu record Tersimpan untuk stasiun ini.
2. Login di mobile, buka Monitor Depricarping, lalu tekan Load Data (/stations/depricarping/preview). Tekan Semua.
3. Tekan baris draft. Catat layar yang terbuka.
4. Kembali, lalu tekan baris record Tersimpan. Catat layar yang terbuka.
5. Pada layar langkah 4, coba ubah salah satu nilainya.</t>
        </is>
      </c>
      <c r="K472" s="14" t="inlineStr">
        <is>
          <t>- Baris draft mendarat di Form — dapat dilanjutkan dan diubah.
- Baris Tersimpan mendarat di detail read-only.
- Pada detail read-only, tidak satu pun nilai dapat diubah.</t>
        </is>
      </c>
      <c r="L472" s="16" t="inlineStr">
        <is>
          <t>Tinggi</t>
        </is>
      </c>
      <c r="M472" s="14" t="inlineStr"/>
      <c r="N472" s="17" t="n"/>
      <c r="O472" s="17" t="n"/>
      <c r="P472" s="17" t="n"/>
      <c r="Q472" s="17" t="n"/>
      <c r="R472" s="17" t="n"/>
    </row>
    <row r="473" ht="149.2" customHeight="1">
      <c r="A473" s="22" t="n">
        <v>469</v>
      </c>
      <c r="B473" s="22" t="n">
        <v>3</v>
      </c>
      <c r="C473" s="23" t="inlineStr">
        <is>
          <t>MB-PRV-05 / Engine Room</t>
        </is>
      </c>
      <c r="D473" s="23" t="inlineStr">
        <is>
          <t>MB-PRV-05</t>
        </is>
      </c>
      <c r="E473" s="24" t="inlineStr">
        <is>
          <t>Engine Room</t>
        </is>
      </c>
      <c r="F473" s="5" t="inlineStr">
        <is>
          <t>Mobile — Operasional Stasiun (MB-)</t>
        </is>
      </c>
      <c r="G473" s="24" t="inlineStr">
        <is>
          <t>Draft mengarah ke Form, record final mengarah ke detail read-only</t>
        </is>
      </c>
      <c r="H473" s="5" t="inlineStr">
        <is>
          <t>OPR-A</t>
        </is>
      </c>
      <c r="I473" s="5" t="inlineStr">
        <is>
          <t>ada satu draft dan satu record Tersimpan</t>
        </is>
      </c>
      <c r="J473" s="5" t="inlineStr">
        <is>
          <t>1. Siapkan satu draft (dijeda) dan satu record Tersimpan untuk stasiun ini.
2. Login di mobile, buka Monitor Engine Room, lalu tekan Load Data (/stations/engine-room/preview). Tekan Semua.
3. Tekan baris draft. Catat layar yang terbuka.
4. Kembali, lalu tekan baris record Tersimpan. Catat layar yang terbuka.
5. Pada layar langkah 4, coba ubah salah satu nilainya.</t>
        </is>
      </c>
      <c r="K473" s="5" t="inlineStr">
        <is>
          <t>- Baris draft mendarat di Form — dapat dilanjutkan dan diubah.
- Baris Tersimpan mendarat di detail read-only.
- Pada detail read-only, tidak satu pun nilai dapat diubah.</t>
        </is>
      </c>
      <c r="L473" s="16" t="inlineStr">
        <is>
          <t>Tinggi</t>
        </is>
      </c>
      <c r="M473" s="5" t="inlineStr"/>
      <c r="N473" s="17" t="n"/>
      <c r="O473" s="17" t="n"/>
      <c r="P473" s="17" t="n"/>
      <c r="Q473" s="17" t="n"/>
      <c r="R473" s="17" t="n"/>
    </row>
    <row r="474" ht="149.2" customHeight="1">
      <c r="A474" s="18" t="n">
        <v>470</v>
      </c>
      <c r="B474" s="18" t="n">
        <v>3</v>
      </c>
      <c r="C474" s="19" t="inlineStr">
        <is>
          <t>MB-PRV-05 / Process Water</t>
        </is>
      </c>
      <c r="D474" s="19" t="inlineStr">
        <is>
          <t>MB-PRV-05</t>
        </is>
      </c>
      <c r="E474" s="20" t="inlineStr">
        <is>
          <t>Process Water</t>
        </is>
      </c>
      <c r="F474" s="21" t="inlineStr">
        <is>
          <t>Mobile — Operasional Stasiun (MB-)</t>
        </is>
      </c>
      <c r="G474" s="20" t="inlineStr">
        <is>
          <t>Draft mengarah ke Form, record final mengarah ke detail read-only</t>
        </is>
      </c>
      <c r="H474" s="21" t="inlineStr">
        <is>
          <t>OPR-A</t>
        </is>
      </c>
      <c r="I474" s="21" t="inlineStr">
        <is>
          <t>ada satu draft dan satu record Tersimpan</t>
        </is>
      </c>
      <c r="J474" s="21" t="inlineStr">
        <is>
          <t>1. Siapkan satu draft (dijeda) dan satu record Tersimpan untuk stasiun ini.
2. Login di mobile, buka Monitor Process Water, lalu tekan Load Data (/stations/process-water/preview). Tekan Semua.
3. Tekan baris draft. Catat layar yang terbuka.
4. Kembali, lalu tekan baris record Tersimpan. Catat layar yang terbuka.
5. Pada layar langkah 4, coba ubah salah satu nilainya.</t>
        </is>
      </c>
      <c r="K474" s="21" t="inlineStr">
        <is>
          <t>- Baris draft mendarat di Form — dapat dilanjutkan dan diubah.
- Baris Tersimpan mendarat di detail read-only.
- Pada detail read-only, tidak satu pun nilai dapat diubah.</t>
        </is>
      </c>
      <c r="L474" s="16" t="inlineStr">
        <is>
          <t>Tinggi</t>
        </is>
      </c>
      <c r="M474" s="21" t="inlineStr"/>
      <c r="N474" s="17" t="n"/>
      <c r="O474" s="17" t="n"/>
      <c r="P474" s="17" t="n"/>
      <c r="Q474" s="17" t="n"/>
      <c r="R474" s="17" t="n"/>
    </row>
    <row r="475" ht="149.2" customHeight="1">
      <c r="A475" s="22" t="n">
        <v>471</v>
      </c>
      <c r="B475" s="22" t="n">
        <v>3</v>
      </c>
      <c r="C475" s="23" t="inlineStr">
        <is>
          <t>MB-PRV-05 / Storage Tank</t>
        </is>
      </c>
      <c r="D475" s="23" t="inlineStr">
        <is>
          <t>MB-PRV-05</t>
        </is>
      </c>
      <c r="E475" s="24" t="inlineStr">
        <is>
          <t>Storage Tank</t>
        </is>
      </c>
      <c r="F475" s="5" t="inlineStr">
        <is>
          <t>Mobile — Operasional Stasiun (MB-)</t>
        </is>
      </c>
      <c r="G475" s="24" t="inlineStr">
        <is>
          <t>Draft mengarah ke Form, record final mengarah ke detail read-only</t>
        </is>
      </c>
      <c r="H475" s="5" t="inlineStr">
        <is>
          <t>OPR-A</t>
        </is>
      </c>
      <c r="I475" s="5" t="inlineStr">
        <is>
          <t>ada satu draft dan satu record Tersimpan</t>
        </is>
      </c>
      <c r="J475" s="5" t="inlineStr">
        <is>
          <t>1. Siapkan satu draft (dijeda) dan satu record Tersimpan untuk stasiun ini.
2. Login di mobile, buka Monitor Storage Tank, lalu tekan Load Data (/stations/storage-tank/preview). Tekan Semua.
3. Tekan baris draft. Catat layar yang terbuka.
4. Kembali, lalu tekan baris record Tersimpan. Catat layar yang terbuka.
5. Pada layar langkah 4, coba ubah salah satu nilainya.</t>
        </is>
      </c>
      <c r="K475" s="5" t="inlineStr">
        <is>
          <t>- Baris draft mendarat di Form — dapat dilanjutkan dan diubah.
- Baris Tersimpan mendarat di detail read-only.
- Pada detail read-only, tidak satu pun nilai dapat diubah.</t>
        </is>
      </c>
      <c r="L475" s="16" t="inlineStr">
        <is>
          <t>Tinggi</t>
        </is>
      </c>
      <c r="M475" s="5" t="inlineStr"/>
      <c r="N475" s="17" t="n"/>
      <c r="O475" s="17" t="n"/>
      <c r="P475" s="17" t="n"/>
      <c r="Q475" s="17" t="n"/>
      <c r="R475" s="17" t="n"/>
    </row>
    <row r="476" ht="149.2" customHeight="1">
      <c r="A476" s="18" t="n">
        <v>472</v>
      </c>
      <c r="B476" s="18" t="n">
        <v>3</v>
      </c>
      <c r="C476" s="19" t="inlineStr">
        <is>
          <t>MB-PRV-05 / Solid Waste Disposal</t>
        </is>
      </c>
      <c r="D476" s="19" t="inlineStr">
        <is>
          <t>MB-PRV-05</t>
        </is>
      </c>
      <c r="E476" s="20" t="inlineStr">
        <is>
          <t>Solid Waste Disposal</t>
        </is>
      </c>
      <c r="F476" s="21" t="inlineStr">
        <is>
          <t>Mobile — Operasional Stasiun (MB-)</t>
        </is>
      </c>
      <c r="G476" s="20" t="inlineStr">
        <is>
          <t>Draft mengarah ke Form, record final mengarah ke detail read-only</t>
        </is>
      </c>
      <c r="H476" s="21" t="inlineStr">
        <is>
          <t>OPR-A</t>
        </is>
      </c>
      <c r="I476" s="21" t="inlineStr">
        <is>
          <t>ada satu draft dan satu record Tersimpan</t>
        </is>
      </c>
      <c r="J476" s="21" t="inlineStr">
        <is>
          <t>1. Siapkan satu draft (dijeda) dan satu record Tersimpan untuk stasiun ini.
2. Login di mobile, buka Monitor Solid Waste Disposal, lalu tekan Load Data (/stations/solid-waste-disposal/preview). Tekan Semua.
3. Tekan baris draft. Catat layar yang terbuka.
4. Kembali, lalu tekan baris record Tersimpan. Catat layar yang terbuka.
5. Pada layar langkah 4, coba ubah salah satu nilainya.</t>
        </is>
      </c>
      <c r="K476" s="21" t="inlineStr">
        <is>
          <t>- Baris draft mendarat di Form — dapat dilanjutkan dan diubah.
- Baris Tersimpan mendarat di detail read-only.
- Pada detail read-only, tidak satu pun nilai dapat diubah.</t>
        </is>
      </c>
      <c r="L476" s="16" t="inlineStr">
        <is>
          <t>Tinggi</t>
        </is>
      </c>
      <c r="M476" s="21" t="inlineStr"/>
      <c r="N476" s="17" t="n"/>
      <c r="O476" s="17" t="n"/>
      <c r="P476" s="17" t="n"/>
      <c r="Q476" s="17" t="n"/>
      <c r="R476" s="17" t="n"/>
    </row>
    <row r="477" ht="149.2" customHeight="1">
      <c r="A477" s="22" t="n">
        <v>473</v>
      </c>
      <c r="B477" s="22" t="n">
        <v>3</v>
      </c>
      <c r="C477" s="23" t="inlineStr">
        <is>
          <t>MB-PRV-05 / Kernel Dispatch</t>
        </is>
      </c>
      <c r="D477" s="23" t="inlineStr">
        <is>
          <t>MB-PRV-05</t>
        </is>
      </c>
      <c r="E477" s="24" t="inlineStr">
        <is>
          <t>Kernel Dispatch</t>
        </is>
      </c>
      <c r="F477" s="5" t="inlineStr">
        <is>
          <t>Mobile — Operasional Stasiun (MB-)</t>
        </is>
      </c>
      <c r="G477" s="24" t="inlineStr">
        <is>
          <t>Draft mengarah ke Form, record final mengarah ke detail read-only</t>
        </is>
      </c>
      <c r="H477" s="5" t="inlineStr">
        <is>
          <t>OPR-A</t>
        </is>
      </c>
      <c r="I477" s="5" t="inlineStr">
        <is>
          <t>ada satu draft dan satu record Tersimpan</t>
        </is>
      </c>
      <c r="J477" s="5" t="inlineStr">
        <is>
          <t>1. Siapkan satu draft (dijeda) dan satu record Tersimpan untuk stasiun ini.
2. Login di mobile, buka Monitor Kernel Dispatch, lalu tekan Load Data (/stations/kernel-dispatch/preview). Tekan Semua.
3. Tekan baris draft. Catat layar yang terbuka.
4. Kembali, lalu tekan baris record Tersimpan. Catat layar yang terbuka.
5. Pada layar langkah 4, coba ubah salah satu nilainya.</t>
        </is>
      </c>
      <c r="K477" s="5" t="inlineStr">
        <is>
          <t>- Baris draft mendarat di Form — dapat dilanjutkan dan diubah.
- Baris Tersimpan mendarat di detail read-only.
- Pada detail read-only, tidak satu pun nilai dapat diubah.</t>
        </is>
      </c>
      <c r="L477" s="16" t="inlineStr">
        <is>
          <t>Tinggi</t>
        </is>
      </c>
      <c r="M477" s="5" t="inlineStr"/>
      <c r="N477" s="17" t="n"/>
      <c r="O477" s="17" t="n"/>
      <c r="P477" s="17" t="n"/>
      <c r="Q477" s="17" t="n"/>
      <c r="R477" s="17" t="n"/>
    </row>
    <row r="478" ht="149.2" customHeight="1">
      <c r="A478" s="18" t="n">
        <v>474</v>
      </c>
      <c r="B478" s="18" t="n">
        <v>3</v>
      </c>
      <c r="C478" s="19" t="inlineStr">
        <is>
          <t>MB-PRV-05 / CPO Dispatch</t>
        </is>
      </c>
      <c r="D478" s="19" t="inlineStr">
        <is>
          <t>MB-PRV-05</t>
        </is>
      </c>
      <c r="E478" s="20" t="inlineStr">
        <is>
          <t>CPO Dispatch</t>
        </is>
      </c>
      <c r="F478" s="21" t="inlineStr">
        <is>
          <t>Mobile — Operasional Stasiun (MB-)</t>
        </is>
      </c>
      <c r="G478" s="20" t="inlineStr">
        <is>
          <t>Draft mengarah ke Form, record final mengarah ke detail read-only</t>
        </is>
      </c>
      <c r="H478" s="21" t="inlineStr">
        <is>
          <t>OPR-A</t>
        </is>
      </c>
      <c r="I478" s="21" t="inlineStr">
        <is>
          <t>ada satu draft dan satu record Tersimpan</t>
        </is>
      </c>
      <c r="J478" s="21" t="inlineStr">
        <is>
          <t>1. Siapkan satu draft (dijeda) dan satu record Tersimpan untuk stasiun ini.
2. Login di mobile, buka Monitor CPO Dispatch, lalu tekan Load Data (/stations/cpo-dispatch/preview). Tekan Semua.
3. Tekan baris draft. Catat layar yang terbuka.
4. Kembali, lalu tekan baris record Tersimpan. Catat layar yang terbuka.
5. Pada layar langkah 4, coba ubah salah satu nilainya.</t>
        </is>
      </c>
      <c r="K478" s="21" t="inlineStr">
        <is>
          <t>- Baris draft mendarat di Form — dapat dilanjutkan dan diubah.
- Baris Tersimpan mendarat di detail read-only.
- Pada detail read-only, tidak satu pun nilai dapat diubah.</t>
        </is>
      </c>
      <c r="L478" s="16" t="inlineStr">
        <is>
          <t>Tinggi</t>
        </is>
      </c>
      <c r="M478" s="21" t="inlineStr"/>
      <c r="N478" s="17" t="n"/>
      <c r="O478" s="17" t="n"/>
      <c r="P478" s="17" t="n"/>
      <c r="Q478" s="17" t="n"/>
      <c r="R478" s="17" t="n"/>
    </row>
    <row r="479" ht="162.4" customHeight="1">
      <c r="A479" s="22" t="n">
        <v>475</v>
      </c>
      <c r="B479" s="22" t="n">
        <v>3</v>
      </c>
      <c r="C479" s="23" t="inlineStr">
        <is>
          <t>MB-PRV-05 / Process Quality Control</t>
        </is>
      </c>
      <c r="D479" s="23" t="inlineStr">
        <is>
          <t>MB-PRV-05</t>
        </is>
      </c>
      <c r="E479" s="24" t="inlineStr">
        <is>
          <t>Process Quality Control</t>
        </is>
      </c>
      <c r="F479" s="5" t="inlineStr">
        <is>
          <t>Mobile — Operasional Stasiun (MB-)</t>
        </is>
      </c>
      <c r="G479" s="24" t="inlineStr">
        <is>
          <t>Draft mengarah ke Form, record final mengarah ke detail read-only</t>
        </is>
      </c>
      <c r="H479" s="5" t="inlineStr">
        <is>
          <t>OPR-A</t>
        </is>
      </c>
      <c r="I479" s="5" t="inlineStr">
        <is>
          <t>ada satu draft dan satu record Tersimpan</t>
        </is>
      </c>
      <c r="J479" s="5" t="inlineStr">
        <is>
          <t>1. Siapkan satu draft (dijeda) dan satu record Tersimpan untuk stasiun ini.
2. Login di mobile, buka Monitor Process Quality Control, lalu tekan Load Data (/stations/process-quality-control/preview). Tekan Semua.
3. Tekan baris draft. Catat layar yang terbuka.
4. Kembali, lalu tekan baris record Tersimpan. Catat layar yang terbuka.
5. Pada layar langkah 4, coba ubah salah satu nilainya.</t>
        </is>
      </c>
      <c r="K479" s="5" t="inlineStr">
        <is>
          <t>- Baris draft mendarat di Form — dapat dilanjutkan dan diubah.
- Baris Tersimpan mendarat di detail read-only.
- Pada detail read-only, tidak satu pun nilai dapat diubah.</t>
        </is>
      </c>
      <c r="L479" s="16" t="inlineStr">
        <is>
          <t>Tinggi</t>
        </is>
      </c>
      <c r="M479" s="5" t="inlineStr"/>
      <c r="N479" s="17" t="n"/>
      <c r="O479" s="17" t="n"/>
      <c r="P479" s="17" t="n"/>
      <c r="Q479" s="17" t="n"/>
      <c r="R479" s="17" t="n"/>
    </row>
    <row r="480" ht="109.6" customHeight="1">
      <c r="A480" s="25" t="n">
        <v>476</v>
      </c>
      <c r="B480" s="26" t="n">
        <v>2</v>
      </c>
      <c r="C480" s="27" t="inlineStr">
        <is>
          <t>MB-PRV-06 / Weighbridge</t>
        </is>
      </c>
      <c r="D480" s="27" t="inlineStr">
        <is>
          <t>MB-PRV-06</t>
        </is>
      </c>
      <c r="E480" s="28" t="inlineStr">
        <is>
          <t>Weighbridge</t>
        </is>
      </c>
      <c r="F480" s="29" t="inlineStr">
        <is>
          <t>Mobile — Operasional Stasiun (MB-)</t>
        </is>
      </c>
      <c r="G480" s="28" t="inlineStr">
        <is>
          <t>Detail menampilkan persis baris yang tersimpan</t>
        </is>
      </c>
      <c r="H480" s="29" t="inlineStr">
        <is>
          <t>OPR-A</t>
        </is>
      </c>
      <c r="I480" s="29" t="inlineStr">
        <is>
          <t>record dengan 3 baris slot waktu</t>
        </is>
      </c>
      <c r="J480" s="29" t="inlineStr">
        <is>
          <t>1. Siapkan satu record dengan tepat 3 baris slot waktu terisi.
2. Login di mobile, buka Monitor Weighbridge, lalu tekan Load Data (/stations/weighbridge/preview), buka record itu.
3. Hitung jumlah baris pada grid detailnya.
4. Cocokkan slot waktu dan nilai tiap baris dengan yang disimpan.</t>
        </is>
      </c>
      <c r="K480" s="29" t="inlineStr">
        <is>
          <t>- Grid menampilkan tepat 3 baris — bukan 24, bukan dipadatkan menjadi 1.
- Slot waktu dan nilainya sama dengan yang disimpan.
- Tidak ada baris kosong tambahan yang digambar untuk mengisi sampai 24.</t>
        </is>
      </c>
      <c r="L480" s="16" t="inlineStr">
        <is>
          <t>Tinggi</t>
        </is>
      </c>
      <c r="M480" s="29" t="inlineStr"/>
      <c r="N480" s="17" t="n"/>
      <c r="O480" s="17" t="n"/>
      <c r="P480" s="17" t="n"/>
      <c r="Q480" s="17" t="n"/>
      <c r="R480" s="17" t="n"/>
    </row>
    <row r="481" ht="109.6" customHeight="1">
      <c r="A481" s="25" t="n">
        <v>477</v>
      </c>
      <c r="B481" s="26" t="n">
        <v>2</v>
      </c>
      <c r="C481" s="27" t="inlineStr">
        <is>
          <t>MB-PRV-06 / Grading</t>
        </is>
      </c>
      <c r="D481" s="27" t="inlineStr">
        <is>
          <t>MB-PRV-06</t>
        </is>
      </c>
      <c r="E481" s="28" t="inlineStr">
        <is>
          <t>Grading</t>
        </is>
      </c>
      <c r="F481" s="29" t="inlineStr">
        <is>
          <t>Mobile — Operasional Stasiun (MB-)</t>
        </is>
      </c>
      <c r="G481" s="28" t="inlineStr">
        <is>
          <t>Detail menampilkan persis baris yang tersimpan</t>
        </is>
      </c>
      <c r="H481" s="29" t="inlineStr">
        <is>
          <t>OPR-A</t>
        </is>
      </c>
      <c r="I481" s="29" t="inlineStr">
        <is>
          <t>record dengan 3 baris slot waktu</t>
        </is>
      </c>
      <c r="J481" s="29" t="inlineStr">
        <is>
          <t>1. Siapkan satu record dengan tepat 3 baris slot waktu terisi.
2. Login di mobile, buka Monitor Grading, lalu tekan Load Data (/stations/grading/preview), buka record itu.
3. Hitung jumlah baris pada grid detailnya.
4. Cocokkan slot waktu dan nilai tiap baris dengan yang disimpan.</t>
        </is>
      </c>
      <c r="K481" s="29" t="inlineStr">
        <is>
          <t>- Grid menampilkan tepat 3 baris — bukan 24, bukan dipadatkan menjadi 1.
- Slot waktu dan nilainya sama dengan yang disimpan.
- Tidak ada baris kosong tambahan yang digambar untuk mengisi sampai 24.</t>
        </is>
      </c>
      <c r="L481" s="16" t="inlineStr">
        <is>
          <t>Tinggi</t>
        </is>
      </c>
      <c r="M481" s="29" t="inlineStr"/>
      <c r="N481" s="17" t="n"/>
      <c r="O481" s="17" t="n"/>
      <c r="P481" s="17" t="n"/>
      <c r="Q481" s="17" t="n"/>
      <c r="R481" s="17" t="n"/>
    </row>
    <row r="482" ht="109.6" customHeight="1">
      <c r="A482" s="25" t="n">
        <v>478</v>
      </c>
      <c r="B482" s="26" t="n">
        <v>2</v>
      </c>
      <c r="C482" s="27" t="inlineStr">
        <is>
          <t>MB-PRV-06 / Cages Track</t>
        </is>
      </c>
      <c r="D482" s="27" t="inlineStr">
        <is>
          <t>MB-PRV-06</t>
        </is>
      </c>
      <c r="E482" s="28" t="inlineStr">
        <is>
          <t>Cages Track</t>
        </is>
      </c>
      <c r="F482" s="29" t="inlineStr">
        <is>
          <t>Mobile — Operasional Stasiun (MB-)</t>
        </is>
      </c>
      <c r="G482" s="28" t="inlineStr">
        <is>
          <t>Detail menampilkan persis baris yang tersimpan</t>
        </is>
      </c>
      <c r="H482" s="29" t="inlineStr">
        <is>
          <t>OPR-A</t>
        </is>
      </c>
      <c r="I482" s="29" t="inlineStr">
        <is>
          <t>record dengan 3 baris slot waktu</t>
        </is>
      </c>
      <c r="J482" s="29" t="inlineStr">
        <is>
          <t>1. Siapkan satu record dengan tepat 3 baris slot waktu terisi.
2. Login di mobile, buka Monitor Cages Track, lalu tekan Load Data (/stations/cages-track/preview), buka record itu.
3. Hitung jumlah baris pada grid detailnya.
4. Cocokkan slot waktu dan nilai tiap baris dengan yang disimpan.</t>
        </is>
      </c>
      <c r="K482" s="29" t="inlineStr">
        <is>
          <t>- Grid menampilkan tepat 3 baris — bukan 24, bukan dipadatkan menjadi 1.
- Slot waktu dan nilainya sama dengan yang disimpan.
- Tidak ada baris kosong tambahan yang digambar untuk mengisi sampai 24.</t>
        </is>
      </c>
      <c r="L482" s="16" t="inlineStr">
        <is>
          <t>Tinggi</t>
        </is>
      </c>
      <c r="M482" s="29" t="inlineStr"/>
      <c r="N482" s="17" t="n"/>
      <c r="O482" s="17" t="n"/>
      <c r="P482" s="17" t="n"/>
      <c r="Q482" s="17" t="n"/>
      <c r="R482" s="17" t="n"/>
    </row>
    <row r="483" ht="109.6" customHeight="1">
      <c r="A483" s="25" t="n">
        <v>479</v>
      </c>
      <c r="B483" s="26" t="n">
        <v>2</v>
      </c>
      <c r="C483" s="27" t="inlineStr">
        <is>
          <t>MB-PRV-06 / Sterilizer</t>
        </is>
      </c>
      <c r="D483" s="27" t="inlineStr">
        <is>
          <t>MB-PRV-06</t>
        </is>
      </c>
      <c r="E483" s="28" t="inlineStr">
        <is>
          <t>Sterilizer</t>
        </is>
      </c>
      <c r="F483" s="29" t="inlineStr">
        <is>
          <t>Mobile — Operasional Stasiun (MB-)</t>
        </is>
      </c>
      <c r="G483" s="28" t="inlineStr">
        <is>
          <t>Detail menampilkan persis baris yang tersimpan</t>
        </is>
      </c>
      <c r="H483" s="29" t="inlineStr">
        <is>
          <t>OPR-A</t>
        </is>
      </c>
      <c r="I483" s="29" t="inlineStr">
        <is>
          <t>record dengan 3 baris slot waktu</t>
        </is>
      </c>
      <c r="J483" s="29" t="inlineStr">
        <is>
          <t>1. Siapkan satu record dengan tepat 3 baris slot waktu terisi.
2. Login di mobile, buka Monitor Sterilizer, lalu tekan Load Data (/stations/sterilizer/preview), buka record itu.
3. Hitung jumlah baris pada grid detailnya.
4. Cocokkan slot waktu dan nilai tiap baris dengan yang disimpan.</t>
        </is>
      </c>
      <c r="K483" s="29" t="inlineStr">
        <is>
          <t>- Grid menampilkan tepat 3 baris — bukan 24, bukan dipadatkan menjadi 1.
- Slot waktu dan nilainya sama dengan yang disimpan.
- Tidak ada baris kosong tambahan yang digambar untuk mengisi sampai 24.</t>
        </is>
      </c>
      <c r="L483" s="16" t="inlineStr">
        <is>
          <t>Tinggi</t>
        </is>
      </c>
      <c r="M483" s="29" t="inlineStr"/>
      <c r="N483" s="17" t="n"/>
      <c r="O483" s="17" t="n"/>
      <c r="P483" s="17" t="n"/>
      <c r="Q483" s="17" t="n"/>
      <c r="R483" s="17" t="n"/>
    </row>
    <row r="484" ht="109.6" customHeight="1">
      <c r="A484" s="25" t="n">
        <v>480</v>
      </c>
      <c r="B484" s="26" t="n">
        <v>2</v>
      </c>
      <c r="C484" s="27" t="inlineStr">
        <is>
          <t>MB-PRV-06 / Threshing</t>
        </is>
      </c>
      <c r="D484" s="27" t="inlineStr">
        <is>
          <t>MB-PRV-06</t>
        </is>
      </c>
      <c r="E484" s="28" t="inlineStr">
        <is>
          <t>Threshing</t>
        </is>
      </c>
      <c r="F484" s="29" t="inlineStr">
        <is>
          <t>Mobile — Operasional Stasiun (MB-)</t>
        </is>
      </c>
      <c r="G484" s="28" t="inlineStr">
        <is>
          <t>Detail menampilkan persis baris yang tersimpan</t>
        </is>
      </c>
      <c r="H484" s="29" t="inlineStr">
        <is>
          <t>OPR-A</t>
        </is>
      </c>
      <c r="I484" s="29" t="inlineStr">
        <is>
          <t>record dengan 3 baris slot waktu</t>
        </is>
      </c>
      <c r="J484" s="29" t="inlineStr">
        <is>
          <t>1. Siapkan satu record dengan tepat 3 baris slot waktu terisi.
2. Login di mobile, buka Monitor Threshing, lalu tekan Load Data (/stations/threshing/preview), buka record itu.
3. Hitung jumlah baris pada grid detailnya.
4. Cocokkan slot waktu dan nilai tiap baris dengan yang disimpan.</t>
        </is>
      </c>
      <c r="K484" s="29" t="inlineStr">
        <is>
          <t>- Grid menampilkan tepat 3 baris — bukan 24, bukan dipadatkan menjadi 1.
- Slot waktu dan nilainya sama dengan yang disimpan.
- Tidak ada baris kosong tambahan yang digambar untuk mengisi sampai 24.</t>
        </is>
      </c>
      <c r="L484" s="16" t="inlineStr">
        <is>
          <t>Tinggi</t>
        </is>
      </c>
      <c r="M484" s="29" t="inlineStr"/>
      <c r="N484" s="17" t="n"/>
      <c r="O484" s="17" t="n"/>
      <c r="P484" s="17" t="n"/>
      <c r="Q484" s="17" t="n"/>
      <c r="R484" s="17" t="n"/>
    </row>
    <row r="485" ht="109.6" customHeight="1">
      <c r="A485" s="25" t="n">
        <v>481</v>
      </c>
      <c r="B485" s="26" t="n">
        <v>2</v>
      </c>
      <c r="C485" s="27" t="inlineStr">
        <is>
          <t>MB-PRV-06 / Pressing</t>
        </is>
      </c>
      <c r="D485" s="27" t="inlineStr">
        <is>
          <t>MB-PRV-06</t>
        </is>
      </c>
      <c r="E485" s="28" t="inlineStr">
        <is>
          <t>Pressing</t>
        </is>
      </c>
      <c r="F485" s="29" t="inlineStr">
        <is>
          <t>Mobile — Operasional Stasiun (MB-)</t>
        </is>
      </c>
      <c r="G485" s="28" t="inlineStr">
        <is>
          <t>Detail menampilkan persis baris yang tersimpan</t>
        </is>
      </c>
      <c r="H485" s="29" t="inlineStr">
        <is>
          <t>OPR-A</t>
        </is>
      </c>
      <c r="I485" s="29" t="inlineStr">
        <is>
          <t>record dengan 3 baris slot waktu</t>
        </is>
      </c>
      <c r="J485" s="29" t="inlineStr">
        <is>
          <t>1. Siapkan satu record dengan tepat 3 baris slot waktu terisi.
2. Login di mobile, buka Monitor Pressing, lalu tekan Load Data (/stations/pressing/preview), buka record itu.
3. Hitung jumlah baris pada grid detailnya.
4. Cocokkan slot waktu dan nilai tiap baris dengan yang disimpan.</t>
        </is>
      </c>
      <c r="K485" s="29" t="inlineStr">
        <is>
          <t>- Grid menampilkan tepat 3 baris — bukan 24, bukan dipadatkan menjadi 1.
- Slot waktu dan nilainya sama dengan yang disimpan.
- Tidak ada baris kosong tambahan yang digambar untuk mengisi sampai 24.</t>
        </is>
      </c>
      <c r="L485" s="16" t="inlineStr">
        <is>
          <t>Tinggi</t>
        </is>
      </c>
      <c r="M485" s="29" t="inlineStr"/>
      <c r="N485" s="17" t="n"/>
      <c r="O485" s="17" t="n"/>
      <c r="P485" s="17" t="n"/>
      <c r="Q485" s="17" t="n"/>
      <c r="R485" s="17" t="n"/>
    </row>
    <row r="486" ht="109.6" customHeight="1">
      <c r="A486" s="25" t="n">
        <v>482</v>
      </c>
      <c r="B486" s="26" t="n">
        <v>2</v>
      </c>
      <c r="C486" s="27" t="inlineStr">
        <is>
          <t>MB-PRV-06 / Clarification</t>
        </is>
      </c>
      <c r="D486" s="27" t="inlineStr">
        <is>
          <t>MB-PRV-06</t>
        </is>
      </c>
      <c r="E486" s="28" t="inlineStr">
        <is>
          <t>Clarification</t>
        </is>
      </c>
      <c r="F486" s="29" t="inlineStr">
        <is>
          <t>Mobile — Operasional Stasiun (MB-)</t>
        </is>
      </c>
      <c r="G486" s="28" t="inlineStr">
        <is>
          <t>Detail menampilkan persis baris yang tersimpan</t>
        </is>
      </c>
      <c r="H486" s="29" t="inlineStr">
        <is>
          <t>OPR-A</t>
        </is>
      </c>
      <c r="I486" s="29" t="inlineStr">
        <is>
          <t>record dengan 3 baris slot waktu</t>
        </is>
      </c>
      <c r="J486" s="29" t="inlineStr">
        <is>
          <t>1. Siapkan satu record dengan tepat 3 baris slot waktu terisi.
2. Login di mobile, buka Monitor Clarification, lalu tekan Load Data (/stations/clarification/preview), buka record itu.
3. Hitung jumlah baris pada grid detailnya.
4. Cocokkan slot waktu dan nilai tiap baris dengan yang disimpan.</t>
        </is>
      </c>
      <c r="K486" s="29" t="inlineStr">
        <is>
          <t>- Grid menampilkan tepat 3 baris — bukan 24, bukan dipadatkan menjadi 1.
- Slot waktu dan nilainya sama dengan yang disimpan.
- Tidak ada baris kosong tambahan yang digambar untuk mengisi sampai 24.</t>
        </is>
      </c>
      <c r="L486" s="16" t="inlineStr">
        <is>
          <t>Tinggi</t>
        </is>
      </c>
      <c r="M486" s="29" t="inlineStr"/>
      <c r="N486" s="17" t="n"/>
      <c r="O486" s="17" t="n"/>
      <c r="P486" s="17" t="n"/>
      <c r="Q486" s="17" t="n"/>
      <c r="R486" s="17" t="n"/>
    </row>
    <row r="487" ht="109.6" customHeight="1">
      <c r="A487" s="25" t="n">
        <v>483</v>
      </c>
      <c r="B487" s="26" t="n">
        <v>2</v>
      </c>
      <c r="C487" s="27" t="inlineStr">
        <is>
          <t>MB-PRV-06 / Kernel Plant</t>
        </is>
      </c>
      <c r="D487" s="27" t="inlineStr">
        <is>
          <t>MB-PRV-06</t>
        </is>
      </c>
      <c r="E487" s="28" t="inlineStr">
        <is>
          <t>Kernel Plant</t>
        </is>
      </c>
      <c r="F487" s="29" t="inlineStr">
        <is>
          <t>Mobile — Operasional Stasiun (MB-)</t>
        </is>
      </c>
      <c r="G487" s="28" t="inlineStr">
        <is>
          <t>Detail menampilkan persis baris yang tersimpan</t>
        </is>
      </c>
      <c r="H487" s="29" t="inlineStr">
        <is>
          <t>OPR-A</t>
        </is>
      </c>
      <c r="I487" s="29" t="inlineStr">
        <is>
          <t>record dengan 3 baris slot waktu</t>
        </is>
      </c>
      <c r="J487" s="29" t="inlineStr">
        <is>
          <t>1. Siapkan satu record dengan tepat 3 baris slot waktu terisi.
2. Login di mobile, buka Monitor Kernel Plant, lalu tekan Load Data (/stations/kernel-plant/preview), buka record itu.
3. Hitung jumlah baris pada grid detailnya.
4. Cocokkan slot waktu dan nilai tiap baris dengan yang disimpan.</t>
        </is>
      </c>
      <c r="K487" s="29" t="inlineStr">
        <is>
          <t>- Grid menampilkan tepat 3 baris — bukan 24, bukan dipadatkan menjadi 1.
- Slot waktu dan nilainya sama dengan yang disimpan.
- Tidak ada baris kosong tambahan yang digambar untuk mengisi sampai 24.</t>
        </is>
      </c>
      <c r="L487" s="16" t="inlineStr">
        <is>
          <t>Tinggi</t>
        </is>
      </c>
      <c r="M487" s="29" t="inlineStr"/>
      <c r="N487" s="17" t="n"/>
      <c r="O487" s="17" t="n"/>
      <c r="P487" s="17" t="n"/>
      <c r="Q487" s="17" t="n"/>
      <c r="R487" s="17" t="n"/>
    </row>
    <row r="488" ht="109.6" customHeight="1">
      <c r="A488" s="25" t="n">
        <v>484</v>
      </c>
      <c r="B488" s="26" t="n">
        <v>2</v>
      </c>
      <c r="C488" s="27" t="inlineStr">
        <is>
          <t>MB-PRV-06 / Boiler Room</t>
        </is>
      </c>
      <c r="D488" s="27" t="inlineStr">
        <is>
          <t>MB-PRV-06</t>
        </is>
      </c>
      <c r="E488" s="28" t="inlineStr">
        <is>
          <t>Boiler Room</t>
        </is>
      </c>
      <c r="F488" s="29" t="inlineStr">
        <is>
          <t>Mobile — Operasional Stasiun (MB-)</t>
        </is>
      </c>
      <c r="G488" s="28" t="inlineStr">
        <is>
          <t>Detail menampilkan persis baris yang tersimpan</t>
        </is>
      </c>
      <c r="H488" s="29" t="inlineStr">
        <is>
          <t>OPR-A</t>
        </is>
      </c>
      <c r="I488" s="29" t="inlineStr">
        <is>
          <t>record dengan 3 baris slot waktu</t>
        </is>
      </c>
      <c r="J488" s="29" t="inlineStr">
        <is>
          <t>1. Siapkan satu record dengan tepat 3 baris slot waktu terisi.
2. Login di mobile, buka Monitor Boiler Room, lalu tekan Load Data (/stations/boiler-room/preview), buka record itu.
3. Hitung jumlah baris pada grid detailnya.
4. Cocokkan slot waktu dan nilai tiap baris dengan yang disimpan.</t>
        </is>
      </c>
      <c r="K488" s="29" t="inlineStr">
        <is>
          <t>- Grid menampilkan tepat 3 baris — bukan 24, bukan dipadatkan menjadi 1.
- Slot waktu dan nilainya sama dengan yang disimpan.
- Tidak ada baris kosong tambahan yang digambar untuk mengisi sampai 24.</t>
        </is>
      </c>
      <c r="L488" s="16" t="inlineStr">
        <is>
          <t>Tinggi</t>
        </is>
      </c>
      <c r="M488" s="29" t="inlineStr"/>
      <c r="N488" s="17" t="n"/>
      <c r="O488" s="17" t="n"/>
      <c r="P488" s="17" t="n"/>
      <c r="Q488" s="17" t="n"/>
      <c r="R488" s="17" t="n"/>
    </row>
    <row r="489" ht="109.6" customHeight="1">
      <c r="A489" s="25" t="n">
        <v>485</v>
      </c>
      <c r="B489" s="26" t="n">
        <v>2</v>
      </c>
      <c r="C489" s="27" t="inlineStr">
        <is>
          <t>MB-PRV-06 / Effluent Plant</t>
        </is>
      </c>
      <c r="D489" s="27" t="inlineStr">
        <is>
          <t>MB-PRV-06</t>
        </is>
      </c>
      <c r="E489" s="28" t="inlineStr">
        <is>
          <t>Effluent Plant</t>
        </is>
      </c>
      <c r="F489" s="29" t="inlineStr">
        <is>
          <t>Mobile — Operasional Stasiun (MB-)</t>
        </is>
      </c>
      <c r="G489" s="28" t="inlineStr">
        <is>
          <t>Detail menampilkan persis baris yang tersimpan</t>
        </is>
      </c>
      <c r="H489" s="29" t="inlineStr">
        <is>
          <t>OPR-A</t>
        </is>
      </c>
      <c r="I489" s="29" t="inlineStr">
        <is>
          <t>record dengan 3 baris slot waktu</t>
        </is>
      </c>
      <c r="J489" s="29" t="inlineStr">
        <is>
          <t>1. Siapkan satu record dengan tepat 3 baris slot waktu terisi.
2. Login di mobile, buka Monitor Effluent Plant, lalu tekan Load Data (/stations/effluent-plant/preview), buka record itu.
3. Hitung jumlah baris pada grid detailnya.
4. Cocokkan slot waktu dan nilai tiap baris dengan yang disimpan.</t>
        </is>
      </c>
      <c r="K489" s="29" t="inlineStr">
        <is>
          <t>- Grid menampilkan tepat 3 baris — bukan 24, bukan dipadatkan menjadi 1.
- Slot waktu dan nilainya sama dengan yang disimpan.
- Tidak ada baris kosong tambahan yang digambar untuk mengisi sampai 24.</t>
        </is>
      </c>
      <c r="L489" s="16" t="inlineStr">
        <is>
          <t>Tinggi</t>
        </is>
      </c>
      <c r="M489" s="29" t="inlineStr"/>
      <c r="N489" s="17" t="n"/>
      <c r="O489" s="17" t="n"/>
      <c r="P489" s="17" t="n"/>
      <c r="Q489" s="17" t="n"/>
      <c r="R489" s="17" t="n"/>
    </row>
    <row r="490" ht="109.6" customHeight="1">
      <c r="A490" s="11" t="n">
        <v>486</v>
      </c>
      <c r="B490" s="12" t="n">
        <v>1</v>
      </c>
      <c r="C490" s="13" t="inlineStr">
        <is>
          <t>MB-PRV-06 / Depricarping</t>
        </is>
      </c>
      <c r="D490" s="13" t="inlineStr">
        <is>
          <t>MB-PRV-06</t>
        </is>
      </c>
      <c r="E490" s="15" t="inlineStr">
        <is>
          <t>Depricarping</t>
        </is>
      </c>
      <c r="F490" s="14" t="inlineStr">
        <is>
          <t>Mobile — Operasional Stasiun (MB-)</t>
        </is>
      </c>
      <c r="G490" s="15" t="inlineStr">
        <is>
          <t>Detail menampilkan persis baris yang tersimpan</t>
        </is>
      </c>
      <c r="H490" s="14" t="inlineStr">
        <is>
          <t>OPR-A</t>
        </is>
      </c>
      <c r="I490" s="14" t="inlineStr">
        <is>
          <t>record dengan 3 baris slot waktu</t>
        </is>
      </c>
      <c r="J490" s="14" t="inlineStr">
        <is>
          <t>1. Siapkan satu record dengan tepat 3 baris slot waktu terisi.
2. Login di mobile, buka Monitor Depricarping, lalu tekan Load Data (/stations/depricarping/preview), buka record itu.
3. Hitung jumlah baris pada grid detailnya.
4. Cocokkan slot waktu dan nilai tiap baris dengan yang disimpan.</t>
        </is>
      </c>
      <c r="K490" s="14" t="inlineStr">
        <is>
          <t>- Grid menampilkan tepat 3 baris — bukan 24, bukan dipadatkan menjadi 1.
- Slot waktu dan nilainya sama dengan yang disimpan.
- Tidak ada baris kosong tambahan yang digambar untuk mengisi sampai 24.</t>
        </is>
      </c>
      <c r="L490" s="16" t="inlineStr">
        <is>
          <t>Tinggi</t>
        </is>
      </c>
      <c r="M490" s="14" t="inlineStr"/>
      <c r="N490" s="17" t="n"/>
      <c r="O490" s="17" t="n"/>
      <c r="P490" s="17" t="n"/>
      <c r="Q490" s="17" t="n"/>
      <c r="R490" s="17" t="n"/>
    </row>
    <row r="491" ht="109.6" customHeight="1">
      <c r="A491" s="25" t="n">
        <v>487</v>
      </c>
      <c r="B491" s="26" t="n">
        <v>2</v>
      </c>
      <c r="C491" s="27" t="inlineStr">
        <is>
          <t>MB-PRV-06 / Engine Room</t>
        </is>
      </c>
      <c r="D491" s="27" t="inlineStr">
        <is>
          <t>MB-PRV-06</t>
        </is>
      </c>
      <c r="E491" s="28" t="inlineStr">
        <is>
          <t>Engine Room</t>
        </is>
      </c>
      <c r="F491" s="29" t="inlineStr">
        <is>
          <t>Mobile — Operasional Stasiun (MB-)</t>
        </is>
      </c>
      <c r="G491" s="28" t="inlineStr">
        <is>
          <t>Detail menampilkan persis baris yang tersimpan</t>
        </is>
      </c>
      <c r="H491" s="29" t="inlineStr">
        <is>
          <t>OPR-A</t>
        </is>
      </c>
      <c r="I491" s="29" t="inlineStr">
        <is>
          <t>record dengan 3 baris slot waktu</t>
        </is>
      </c>
      <c r="J491" s="29" t="inlineStr">
        <is>
          <t>1. Siapkan satu record dengan tepat 3 baris slot waktu terisi.
2. Login di mobile, buka Monitor Engine Room, lalu tekan Load Data (/stations/engine-room/preview), buka record itu.
3. Hitung jumlah baris pada grid detailnya.
4. Cocokkan slot waktu dan nilai tiap baris dengan yang disimpan.</t>
        </is>
      </c>
      <c r="K491" s="29" t="inlineStr">
        <is>
          <t>- Grid menampilkan tepat 3 baris — bukan 24, bukan dipadatkan menjadi 1.
- Slot waktu dan nilainya sama dengan yang disimpan.
- Tidak ada baris kosong tambahan yang digambar untuk mengisi sampai 24.</t>
        </is>
      </c>
      <c r="L491" s="16" t="inlineStr">
        <is>
          <t>Tinggi</t>
        </is>
      </c>
      <c r="M491" s="29" t="inlineStr"/>
      <c r="N491" s="17" t="n"/>
      <c r="O491" s="17" t="n"/>
      <c r="P491" s="17" t="n"/>
      <c r="Q491" s="17" t="n"/>
      <c r="R491" s="17" t="n"/>
    </row>
    <row r="492" ht="109.6" customHeight="1">
      <c r="A492" s="25" t="n">
        <v>488</v>
      </c>
      <c r="B492" s="26" t="n">
        <v>2</v>
      </c>
      <c r="C492" s="27" t="inlineStr">
        <is>
          <t>MB-PRV-06 / Process Water</t>
        </is>
      </c>
      <c r="D492" s="27" t="inlineStr">
        <is>
          <t>MB-PRV-06</t>
        </is>
      </c>
      <c r="E492" s="28" t="inlineStr">
        <is>
          <t>Process Water</t>
        </is>
      </c>
      <c r="F492" s="29" t="inlineStr">
        <is>
          <t>Mobile — Operasional Stasiun (MB-)</t>
        </is>
      </c>
      <c r="G492" s="28" t="inlineStr">
        <is>
          <t>Detail menampilkan persis baris yang tersimpan</t>
        </is>
      </c>
      <c r="H492" s="29" t="inlineStr">
        <is>
          <t>OPR-A</t>
        </is>
      </c>
      <c r="I492" s="29" t="inlineStr">
        <is>
          <t>record dengan 3 baris slot waktu</t>
        </is>
      </c>
      <c r="J492" s="29" t="inlineStr">
        <is>
          <t>1. Siapkan satu record dengan tepat 3 baris slot waktu terisi.
2. Login di mobile, buka Monitor Process Water, lalu tekan Load Data (/stations/process-water/preview), buka record itu.
3. Hitung jumlah baris pada grid detailnya.
4. Cocokkan slot waktu dan nilai tiap baris dengan yang disimpan.</t>
        </is>
      </c>
      <c r="K492" s="29" t="inlineStr">
        <is>
          <t>- Grid menampilkan tepat 3 baris — bukan 24, bukan dipadatkan menjadi 1.
- Slot waktu dan nilainya sama dengan yang disimpan.
- Tidak ada baris kosong tambahan yang digambar untuk mengisi sampai 24.</t>
        </is>
      </c>
      <c r="L492" s="16" t="inlineStr">
        <is>
          <t>Tinggi</t>
        </is>
      </c>
      <c r="M492" s="29" t="inlineStr"/>
      <c r="N492" s="17" t="n"/>
      <c r="O492" s="17" t="n"/>
      <c r="P492" s="17" t="n"/>
      <c r="Q492" s="17" t="n"/>
      <c r="R492" s="17" t="n"/>
    </row>
    <row r="493" ht="109.6" customHeight="1">
      <c r="A493" s="25" t="n">
        <v>489</v>
      </c>
      <c r="B493" s="26" t="n">
        <v>2</v>
      </c>
      <c r="C493" s="27" t="inlineStr">
        <is>
          <t>MB-PRV-06 / Storage Tank</t>
        </is>
      </c>
      <c r="D493" s="27" t="inlineStr">
        <is>
          <t>MB-PRV-06</t>
        </is>
      </c>
      <c r="E493" s="28" t="inlineStr">
        <is>
          <t>Storage Tank</t>
        </is>
      </c>
      <c r="F493" s="29" t="inlineStr">
        <is>
          <t>Mobile — Operasional Stasiun (MB-)</t>
        </is>
      </c>
      <c r="G493" s="28" t="inlineStr">
        <is>
          <t>Detail menampilkan persis baris yang tersimpan</t>
        </is>
      </c>
      <c r="H493" s="29" t="inlineStr">
        <is>
          <t>OPR-A</t>
        </is>
      </c>
      <c r="I493" s="29" t="inlineStr">
        <is>
          <t>record dengan 3 baris slot waktu</t>
        </is>
      </c>
      <c r="J493" s="29" t="inlineStr">
        <is>
          <t>1. Siapkan satu record dengan tepat 3 baris slot waktu terisi.
2. Login di mobile, buka Monitor Storage Tank, lalu tekan Load Data (/stations/storage-tank/preview), buka record itu.
3. Hitung jumlah baris pada grid detailnya.
4. Cocokkan slot waktu dan nilai tiap baris dengan yang disimpan.</t>
        </is>
      </c>
      <c r="K493" s="29" t="inlineStr">
        <is>
          <t>- Grid menampilkan tepat 3 baris — bukan 24, bukan dipadatkan menjadi 1.
- Slot waktu dan nilainya sama dengan yang disimpan.
- Tidak ada baris kosong tambahan yang digambar untuk mengisi sampai 24.</t>
        </is>
      </c>
      <c r="L493" s="16" t="inlineStr">
        <is>
          <t>Tinggi</t>
        </is>
      </c>
      <c r="M493" s="29" t="inlineStr"/>
      <c r="N493" s="17" t="n"/>
      <c r="O493" s="17" t="n"/>
      <c r="P493" s="17" t="n"/>
      <c r="Q493" s="17" t="n"/>
      <c r="R493" s="17" t="n"/>
    </row>
    <row r="494" ht="122.8" customHeight="1">
      <c r="A494" s="25" t="n">
        <v>490</v>
      </c>
      <c r="B494" s="26" t="n">
        <v>2</v>
      </c>
      <c r="C494" s="27" t="inlineStr">
        <is>
          <t>MB-PRV-06 / Solid Waste Disposal</t>
        </is>
      </c>
      <c r="D494" s="27" t="inlineStr">
        <is>
          <t>MB-PRV-06</t>
        </is>
      </c>
      <c r="E494" s="28" t="inlineStr">
        <is>
          <t>Solid Waste Disposal</t>
        </is>
      </c>
      <c r="F494" s="29" t="inlineStr">
        <is>
          <t>Mobile — Operasional Stasiun (MB-)</t>
        </is>
      </c>
      <c r="G494" s="28" t="inlineStr">
        <is>
          <t>Detail menampilkan persis baris yang tersimpan</t>
        </is>
      </c>
      <c r="H494" s="29" t="inlineStr">
        <is>
          <t>OPR-A</t>
        </is>
      </c>
      <c r="I494" s="29" t="inlineStr">
        <is>
          <t>record dengan 3 baris slot waktu</t>
        </is>
      </c>
      <c r="J494" s="29" t="inlineStr">
        <is>
          <t>1. Siapkan satu record dengan tepat 3 baris slot waktu terisi.
2. Login di mobile, buka Monitor Solid Waste Disposal, lalu tekan Load Data (/stations/solid-waste-disposal/preview), buka record itu.
3. Hitung jumlah baris pada grid detailnya.
4. Cocokkan slot waktu dan nilai tiap baris dengan yang disimpan.</t>
        </is>
      </c>
      <c r="K494" s="29" t="inlineStr">
        <is>
          <t>- Grid menampilkan tepat 3 baris — bukan 24, bukan dipadatkan menjadi 1.
- Slot waktu dan nilainya sama dengan yang disimpan.
- Tidak ada baris kosong tambahan yang digambar untuk mengisi sampai 24.</t>
        </is>
      </c>
      <c r="L494" s="16" t="inlineStr">
        <is>
          <t>Tinggi</t>
        </is>
      </c>
      <c r="M494" s="29" t="inlineStr"/>
      <c r="N494" s="17" t="n"/>
      <c r="O494" s="17" t="n"/>
      <c r="P494" s="17" t="n"/>
      <c r="Q494" s="17" t="n"/>
      <c r="R494" s="17" t="n"/>
    </row>
    <row r="495" ht="109.6" customHeight="1">
      <c r="A495" s="25" t="n">
        <v>491</v>
      </c>
      <c r="B495" s="26" t="n">
        <v>2</v>
      </c>
      <c r="C495" s="27" t="inlineStr">
        <is>
          <t>MB-PRV-06 / Kernel Dispatch</t>
        </is>
      </c>
      <c r="D495" s="27" t="inlineStr">
        <is>
          <t>MB-PRV-06</t>
        </is>
      </c>
      <c r="E495" s="28" t="inlineStr">
        <is>
          <t>Kernel Dispatch</t>
        </is>
      </c>
      <c r="F495" s="29" t="inlineStr">
        <is>
          <t>Mobile — Operasional Stasiun (MB-)</t>
        </is>
      </c>
      <c r="G495" s="28" t="inlineStr">
        <is>
          <t>Detail menampilkan persis baris yang tersimpan</t>
        </is>
      </c>
      <c r="H495" s="29" t="inlineStr">
        <is>
          <t>OPR-A</t>
        </is>
      </c>
      <c r="I495" s="29" t="inlineStr">
        <is>
          <t>record dengan 3 baris slot waktu</t>
        </is>
      </c>
      <c r="J495" s="29" t="inlineStr">
        <is>
          <t>1. Siapkan satu record dengan tepat 3 baris slot waktu terisi.
2. Login di mobile, buka Monitor Kernel Dispatch, lalu tekan Load Data (/stations/kernel-dispatch/preview), buka record itu.
3. Hitung jumlah baris pada grid detailnya.
4. Cocokkan slot waktu dan nilai tiap baris dengan yang disimpan.</t>
        </is>
      </c>
      <c r="K495" s="29" t="inlineStr">
        <is>
          <t>- Grid menampilkan tepat 3 baris — bukan 24, bukan dipadatkan menjadi 1.
- Slot waktu dan nilainya sama dengan yang disimpan.
- Tidak ada baris kosong tambahan yang digambar untuk mengisi sampai 24.</t>
        </is>
      </c>
      <c r="L495" s="16" t="inlineStr">
        <is>
          <t>Tinggi</t>
        </is>
      </c>
      <c r="M495" s="29" t="inlineStr"/>
      <c r="N495" s="17" t="n"/>
      <c r="O495" s="17" t="n"/>
      <c r="P495" s="17" t="n"/>
      <c r="Q495" s="17" t="n"/>
      <c r="R495" s="17" t="n"/>
    </row>
    <row r="496" ht="109.6" customHeight="1">
      <c r="A496" s="25" t="n">
        <v>492</v>
      </c>
      <c r="B496" s="26" t="n">
        <v>2</v>
      </c>
      <c r="C496" s="27" t="inlineStr">
        <is>
          <t>MB-PRV-06 / CPO Dispatch</t>
        </is>
      </c>
      <c r="D496" s="27" t="inlineStr">
        <is>
          <t>MB-PRV-06</t>
        </is>
      </c>
      <c r="E496" s="28" t="inlineStr">
        <is>
          <t>CPO Dispatch</t>
        </is>
      </c>
      <c r="F496" s="29" t="inlineStr">
        <is>
          <t>Mobile — Operasional Stasiun (MB-)</t>
        </is>
      </c>
      <c r="G496" s="28" t="inlineStr">
        <is>
          <t>Detail menampilkan persis baris yang tersimpan</t>
        </is>
      </c>
      <c r="H496" s="29" t="inlineStr">
        <is>
          <t>OPR-A</t>
        </is>
      </c>
      <c r="I496" s="29" t="inlineStr">
        <is>
          <t>record dengan 3 baris slot waktu</t>
        </is>
      </c>
      <c r="J496" s="29" t="inlineStr">
        <is>
          <t>1. Siapkan satu record dengan tepat 3 baris slot waktu terisi.
2. Login di mobile, buka Monitor CPO Dispatch, lalu tekan Load Data (/stations/cpo-dispatch/preview), buka record itu.
3. Hitung jumlah baris pada grid detailnya.
4. Cocokkan slot waktu dan nilai tiap baris dengan yang disimpan.</t>
        </is>
      </c>
      <c r="K496" s="29" t="inlineStr">
        <is>
          <t>- Grid menampilkan tepat 3 baris — bukan 24, bukan dipadatkan menjadi 1.
- Slot waktu dan nilainya sama dengan yang disimpan.
- Tidak ada baris kosong tambahan yang digambar untuk mengisi sampai 24.</t>
        </is>
      </c>
      <c r="L496" s="16" t="inlineStr">
        <is>
          <t>Tinggi</t>
        </is>
      </c>
      <c r="M496" s="29" t="inlineStr"/>
      <c r="N496" s="17" t="n"/>
      <c r="O496" s="17" t="n"/>
      <c r="P496" s="17" t="n"/>
      <c r="Q496" s="17" t="n"/>
      <c r="R496" s="17" t="n"/>
    </row>
    <row r="497" ht="122.8" customHeight="1">
      <c r="A497" s="25" t="n">
        <v>493</v>
      </c>
      <c r="B497" s="26" t="n">
        <v>2</v>
      </c>
      <c r="C497" s="27" t="inlineStr">
        <is>
          <t>MB-PRV-06 / Process Quality Control</t>
        </is>
      </c>
      <c r="D497" s="27" t="inlineStr">
        <is>
          <t>MB-PRV-06</t>
        </is>
      </c>
      <c r="E497" s="28" t="inlineStr">
        <is>
          <t>Process Quality Control</t>
        </is>
      </c>
      <c r="F497" s="29" t="inlineStr">
        <is>
          <t>Mobile — Operasional Stasiun (MB-)</t>
        </is>
      </c>
      <c r="G497" s="28" t="inlineStr">
        <is>
          <t>Detail menampilkan persis baris yang tersimpan</t>
        </is>
      </c>
      <c r="H497" s="29" t="inlineStr">
        <is>
          <t>OPR-A</t>
        </is>
      </c>
      <c r="I497" s="29" t="inlineStr">
        <is>
          <t>record dengan 3 baris slot waktu</t>
        </is>
      </c>
      <c r="J497" s="29" t="inlineStr">
        <is>
          <t>1. Siapkan satu record dengan tepat 3 baris slot waktu terisi.
2. Login di mobile, buka Monitor Process Quality Control, lalu tekan Load Data (/stations/process-quality-control/preview), buka record itu.
3. Hitung jumlah baris pada grid detailnya.
4. Cocokkan slot waktu dan nilai tiap baris dengan yang disimpan.</t>
        </is>
      </c>
      <c r="K497" s="29" t="inlineStr">
        <is>
          <t>- Grid menampilkan tepat 3 baris — bukan 24, bukan dipadatkan menjadi 1.
- Slot waktu dan nilainya sama dengan yang disimpan.
- Tidak ada baris kosong tambahan yang digambar untuk mengisi sampai 24.</t>
        </is>
      </c>
      <c r="L497" s="16" t="inlineStr">
        <is>
          <t>Tinggi</t>
        </is>
      </c>
      <c r="M497" s="29" t="inlineStr"/>
      <c r="N497" s="17" t="n"/>
      <c r="O497" s="17" t="n"/>
      <c r="P497" s="17" t="n"/>
      <c r="Q497" s="17" t="n"/>
      <c r="R497" s="17" t="n"/>
    </row>
    <row r="498" ht="109.6" customHeight="1">
      <c r="A498" s="11" t="n">
        <v>494</v>
      </c>
      <c r="B498" s="12" t="n">
        <v>1</v>
      </c>
      <c r="C498" s="13" t="inlineStr">
        <is>
          <t>MB-PRV-07 / Depricarping</t>
        </is>
      </c>
      <c r="D498" s="13" t="inlineStr">
        <is>
          <t>MB-PRV-07</t>
        </is>
      </c>
      <c r="E498" s="15" t="inlineStr">
        <is>
          <t>Depricarping</t>
        </is>
      </c>
      <c r="F498" s="14" t="inlineStr">
        <is>
          <t>Mobile — Operasional Stasiun (MB-)</t>
        </is>
      </c>
      <c r="G498" s="15" t="inlineStr">
        <is>
          <t>Checked By / Acknowledged By terlihat oleh semua peran</t>
        </is>
      </c>
      <c r="H498" s="14" t="inlineStr">
        <is>
          <t>OPR-A</t>
        </is>
      </c>
      <c r="I498" s="14" t="inlineStr">
        <is>
          <t>record yang sudah di-Checked Supervisor</t>
        </is>
      </c>
      <c r="J498" s="14" t="inlineStr">
        <is>
          <t>1. Siapkan satu record yang sudah di-Checked oleh SPV-A.
2. Login di mobile, buka Monitor Depricarping, lalu tekan Load Data (/stations/depricarping/preview) sebagai OPR-A, buka record itu.
3. Cari baris Checked By dan Acknowledged By pada header detail.
4. Ulangi sebagai SPV-A, lalu MGR-A.</t>
        </is>
      </c>
      <c r="K498" s="14" t="inlineStr">
        <is>
          <t>- Ketiga peran melihat nama pada Checked By.
- Acknowledged By yang belum terisi tampil sebagai tanda pisah atau keterangan, bukan angka 0 dan bukan kosong tanpa label.
- Melihat tidak sama dengan mengisi: Operator tetap tidak dapat mengubahnya.</t>
        </is>
      </c>
      <c r="L498" s="11" t="inlineStr">
        <is>
          <t>Sedang</t>
        </is>
      </c>
      <c r="M498" s="14" t="inlineStr"/>
      <c r="N498" s="17" t="n"/>
      <c r="O498" s="17" t="n"/>
      <c r="P498" s="17" t="n"/>
      <c r="Q498" s="17" t="n"/>
      <c r="R498" s="17" t="n"/>
    </row>
    <row r="499" ht="109.6" customHeight="1">
      <c r="A499" s="22" t="n">
        <v>495</v>
      </c>
      <c r="B499" s="22" t="n">
        <v>3</v>
      </c>
      <c r="C499" s="23" t="inlineStr">
        <is>
          <t>MB-PRV-07 / Weighbridge</t>
        </is>
      </c>
      <c r="D499" s="23" t="inlineStr">
        <is>
          <t>MB-PRV-07</t>
        </is>
      </c>
      <c r="E499" s="24" t="inlineStr">
        <is>
          <t>Weighbridge</t>
        </is>
      </c>
      <c r="F499" s="5" t="inlineStr">
        <is>
          <t>Mobile — Operasional Stasiun (MB-)</t>
        </is>
      </c>
      <c r="G499" s="24" t="inlineStr">
        <is>
          <t>Checked By / Acknowledged By terlihat oleh semua peran</t>
        </is>
      </c>
      <c r="H499" s="5" t="inlineStr">
        <is>
          <t>OPR-A</t>
        </is>
      </c>
      <c r="I499" s="5" t="inlineStr">
        <is>
          <t>record yang sudah di-Checked Supervisor</t>
        </is>
      </c>
      <c r="J499" s="5" t="inlineStr">
        <is>
          <t>1. Siapkan satu record yang sudah di-Checked oleh SPV-A.
2. Login di mobile, buka Monitor Weighbridge, lalu tekan Load Data (/stations/weighbridge/preview) sebagai OPR-A, buka record itu.
3. Cari baris Checked By dan Acknowledged By pada header detail.
4. Ulangi sebagai SPV-A, lalu MGR-A.</t>
        </is>
      </c>
      <c r="K499" s="5" t="inlineStr">
        <is>
          <t>- Ketiga peran melihat nama pada Checked By.
- Acknowledged By yang belum terisi tampil sebagai tanda pisah atau keterangan, bukan angka 0 dan bukan kosong tanpa label.
- Melihat tidak sama dengan mengisi: Operator tetap tidak dapat mengubahnya.</t>
        </is>
      </c>
      <c r="L499" s="22" t="inlineStr">
        <is>
          <t>Sedang</t>
        </is>
      </c>
      <c r="M499" s="5" t="inlineStr"/>
      <c r="N499" s="17" t="n"/>
      <c r="O499" s="17" t="n"/>
      <c r="P499" s="17" t="n"/>
      <c r="Q499" s="17" t="n"/>
      <c r="R499" s="17" t="n"/>
    </row>
    <row r="500" ht="122.8" customHeight="1">
      <c r="A500" s="18" t="n">
        <v>496</v>
      </c>
      <c r="B500" s="18" t="n">
        <v>3</v>
      </c>
      <c r="C500" s="19" t="inlineStr">
        <is>
          <t>MB-PRV-07 / Effluent Plant</t>
        </is>
      </c>
      <c r="D500" s="19" t="inlineStr">
        <is>
          <t>MB-PRV-07</t>
        </is>
      </c>
      <c r="E500" s="20" t="inlineStr">
        <is>
          <t>Effluent Plant</t>
        </is>
      </c>
      <c r="F500" s="21" t="inlineStr">
        <is>
          <t>Mobile — Operasional Stasiun (MB-)</t>
        </is>
      </c>
      <c r="G500" s="20" t="inlineStr">
        <is>
          <t>Checked By / Acknowledged By terlihat oleh semua peran</t>
        </is>
      </c>
      <c r="H500" s="21" t="inlineStr">
        <is>
          <t>OPR-A</t>
        </is>
      </c>
      <c r="I500" s="21" t="inlineStr">
        <is>
          <t>record yang sudah di-Checked Supervisor</t>
        </is>
      </c>
      <c r="J500" s="21" t="inlineStr">
        <is>
          <t>1. Siapkan satu record yang sudah di-Checked oleh SPV-A.
2. Login di mobile, buka Monitor Effluent Plant, lalu tekan Load Data (/stations/effluent-plant/preview) sebagai OPR-A, buka record itu.
3. Cari baris Checked By dan Acknowledged By pada header detail.
4. Ulangi sebagai SPV-A, lalu MGR-A.</t>
        </is>
      </c>
      <c r="K500" s="21" t="inlineStr">
        <is>
          <t>- Ketiga peran melihat nama pada Checked By.
- Acknowledged By yang belum terisi tampil sebagai tanda pisah atau keterangan, bukan angka 0 dan bukan kosong tanpa label.
- Melihat tidak sama dengan mengisi: Operator tetap tidak dapat mengubahnya.</t>
        </is>
      </c>
      <c r="L500" s="18" t="inlineStr">
        <is>
          <t>Sedang</t>
        </is>
      </c>
      <c r="M500" s="21" t="inlineStr"/>
      <c r="N500" s="17" t="n"/>
      <c r="O500" s="17" t="n"/>
      <c r="P500" s="17" t="n"/>
      <c r="Q500" s="17" t="n"/>
      <c r="R500" s="17" t="n"/>
    </row>
    <row r="501" ht="122.8" customHeight="1">
      <c r="A501" s="11" t="n">
        <v>497</v>
      </c>
      <c r="B501" s="12" t="n">
        <v>1</v>
      </c>
      <c r="C501" s="13" t="inlineStr">
        <is>
          <t>MB-PRV-08 / Depricarping</t>
        </is>
      </c>
      <c r="D501" s="13" t="inlineStr">
        <is>
          <t>MB-PRV-08</t>
        </is>
      </c>
      <c r="E501" s="15" t="inlineStr">
        <is>
          <t>Depricarping</t>
        </is>
      </c>
      <c r="F501" s="14" t="inlineStr">
        <is>
          <t>Mobile — Operasional Stasiun (MB-)</t>
        </is>
      </c>
      <c r="G501" s="15" t="inlineStr">
        <is>
          <t>Reset Filter memulihkan keadaan awal</t>
        </is>
      </c>
      <c r="H501" s="14" t="inlineStr">
        <is>
          <t>OPR-A</t>
        </is>
      </c>
      <c r="I501" s="14" t="inlineStr">
        <is>
          <t>—</t>
        </is>
      </c>
      <c r="J501" s="14" t="inlineStr">
        <is>
          <t>1. Login di mobile, buka Monitor Depricarping, lalu tekan Load Data (/stations/depricarping/preview). Catat keadaan awal: isi filter Tanggal dan jumlah baris.
2. Ubah filter Tanggal, dan ketik satu kata kunci pada kolom Cari.
3. Perhatikan apakah tombol Reset Filter muncul.
4. Tekan Reset Filter.</t>
        </is>
      </c>
      <c r="K501" s="14" t="inlineStr">
        <is>
          <t>- Tombol Reset Filter muncul hanya ketika ada filter aktif.
- Sesudah ditekan: filter Tanggal kembali ke hari ini, kolom Cari kosong.
- Jumlah baris kembali sama dengan keadaan awal langkah 1.</t>
        </is>
      </c>
      <c r="L501" s="11" t="inlineStr">
        <is>
          <t>Rendah</t>
        </is>
      </c>
      <c r="M501" s="14" t="inlineStr"/>
      <c r="N501" s="17" t="n"/>
      <c r="O501" s="17" t="n"/>
      <c r="P501" s="17" t="n"/>
      <c r="Q501" s="17" t="n"/>
      <c r="R501" s="17" t="n"/>
    </row>
    <row r="502" ht="122.8" customHeight="1">
      <c r="A502" s="18" t="n">
        <v>498</v>
      </c>
      <c r="B502" s="18" t="n">
        <v>3</v>
      </c>
      <c r="C502" s="19" t="inlineStr">
        <is>
          <t>MB-PRV-08 / Weighbridge</t>
        </is>
      </c>
      <c r="D502" s="19" t="inlineStr">
        <is>
          <t>MB-PRV-08</t>
        </is>
      </c>
      <c r="E502" s="20" t="inlineStr">
        <is>
          <t>Weighbridge</t>
        </is>
      </c>
      <c r="F502" s="21" t="inlineStr">
        <is>
          <t>Mobile — Operasional Stasiun (MB-)</t>
        </is>
      </c>
      <c r="G502" s="20" t="inlineStr">
        <is>
          <t>Reset Filter memulihkan keadaan awal</t>
        </is>
      </c>
      <c r="H502" s="21" t="inlineStr">
        <is>
          <t>OPR-A</t>
        </is>
      </c>
      <c r="I502" s="21" t="inlineStr">
        <is>
          <t>—</t>
        </is>
      </c>
      <c r="J502" s="21" t="inlineStr">
        <is>
          <t>1. Login di mobile, buka Monitor Weighbridge, lalu tekan Load Data (/stations/weighbridge/preview). Catat keadaan awal: isi filter Tanggal dan jumlah baris.
2. Ubah filter Tanggal, dan ketik satu kata kunci pada kolom Cari.
3. Perhatikan apakah tombol Reset Filter muncul.
4. Tekan Reset Filter.</t>
        </is>
      </c>
      <c r="K502" s="21" t="inlineStr">
        <is>
          <t>- Tombol Reset Filter muncul hanya ketika ada filter aktif.
- Sesudah ditekan: filter Tanggal kembali ke hari ini, kolom Cari kosong.
- Jumlah baris kembali sama dengan keadaan awal langkah 1.</t>
        </is>
      </c>
      <c r="L502" s="18" t="inlineStr">
        <is>
          <t>Rendah</t>
        </is>
      </c>
      <c r="M502" s="21" t="inlineStr"/>
      <c r="N502" s="17" t="n"/>
      <c r="O502" s="17" t="n"/>
      <c r="P502" s="17" t="n"/>
      <c r="Q502" s="17" t="n"/>
      <c r="R502" s="17" t="n"/>
    </row>
    <row r="503" ht="122.8" customHeight="1">
      <c r="A503" s="22" t="n">
        <v>499</v>
      </c>
      <c r="B503" s="22" t="n">
        <v>3</v>
      </c>
      <c r="C503" s="23" t="inlineStr">
        <is>
          <t>MB-PRV-08 / Effluent Plant</t>
        </is>
      </c>
      <c r="D503" s="23" t="inlineStr">
        <is>
          <t>MB-PRV-08</t>
        </is>
      </c>
      <c r="E503" s="24" t="inlineStr">
        <is>
          <t>Effluent Plant</t>
        </is>
      </c>
      <c r="F503" s="5" t="inlineStr">
        <is>
          <t>Mobile — Operasional Stasiun (MB-)</t>
        </is>
      </c>
      <c r="G503" s="24" t="inlineStr">
        <is>
          <t>Reset Filter memulihkan keadaan awal</t>
        </is>
      </c>
      <c r="H503" s="5" t="inlineStr">
        <is>
          <t>OPR-A</t>
        </is>
      </c>
      <c r="I503" s="5" t="inlineStr">
        <is>
          <t>—</t>
        </is>
      </c>
      <c r="J503" s="5" t="inlineStr">
        <is>
          <t>1. Login di mobile, buka Monitor Effluent Plant, lalu tekan Load Data (/stations/effluent-plant/preview). Catat keadaan awal: isi filter Tanggal dan jumlah baris.
2. Ubah filter Tanggal, dan ketik satu kata kunci pada kolom Cari.
3. Perhatikan apakah tombol Reset Filter muncul.
4. Tekan Reset Filter.</t>
        </is>
      </c>
      <c r="K503" s="5" t="inlineStr">
        <is>
          <t>- Tombol Reset Filter muncul hanya ketika ada filter aktif.
- Sesudah ditekan: filter Tanggal kembali ke hari ini, kolom Cari kosong.
- Jumlah baris kembali sama dengan keadaan awal langkah 1.</t>
        </is>
      </c>
      <c r="L503" s="22" t="inlineStr">
        <is>
          <t>Rendah</t>
        </is>
      </c>
      <c r="M503" s="5" t="inlineStr"/>
      <c r="N503" s="17" t="n"/>
      <c r="O503" s="17" t="n"/>
      <c r="P503" s="17" t="n"/>
      <c r="Q503" s="17" t="n"/>
      <c r="R503" s="17" t="n"/>
    </row>
    <row r="504" ht="122.8" customHeight="1">
      <c r="A504" s="18" t="n">
        <v>500</v>
      </c>
      <c r="B504" s="18" t="n">
        <v>3</v>
      </c>
      <c r="C504" s="19" t="inlineStr">
        <is>
          <t>WB-BRW-01 / Weighbridge</t>
        </is>
      </c>
      <c r="D504" s="19" t="inlineStr">
        <is>
          <t>WB-BRW-01</t>
        </is>
      </c>
      <c r="E504" s="20" t="inlineStr">
        <is>
          <t>Weighbridge</t>
        </is>
      </c>
      <c r="F504" s="21" t="inlineStr">
        <is>
          <t>Web — Data Stasiun (WB-)</t>
        </is>
      </c>
      <c r="G504" s="20" t="inlineStr">
        <is>
          <t>Daftar tampil dengan filter tanggal dan kolom status berbahasa Indonesia</t>
        </is>
      </c>
      <c r="H504" s="21" t="inlineStr">
        <is>
          <t>SPV-A</t>
        </is>
      </c>
      <c r="I504" s="21" t="inlineStr">
        <is>
          <t>ada record dengan status berbeda-beda</t>
        </is>
      </c>
      <c r="J504" s="21" t="inlineStr">
        <is>
          <t>1. Siapkan untuk stasiun ini record dengan status berbeda-beda: Draft, Dijeda, Tersimpan, Tersinkron.
2. Login di web, lalu sidebar &gt; Data &gt; Weighbridge (/data/weighbridge) sebagai SPV-A.
3. Baca judul setiap kolom tabel.
4. Baca isi kolom Status pada setiap baris.
5. Periksa panel filter: apakah ada kolom tanggal dari dan sampai?</t>
        </is>
      </c>
      <c r="K504" s="21"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04" s="16" t="inlineStr">
        <is>
          <t>Tinggi</t>
        </is>
      </c>
      <c r="M504" s="21" t="inlineStr"/>
      <c r="N504" s="17" t="n"/>
      <c r="O504" s="17" t="n"/>
      <c r="P504" s="17" t="n"/>
      <c r="Q504" s="17" t="n"/>
      <c r="R504" s="17" t="n"/>
    </row>
    <row r="505" ht="122.8" customHeight="1">
      <c r="A505" s="22" t="n">
        <v>501</v>
      </c>
      <c r="B505" s="22" t="n">
        <v>3</v>
      </c>
      <c r="C505" s="23" t="inlineStr">
        <is>
          <t>WB-BRW-01 / Grading</t>
        </is>
      </c>
      <c r="D505" s="23" t="inlineStr">
        <is>
          <t>WB-BRW-01</t>
        </is>
      </c>
      <c r="E505" s="24" t="inlineStr">
        <is>
          <t>Grading</t>
        </is>
      </c>
      <c r="F505" s="5" t="inlineStr">
        <is>
          <t>Web — Data Stasiun (WB-)</t>
        </is>
      </c>
      <c r="G505" s="24" t="inlineStr">
        <is>
          <t>Daftar tampil dengan filter tanggal dan kolom status berbahasa Indonesia</t>
        </is>
      </c>
      <c r="H505" s="5" t="inlineStr">
        <is>
          <t>SPV-A</t>
        </is>
      </c>
      <c r="I505" s="5" t="inlineStr">
        <is>
          <t>ada record dengan status berbeda-beda</t>
        </is>
      </c>
      <c r="J505" s="5" t="inlineStr">
        <is>
          <t>1. Siapkan untuk stasiun ini record dengan status berbeda-beda: Draft, Dijeda, Tersimpan, Tersinkron.
2. Login di web, lalu sidebar &gt; Data &gt; Grading (/data/grading) sebagai SPV-A.
3. Baca judul setiap kolom tabel.
4. Baca isi kolom Status pada setiap baris.
5. Periksa panel filter: apakah ada kolom tanggal dari dan sampai?</t>
        </is>
      </c>
      <c r="K505"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05" s="16" t="inlineStr">
        <is>
          <t>Tinggi</t>
        </is>
      </c>
      <c r="M505" s="5" t="inlineStr"/>
      <c r="N505" s="17" t="n"/>
      <c r="O505" s="17" t="n"/>
      <c r="P505" s="17" t="n"/>
      <c r="Q505" s="17" t="n"/>
      <c r="R505" s="17" t="n"/>
    </row>
    <row r="506" ht="122.8" customHeight="1">
      <c r="A506" s="18" t="n">
        <v>502</v>
      </c>
      <c r="B506" s="18" t="n">
        <v>3</v>
      </c>
      <c r="C506" s="19" t="inlineStr">
        <is>
          <t>WB-BRW-01 / Cages Track</t>
        </is>
      </c>
      <c r="D506" s="19" t="inlineStr">
        <is>
          <t>WB-BRW-01</t>
        </is>
      </c>
      <c r="E506" s="20" t="inlineStr">
        <is>
          <t>Cages Track</t>
        </is>
      </c>
      <c r="F506" s="21" t="inlineStr">
        <is>
          <t>Web — Data Stasiun (WB-)</t>
        </is>
      </c>
      <c r="G506" s="20" t="inlineStr">
        <is>
          <t>Daftar tampil dengan filter tanggal dan kolom status berbahasa Indonesia</t>
        </is>
      </c>
      <c r="H506" s="21" t="inlineStr">
        <is>
          <t>SPV-A</t>
        </is>
      </c>
      <c r="I506" s="21" t="inlineStr">
        <is>
          <t>ada record dengan status berbeda-beda</t>
        </is>
      </c>
      <c r="J506" s="21" t="inlineStr">
        <is>
          <t>1. Siapkan untuk stasiun ini record dengan status berbeda-beda: Draft, Dijeda, Tersimpan, Tersinkron.
2. Login di web, lalu sidebar &gt; Data &gt; Cages Track (/data/cages-track) sebagai SPV-A.
3. Baca judul setiap kolom tabel.
4. Baca isi kolom Status pada setiap baris.
5. Periksa panel filter: apakah ada kolom tanggal dari dan sampai?</t>
        </is>
      </c>
      <c r="K506" s="21"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06" s="16" t="inlineStr">
        <is>
          <t>Tinggi</t>
        </is>
      </c>
      <c r="M506" s="21" t="inlineStr"/>
      <c r="N506" s="17" t="n"/>
      <c r="O506" s="17" t="n"/>
      <c r="P506" s="17" t="n"/>
      <c r="Q506" s="17" t="n"/>
      <c r="R506" s="17" t="n"/>
    </row>
    <row r="507" ht="122.8" customHeight="1">
      <c r="A507" s="22" t="n">
        <v>503</v>
      </c>
      <c r="B507" s="22" t="n">
        <v>3</v>
      </c>
      <c r="C507" s="23" t="inlineStr">
        <is>
          <t>WB-BRW-01 / Sterilizer</t>
        </is>
      </c>
      <c r="D507" s="23" t="inlineStr">
        <is>
          <t>WB-BRW-01</t>
        </is>
      </c>
      <c r="E507" s="24" t="inlineStr">
        <is>
          <t>Sterilizer</t>
        </is>
      </c>
      <c r="F507" s="5" t="inlineStr">
        <is>
          <t>Web — Data Stasiun (WB-)</t>
        </is>
      </c>
      <c r="G507" s="24" t="inlineStr">
        <is>
          <t>Daftar tampil dengan filter tanggal dan kolom status berbahasa Indonesia</t>
        </is>
      </c>
      <c r="H507" s="5" t="inlineStr">
        <is>
          <t>SPV-A</t>
        </is>
      </c>
      <c r="I507" s="5" t="inlineStr">
        <is>
          <t>ada record dengan status berbeda-beda</t>
        </is>
      </c>
      <c r="J507" s="5" t="inlineStr">
        <is>
          <t>1. Siapkan untuk stasiun ini record dengan status berbeda-beda: Draft, Dijeda, Tersimpan, Tersinkron.
2. Login di web, lalu sidebar &gt; Data &gt; Sterilizer (/data/sterilizer) sebagai SPV-A.
3. Baca judul setiap kolom tabel.
4. Baca isi kolom Status pada setiap baris.
5. Periksa panel filter: apakah ada kolom tanggal dari dan sampai?</t>
        </is>
      </c>
      <c r="K507"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07" s="16" t="inlineStr">
        <is>
          <t>Tinggi</t>
        </is>
      </c>
      <c r="M507" s="5" t="inlineStr"/>
      <c r="N507" s="17" t="n"/>
      <c r="O507" s="17" t="n"/>
      <c r="P507" s="17" t="n"/>
      <c r="Q507" s="17" t="n"/>
      <c r="R507" s="17" t="n"/>
    </row>
    <row r="508" ht="122.8" customHeight="1">
      <c r="A508" s="18" t="n">
        <v>504</v>
      </c>
      <c r="B508" s="18" t="n">
        <v>3</v>
      </c>
      <c r="C508" s="19" t="inlineStr">
        <is>
          <t>WB-BRW-01 / Threshing</t>
        </is>
      </c>
      <c r="D508" s="19" t="inlineStr">
        <is>
          <t>WB-BRW-01</t>
        </is>
      </c>
      <c r="E508" s="20" t="inlineStr">
        <is>
          <t>Threshing</t>
        </is>
      </c>
      <c r="F508" s="21" t="inlineStr">
        <is>
          <t>Web — Data Stasiun (WB-)</t>
        </is>
      </c>
      <c r="G508" s="20" t="inlineStr">
        <is>
          <t>Daftar tampil dengan filter tanggal dan kolom status berbahasa Indonesia</t>
        </is>
      </c>
      <c r="H508" s="21" t="inlineStr">
        <is>
          <t>SPV-A</t>
        </is>
      </c>
      <c r="I508" s="21" t="inlineStr">
        <is>
          <t>ada record dengan status berbeda-beda</t>
        </is>
      </c>
      <c r="J508" s="21" t="inlineStr">
        <is>
          <t>1. Siapkan untuk stasiun ini record dengan status berbeda-beda: Draft, Dijeda, Tersimpan, Tersinkron.
2. Login di web, lalu sidebar &gt; Data &gt; Threshing (/data/threshing) sebagai SPV-A.
3. Baca judul setiap kolom tabel.
4. Baca isi kolom Status pada setiap baris.
5. Periksa panel filter: apakah ada kolom tanggal dari dan sampai?</t>
        </is>
      </c>
      <c r="K508" s="21"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08" s="16" t="inlineStr">
        <is>
          <t>Tinggi</t>
        </is>
      </c>
      <c r="M508" s="21" t="inlineStr"/>
      <c r="N508" s="17" t="n"/>
      <c r="O508" s="17" t="n"/>
      <c r="P508" s="17" t="n"/>
      <c r="Q508" s="17" t="n"/>
      <c r="R508" s="17" t="n"/>
    </row>
    <row r="509" ht="122.8" customHeight="1">
      <c r="A509" s="22" t="n">
        <v>505</v>
      </c>
      <c r="B509" s="22" t="n">
        <v>3</v>
      </c>
      <c r="C509" s="23" t="inlineStr">
        <is>
          <t>WB-BRW-01 / Pressing</t>
        </is>
      </c>
      <c r="D509" s="23" t="inlineStr">
        <is>
          <t>WB-BRW-01</t>
        </is>
      </c>
      <c r="E509" s="24" t="inlineStr">
        <is>
          <t>Pressing</t>
        </is>
      </c>
      <c r="F509" s="5" t="inlineStr">
        <is>
          <t>Web — Data Stasiun (WB-)</t>
        </is>
      </c>
      <c r="G509" s="24" t="inlineStr">
        <is>
          <t>Daftar tampil dengan filter tanggal dan kolom status berbahasa Indonesia</t>
        </is>
      </c>
      <c r="H509" s="5" t="inlineStr">
        <is>
          <t>SPV-A</t>
        </is>
      </c>
      <c r="I509" s="5" t="inlineStr">
        <is>
          <t>ada record dengan status berbeda-beda</t>
        </is>
      </c>
      <c r="J509" s="5" t="inlineStr">
        <is>
          <t>1. Siapkan untuk stasiun ini record dengan status berbeda-beda: Draft, Dijeda, Tersimpan, Tersinkron.
2. Login di web, lalu sidebar &gt; Data &gt; Pressing (/data/pressing) sebagai SPV-A.
3. Baca judul setiap kolom tabel.
4. Baca isi kolom Status pada setiap baris.
5. Periksa panel filter: apakah ada kolom tanggal dari dan sampai?</t>
        </is>
      </c>
      <c r="K509"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09" s="16" t="inlineStr">
        <is>
          <t>Tinggi</t>
        </is>
      </c>
      <c r="M509" s="5" t="inlineStr"/>
      <c r="N509" s="17" t="n"/>
      <c r="O509" s="17" t="n"/>
      <c r="P509" s="17" t="n"/>
      <c r="Q509" s="17" t="n"/>
      <c r="R509" s="17" t="n"/>
    </row>
    <row r="510" ht="136" customHeight="1">
      <c r="A510" s="18" t="n">
        <v>506</v>
      </c>
      <c r="B510" s="18" t="n">
        <v>3</v>
      </c>
      <c r="C510" s="19" t="inlineStr">
        <is>
          <t>WB-BRW-01 / Clarification</t>
        </is>
      </c>
      <c r="D510" s="19" t="inlineStr">
        <is>
          <t>WB-BRW-01</t>
        </is>
      </c>
      <c r="E510" s="20" t="inlineStr">
        <is>
          <t>Clarification</t>
        </is>
      </c>
      <c r="F510" s="21" t="inlineStr">
        <is>
          <t>Web — Data Stasiun (WB-)</t>
        </is>
      </c>
      <c r="G510" s="20" t="inlineStr">
        <is>
          <t>Daftar tampil dengan filter tanggal dan kolom status berbahasa Indonesia</t>
        </is>
      </c>
      <c r="H510" s="21" t="inlineStr">
        <is>
          <t>SPV-A</t>
        </is>
      </c>
      <c r="I510" s="21" t="inlineStr">
        <is>
          <t>ada record dengan status berbeda-beda</t>
        </is>
      </c>
      <c r="J510" s="21" t="inlineStr">
        <is>
          <t>1. Siapkan untuk stasiun ini record dengan status berbeda-beda: Draft, Dijeda, Tersimpan, Tersinkron.
2. Login di web, lalu sidebar &gt; Data &gt; Clarification (/data/clarification) sebagai SPV-A.
3. Baca judul setiap kolom tabel.
4. Baca isi kolom Status pada setiap baris.
5. Periksa panel filter: apakah ada kolom tanggal dari dan sampai?</t>
        </is>
      </c>
      <c r="K510" s="21"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10" s="16" t="inlineStr">
        <is>
          <t>Tinggi</t>
        </is>
      </c>
      <c r="M510" s="21" t="inlineStr"/>
      <c r="N510" s="17" t="n"/>
      <c r="O510" s="17" t="n"/>
      <c r="P510" s="17" t="n"/>
      <c r="Q510" s="17" t="n"/>
      <c r="R510" s="17" t="n"/>
    </row>
    <row r="511" ht="122.8" customHeight="1">
      <c r="A511" s="22" t="n">
        <v>507</v>
      </c>
      <c r="B511" s="22" t="n">
        <v>3</v>
      </c>
      <c r="C511" s="23" t="inlineStr">
        <is>
          <t>WB-BRW-01 / Kernel Plant</t>
        </is>
      </c>
      <c r="D511" s="23" t="inlineStr">
        <is>
          <t>WB-BRW-01</t>
        </is>
      </c>
      <c r="E511" s="24" t="inlineStr">
        <is>
          <t>Kernel Plant</t>
        </is>
      </c>
      <c r="F511" s="5" t="inlineStr">
        <is>
          <t>Web — Data Stasiun (WB-)</t>
        </is>
      </c>
      <c r="G511" s="24" t="inlineStr">
        <is>
          <t>Daftar tampil dengan filter tanggal dan kolom status berbahasa Indonesia</t>
        </is>
      </c>
      <c r="H511" s="5" t="inlineStr">
        <is>
          <t>SPV-A</t>
        </is>
      </c>
      <c r="I511" s="5" t="inlineStr">
        <is>
          <t>ada record dengan status berbeda-beda</t>
        </is>
      </c>
      <c r="J511" s="5" t="inlineStr">
        <is>
          <t>1. Siapkan untuk stasiun ini record dengan status berbeda-beda: Draft, Dijeda, Tersimpan, Tersinkron.
2. Login di web, lalu sidebar &gt; Data &gt; Kernel Plant (/data/kernel-plant) sebagai SPV-A.
3. Baca judul setiap kolom tabel.
4. Baca isi kolom Status pada setiap baris.
5. Periksa panel filter: apakah ada kolom tanggal dari dan sampai?</t>
        </is>
      </c>
      <c r="K511"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11" s="16" t="inlineStr">
        <is>
          <t>Tinggi</t>
        </is>
      </c>
      <c r="M511" s="5" t="inlineStr"/>
      <c r="N511" s="17" t="n"/>
      <c r="O511" s="17" t="n"/>
      <c r="P511" s="17" t="n"/>
      <c r="Q511" s="17" t="n"/>
      <c r="R511" s="17" t="n"/>
    </row>
    <row r="512" ht="122.8" customHeight="1">
      <c r="A512" s="18" t="n">
        <v>508</v>
      </c>
      <c r="B512" s="18" t="n">
        <v>3</v>
      </c>
      <c r="C512" s="19" t="inlineStr">
        <is>
          <t>WB-BRW-01 / Boiler Room</t>
        </is>
      </c>
      <c r="D512" s="19" t="inlineStr">
        <is>
          <t>WB-BRW-01</t>
        </is>
      </c>
      <c r="E512" s="20" t="inlineStr">
        <is>
          <t>Boiler Room</t>
        </is>
      </c>
      <c r="F512" s="21" t="inlineStr">
        <is>
          <t>Web — Data Stasiun (WB-)</t>
        </is>
      </c>
      <c r="G512" s="20" t="inlineStr">
        <is>
          <t>Daftar tampil dengan filter tanggal dan kolom status berbahasa Indonesia</t>
        </is>
      </c>
      <c r="H512" s="21" t="inlineStr">
        <is>
          <t>SPV-A</t>
        </is>
      </c>
      <c r="I512" s="21" t="inlineStr">
        <is>
          <t>ada record dengan status berbeda-beda</t>
        </is>
      </c>
      <c r="J512" s="21" t="inlineStr">
        <is>
          <t>1. Siapkan untuk stasiun ini record dengan status berbeda-beda: Draft, Dijeda, Tersimpan, Tersinkron.
2. Login di web, lalu sidebar &gt; Data &gt; Boiler Room (/data/boiler-room) sebagai SPV-A.
3. Baca judul setiap kolom tabel.
4. Baca isi kolom Status pada setiap baris.
5. Periksa panel filter: apakah ada kolom tanggal dari dan sampai?</t>
        </is>
      </c>
      <c r="K512" s="21"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12" s="16" t="inlineStr">
        <is>
          <t>Tinggi</t>
        </is>
      </c>
      <c r="M512" s="21" t="inlineStr"/>
      <c r="N512" s="17" t="n"/>
      <c r="O512" s="17" t="n"/>
      <c r="P512" s="17" t="n"/>
      <c r="Q512" s="17" t="n"/>
      <c r="R512" s="17" t="n"/>
    </row>
    <row r="513" ht="136" customHeight="1">
      <c r="A513" s="22" t="n">
        <v>509</v>
      </c>
      <c r="B513" s="22" t="n">
        <v>3</v>
      </c>
      <c r="C513" s="23" t="inlineStr">
        <is>
          <t>WB-BRW-01 / Effluent Plant</t>
        </is>
      </c>
      <c r="D513" s="23" t="inlineStr">
        <is>
          <t>WB-BRW-01</t>
        </is>
      </c>
      <c r="E513" s="24" t="inlineStr">
        <is>
          <t>Effluent Plant</t>
        </is>
      </c>
      <c r="F513" s="5" t="inlineStr">
        <is>
          <t>Web — Data Stasiun (WB-)</t>
        </is>
      </c>
      <c r="G513" s="24" t="inlineStr">
        <is>
          <t>Daftar tampil dengan filter tanggal dan kolom status berbahasa Indonesia</t>
        </is>
      </c>
      <c r="H513" s="5" t="inlineStr">
        <is>
          <t>SPV-A</t>
        </is>
      </c>
      <c r="I513" s="5" t="inlineStr">
        <is>
          <t>ada record dengan status berbeda-beda</t>
        </is>
      </c>
      <c r="J513" s="5" t="inlineStr">
        <is>
          <t>1. Siapkan untuk stasiun ini record dengan status berbeda-beda: Draft, Dijeda, Tersimpan, Tersinkron.
2. Login di web, lalu sidebar &gt; Data &gt; Effluent Plant (/data/effluent-plant) sebagai SPV-A.
3. Baca judul setiap kolom tabel.
4. Baca isi kolom Status pada setiap baris.
5. Periksa panel filter: apakah ada kolom tanggal dari dan sampai?</t>
        </is>
      </c>
      <c r="K513"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13" s="16" t="inlineStr">
        <is>
          <t>Tinggi</t>
        </is>
      </c>
      <c r="M513" s="5" t="inlineStr"/>
      <c r="N513" s="17" t="n"/>
      <c r="O513" s="17" t="n"/>
      <c r="P513" s="17" t="n"/>
      <c r="Q513" s="17" t="n"/>
      <c r="R513" s="17" t="n"/>
    </row>
    <row r="514" ht="122.8" customHeight="1">
      <c r="A514" s="11" t="n">
        <v>510</v>
      </c>
      <c r="B514" s="12" t="n">
        <v>1</v>
      </c>
      <c r="C514" s="13" t="inlineStr">
        <is>
          <t>WB-BRW-01 / Depricarping</t>
        </is>
      </c>
      <c r="D514" s="13" t="inlineStr">
        <is>
          <t>WB-BRW-01</t>
        </is>
      </c>
      <c r="E514" s="15" t="inlineStr">
        <is>
          <t>Depricarping</t>
        </is>
      </c>
      <c r="F514" s="14" t="inlineStr">
        <is>
          <t>Web — Data Stasiun (WB-)</t>
        </is>
      </c>
      <c r="G514" s="15" t="inlineStr">
        <is>
          <t>Daftar tampil dengan filter tanggal dan kolom status berbahasa Indonesia</t>
        </is>
      </c>
      <c r="H514" s="14" t="inlineStr">
        <is>
          <t>SPV-A</t>
        </is>
      </c>
      <c r="I514" s="14" t="inlineStr">
        <is>
          <t>ada record dengan status berbeda-beda</t>
        </is>
      </c>
      <c r="J514" s="14" t="inlineStr">
        <is>
          <t>1. Siapkan untuk stasiun ini record dengan status berbeda-beda: Draft, Dijeda, Tersimpan, Tersinkron.
2. Login di web, lalu sidebar &gt; Data &gt; Depricarping (/data/depricarping) sebagai SPV-A.
3. Baca judul setiap kolom tabel.
4. Baca isi kolom Status pada setiap baris.
5. Periksa panel filter: apakah ada kolom tanggal dari dan sampai?</t>
        </is>
      </c>
      <c r="K514" s="14"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14" s="16" t="inlineStr">
        <is>
          <t>Tinggi</t>
        </is>
      </c>
      <c r="M514" s="14" t="inlineStr"/>
      <c r="N514" s="17" t="n"/>
      <c r="O514" s="17" t="n"/>
      <c r="P514" s="17" t="n"/>
      <c r="Q514" s="17" t="n"/>
      <c r="R514" s="17" t="n"/>
    </row>
    <row r="515" ht="122.8" customHeight="1">
      <c r="A515" s="22" t="n">
        <v>511</v>
      </c>
      <c r="B515" s="22" t="n">
        <v>3</v>
      </c>
      <c r="C515" s="23" t="inlineStr">
        <is>
          <t>WB-BRW-01 / Engine Room</t>
        </is>
      </c>
      <c r="D515" s="23" t="inlineStr">
        <is>
          <t>WB-BRW-01</t>
        </is>
      </c>
      <c r="E515" s="24" t="inlineStr">
        <is>
          <t>Engine Room</t>
        </is>
      </c>
      <c r="F515" s="5" t="inlineStr">
        <is>
          <t>Web — Data Stasiun (WB-)</t>
        </is>
      </c>
      <c r="G515" s="24" t="inlineStr">
        <is>
          <t>Daftar tampil dengan filter tanggal dan kolom status berbahasa Indonesia</t>
        </is>
      </c>
      <c r="H515" s="5" t="inlineStr">
        <is>
          <t>SPV-A</t>
        </is>
      </c>
      <c r="I515" s="5" t="inlineStr">
        <is>
          <t>ada record dengan status berbeda-beda</t>
        </is>
      </c>
      <c r="J515" s="5" t="inlineStr">
        <is>
          <t>1. Siapkan untuk stasiun ini record dengan status berbeda-beda: Draft, Dijeda, Tersimpan, Tersinkron.
2. Login di web, lalu sidebar &gt; Data &gt; Engine Room (/data/engine-room) sebagai SPV-A.
3. Baca judul setiap kolom tabel.
4. Baca isi kolom Status pada setiap baris.
5. Periksa panel filter: apakah ada kolom tanggal dari dan sampai?</t>
        </is>
      </c>
      <c r="K515"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15" s="16" t="inlineStr">
        <is>
          <t>Tinggi</t>
        </is>
      </c>
      <c r="M515" s="5" t="inlineStr"/>
      <c r="N515" s="17" t="n"/>
      <c r="O515" s="17" t="n"/>
      <c r="P515" s="17" t="n"/>
      <c r="Q515" s="17" t="n"/>
      <c r="R515" s="17" t="n"/>
    </row>
    <row r="516" ht="136" customHeight="1">
      <c r="A516" s="18" t="n">
        <v>512</v>
      </c>
      <c r="B516" s="18" t="n">
        <v>3</v>
      </c>
      <c r="C516" s="19" t="inlineStr">
        <is>
          <t>WB-BRW-01 / Process Water</t>
        </is>
      </c>
      <c r="D516" s="19" t="inlineStr">
        <is>
          <t>WB-BRW-01</t>
        </is>
      </c>
      <c r="E516" s="20" t="inlineStr">
        <is>
          <t>Process Water</t>
        </is>
      </c>
      <c r="F516" s="21" t="inlineStr">
        <is>
          <t>Web — Data Stasiun (WB-)</t>
        </is>
      </c>
      <c r="G516" s="20" t="inlineStr">
        <is>
          <t>Daftar tampil dengan filter tanggal dan kolom status berbahasa Indonesia</t>
        </is>
      </c>
      <c r="H516" s="21" t="inlineStr">
        <is>
          <t>SPV-A</t>
        </is>
      </c>
      <c r="I516" s="21" t="inlineStr">
        <is>
          <t>ada record dengan status berbeda-beda</t>
        </is>
      </c>
      <c r="J516" s="21" t="inlineStr">
        <is>
          <t>1. Siapkan untuk stasiun ini record dengan status berbeda-beda: Draft, Dijeda, Tersimpan, Tersinkron.
2. Login di web, lalu sidebar &gt; Data &gt; Process Water (/data/process-water) sebagai SPV-A.
3. Baca judul setiap kolom tabel.
4. Baca isi kolom Status pada setiap baris.
5. Periksa panel filter: apakah ada kolom tanggal dari dan sampai?</t>
        </is>
      </c>
      <c r="K516" s="21"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16" s="16" t="inlineStr">
        <is>
          <t>Tinggi</t>
        </is>
      </c>
      <c r="M516" s="21" t="inlineStr"/>
      <c r="N516" s="17" t="n"/>
      <c r="O516" s="17" t="n"/>
      <c r="P516" s="17" t="n"/>
      <c r="Q516" s="17" t="n"/>
      <c r="R516" s="17" t="n"/>
    </row>
    <row r="517" ht="122.8" customHeight="1">
      <c r="A517" s="22" t="n">
        <v>513</v>
      </c>
      <c r="B517" s="22" t="n">
        <v>3</v>
      </c>
      <c r="C517" s="23" t="inlineStr">
        <is>
          <t>WB-BRW-01 / Storage Tank</t>
        </is>
      </c>
      <c r="D517" s="23" t="inlineStr">
        <is>
          <t>WB-BRW-01</t>
        </is>
      </c>
      <c r="E517" s="24" t="inlineStr">
        <is>
          <t>Storage Tank</t>
        </is>
      </c>
      <c r="F517" s="5" t="inlineStr">
        <is>
          <t>Web — Data Stasiun (WB-)</t>
        </is>
      </c>
      <c r="G517" s="24" t="inlineStr">
        <is>
          <t>Daftar tampil dengan filter tanggal dan kolom status berbahasa Indonesia</t>
        </is>
      </c>
      <c r="H517" s="5" t="inlineStr">
        <is>
          <t>SPV-A</t>
        </is>
      </c>
      <c r="I517" s="5" t="inlineStr">
        <is>
          <t>ada record dengan status berbeda-beda</t>
        </is>
      </c>
      <c r="J517" s="5" t="inlineStr">
        <is>
          <t>1. Siapkan untuk stasiun ini record dengan status berbeda-beda: Draft, Dijeda, Tersimpan, Tersinkron.
2. Login di web, lalu sidebar &gt; Data &gt; Storage Tank (/data/storage-tank) sebagai SPV-A.
3. Baca judul setiap kolom tabel.
4. Baca isi kolom Status pada setiap baris.
5. Periksa panel filter: apakah ada kolom tanggal dari dan sampai?</t>
        </is>
      </c>
      <c r="K517"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17" s="16" t="inlineStr">
        <is>
          <t>Tinggi</t>
        </is>
      </c>
      <c r="M517" s="5" t="inlineStr"/>
      <c r="N517" s="17" t="n"/>
      <c r="O517" s="17" t="n"/>
      <c r="P517" s="17" t="n"/>
      <c r="Q517" s="17" t="n"/>
      <c r="R517" s="17" t="n"/>
    </row>
    <row r="518" ht="136" customHeight="1">
      <c r="A518" s="18" t="n">
        <v>514</v>
      </c>
      <c r="B518" s="18" t="n">
        <v>3</v>
      </c>
      <c r="C518" s="19" t="inlineStr">
        <is>
          <t>WB-BRW-01 / Solid Waste Disposal</t>
        </is>
      </c>
      <c r="D518" s="19" t="inlineStr">
        <is>
          <t>WB-BRW-01</t>
        </is>
      </c>
      <c r="E518" s="20" t="inlineStr">
        <is>
          <t>Solid Waste Disposal</t>
        </is>
      </c>
      <c r="F518" s="21" t="inlineStr">
        <is>
          <t>Web — Data Stasiun (WB-)</t>
        </is>
      </c>
      <c r="G518" s="20" t="inlineStr">
        <is>
          <t>Daftar tampil dengan filter tanggal dan kolom status berbahasa Indonesia</t>
        </is>
      </c>
      <c r="H518" s="21" t="inlineStr">
        <is>
          <t>SPV-A</t>
        </is>
      </c>
      <c r="I518" s="21" t="inlineStr">
        <is>
          <t>ada record dengan status berbeda-beda</t>
        </is>
      </c>
      <c r="J518" s="21" t="inlineStr">
        <is>
          <t>1. Siapkan untuk stasiun ini record dengan status berbeda-beda: Draft, Dijeda, Tersimpan, Tersinkron.
2. Login di web, lalu sidebar &gt; Data &gt; Solid Waste Disposal (/data/solid-waste-disposal) sebagai SPV-A.
3. Baca judul setiap kolom tabel.
4. Baca isi kolom Status pada setiap baris.
5. Periksa panel filter: apakah ada kolom tanggal dari dan sampai?</t>
        </is>
      </c>
      <c r="K518" s="21"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18" s="16" t="inlineStr">
        <is>
          <t>Tinggi</t>
        </is>
      </c>
      <c r="M518" s="21" t="inlineStr"/>
      <c r="N518" s="17" t="n"/>
      <c r="O518" s="17" t="n"/>
      <c r="P518" s="17" t="n"/>
      <c r="Q518" s="17" t="n"/>
      <c r="R518" s="17" t="n"/>
    </row>
    <row r="519" ht="136" customHeight="1">
      <c r="A519" s="22" t="n">
        <v>515</v>
      </c>
      <c r="B519" s="22" t="n">
        <v>3</v>
      </c>
      <c r="C519" s="23" t="inlineStr">
        <is>
          <t>WB-BRW-01 / Kernel Dispatch</t>
        </is>
      </c>
      <c r="D519" s="23" t="inlineStr">
        <is>
          <t>WB-BRW-01</t>
        </is>
      </c>
      <c r="E519" s="24" t="inlineStr">
        <is>
          <t>Kernel Dispatch</t>
        </is>
      </c>
      <c r="F519" s="5" t="inlineStr">
        <is>
          <t>Web — Data Stasiun (WB-)</t>
        </is>
      </c>
      <c r="G519" s="24" t="inlineStr">
        <is>
          <t>Daftar tampil dengan filter tanggal dan kolom status berbahasa Indonesia</t>
        </is>
      </c>
      <c r="H519" s="5" t="inlineStr">
        <is>
          <t>SPV-A</t>
        </is>
      </c>
      <c r="I519" s="5" t="inlineStr">
        <is>
          <t>ada record dengan status berbeda-beda</t>
        </is>
      </c>
      <c r="J519" s="5" t="inlineStr">
        <is>
          <t>1. Siapkan untuk stasiun ini record dengan status berbeda-beda: Draft, Dijeda, Tersimpan, Tersinkron.
2. Login di web, lalu sidebar &gt; Data &gt; Kernel Dispatch (/data/kernel-dispatch) sebagai SPV-A.
3. Baca judul setiap kolom tabel.
4. Baca isi kolom Status pada setiap baris.
5. Periksa panel filter: apakah ada kolom tanggal dari dan sampai?</t>
        </is>
      </c>
      <c r="K519"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19" s="16" t="inlineStr">
        <is>
          <t>Tinggi</t>
        </is>
      </c>
      <c r="M519" s="5" t="inlineStr"/>
      <c r="N519" s="17" t="n"/>
      <c r="O519" s="17" t="n"/>
      <c r="P519" s="17" t="n"/>
      <c r="Q519" s="17" t="n"/>
      <c r="R519" s="17" t="n"/>
    </row>
    <row r="520" ht="122.8" customHeight="1">
      <c r="A520" s="18" t="n">
        <v>516</v>
      </c>
      <c r="B520" s="18" t="n">
        <v>3</v>
      </c>
      <c r="C520" s="19" t="inlineStr">
        <is>
          <t>WB-BRW-01 / CPO Dispatch</t>
        </is>
      </c>
      <c r="D520" s="19" t="inlineStr">
        <is>
          <t>WB-BRW-01</t>
        </is>
      </c>
      <c r="E520" s="20" t="inlineStr">
        <is>
          <t>CPO Dispatch</t>
        </is>
      </c>
      <c r="F520" s="21" t="inlineStr">
        <is>
          <t>Web — Data Stasiun (WB-)</t>
        </is>
      </c>
      <c r="G520" s="20" t="inlineStr">
        <is>
          <t>Daftar tampil dengan filter tanggal dan kolom status berbahasa Indonesia</t>
        </is>
      </c>
      <c r="H520" s="21" t="inlineStr">
        <is>
          <t>SPV-A</t>
        </is>
      </c>
      <c r="I520" s="21" t="inlineStr">
        <is>
          <t>ada record dengan status berbeda-beda</t>
        </is>
      </c>
      <c r="J520" s="21" t="inlineStr">
        <is>
          <t>1. Siapkan untuk stasiun ini record dengan status berbeda-beda: Draft, Dijeda, Tersimpan, Tersinkron.
2. Login di web, lalu sidebar &gt; Data &gt; CPO Dispatch (/data/cpo-dispatch) sebagai SPV-A.
3. Baca judul setiap kolom tabel.
4. Baca isi kolom Status pada setiap baris.
5. Periksa panel filter: apakah ada kolom tanggal dari dan sampai?</t>
        </is>
      </c>
      <c r="K520" s="21"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20" s="16" t="inlineStr">
        <is>
          <t>Tinggi</t>
        </is>
      </c>
      <c r="M520" s="21" t="inlineStr"/>
      <c r="N520" s="17" t="n"/>
      <c r="O520" s="17" t="n"/>
      <c r="P520" s="17" t="n"/>
      <c r="Q520" s="17" t="n"/>
      <c r="R520" s="17" t="n"/>
    </row>
    <row r="521" ht="136" customHeight="1">
      <c r="A521" s="22" t="n">
        <v>517</v>
      </c>
      <c r="B521" s="22" t="n">
        <v>3</v>
      </c>
      <c r="C521" s="23" t="inlineStr">
        <is>
          <t>WB-BRW-01 / Process Quality Control</t>
        </is>
      </c>
      <c r="D521" s="23" t="inlineStr">
        <is>
          <t>WB-BRW-01</t>
        </is>
      </c>
      <c r="E521" s="24" t="inlineStr">
        <is>
          <t>Process Quality Control</t>
        </is>
      </c>
      <c r="F521" s="5" t="inlineStr">
        <is>
          <t>Web — Data Stasiun (WB-)</t>
        </is>
      </c>
      <c r="G521" s="24" t="inlineStr">
        <is>
          <t>Daftar tampil dengan filter tanggal dan kolom status berbahasa Indonesia</t>
        </is>
      </c>
      <c r="H521" s="5" t="inlineStr">
        <is>
          <t>SPV-A</t>
        </is>
      </c>
      <c r="I521" s="5" t="inlineStr">
        <is>
          <t>ada record dengan status berbeda-beda</t>
        </is>
      </c>
      <c r="J521" s="5" t="inlineStr">
        <is>
          <t>1. Siapkan untuk stasiun ini record dengan status berbeda-beda: Draft, Dijeda, Tersimpan, Tersinkron.
2. Login di web, lalu sidebar &gt; Data &gt; Process Quality Control (/data/process-quality-control) sebagai SPV-A.
3. Baca judul setiap kolom tabel.
4. Baca isi kolom Status pada setiap baris.
5. Periksa panel filter: apakah ada kolom tanggal dari dan sampai?</t>
        </is>
      </c>
      <c r="K521"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21" s="16" t="inlineStr">
        <is>
          <t>Tinggi</t>
        </is>
      </c>
      <c r="M521" s="5" t="inlineStr"/>
      <c r="N521" s="17" t="n"/>
      <c r="O521" s="17" t="n"/>
      <c r="P521" s="17" t="n"/>
      <c r="Q521" s="17" t="n"/>
      <c r="R521" s="17" t="n"/>
    </row>
    <row r="522" ht="83.19999999999999" customHeight="1">
      <c r="A522" s="18" t="n">
        <v>518</v>
      </c>
      <c r="B522" s="18" t="n">
        <v>3</v>
      </c>
      <c r="C522" s="19" t="inlineStr">
        <is>
          <t>WB-BRW-02 / Weighbridge</t>
        </is>
      </c>
      <c r="D522" s="19" t="inlineStr">
        <is>
          <t>WB-BRW-02</t>
        </is>
      </c>
      <c r="E522" s="20" t="inlineStr">
        <is>
          <t>Weighbridge</t>
        </is>
      </c>
      <c r="F522" s="21" t="inlineStr">
        <is>
          <t>Web — Data Stasiun (WB-)</t>
        </is>
      </c>
      <c r="G522" s="20" t="inlineStr">
        <is>
          <t>Rentang tanggal terbalik ditolak</t>
        </is>
      </c>
      <c r="H522" s="21" t="inlineStr">
        <is>
          <t>SPV-A</t>
        </is>
      </c>
      <c r="I522" s="21" t="inlineStr">
        <is>
          <t>—</t>
        </is>
      </c>
      <c r="J522" s="21" t="inlineStr">
        <is>
          <t>1. Login di web, lalu sidebar &gt; Data &gt; Weighbridge (/data/weighbridge).
2. Isi tanggal dari = hari ini.
3. Isi tanggal sampai = tanggal 7 hari sebelum hari ini.
4. Terapkan filter.</t>
        </is>
      </c>
      <c r="K522" s="21" t="inlineStr">
        <is>
          <t>- Ditolak dengan pesan yang menyebut rentang tanggalnya.
- BUKAN tabel kosong tanpa penjelasan — tabel kosong akan terbaca "tidak ada data", padahal filternya yang mustahil.
- BUKAN pesan galat teknis.</t>
        </is>
      </c>
      <c r="L522" s="16" t="inlineStr">
        <is>
          <t>Tinggi</t>
        </is>
      </c>
      <c r="M522" s="21" t="inlineStr"/>
      <c r="N522" s="17" t="n"/>
      <c r="O522" s="17" t="n"/>
      <c r="P522" s="17" t="n"/>
      <c r="Q522" s="17" t="n"/>
      <c r="R522" s="17" t="n"/>
    </row>
    <row r="523" ht="83.19999999999999" customHeight="1">
      <c r="A523" s="22" t="n">
        <v>519</v>
      </c>
      <c r="B523" s="22" t="n">
        <v>3</v>
      </c>
      <c r="C523" s="23" t="inlineStr">
        <is>
          <t>WB-BRW-02 / Grading</t>
        </is>
      </c>
      <c r="D523" s="23" t="inlineStr">
        <is>
          <t>WB-BRW-02</t>
        </is>
      </c>
      <c r="E523" s="24" t="inlineStr">
        <is>
          <t>Grading</t>
        </is>
      </c>
      <c r="F523" s="5" t="inlineStr">
        <is>
          <t>Web — Data Stasiun (WB-)</t>
        </is>
      </c>
      <c r="G523" s="24" t="inlineStr">
        <is>
          <t>Rentang tanggal terbalik ditolak</t>
        </is>
      </c>
      <c r="H523" s="5" t="inlineStr">
        <is>
          <t>SPV-A</t>
        </is>
      </c>
      <c r="I523" s="5" t="inlineStr">
        <is>
          <t>—</t>
        </is>
      </c>
      <c r="J523" s="5" t="inlineStr">
        <is>
          <t>1. Login di web, lalu sidebar &gt; Data &gt; Grading (/data/grading).
2. Isi tanggal dari = hari ini.
3. Isi tanggal sampai = tanggal 7 hari sebelum hari ini.
4. Terapkan filter.</t>
        </is>
      </c>
      <c r="K523" s="5" t="inlineStr">
        <is>
          <t>- Ditolak dengan pesan yang menyebut rentang tanggalnya.
- BUKAN tabel kosong tanpa penjelasan — tabel kosong akan terbaca "tidak ada data", padahal filternya yang mustahil.
- BUKAN pesan galat teknis.</t>
        </is>
      </c>
      <c r="L523" s="16" t="inlineStr">
        <is>
          <t>Tinggi</t>
        </is>
      </c>
      <c r="M523" s="5" t="inlineStr"/>
      <c r="N523" s="17" t="n"/>
      <c r="O523" s="17" t="n"/>
      <c r="P523" s="17" t="n"/>
      <c r="Q523" s="17" t="n"/>
      <c r="R523" s="17" t="n"/>
    </row>
    <row r="524" ht="83.19999999999999" customHeight="1">
      <c r="A524" s="18" t="n">
        <v>520</v>
      </c>
      <c r="B524" s="18" t="n">
        <v>3</v>
      </c>
      <c r="C524" s="19" t="inlineStr">
        <is>
          <t>WB-BRW-02 / Cages Track</t>
        </is>
      </c>
      <c r="D524" s="19" t="inlineStr">
        <is>
          <t>WB-BRW-02</t>
        </is>
      </c>
      <c r="E524" s="20" t="inlineStr">
        <is>
          <t>Cages Track</t>
        </is>
      </c>
      <c r="F524" s="21" t="inlineStr">
        <is>
          <t>Web — Data Stasiun (WB-)</t>
        </is>
      </c>
      <c r="G524" s="20" t="inlineStr">
        <is>
          <t>Rentang tanggal terbalik ditolak</t>
        </is>
      </c>
      <c r="H524" s="21" t="inlineStr">
        <is>
          <t>SPV-A</t>
        </is>
      </c>
      <c r="I524" s="21" t="inlineStr">
        <is>
          <t>—</t>
        </is>
      </c>
      <c r="J524" s="21" t="inlineStr">
        <is>
          <t>1. Login di web, lalu sidebar &gt; Data &gt; Cages Track (/data/cages-track).
2. Isi tanggal dari = hari ini.
3. Isi tanggal sampai = tanggal 7 hari sebelum hari ini.
4. Terapkan filter.</t>
        </is>
      </c>
      <c r="K524" s="21" t="inlineStr">
        <is>
          <t>- Ditolak dengan pesan yang menyebut rentang tanggalnya.
- BUKAN tabel kosong tanpa penjelasan — tabel kosong akan terbaca "tidak ada data", padahal filternya yang mustahil.
- BUKAN pesan galat teknis.</t>
        </is>
      </c>
      <c r="L524" s="16" t="inlineStr">
        <is>
          <t>Tinggi</t>
        </is>
      </c>
      <c r="M524" s="21" t="inlineStr"/>
      <c r="N524" s="17" t="n"/>
      <c r="O524" s="17" t="n"/>
      <c r="P524" s="17" t="n"/>
      <c r="Q524" s="17" t="n"/>
      <c r="R524" s="17" t="n"/>
    </row>
    <row r="525" ht="83.19999999999999" customHeight="1">
      <c r="A525" s="22" t="n">
        <v>521</v>
      </c>
      <c r="B525" s="22" t="n">
        <v>3</v>
      </c>
      <c r="C525" s="23" t="inlineStr">
        <is>
          <t>WB-BRW-02 / Sterilizer</t>
        </is>
      </c>
      <c r="D525" s="23" t="inlineStr">
        <is>
          <t>WB-BRW-02</t>
        </is>
      </c>
      <c r="E525" s="24" t="inlineStr">
        <is>
          <t>Sterilizer</t>
        </is>
      </c>
      <c r="F525" s="5" t="inlineStr">
        <is>
          <t>Web — Data Stasiun (WB-)</t>
        </is>
      </c>
      <c r="G525" s="24" t="inlineStr">
        <is>
          <t>Rentang tanggal terbalik ditolak</t>
        </is>
      </c>
      <c r="H525" s="5" t="inlineStr">
        <is>
          <t>SPV-A</t>
        </is>
      </c>
      <c r="I525" s="5" t="inlineStr">
        <is>
          <t>—</t>
        </is>
      </c>
      <c r="J525" s="5" t="inlineStr">
        <is>
          <t>1. Login di web, lalu sidebar &gt; Data &gt; Sterilizer (/data/sterilizer).
2. Isi tanggal dari = hari ini.
3. Isi tanggal sampai = tanggal 7 hari sebelum hari ini.
4. Terapkan filter.</t>
        </is>
      </c>
      <c r="K525" s="5" t="inlineStr">
        <is>
          <t>- Ditolak dengan pesan yang menyebut rentang tanggalnya.
- BUKAN tabel kosong tanpa penjelasan — tabel kosong akan terbaca "tidak ada data", padahal filternya yang mustahil.
- BUKAN pesan galat teknis.</t>
        </is>
      </c>
      <c r="L525" s="16" t="inlineStr">
        <is>
          <t>Tinggi</t>
        </is>
      </c>
      <c r="M525" s="5" t="inlineStr"/>
      <c r="N525" s="17" t="n"/>
      <c r="O525" s="17" t="n"/>
      <c r="P525" s="17" t="n"/>
      <c r="Q525" s="17" t="n"/>
      <c r="R525" s="17" t="n"/>
    </row>
    <row r="526" ht="83.19999999999999" customHeight="1">
      <c r="A526" s="18" t="n">
        <v>522</v>
      </c>
      <c r="B526" s="18" t="n">
        <v>3</v>
      </c>
      <c r="C526" s="19" t="inlineStr">
        <is>
          <t>WB-BRW-02 / Threshing</t>
        </is>
      </c>
      <c r="D526" s="19" t="inlineStr">
        <is>
          <t>WB-BRW-02</t>
        </is>
      </c>
      <c r="E526" s="20" t="inlineStr">
        <is>
          <t>Threshing</t>
        </is>
      </c>
      <c r="F526" s="21" t="inlineStr">
        <is>
          <t>Web — Data Stasiun (WB-)</t>
        </is>
      </c>
      <c r="G526" s="20" t="inlineStr">
        <is>
          <t>Rentang tanggal terbalik ditolak</t>
        </is>
      </c>
      <c r="H526" s="21" t="inlineStr">
        <is>
          <t>SPV-A</t>
        </is>
      </c>
      <c r="I526" s="21" t="inlineStr">
        <is>
          <t>—</t>
        </is>
      </c>
      <c r="J526" s="21" t="inlineStr">
        <is>
          <t>1. Login di web, lalu sidebar &gt; Data &gt; Threshing (/data/threshing).
2. Isi tanggal dari = hari ini.
3. Isi tanggal sampai = tanggal 7 hari sebelum hari ini.
4. Terapkan filter.</t>
        </is>
      </c>
      <c r="K526" s="21" t="inlineStr">
        <is>
          <t>- Ditolak dengan pesan yang menyebut rentang tanggalnya.
- BUKAN tabel kosong tanpa penjelasan — tabel kosong akan terbaca "tidak ada data", padahal filternya yang mustahil.
- BUKAN pesan galat teknis.</t>
        </is>
      </c>
      <c r="L526" s="16" t="inlineStr">
        <is>
          <t>Tinggi</t>
        </is>
      </c>
      <c r="M526" s="21" t="inlineStr"/>
      <c r="N526" s="17" t="n"/>
      <c r="O526" s="17" t="n"/>
      <c r="P526" s="17" t="n"/>
      <c r="Q526" s="17" t="n"/>
      <c r="R526" s="17" t="n"/>
    </row>
    <row r="527" ht="83.19999999999999" customHeight="1">
      <c r="A527" s="22" t="n">
        <v>523</v>
      </c>
      <c r="B527" s="22" t="n">
        <v>3</v>
      </c>
      <c r="C527" s="23" t="inlineStr">
        <is>
          <t>WB-BRW-02 / Pressing</t>
        </is>
      </c>
      <c r="D527" s="23" t="inlineStr">
        <is>
          <t>WB-BRW-02</t>
        </is>
      </c>
      <c r="E527" s="24" t="inlineStr">
        <is>
          <t>Pressing</t>
        </is>
      </c>
      <c r="F527" s="5" t="inlineStr">
        <is>
          <t>Web — Data Stasiun (WB-)</t>
        </is>
      </c>
      <c r="G527" s="24" t="inlineStr">
        <is>
          <t>Rentang tanggal terbalik ditolak</t>
        </is>
      </c>
      <c r="H527" s="5" t="inlineStr">
        <is>
          <t>SPV-A</t>
        </is>
      </c>
      <c r="I527" s="5" t="inlineStr">
        <is>
          <t>—</t>
        </is>
      </c>
      <c r="J527" s="5" t="inlineStr">
        <is>
          <t>1. Login di web, lalu sidebar &gt; Data &gt; Pressing (/data/pressing).
2. Isi tanggal dari = hari ini.
3. Isi tanggal sampai = tanggal 7 hari sebelum hari ini.
4. Terapkan filter.</t>
        </is>
      </c>
      <c r="K527" s="5" t="inlineStr">
        <is>
          <t>- Ditolak dengan pesan yang menyebut rentang tanggalnya.
- BUKAN tabel kosong tanpa penjelasan — tabel kosong akan terbaca "tidak ada data", padahal filternya yang mustahil.
- BUKAN pesan galat teknis.</t>
        </is>
      </c>
      <c r="L527" s="16" t="inlineStr">
        <is>
          <t>Tinggi</t>
        </is>
      </c>
      <c r="M527" s="5" t="inlineStr"/>
      <c r="N527" s="17" t="n"/>
      <c r="O527" s="17" t="n"/>
      <c r="P527" s="17" t="n"/>
      <c r="Q527" s="17" t="n"/>
      <c r="R527" s="17" t="n"/>
    </row>
    <row r="528" ht="83.19999999999999" customHeight="1">
      <c r="A528" s="18" t="n">
        <v>524</v>
      </c>
      <c r="B528" s="18" t="n">
        <v>3</v>
      </c>
      <c r="C528" s="19" t="inlineStr">
        <is>
          <t>WB-BRW-02 / Clarification</t>
        </is>
      </c>
      <c r="D528" s="19" t="inlineStr">
        <is>
          <t>WB-BRW-02</t>
        </is>
      </c>
      <c r="E528" s="20" t="inlineStr">
        <is>
          <t>Clarification</t>
        </is>
      </c>
      <c r="F528" s="21" t="inlineStr">
        <is>
          <t>Web — Data Stasiun (WB-)</t>
        </is>
      </c>
      <c r="G528" s="20" t="inlineStr">
        <is>
          <t>Rentang tanggal terbalik ditolak</t>
        </is>
      </c>
      <c r="H528" s="21" t="inlineStr">
        <is>
          <t>SPV-A</t>
        </is>
      </c>
      <c r="I528" s="21" t="inlineStr">
        <is>
          <t>—</t>
        </is>
      </c>
      <c r="J528" s="21" t="inlineStr">
        <is>
          <t>1. Login di web, lalu sidebar &gt; Data &gt; Clarification (/data/clarification).
2. Isi tanggal dari = hari ini.
3. Isi tanggal sampai = tanggal 7 hari sebelum hari ini.
4. Terapkan filter.</t>
        </is>
      </c>
      <c r="K528" s="21" t="inlineStr">
        <is>
          <t>- Ditolak dengan pesan yang menyebut rentang tanggalnya.
- BUKAN tabel kosong tanpa penjelasan — tabel kosong akan terbaca "tidak ada data", padahal filternya yang mustahil.
- BUKAN pesan galat teknis.</t>
        </is>
      </c>
      <c r="L528" s="16" t="inlineStr">
        <is>
          <t>Tinggi</t>
        </is>
      </c>
      <c r="M528" s="21" t="inlineStr"/>
      <c r="N528" s="17" t="n"/>
      <c r="O528" s="17" t="n"/>
      <c r="P528" s="17" t="n"/>
      <c r="Q528" s="17" t="n"/>
      <c r="R528" s="17" t="n"/>
    </row>
    <row r="529" ht="83.19999999999999" customHeight="1">
      <c r="A529" s="22" t="n">
        <v>525</v>
      </c>
      <c r="B529" s="22" t="n">
        <v>3</v>
      </c>
      <c r="C529" s="23" t="inlineStr">
        <is>
          <t>WB-BRW-02 / Kernel Plant</t>
        </is>
      </c>
      <c r="D529" s="23" t="inlineStr">
        <is>
          <t>WB-BRW-02</t>
        </is>
      </c>
      <c r="E529" s="24" t="inlineStr">
        <is>
          <t>Kernel Plant</t>
        </is>
      </c>
      <c r="F529" s="5" t="inlineStr">
        <is>
          <t>Web — Data Stasiun (WB-)</t>
        </is>
      </c>
      <c r="G529" s="24" t="inlineStr">
        <is>
          <t>Rentang tanggal terbalik ditolak</t>
        </is>
      </c>
      <c r="H529" s="5" t="inlineStr">
        <is>
          <t>SPV-A</t>
        </is>
      </c>
      <c r="I529" s="5" t="inlineStr">
        <is>
          <t>—</t>
        </is>
      </c>
      <c r="J529" s="5" t="inlineStr">
        <is>
          <t>1. Login di web, lalu sidebar &gt; Data &gt; Kernel Plant (/data/kernel-plant).
2. Isi tanggal dari = hari ini.
3. Isi tanggal sampai = tanggal 7 hari sebelum hari ini.
4. Terapkan filter.</t>
        </is>
      </c>
      <c r="K529" s="5" t="inlineStr">
        <is>
          <t>- Ditolak dengan pesan yang menyebut rentang tanggalnya.
- BUKAN tabel kosong tanpa penjelasan — tabel kosong akan terbaca "tidak ada data", padahal filternya yang mustahil.
- BUKAN pesan galat teknis.</t>
        </is>
      </c>
      <c r="L529" s="16" t="inlineStr">
        <is>
          <t>Tinggi</t>
        </is>
      </c>
      <c r="M529" s="5" t="inlineStr"/>
      <c r="N529" s="17" t="n"/>
      <c r="O529" s="17" t="n"/>
      <c r="P529" s="17" t="n"/>
      <c r="Q529" s="17" t="n"/>
      <c r="R529" s="17" t="n"/>
    </row>
    <row r="530" ht="83.19999999999999" customHeight="1">
      <c r="A530" s="18" t="n">
        <v>526</v>
      </c>
      <c r="B530" s="18" t="n">
        <v>3</v>
      </c>
      <c r="C530" s="19" t="inlineStr">
        <is>
          <t>WB-BRW-02 / Boiler Room</t>
        </is>
      </c>
      <c r="D530" s="19" t="inlineStr">
        <is>
          <t>WB-BRW-02</t>
        </is>
      </c>
      <c r="E530" s="20" t="inlineStr">
        <is>
          <t>Boiler Room</t>
        </is>
      </c>
      <c r="F530" s="21" t="inlineStr">
        <is>
          <t>Web — Data Stasiun (WB-)</t>
        </is>
      </c>
      <c r="G530" s="20" t="inlineStr">
        <is>
          <t>Rentang tanggal terbalik ditolak</t>
        </is>
      </c>
      <c r="H530" s="21" t="inlineStr">
        <is>
          <t>SPV-A</t>
        </is>
      </c>
      <c r="I530" s="21" t="inlineStr">
        <is>
          <t>—</t>
        </is>
      </c>
      <c r="J530" s="21" t="inlineStr">
        <is>
          <t>1. Login di web, lalu sidebar &gt; Data &gt; Boiler Room (/data/boiler-room).
2. Isi tanggal dari = hari ini.
3. Isi tanggal sampai = tanggal 7 hari sebelum hari ini.
4. Terapkan filter.</t>
        </is>
      </c>
      <c r="K530" s="21" t="inlineStr">
        <is>
          <t>- Ditolak dengan pesan yang menyebut rentang tanggalnya.
- BUKAN tabel kosong tanpa penjelasan — tabel kosong akan terbaca "tidak ada data", padahal filternya yang mustahil.
- BUKAN pesan galat teknis.</t>
        </is>
      </c>
      <c r="L530" s="16" t="inlineStr">
        <is>
          <t>Tinggi</t>
        </is>
      </c>
      <c r="M530" s="21" t="inlineStr"/>
      <c r="N530" s="17" t="n"/>
      <c r="O530" s="17" t="n"/>
      <c r="P530" s="17" t="n"/>
      <c r="Q530" s="17" t="n"/>
      <c r="R530" s="17" t="n"/>
    </row>
    <row r="531" ht="83.19999999999999" customHeight="1">
      <c r="A531" s="22" t="n">
        <v>527</v>
      </c>
      <c r="B531" s="22" t="n">
        <v>3</v>
      </c>
      <c r="C531" s="23" t="inlineStr">
        <is>
          <t>WB-BRW-02 / Effluent Plant</t>
        </is>
      </c>
      <c r="D531" s="23" t="inlineStr">
        <is>
          <t>WB-BRW-02</t>
        </is>
      </c>
      <c r="E531" s="24" t="inlineStr">
        <is>
          <t>Effluent Plant</t>
        </is>
      </c>
      <c r="F531" s="5" t="inlineStr">
        <is>
          <t>Web — Data Stasiun (WB-)</t>
        </is>
      </c>
      <c r="G531" s="24" t="inlineStr">
        <is>
          <t>Rentang tanggal terbalik ditolak</t>
        </is>
      </c>
      <c r="H531" s="5" t="inlineStr">
        <is>
          <t>SPV-A</t>
        </is>
      </c>
      <c r="I531" s="5" t="inlineStr">
        <is>
          <t>—</t>
        </is>
      </c>
      <c r="J531" s="5" t="inlineStr">
        <is>
          <t>1. Login di web, lalu sidebar &gt; Data &gt; Effluent Plant (/data/effluent-plant).
2. Isi tanggal dari = hari ini.
3. Isi tanggal sampai = tanggal 7 hari sebelum hari ini.
4. Terapkan filter.</t>
        </is>
      </c>
      <c r="K531" s="5" t="inlineStr">
        <is>
          <t>- Ditolak dengan pesan yang menyebut rentang tanggalnya.
- BUKAN tabel kosong tanpa penjelasan — tabel kosong akan terbaca "tidak ada data", padahal filternya yang mustahil.
- BUKAN pesan galat teknis.</t>
        </is>
      </c>
      <c r="L531" s="16" t="inlineStr">
        <is>
          <t>Tinggi</t>
        </is>
      </c>
      <c r="M531" s="5" t="inlineStr"/>
      <c r="N531" s="17" t="n"/>
      <c r="O531" s="17" t="n"/>
      <c r="P531" s="17" t="n"/>
      <c r="Q531" s="17" t="n"/>
      <c r="R531" s="17" t="n"/>
    </row>
    <row r="532" ht="83.19999999999999" customHeight="1">
      <c r="A532" s="11" t="n">
        <v>528</v>
      </c>
      <c r="B532" s="12" t="n">
        <v>1</v>
      </c>
      <c r="C532" s="13" t="inlineStr">
        <is>
          <t>WB-BRW-02 / Depricarping</t>
        </is>
      </c>
      <c r="D532" s="13" t="inlineStr">
        <is>
          <t>WB-BRW-02</t>
        </is>
      </c>
      <c r="E532" s="15" t="inlineStr">
        <is>
          <t>Depricarping</t>
        </is>
      </c>
      <c r="F532" s="14" t="inlineStr">
        <is>
          <t>Web — Data Stasiun (WB-)</t>
        </is>
      </c>
      <c r="G532" s="15" t="inlineStr">
        <is>
          <t>Rentang tanggal terbalik ditolak</t>
        </is>
      </c>
      <c r="H532" s="14" t="inlineStr">
        <is>
          <t>SPV-A</t>
        </is>
      </c>
      <c r="I532" s="14" t="inlineStr">
        <is>
          <t>—</t>
        </is>
      </c>
      <c r="J532" s="14" t="inlineStr">
        <is>
          <t>1. Login di web, lalu sidebar &gt; Data &gt; Depricarping (/data/depricarping).
2. Isi tanggal dari = hari ini.
3. Isi tanggal sampai = tanggal 7 hari sebelum hari ini.
4. Terapkan filter.</t>
        </is>
      </c>
      <c r="K532" s="14" t="inlineStr">
        <is>
          <t>- Ditolak dengan pesan yang menyebut rentang tanggalnya.
- BUKAN tabel kosong tanpa penjelasan — tabel kosong akan terbaca "tidak ada data", padahal filternya yang mustahil.
- BUKAN pesan galat teknis.</t>
        </is>
      </c>
      <c r="L532" s="16" t="inlineStr">
        <is>
          <t>Tinggi</t>
        </is>
      </c>
      <c r="M532" s="14" t="inlineStr"/>
      <c r="N532" s="17" t="n"/>
      <c r="O532" s="17" t="n"/>
      <c r="P532" s="17" t="n"/>
      <c r="Q532" s="17" t="n"/>
      <c r="R532" s="17" t="n"/>
    </row>
    <row r="533" ht="83.19999999999999" customHeight="1">
      <c r="A533" s="22" t="n">
        <v>529</v>
      </c>
      <c r="B533" s="22" t="n">
        <v>3</v>
      </c>
      <c r="C533" s="23" t="inlineStr">
        <is>
          <t>WB-BRW-02 / Engine Room</t>
        </is>
      </c>
      <c r="D533" s="23" t="inlineStr">
        <is>
          <t>WB-BRW-02</t>
        </is>
      </c>
      <c r="E533" s="24" t="inlineStr">
        <is>
          <t>Engine Room</t>
        </is>
      </c>
      <c r="F533" s="5" t="inlineStr">
        <is>
          <t>Web — Data Stasiun (WB-)</t>
        </is>
      </c>
      <c r="G533" s="24" t="inlineStr">
        <is>
          <t>Rentang tanggal terbalik ditolak</t>
        </is>
      </c>
      <c r="H533" s="5" t="inlineStr">
        <is>
          <t>SPV-A</t>
        </is>
      </c>
      <c r="I533" s="5" t="inlineStr">
        <is>
          <t>—</t>
        </is>
      </c>
      <c r="J533" s="5" t="inlineStr">
        <is>
          <t>1. Login di web, lalu sidebar &gt; Data &gt; Engine Room (/data/engine-room).
2. Isi tanggal dari = hari ini.
3. Isi tanggal sampai = tanggal 7 hari sebelum hari ini.
4. Terapkan filter.</t>
        </is>
      </c>
      <c r="K533" s="5" t="inlineStr">
        <is>
          <t>- Ditolak dengan pesan yang menyebut rentang tanggalnya.
- BUKAN tabel kosong tanpa penjelasan — tabel kosong akan terbaca "tidak ada data", padahal filternya yang mustahil.
- BUKAN pesan galat teknis.</t>
        </is>
      </c>
      <c r="L533" s="16" t="inlineStr">
        <is>
          <t>Tinggi</t>
        </is>
      </c>
      <c r="M533" s="5" t="inlineStr"/>
      <c r="N533" s="17" t="n"/>
      <c r="O533" s="17" t="n"/>
      <c r="P533" s="17" t="n"/>
      <c r="Q533" s="17" t="n"/>
      <c r="R533" s="17" t="n"/>
    </row>
    <row r="534" ht="83.19999999999999" customHeight="1">
      <c r="A534" s="18" t="n">
        <v>530</v>
      </c>
      <c r="B534" s="18" t="n">
        <v>3</v>
      </c>
      <c r="C534" s="19" t="inlineStr">
        <is>
          <t>WB-BRW-02 / Process Water</t>
        </is>
      </c>
      <c r="D534" s="19" t="inlineStr">
        <is>
          <t>WB-BRW-02</t>
        </is>
      </c>
      <c r="E534" s="20" t="inlineStr">
        <is>
          <t>Process Water</t>
        </is>
      </c>
      <c r="F534" s="21" t="inlineStr">
        <is>
          <t>Web — Data Stasiun (WB-)</t>
        </is>
      </c>
      <c r="G534" s="20" t="inlineStr">
        <is>
          <t>Rentang tanggal terbalik ditolak</t>
        </is>
      </c>
      <c r="H534" s="21" t="inlineStr">
        <is>
          <t>SPV-A</t>
        </is>
      </c>
      <c r="I534" s="21" t="inlineStr">
        <is>
          <t>—</t>
        </is>
      </c>
      <c r="J534" s="21" t="inlineStr">
        <is>
          <t>1. Login di web, lalu sidebar &gt; Data &gt; Process Water (/data/process-water).
2. Isi tanggal dari = hari ini.
3. Isi tanggal sampai = tanggal 7 hari sebelum hari ini.
4. Terapkan filter.</t>
        </is>
      </c>
      <c r="K534" s="21" t="inlineStr">
        <is>
          <t>- Ditolak dengan pesan yang menyebut rentang tanggalnya.
- BUKAN tabel kosong tanpa penjelasan — tabel kosong akan terbaca "tidak ada data", padahal filternya yang mustahil.
- BUKAN pesan galat teknis.</t>
        </is>
      </c>
      <c r="L534" s="16" t="inlineStr">
        <is>
          <t>Tinggi</t>
        </is>
      </c>
      <c r="M534" s="21" t="inlineStr"/>
      <c r="N534" s="17" t="n"/>
      <c r="O534" s="17" t="n"/>
      <c r="P534" s="17" t="n"/>
      <c r="Q534" s="17" t="n"/>
      <c r="R534" s="17" t="n"/>
    </row>
    <row r="535" ht="83.19999999999999" customHeight="1">
      <c r="A535" s="22" t="n">
        <v>531</v>
      </c>
      <c r="B535" s="22" t="n">
        <v>3</v>
      </c>
      <c r="C535" s="23" t="inlineStr">
        <is>
          <t>WB-BRW-02 / Storage Tank</t>
        </is>
      </c>
      <c r="D535" s="23" t="inlineStr">
        <is>
          <t>WB-BRW-02</t>
        </is>
      </c>
      <c r="E535" s="24" t="inlineStr">
        <is>
          <t>Storage Tank</t>
        </is>
      </c>
      <c r="F535" s="5" t="inlineStr">
        <is>
          <t>Web — Data Stasiun (WB-)</t>
        </is>
      </c>
      <c r="G535" s="24" t="inlineStr">
        <is>
          <t>Rentang tanggal terbalik ditolak</t>
        </is>
      </c>
      <c r="H535" s="5" t="inlineStr">
        <is>
          <t>SPV-A</t>
        </is>
      </c>
      <c r="I535" s="5" t="inlineStr">
        <is>
          <t>—</t>
        </is>
      </c>
      <c r="J535" s="5" t="inlineStr">
        <is>
          <t>1. Login di web, lalu sidebar &gt; Data &gt; Storage Tank (/data/storage-tank).
2. Isi tanggal dari = hari ini.
3. Isi tanggal sampai = tanggal 7 hari sebelum hari ini.
4. Terapkan filter.</t>
        </is>
      </c>
      <c r="K535" s="5" t="inlineStr">
        <is>
          <t>- Ditolak dengan pesan yang menyebut rentang tanggalnya.
- BUKAN tabel kosong tanpa penjelasan — tabel kosong akan terbaca "tidak ada data", padahal filternya yang mustahil.
- BUKAN pesan galat teknis.</t>
        </is>
      </c>
      <c r="L535" s="16" t="inlineStr">
        <is>
          <t>Tinggi</t>
        </is>
      </c>
      <c r="M535" s="5" t="inlineStr"/>
      <c r="N535" s="17" t="n"/>
      <c r="O535" s="17" t="n"/>
      <c r="P535" s="17" t="n"/>
      <c r="Q535" s="17" t="n"/>
      <c r="R535" s="17" t="n"/>
    </row>
    <row r="536" ht="96.39999999999999" customHeight="1">
      <c r="A536" s="18" t="n">
        <v>532</v>
      </c>
      <c r="B536" s="18" t="n">
        <v>3</v>
      </c>
      <c r="C536" s="19" t="inlineStr">
        <is>
          <t>WB-BRW-02 / Solid Waste Disposal</t>
        </is>
      </c>
      <c r="D536" s="19" t="inlineStr">
        <is>
          <t>WB-BRW-02</t>
        </is>
      </c>
      <c r="E536" s="20" t="inlineStr">
        <is>
          <t>Solid Waste Disposal</t>
        </is>
      </c>
      <c r="F536" s="21" t="inlineStr">
        <is>
          <t>Web — Data Stasiun (WB-)</t>
        </is>
      </c>
      <c r="G536" s="20" t="inlineStr">
        <is>
          <t>Rentang tanggal terbalik ditolak</t>
        </is>
      </c>
      <c r="H536" s="21" t="inlineStr">
        <is>
          <t>SPV-A</t>
        </is>
      </c>
      <c r="I536" s="21" t="inlineStr">
        <is>
          <t>—</t>
        </is>
      </c>
      <c r="J536" s="21" t="inlineStr">
        <is>
          <t>1. Login di web, lalu sidebar &gt; Data &gt; Solid Waste Disposal (/data/solid-waste-disposal).
2. Isi tanggal dari = hari ini.
3. Isi tanggal sampai = tanggal 7 hari sebelum hari ini.
4. Terapkan filter.</t>
        </is>
      </c>
      <c r="K536" s="21" t="inlineStr">
        <is>
          <t>- Ditolak dengan pesan yang menyebut rentang tanggalnya.
- BUKAN tabel kosong tanpa penjelasan — tabel kosong akan terbaca "tidak ada data", padahal filternya yang mustahil.
- BUKAN pesan galat teknis.</t>
        </is>
      </c>
      <c r="L536" s="16" t="inlineStr">
        <is>
          <t>Tinggi</t>
        </is>
      </c>
      <c r="M536" s="21" t="inlineStr"/>
      <c r="N536" s="17" t="n"/>
      <c r="O536" s="17" t="n"/>
      <c r="P536" s="17" t="n"/>
      <c r="Q536" s="17" t="n"/>
      <c r="R536" s="17" t="n"/>
    </row>
    <row r="537" ht="83.19999999999999" customHeight="1">
      <c r="A537" s="22" t="n">
        <v>533</v>
      </c>
      <c r="B537" s="22" t="n">
        <v>3</v>
      </c>
      <c r="C537" s="23" t="inlineStr">
        <is>
          <t>WB-BRW-02 / Kernel Dispatch</t>
        </is>
      </c>
      <c r="D537" s="23" t="inlineStr">
        <is>
          <t>WB-BRW-02</t>
        </is>
      </c>
      <c r="E537" s="24" t="inlineStr">
        <is>
          <t>Kernel Dispatch</t>
        </is>
      </c>
      <c r="F537" s="5" t="inlineStr">
        <is>
          <t>Web — Data Stasiun (WB-)</t>
        </is>
      </c>
      <c r="G537" s="24" t="inlineStr">
        <is>
          <t>Rentang tanggal terbalik ditolak</t>
        </is>
      </c>
      <c r="H537" s="5" t="inlineStr">
        <is>
          <t>SPV-A</t>
        </is>
      </c>
      <c r="I537" s="5" t="inlineStr">
        <is>
          <t>—</t>
        </is>
      </c>
      <c r="J537" s="5" t="inlineStr">
        <is>
          <t>1. Login di web, lalu sidebar &gt; Data &gt; Kernel Dispatch (/data/kernel-dispatch).
2. Isi tanggal dari = hari ini.
3. Isi tanggal sampai = tanggal 7 hari sebelum hari ini.
4. Terapkan filter.</t>
        </is>
      </c>
      <c r="K537" s="5" t="inlineStr">
        <is>
          <t>- Ditolak dengan pesan yang menyebut rentang tanggalnya.
- BUKAN tabel kosong tanpa penjelasan — tabel kosong akan terbaca "tidak ada data", padahal filternya yang mustahil.
- BUKAN pesan galat teknis.</t>
        </is>
      </c>
      <c r="L537" s="16" t="inlineStr">
        <is>
          <t>Tinggi</t>
        </is>
      </c>
      <c r="M537" s="5" t="inlineStr"/>
      <c r="N537" s="17" t="n"/>
      <c r="O537" s="17" t="n"/>
      <c r="P537" s="17" t="n"/>
      <c r="Q537" s="17" t="n"/>
      <c r="R537" s="17" t="n"/>
    </row>
    <row r="538" ht="83.19999999999999" customHeight="1">
      <c r="A538" s="18" t="n">
        <v>534</v>
      </c>
      <c r="B538" s="18" t="n">
        <v>3</v>
      </c>
      <c r="C538" s="19" t="inlineStr">
        <is>
          <t>WB-BRW-02 / CPO Dispatch</t>
        </is>
      </c>
      <c r="D538" s="19" t="inlineStr">
        <is>
          <t>WB-BRW-02</t>
        </is>
      </c>
      <c r="E538" s="20" t="inlineStr">
        <is>
          <t>CPO Dispatch</t>
        </is>
      </c>
      <c r="F538" s="21" t="inlineStr">
        <is>
          <t>Web — Data Stasiun (WB-)</t>
        </is>
      </c>
      <c r="G538" s="20" t="inlineStr">
        <is>
          <t>Rentang tanggal terbalik ditolak</t>
        </is>
      </c>
      <c r="H538" s="21" t="inlineStr">
        <is>
          <t>SPV-A</t>
        </is>
      </c>
      <c r="I538" s="21" t="inlineStr">
        <is>
          <t>—</t>
        </is>
      </c>
      <c r="J538" s="21" t="inlineStr">
        <is>
          <t>1. Login di web, lalu sidebar &gt; Data &gt; CPO Dispatch (/data/cpo-dispatch).
2. Isi tanggal dari = hari ini.
3. Isi tanggal sampai = tanggal 7 hari sebelum hari ini.
4. Terapkan filter.</t>
        </is>
      </c>
      <c r="K538" s="21" t="inlineStr">
        <is>
          <t>- Ditolak dengan pesan yang menyebut rentang tanggalnya.
- BUKAN tabel kosong tanpa penjelasan — tabel kosong akan terbaca "tidak ada data", padahal filternya yang mustahil.
- BUKAN pesan galat teknis.</t>
        </is>
      </c>
      <c r="L538" s="16" t="inlineStr">
        <is>
          <t>Tinggi</t>
        </is>
      </c>
      <c r="M538" s="21" t="inlineStr"/>
      <c r="N538" s="17" t="n"/>
      <c r="O538" s="17" t="n"/>
      <c r="P538" s="17" t="n"/>
      <c r="Q538" s="17" t="n"/>
      <c r="R538" s="17" t="n"/>
    </row>
    <row r="539" ht="96.39999999999999" customHeight="1">
      <c r="A539" s="22" t="n">
        <v>535</v>
      </c>
      <c r="B539" s="22" t="n">
        <v>3</v>
      </c>
      <c r="C539" s="23" t="inlineStr">
        <is>
          <t>WB-BRW-02 / Process Quality Control</t>
        </is>
      </c>
      <c r="D539" s="23" t="inlineStr">
        <is>
          <t>WB-BRW-02</t>
        </is>
      </c>
      <c r="E539" s="24" t="inlineStr">
        <is>
          <t>Process Quality Control</t>
        </is>
      </c>
      <c r="F539" s="5" t="inlineStr">
        <is>
          <t>Web — Data Stasiun (WB-)</t>
        </is>
      </c>
      <c r="G539" s="24" t="inlineStr">
        <is>
          <t>Rentang tanggal terbalik ditolak</t>
        </is>
      </c>
      <c r="H539" s="5" t="inlineStr">
        <is>
          <t>SPV-A</t>
        </is>
      </c>
      <c r="I539" s="5" t="inlineStr">
        <is>
          <t>—</t>
        </is>
      </c>
      <c r="J539" s="5" t="inlineStr">
        <is>
          <t>1. Login di web, lalu sidebar &gt; Data &gt; Process Quality Control (/data/process-quality-control).
2. Isi tanggal dari = hari ini.
3. Isi tanggal sampai = tanggal 7 hari sebelum hari ini.
4. Terapkan filter.</t>
        </is>
      </c>
      <c r="K539" s="5" t="inlineStr">
        <is>
          <t>- Ditolak dengan pesan yang menyebut rentang tanggalnya.
- BUKAN tabel kosong tanpa penjelasan — tabel kosong akan terbaca "tidak ada data", padahal filternya yang mustahil.
- BUKAN pesan galat teknis.</t>
        </is>
      </c>
      <c r="L539" s="16" t="inlineStr">
        <is>
          <t>Tinggi</t>
        </is>
      </c>
      <c r="M539" s="5" t="inlineStr"/>
      <c r="N539" s="17" t="n"/>
      <c r="O539" s="17" t="n"/>
      <c r="P539" s="17" t="n"/>
      <c r="Q539" s="17" t="n"/>
      <c r="R539" s="17" t="n"/>
    </row>
    <row r="540" ht="360.4" customHeight="1">
      <c r="A540" s="25" t="n">
        <v>536</v>
      </c>
      <c r="B540" s="26" t="n">
        <v>2</v>
      </c>
      <c r="C540" s="27" t="inlineStr">
        <is>
          <t>WB-BRW-03 / Threshing</t>
        </is>
      </c>
      <c r="D540" s="27" t="inlineStr">
        <is>
          <t>WB-BRW-03</t>
        </is>
      </c>
      <c r="E540" s="28" t="inlineStr">
        <is>
          <t>Threshing</t>
        </is>
      </c>
      <c r="F540" s="29" t="inlineStr">
        <is>
          <t>Web — Data Stasiun (WB-)</t>
        </is>
      </c>
      <c r="G540" s="28" t="inlineStr">
        <is>
          <t>"Jumlah Baris Terisi" tampil sebagai pecahan dari 24</t>
        </is>
      </c>
      <c r="H540" s="29" t="inlineStr">
        <is>
          <t>SPV-A</t>
        </is>
      </c>
      <c r="I540" s="29" t="inlineStr">
        <is>
          <t>satu record dengan 3 baris terisi</t>
        </is>
      </c>
      <c r="J540" s="29" t="inlineStr">
        <is>
          <t>1. Siapkan satu record dengan tepat 3 baris slot waktu terisi.
2. Login di web, lalu sidebar &gt; Data &gt; Threshing (/data/threshing), cari record itu.
3. Baca kolom Jumlah Baris Terisi pada baris itu.
4. Bandingkan dengan jumlah baris sebenarnya pada Detail record tersebut.</t>
        </is>
      </c>
      <c r="K540" s="29"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540" s="25" t="inlineStr">
        <is>
          <t>Sedang</t>
        </is>
      </c>
      <c r="M540" s="29"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540" s="17" t="n"/>
      <c r="O540" s="17" t="n"/>
      <c r="P540" s="17" t="n"/>
      <c r="Q540" s="17" t="n"/>
      <c r="R540" s="17" t="n"/>
    </row>
    <row r="541" ht="360.4" customHeight="1">
      <c r="A541" s="25" t="n">
        <v>537</v>
      </c>
      <c r="B541" s="26" t="n">
        <v>2</v>
      </c>
      <c r="C541" s="27" t="inlineStr">
        <is>
          <t>WB-BRW-03 / Pressing</t>
        </is>
      </c>
      <c r="D541" s="27" t="inlineStr">
        <is>
          <t>WB-BRW-03</t>
        </is>
      </c>
      <c r="E541" s="28" t="inlineStr">
        <is>
          <t>Pressing</t>
        </is>
      </c>
      <c r="F541" s="29" t="inlineStr">
        <is>
          <t>Web — Data Stasiun (WB-)</t>
        </is>
      </c>
      <c r="G541" s="28" t="inlineStr">
        <is>
          <t>"Jumlah Baris Terisi" tampil sebagai pecahan dari 24</t>
        </is>
      </c>
      <c r="H541" s="29" t="inlineStr">
        <is>
          <t>SPV-A</t>
        </is>
      </c>
      <c r="I541" s="29" t="inlineStr">
        <is>
          <t>satu record dengan 3 baris terisi</t>
        </is>
      </c>
      <c r="J541" s="29" t="inlineStr">
        <is>
          <t>1. Siapkan satu record dengan tepat 3 baris slot waktu terisi.
2. Login di web, lalu sidebar &gt; Data &gt; Pressing (/data/pressing), cari record itu.
3. Baca kolom Jumlah Baris Terisi pada baris itu.
4. Bandingkan dengan jumlah baris sebenarnya pada Detail record tersebut.</t>
        </is>
      </c>
      <c r="K541" s="29"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541" s="25" t="inlineStr">
        <is>
          <t>Sedang</t>
        </is>
      </c>
      <c r="M541" s="29"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541" s="17" t="n"/>
      <c r="O541" s="17" t="n"/>
      <c r="P541" s="17" t="n"/>
      <c r="Q541" s="17" t="n"/>
      <c r="R541" s="17" t="n"/>
    </row>
    <row r="542" ht="360.4" customHeight="1">
      <c r="A542" s="25" t="n">
        <v>538</v>
      </c>
      <c r="B542" s="26" t="n">
        <v>2</v>
      </c>
      <c r="C542" s="27" t="inlineStr">
        <is>
          <t>WB-BRW-03 / Clarification</t>
        </is>
      </c>
      <c r="D542" s="27" t="inlineStr">
        <is>
          <t>WB-BRW-03</t>
        </is>
      </c>
      <c r="E542" s="28" t="inlineStr">
        <is>
          <t>Clarification</t>
        </is>
      </c>
      <c r="F542" s="29" t="inlineStr">
        <is>
          <t>Web — Data Stasiun (WB-)</t>
        </is>
      </c>
      <c r="G542" s="28" t="inlineStr">
        <is>
          <t>"Jumlah Baris Terisi" tampil sebagai pecahan dari 24</t>
        </is>
      </c>
      <c r="H542" s="29" t="inlineStr">
        <is>
          <t>SPV-A</t>
        </is>
      </c>
      <c r="I542" s="29" t="inlineStr">
        <is>
          <t>satu record dengan 3 baris terisi</t>
        </is>
      </c>
      <c r="J542" s="29" t="inlineStr">
        <is>
          <t>1. Siapkan satu record dengan tepat 3 baris slot waktu terisi.
2. Login di web, lalu sidebar &gt; Data &gt; Clarification (/data/clarification), cari record itu.
3. Baca kolom Jumlah Baris Terisi pada baris itu.
4. Bandingkan dengan jumlah baris sebenarnya pada Detail record tersebut.</t>
        </is>
      </c>
      <c r="K542" s="29"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542" s="25" t="inlineStr">
        <is>
          <t>Sedang</t>
        </is>
      </c>
      <c r="M542" s="29"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542" s="17" t="n"/>
      <c r="O542" s="17" t="n"/>
      <c r="P542" s="17" t="n"/>
      <c r="Q542" s="17" t="n"/>
      <c r="R542" s="17" t="n"/>
    </row>
    <row r="543" ht="360.4" customHeight="1">
      <c r="A543" s="25" t="n">
        <v>539</v>
      </c>
      <c r="B543" s="26" t="n">
        <v>2</v>
      </c>
      <c r="C543" s="27" t="inlineStr">
        <is>
          <t>WB-BRW-03 / Kernel Plant</t>
        </is>
      </c>
      <c r="D543" s="27" t="inlineStr">
        <is>
          <t>WB-BRW-03</t>
        </is>
      </c>
      <c r="E543" s="28" t="inlineStr">
        <is>
          <t>Kernel Plant</t>
        </is>
      </c>
      <c r="F543" s="29" t="inlineStr">
        <is>
          <t>Web — Data Stasiun (WB-)</t>
        </is>
      </c>
      <c r="G543" s="28" t="inlineStr">
        <is>
          <t>"Jumlah Baris Terisi" tampil sebagai pecahan dari 24</t>
        </is>
      </c>
      <c r="H543" s="29" t="inlineStr">
        <is>
          <t>SPV-A</t>
        </is>
      </c>
      <c r="I543" s="29" t="inlineStr">
        <is>
          <t>satu record dengan 3 baris terisi</t>
        </is>
      </c>
      <c r="J543" s="29" t="inlineStr">
        <is>
          <t>1. Siapkan satu record dengan tepat 3 baris slot waktu terisi.
2. Login di web, lalu sidebar &gt; Data &gt; Kernel Plant (/data/kernel-plant), cari record itu.
3. Baca kolom Jumlah Baris Terisi pada baris itu.
4. Bandingkan dengan jumlah baris sebenarnya pada Detail record tersebut.</t>
        </is>
      </c>
      <c r="K543" s="29"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543" s="25" t="inlineStr">
        <is>
          <t>Sedang</t>
        </is>
      </c>
      <c r="M543" s="29"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543" s="17" t="n"/>
      <c r="O543" s="17" t="n"/>
      <c r="P543" s="17" t="n"/>
      <c r="Q543" s="17" t="n"/>
      <c r="R543" s="17" t="n"/>
    </row>
    <row r="544" ht="360.4" customHeight="1">
      <c r="A544" s="25" t="n">
        <v>540</v>
      </c>
      <c r="B544" s="26" t="n">
        <v>2</v>
      </c>
      <c r="C544" s="27" t="inlineStr">
        <is>
          <t>WB-BRW-03 / Boiler Room</t>
        </is>
      </c>
      <c r="D544" s="27" t="inlineStr">
        <is>
          <t>WB-BRW-03</t>
        </is>
      </c>
      <c r="E544" s="28" t="inlineStr">
        <is>
          <t>Boiler Room</t>
        </is>
      </c>
      <c r="F544" s="29" t="inlineStr">
        <is>
          <t>Web — Data Stasiun (WB-)</t>
        </is>
      </c>
      <c r="G544" s="28" t="inlineStr">
        <is>
          <t>"Jumlah Baris Terisi" tampil sebagai pecahan dari 24</t>
        </is>
      </c>
      <c r="H544" s="29" t="inlineStr">
        <is>
          <t>SPV-A</t>
        </is>
      </c>
      <c r="I544" s="29" t="inlineStr">
        <is>
          <t>satu record dengan 3 baris terisi</t>
        </is>
      </c>
      <c r="J544" s="29" t="inlineStr">
        <is>
          <t>1. Siapkan satu record dengan tepat 3 baris slot waktu terisi.
2. Login di web, lalu sidebar &gt; Data &gt; Boiler Room (/data/boiler-room), cari record itu.
3. Baca kolom Jumlah Baris Terisi pada baris itu.
4. Bandingkan dengan jumlah baris sebenarnya pada Detail record tersebut.</t>
        </is>
      </c>
      <c r="K544" s="29"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544" s="25" t="inlineStr">
        <is>
          <t>Sedang</t>
        </is>
      </c>
      <c r="M544" s="29"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544" s="17" t="n"/>
      <c r="O544" s="17" t="n"/>
      <c r="P544" s="17" t="n"/>
      <c r="Q544" s="17" t="n"/>
      <c r="R544" s="17" t="n"/>
    </row>
    <row r="545" ht="360.4" customHeight="1">
      <c r="A545" s="25" t="n">
        <v>541</v>
      </c>
      <c r="B545" s="26" t="n">
        <v>2</v>
      </c>
      <c r="C545" s="27" t="inlineStr">
        <is>
          <t>WB-BRW-03 / Effluent Plant</t>
        </is>
      </c>
      <c r="D545" s="27" t="inlineStr">
        <is>
          <t>WB-BRW-03</t>
        </is>
      </c>
      <c r="E545" s="28" t="inlineStr">
        <is>
          <t>Effluent Plant</t>
        </is>
      </c>
      <c r="F545" s="29" t="inlineStr">
        <is>
          <t>Web — Data Stasiun (WB-)</t>
        </is>
      </c>
      <c r="G545" s="28" t="inlineStr">
        <is>
          <t>"Jumlah Baris Terisi" tampil sebagai pecahan dari 24</t>
        </is>
      </c>
      <c r="H545" s="29" t="inlineStr">
        <is>
          <t>SPV-A</t>
        </is>
      </c>
      <c r="I545" s="29" t="inlineStr">
        <is>
          <t>satu record dengan 3 baris terisi</t>
        </is>
      </c>
      <c r="J545" s="29" t="inlineStr">
        <is>
          <t>1. Siapkan satu record dengan tepat 3 baris slot waktu terisi.
2. Login di web, lalu sidebar &gt; Data &gt; Effluent Plant (/data/effluent-plant), cari record itu.
3. Baca kolom Jumlah Baris Terisi pada baris itu.
4. Bandingkan dengan jumlah baris sebenarnya pada Detail record tersebut.</t>
        </is>
      </c>
      <c r="K545" s="29"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545" s="25" t="inlineStr">
        <is>
          <t>Sedang</t>
        </is>
      </c>
      <c r="M545" s="29"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545" s="17" t="n"/>
      <c r="O545" s="17" t="n"/>
      <c r="P545" s="17" t="n"/>
      <c r="Q545" s="17" t="n"/>
      <c r="R545" s="17" t="n"/>
    </row>
    <row r="546" ht="360.4" customHeight="1">
      <c r="A546" s="11" t="n">
        <v>542</v>
      </c>
      <c r="B546" s="12" t="n">
        <v>1</v>
      </c>
      <c r="C546" s="13" t="inlineStr">
        <is>
          <t>WB-BRW-03 / Depricarping</t>
        </is>
      </c>
      <c r="D546" s="13" t="inlineStr">
        <is>
          <t>WB-BRW-03</t>
        </is>
      </c>
      <c r="E546" s="15" t="inlineStr">
        <is>
          <t>Depricarping</t>
        </is>
      </c>
      <c r="F546" s="14" t="inlineStr">
        <is>
          <t>Web — Data Stasiun (WB-)</t>
        </is>
      </c>
      <c r="G546" s="15" t="inlineStr">
        <is>
          <t>"Jumlah Baris Terisi" tampil sebagai pecahan dari 24</t>
        </is>
      </c>
      <c r="H546" s="14" t="inlineStr">
        <is>
          <t>SPV-A</t>
        </is>
      </c>
      <c r="I546" s="14" t="inlineStr">
        <is>
          <t>satu record dengan 3 baris terisi</t>
        </is>
      </c>
      <c r="J546" s="14" t="inlineStr">
        <is>
          <t>1. Siapkan satu record dengan tepat 3 baris slot waktu terisi.
2. Login di web, lalu sidebar &gt; Data &gt; Depricarping (/data/depricarping), cari record itu.
3. Baca kolom Jumlah Baris Terisi pada baris itu.
4. Bandingkan dengan jumlah baris sebenarnya pada Detail record tersebut.</t>
        </is>
      </c>
      <c r="K546" s="14"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546" s="11" t="inlineStr">
        <is>
          <t>Sedang</t>
        </is>
      </c>
      <c r="M546" s="14"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546" s="17" t="n"/>
      <c r="O546" s="17" t="n"/>
      <c r="P546" s="17" t="n"/>
      <c r="Q546" s="17" t="n"/>
      <c r="R546" s="17" t="n"/>
    </row>
    <row r="547" ht="360.4" customHeight="1">
      <c r="A547" s="25" t="n">
        <v>543</v>
      </c>
      <c r="B547" s="26" t="n">
        <v>2</v>
      </c>
      <c r="C547" s="27" t="inlineStr">
        <is>
          <t>WB-BRW-03 / Engine Room</t>
        </is>
      </c>
      <c r="D547" s="27" t="inlineStr">
        <is>
          <t>WB-BRW-03</t>
        </is>
      </c>
      <c r="E547" s="28" t="inlineStr">
        <is>
          <t>Engine Room</t>
        </is>
      </c>
      <c r="F547" s="29" t="inlineStr">
        <is>
          <t>Web — Data Stasiun (WB-)</t>
        </is>
      </c>
      <c r="G547" s="28" t="inlineStr">
        <is>
          <t>"Jumlah Baris Terisi" tampil sebagai pecahan dari 24</t>
        </is>
      </c>
      <c r="H547" s="29" t="inlineStr">
        <is>
          <t>SPV-A</t>
        </is>
      </c>
      <c r="I547" s="29" t="inlineStr">
        <is>
          <t>satu record dengan 3 baris terisi</t>
        </is>
      </c>
      <c r="J547" s="29" t="inlineStr">
        <is>
          <t>1. Siapkan satu record dengan tepat 3 baris slot waktu terisi.
2. Login di web, lalu sidebar &gt; Data &gt; Engine Room (/data/engine-room), cari record itu.
3. Baca kolom Jumlah Baris Terisi pada baris itu.
4. Bandingkan dengan jumlah baris sebenarnya pada Detail record tersebut.</t>
        </is>
      </c>
      <c r="K547" s="29"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547" s="25" t="inlineStr">
        <is>
          <t>Sedang</t>
        </is>
      </c>
      <c r="M547" s="29"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547" s="17" t="n"/>
      <c r="O547" s="17" t="n"/>
      <c r="P547" s="17" t="n"/>
      <c r="Q547" s="17" t="n"/>
      <c r="R547" s="17" t="n"/>
    </row>
    <row r="548" ht="360.4" customHeight="1">
      <c r="A548" s="25" t="n">
        <v>544</v>
      </c>
      <c r="B548" s="26" t="n">
        <v>2</v>
      </c>
      <c r="C548" s="27" t="inlineStr">
        <is>
          <t>WB-BRW-03 / Process Water</t>
        </is>
      </c>
      <c r="D548" s="27" t="inlineStr">
        <is>
          <t>WB-BRW-03</t>
        </is>
      </c>
      <c r="E548" s="28" t="inlineStr">
        <is>
          <t>Process Water</t>
        </is>
      </c>
      <c r="F548" s="29" t="inlineStr">
        <is>
          <t>Web — Data Stasiun (WB-)</t>
        </is>
      </c>
      <c r="G548" s="28" t="inlineStr">
        <is>
          <t>"Jumlah Baris Terisi" tampil sebagai pecahan dari 24</t>
        </is>
      </c>
      <c r="H548" s="29" t="inlineStr">
        <is>
          <t>SPV-A</t>
        </is>
      </c>
      <c r="I548" s="29" t="inlineStr">
        <is>
          <t>satu record dengan 3 baris terisi</t>
        </is>
      </c>
      <c r="J548" s="29" t="inlineStr">
        <is>
          <t>1. Siapkan satu record dengan tepat 3 baris slot waktu terisi.
2. Login di web, lalu sidebar &gt; Data &gt; Process Water (/data/process-water), cari record itu.
3. Baca kolom Jumlah Baris Terisi pada baris itu.
4. Bandingkan dengan jumlah baris sebenarnya pada Detail record tersebut.</t>
        </is>
      </c>
      <c r="K548" s="29"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548" s="25" t="inlineStr">
        <is>
          <t>Sedang</t>
        </is>
      </c>
      <c r="M548" s="29"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548" s="17" t="n"/>
      <c r="O548" s="17" t="n"/>
      <c r="P548" s="17" t="n"/>
      <c r="Q548" s="17" t="n"/>
      <c r="R548" s="17" t="n"/>
    </row>
    <row r="549" ht="360.4" customHeight="1">
      <c r="A549" s="25" t="n">
        <v>545</v>
      </c>
      <c r="B549" s="26" t="n">
        <v>2</v>
      </c>
      <c r="C549" s="27" t="inlineStr">
        <is>
          <t>WB-BRW-03 / Storage Tank</t>
        </is>
      </c>
      <c r="D549" s="27" t="inlineStr">
        <is>
          <t>WB-BRW-03</t>
        </is>
      </c>
      <c r="E549" s="28" t="inlineStr">
        <is>
          <t>Storage Tank</t>
        </is>
      </c>
      <c r="F549" s="29" t="inlineStr">
        <is>
          <t>Web — Data Stasiun (WB-)</t>
        </is>
      </c>
      <c r="G549" s="28" t="inlineStr">
        <is>
          <t>"Jumlah Baris Terisi" tampil sebagai pecahan dari 24</t>
        </is>
      </c>
      <c r="H549" s="29" t="inlineStr">
        <is>
          <t>SPV-A</t>
        </is>
      </c>
      <c r="I549" s="29" t="inlineStr">
        <is>
          <t>satu record dengan 3 baris terisi</t>
        </is>
      </c>
      <c r="J549" s="29" t="inlineStr">
        <is>
          <t>1. Siapkan satu record dengan tepat 3 baris slot waktu terisi.
2. Login di web, lalu sidebar &gt; Data &gt; Storage Tank (/data/storage-tank), cari record itu.
3. Baca kolom Jumlah Baris Terisi pada baris itu.
4. Bandingkan dengan jumlah baris sebenarnya pada Detail record tersebut.</t>
        </is>
      </c>
      <c r="K549" s="29"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549" s="25" t="inlineStr">
        <is>
          <t>Sedang</t>
        </is>
      </c>
      <c r="M549" s="29"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549" s="17" t="n"/>
      <c r="O549" s="17" t="n"/>
      <c r="P549" s="17" t="n"/>
      <c r="Q549" s="17" t="n"/>
      <c r="R549" s="17" t="n"/>
    </row>
    <row r="550" ht="360.4" customHeight="1">
      <c r="A550" s="25" t="n">
        <v>546</v>
      </c>
      <c r="B550" s="26" t="n">
        <v>2</v>
      </c>
      <c r="C550" s="27" t="inlineStr">
        <is>
          <t>WB-BRW-03 / Process Quality Control</t>
        </is>
      </c>
      <c r="D550" s="27" t="inlineStr">
        <is>
          <t>WB-BRW-03</t>
        </is>
      </c>
      <c r="E550" s="28" t="inlineStr">
        <is>
          <t>Process Quality Control</t>
        </is>
      </c>
      <c r="F550" s="29" t="inlineStr">
        <is>
          <t>Web — Data Stasiun (WB-)</t>
        </is>
      </c>
      <c r="G550" s="28" t="inlineStr">
        <is>
          <t>"Jumlah Baris Terisi" tampil sebagai pecahan dari 24</t>
        </is>
      </c>
      <c r="H550" s="29" t="inlineStr">
        <is>
          <t>SPV-A</t>
        </is>
      </c>
      <c r="I550" s="29" t="inlineStr">
        <is>
          <t>satu record dengan 3 baris terisi</t>
        </is>
      </c>
      <c r="J550" s="29" t="inlineStr">
        <is>
          <t>1. Siapkan satu record dengan tepat 3 baris slot waktu terisi.
2. Login di web, lalu sidebar &gt; Data &gt; Process Quality Control (/data/process-quality-control), cari record itu.
3. Baca kolom Jumlah Baris Terisi pada baris itu.
4. Bandingkan dengan jumlah baris sebenarnya pada Detail record tersebut.</t>
        </is>
      </c>
      <c r="K550" s="29"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550" s="25" t="inlineStr">
        <is>
          <t>Sedang</t>
        </is>
      </c>
      <c r="M550" s="29"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550" s="17" t="n"/>
      <c r="O550" s="17" t="n"/>
      <c r="P550" s="17" t="n"/>
      <c r="Q550" s="17" t="n"/>
      <c r="R550" s="17" t="n"/>
    </row>
    <row r="551" ht="149.2" customHeight="1">
      <c r="A551" s="22" t="n">
        <v>547</v>
      </c>
      <c r="B551" s="22" t="n">
        <v>3</v>
      </c>
      <c r="C551" s="23" t="inlineStr">
        <is>
          <t>WB-BRW-04 / Weighbridge</t>
        </is>
      </c>
      <c r="D551" s="23" t="inlineStr">
        <is>
          <t>WB-BRW-04</t>
        </is>
      </c>
      <c r="E551" s="24" t="inlineStr">
        <is>
          <t>Weighbridge</t>
        </is>
      </c>
      <c r="F551" s="5" t="inlineStr">
        <is>
          <t>Web — Data Stasiun (WB-)</t>
        </is>
      </c>
      <c r="G551" s="24" t="inlineStr">
        <is>
          <t>Filter menghasilkan hasil yang konsisten antar halaman</t>
        </is>
      </c>
      <c r="H551" s="5" t="inlineStr">
        <is>
          <t>SPV-A</t>
        </is>
      </c>
      <c r="I551" s="5" t="inlineStr">
        <is>
          <t>data cukup untuk lebih dari satu halaman</t>
        </is>
      </c>
      <c r="J551" s="5" t="inlineStr">
        <is>
          <t>1. Pastikan stasiun ini punya data lebih dari satu halaman.
2. Login di web, lalu sidebar &gt; Data &gt; Weighbridge (/data/weighbridge).
3. Terapkan satu filter (rentang tanggal atau kata kunci) yang hasilnya lebih dari satu halaman.
4. Catat jumlah total hasil yang tertulis.
5. Buka halaman 2.
6. Periksa setiap baris di halaman 2: apakah semuanya masih cocok dengan filternya?</t>
        </is>
      </c>
      <c r="K551" s="5" t="inlineStr">
        <is>
          <t>- Seluruh baris di halaman 2 masih memenuhi filter yang diterapkan.
- Jumlah total hasil tidak berubah saat berpindah halaman.
- Filternya tidak tereset saat pindah halaman.</t>
        </is>
      </c>
      <c r="L551" s="16" t="inlineStr">
        <is>
          <t>Tinggi</t>
        </is>
      </c>
      <c r="M551" s="5" t="inlineStr"/>
      <c r="N551" s="17" t="n"/>
      <c r="O551" s="17" t="n"/>
      <c r="P551" s="17" t="n"/>
      <c r="Q551" s="17" t="n"/>
      <c r="R551" s="17" t="n"/>
    </row>
    <row r="552" ht="149.2" customHeight="1">
      <c r="A552" s="18" t="n">
        <v>548</v>
      </c>
      <c r="B552" s="18" t="n">
        <v>3</v>
      </c>
      <c r="C552" s="19" t="inlineStr">
        <is>
          <t>WB-BRW-04 / Grading</t>
        </is>
      </c>
      <c r="D552" s="19" t="inlineStr">
        <is>
          <t>WB-BRW-04</t>
        </is>
      </c>
      <c r="E552" s="20" t="inlineStr">
        <is>
          <t>Grading</t>
        </is>
      </c>
      <c r="F552" s="21" t="inlineStr">
        <is>
          <t>Web — Data Stasiun (WB-)</t>
        </is>
      </c>
      <c r="G552" s="20" t="inlineStr">
        <is>
          <t>Filter menghasilkan hasil yang konsisten antar halaman</t>
        </is>
      </c>
      <c r="H552" s="21" t="inlineStr">
        <is>
          <t>SPV-A</t>
        </is>
      </c>
      <c r="I552" s="21" t="inlineStr">
        <is>
          <t>data cukup untuk lebih dari satu halaman</t>
        </is>
      </c>
      <c r="J552" s="21" t="inlineStr">
        <is>
          <t>1. Pastikan stasiun ini punya data lebih dari satu halaman.
2. Login di web, lalu sidebar &gt; Data &gt; Grading (/data/grading).
3. Terapkan satu filter (rentang tanggal atau kata kunci) yang hasilnya lebih dari satu halaman.
4. Catat jumlah total hasil yang tertulis.
5. Buka halaman 2.
6. Periksa setiap baris di halaman 2: apakah semuanya masih cocok dengan filternya?</t>
        </is>
      </c>
      <c r="K552" s="21" t="inlineStr">
        <is>
          <t>- Seluruh baris di halaman 2 masih memenuhi filter yang diterapkan.
- Jumlah total hasil tidak berubah saat berpindah halaman.
- Filternya tidak tereset saat pindah halaman.</t>
        </is>
      </c>
      <c r="L552" s="16" t="inlineStr">
        <is>
          <t>Tinggi</t>
        </is>
      </c>
      <c r="M552" s="21" t="inlineStr"/>
      <c r="N552" s="17" t="n"/>
      <c r="O552" s="17" t="n"/>
      <c r="P552" s="17" t="n"/>
      <c r="Q552" s="17" t="n"/>
      <c r="R552" s="17" t="n"/>
    </row>
    <row r="553" ht="149.2" customHeight="1">
      <c r="A553" s="22" t="n">
        <v>549</v>
      </c>
      <c r="B553" s="22" t="n">
        <v>3</v>
      </c>
      <c r="C553" s="23" t="inlineStr">
        <is>
          <t>WB-BRW-04 / Cages Track</t>
        </is>
      </c>
      <c r="D553" s="23" t="inlineStr">
        <is>
          <t>WB-BRW-04</t>
        </is>
      </c>
      <c r="E553" s="24" t="inlineStr">
        <is>
          <t>Cages Track</t>
        </is>
      </c>
      <c r="F553" s="5" t="inlineStr">
        <is>
          <t>Web — Data Stasiun (WB-)</t>
        </is>
      </c>
      <c r="G553" s="24" t="inlineStr">
        <is>
          <t>Filter menghasilkan hasil yang konsisten antar halaman</t>
        </is>
      </c>
      <c r="H553" s="5" t="inlineStr">
        <is>
          <t>SPV-A</t>
        </is>
      </c>
      <c r="I553" s="5" t="inlineStr">
        <is>
          <t>data cukup untuk lebih dari satu halaman</t>
        </is>
      </c>
      <c r="J553" s="5" t="inlineStr">
        <is>
          <t>1. Pastikan stasiun ini punya data lebih dari satu halaman.
2. Login di web, lalu sidebar &gt; Data &gt; Cages Track (/data/cages-track).
3. Terapkan satu filter (rentang tanggal atau kata kunci) yang hasilnya lebih dari satu halaman.
4. Catat jumlah total hasil yang tertulis.
5. Buka halaman 2.
6. Periksa setiap baris di halaman 2: apakah semuanya masih cocok dengan filternya?</t>
        </is>
      </c>
      <c r="K553" s="5" t="inlineStr">
        <is>
          <t>- Seluruh baris di halaman 2 masih memenuhi filter yang diterapkan.
- Jumlah total hasil tidak berubah saat berpindah halaman.
- Filternya tidak tereset saat pindah halaman.</t>
        </is>
      </c>
      <c r="L553" s="16" t="inlineStr">
        <is>
          <t>Tinggi</t>
        </is>
      </c>
      <c r="M553" s="5" t="inlineStr"/>
      <c r="N553" s="17" t="n"/>
      <c r="O553" s="17" t="n"/>
      <c r="P553" s="17" t="n"/>
      <c r="Q553" s="17" t="n"/>
      <c r="R553" s="17" t="n"/>
    </row>
    <row r="554" ht="149.2" customHeight="1">
      <c r="A554" s="18" t="n">
        <v>550</v>
      </c>
      <c r="B554" s="18" t="n">
        <v>3</v>
      </c>
      <c r="C554" s="19" t="inlineStr">
        <is>
          <t>WB-BRW-04 / Sterilizer</t>
        </is>
      </c>
      <c r="D554" s="19" t="inlineStr">
        <is>
          <t>WB-BRW-04</t>
        </is>
      </c>
      <c r="E554" s="20" t="inlineStr">
        <is>
          <t>Sterilizer</t>
        </is>
      </c>
      <c r="F554" s="21" t="inlineStr">
        <is>
          <t>Web — Data Stasiun (WB-)</t>
        </is>
      </c>
      <c r="G554" s="20" t="inlineStr">
        <is>
          <t>Filter menghasilkan hasil yang konsisten antar halaman</t>
        </is>
      </c>
      <c r="H554" s="21" t="inlineStr">
        <is>
          <t>SPV-A</t>
        </is>
      </c>
      <c r="I554" s="21" t="inlineStr">
        <is>
          <t>data cukup untuk lebih dari satu halaman</t>
        </is>
      </c>
      <c r="J554" s="21" t="inlineStr">
        <is>
          <t>1. Pastikan stasiun ini punya data lebih dari satu halaman.
2. Login di web, lalu sidebar &gt; Data &gt; Sterilizer (/data/sterilizer).
3. Terapkan satu filter (rentang tanggal atau kata kunci) yang hasilnya lebih dari satu halaman.
4. Catat jumlah total hasil yang tertulis.
5. Buka halaman 2.
6. Periksa setiap baris di halaman 2: apakah semuanya masih cocok dengan filternya?</t>
        </is>
      </c>
      <c r="K554" s="21" t="inlineStr">
        <is>
          <t>- Seluruh baris di halaman 2 masih memenuhi filter yang diterapkan.
- Jumlah total hasil tidak berubah saat berpindah halaman.
- Filternya tidak tereset saat pindah halaman.</t>
        </is>
      </c>
      <c r="L554" s="16" t="inlineStr">
        <is>
          <t>Tinggi</t>
        </is>
      </c>
      <c r="M554" s="21" t="inlineStr"/>
      <c r="N554" s="17" t="n"/>
      <c r="O554" s="17" t="n"/>
      <c r="P554" s="17" t="n"/>
      <c r="Q554" s="17" t="n"/>
      <c r="R554" s="17" t="n"/>
    </row>
    <row r="555" ht="149.2" customHeight="1">
      <c r="A555" s="22" t="n">
        <v>551</v>
      </c>
      <c r="B555" s="22" t="n">
        <v>3</v>
      </c>
      <c r="C555" s="23" t="inlineStr">
        <is>
          <t>WB-BRW-04 / Threshing</t>
        </is>
      </c>
      <c r="D555" s="23" t="inlineStr">
        <is>
          <t>WB-BRW-04</t>
        </is>
      </c>
      <c r="E555" s="24" t="inlineStr">
        <is>
          <t>Threshing</t>
        </is>
      </c>
      <c r="F555" s="5" t="inlineStr">
        <is>
          <t>Web — Data Stasiun (WB-)</t>
        </is>
      </c>
      <c r="G555" s="24" t="inlineStr">
        <is>
          <t>Filter menghasilkan hasil yang konsisten antar halaman</t>
        </is>
      </c>
      <c r="H555" s="5" t="inlineStr">
        <is>
          <t>SPV-A</t>
        </is>
      </c>
      <c r="I555" s="5" t="inlineStr">
        <is>
          <t>data cukup untuk lebih dari satu halaman</t>
        </is>
      </c>
      <c r="J555" s="5" t="inlineStr">
        <is>
          <t>1. Pastikan stasiun ini punya data lebih dari satu halaman.
2. Login di web, lalu sidebar &gt; Data &gt; Threshing (/data/threshing).
3. Terapkan satu filter (rentang tanggal atau kata kunci) yang hasilnya lebih dari satu halaman.
4. Catat jumlah total hasil yang tertulis.
5. Buka halaman 2.
6. Periksa setiap baris di halaman 2: apakah semuanya masih cocok dengan filternya?</t>
        </is>
      </c>
      <c r="K555" s="5" t="inlineStr">
        <is>
          <t>- Seluruh baris di halaman 2 masih memenuhi filter yang diterapkan.
- Jumlah total hasil tidak berubah saat berpindah halaman.
- Filternya tidak tereset saat pindah halaman.</t>
        </is>
      </c>
      <c r="L555" s="16" t="inlineStr">
        <is>
          <t>Tinggi</t>
        </is>
      </c>
      <c r="M555" s="5" t="inlineStr"/>
      <c r="N555" s="17" t="n"/>
      <c r="O555" s="17" t="n"/>
      <c r="P555" s="17" t="n"/>
      <c r="Q555" s="17" t="n"/>
      <c r="R555" s="17" t="n"/>
    </row>
    <row r="556" ht="149.2" customHeight="1">
      <c r="A556" s="18" t="n">
        <v>552</v>
      </c>
      <c r="B556" s="18" t="n">
        <v>3</v>
      </c>
      <c r="C556" s="19" t="inlineStr">
        <is>
          <t>WB-BRW-04 / Pressing</t>
        </is>
      </c>
      <c r="D556" s="19" t="inlineStr">
        <is>
          <t>WB-BRW-04</t>
        </is>
      </c>
      <c r="E556" s="20" t="inlineStr">
        <is>
          <t>Pressing</t>
        </is>
      </c>
      <c r="F556" s="21" t="inlineStr">
        <is>
          <t>Web — Data Stasiun (WB-)</t>
        </is>
      </c>
      <c r="G556" s="20" t="inlineStr">
        <is>
          <t>Filter menghasilkan hasil yang konsisten antar halaman</t>
        </is>
      </c>
      <c r="H556" s="21" t="inlineStr">
        <is>
          <t>SPV-A</t>
        </is>
      </c>
      <c r="I556" s="21" t="inlineStr">
        <is>
          <t>data cukup untuk lebih dari satu halaman</t>
        </is>
      </c>
      <c r="J556" s="21" t="inlineStr">
        <is>
          <t>1. Pastikan stasiun ini punya data lebih dari satu halaman.
2. Login di web, lalu sidebar &gt; Data &gt; Pressing (/data/pressing).
3. Terapkan satu filter (rentang tanggal atau kata kunci) yang hasilnya lebih dari satu halaman.
4. Catat jumlah total hasil yang tertulis.
5. Buka halaman 2.
6. Periksa setiap baris di halaman 2: apakah semuanya masih cocok dengan filternya?</t>
        </is>
      </c>
      <c r="K556" s="21" t="inlineStr">
        <is>
          <t>- Seluruh baris di halaman 2 masih memenuhi filter yang diterapkan.
- Jumlah total hasil tidak berubah saat berpindah halaman.
- Filternya tidak tereset saat pindah halaman.</t>
        </is>
      </c>
      <c r="L556" s="16" t="inlineStr">
        <is>
          <t>Tinggi</t>
        </is>
      </c>
      <c r="M556" s="21" t="inlineStr"/>
      <c r="N556" s="17" t="n"/>
      <c r="O556" s="17" t="n"/>
      <c r="P556" s="17" t="n"/>
      <c r="Q556" s="17" t="n"/>
      <c r="R556" s="17" t="n"/>
    </row>
    <row r="557" ht="149.2" customHeight="1">
      <c r="A557" s="22" t="n">
        <v>553</v>
      </c>
      <c r="B557" s="22" t="n">
        <v>3</v>
      </c>
      <c r="C557" s="23" t="inlineStr">
        <is>
          <t>WB-BRW-04 / Clarification</t>
        </is>
      </c>
      <c r="D557" s="23" t="inlineStr">
        <is>
          <t>WB-BRW-04</t>
        </is>
      </c>
      <c r="E557" s="24" t="inlineStr">
        <is>
          <t>Clarification</t>
        </is>
      </c>
      <c r="F557" s="5" t="inlineStr">
        <is>
          <t>Web — Data Stasiun (WB-)</t>
        </is>
      </c>
      <c r="G557" s="24" t="inlineStr">
        <is>
          <t>Filter menghasilkan hasil yang konsisten antar halaman</t>
        </is>
      </c>
      <c r="H557" s="5" t="inlineStr">
        <is>
          <t>SPV-A</t>
        </is>
      </c>
      <c r="I557" s="5" t="inlineStr">
        <is>
          <t>data cukup untuk lebih dari satu halaman</t>
        </is>
      </c>
      <c r="J557" s="5" t="inlineStr">
        <is>
          <t>1. Pastikan stasiun ini punya data lebih dari satu halaman.
2. Login di web, lalu sidebar &gt; Data &gt; Clarification (/data/clarification).
3. Terapkan satu filter (rentang tanggal atau kata kunci) yang hasilnya lebih dari satu halaman.
4. Catat jumlah total hasil yang tertulis.
5. Buka halaman 2.
6. Periksa setiap baris di halaman 2: apakah semuanya masih cocok dengan filternya?</t>
        </is>
      </c>
      <c r="K557" s="5" t="inlineStr">
        <is>
          <t>- Seluruh baris di halaman 2 masih memenuhi filter yang diterapkan.
- Jumlah total hasil tidak berubah saat berpindah halaman.
- Filternya tidak tereset saat pindah halaman.</t>
        </is>
      </c>
      <c r="L557" s="16" t="inlineStr">
        <is>
          <t>Tinggi</t>
        </is>
      </c>
      <c r="M557" s="5" t="inlineStr"/>
      <c r="N557" s="17" t="n"/>
      <c r="O557" s="17" t="n"/>
      <c r="P557" s="17" t="n"/>
      <c r="Q557" s="17" t="n"/>
      <c r="R557" s="17" t="n"/>
    </row>
    <row r="558" ht="149.2" customHeight="1">
      <c r="A558" s="18" t="n">
        <v>554</v>
      </c>
      <c r="B558" s="18" t="n">
        <v>3</v>
      </c>
      <c r="C558" s="19" t="inlineStr">
        <is>
          <t>WB-BRW-04 / Kernel Plant</t>
        </is>
      </c>
      <c r="D558" s="19" t="inlineStr">
        <is>
          <t>WB-BRW-04</t>
        </is>
      </c>
      <c r="E558" s="20" t="inlineStr">
        <is>
          <t>Kernel Plant</t>
        </is>
      </c>
      <c r="F558" s="21" t="inlineStr">
        <is>
          <t>Web — Data Stasiun (WB-)</t>
        </is>
      </c>
      <c r="G558" s="20" t="inlineStr">
        <is>
          <t>Filter menghasilkan hasil yang konsisten antar halaman</t>
        </is>
      </c>
      <c r="H558" s="21" t="inlineStr">
        <is>
          <t>SPV-A</t>
        </is>
      </c>
      <c r="I558" s="21" t="inlineStr">
        <is>
          <t>data cukup untuk lebih dari satu halaman</t>
        </is>
      </c>
      <c r="J558" s="21" t="inlineStr">
        <is>
          <t>1. Pastikan stasiun ini punya data lebih dari satu halaman.
2. Login di web, lalu sidebar &gt; Data &gt; Kernel Plant (/data/kernel-plant).
3. Terapkan satu filter (rentang tanggal atau kata kunci) yang hasilnya lebih dari satu halaman.
4. Catat jumlah total hasil yang tertulis.
5. Buka halaman 2.
6. Periksa setiap baris di halaman 2: apakah semuanya masih cocok dengan filternya?</t>
        </is>
      </c>
      <c r="K558" s="21" t="inlineStr">
        <is>
          <t>- Seluruh baris di halaman 2 masih memenuhi filter yang diterapkan.
- Jumlah total hasil tidak berubah saat berpindah halaman.
- Filternya tidak tereset saat pindah halaman.</t>
        </is>
      </c>
      <c r="L558" s="16" t="inlineStr">
        <is>
          <t>Tinggi</t>
        </is>
      </c>
      <c r="M558" s="21" t="inlineStr"/>
      <c r="N558" s="17" t="n"/>
      <c r="O558" s="17" t="n"/>
      <c r="P558" s="17" t="n"/>
      <c r="Q558" s="17" t="n"/>
      <c r="R558" s="17" t="n"/>
    </row>
    <row r="559" ht="149.2" customHeight="1">
      <c r="A559" s="22" t="n">
        <v>555</v>
      </c>
      <c r="B559" s="22" t="n">
        <v>3</v>
      </c>
      <c r="C559" s="23" t="inlineStr">
        <is>
          <t>WB-BRW-04 / Boiler Room</t>
        </is>
      </c>
      <c r="D559" s="23" t="inlineStr">
        <is>
          <t>WB-BRW-04</t>
        </is>
      </c>
      <c r="E559" s="24" t="inlineStr">
        <is>
          <t>Boiler Room</t>
        </is>
      </c>
      <c r="F559" s="5" t="inlineStr">
        <is>
          <t>Web — Data Stasiun (WB-)</t>
        </is>
      </c>
      <c r="G559" s="24" t="inlineStr">
        <is>
          <t>Filter menghasilkan hasil yang konsisten antar halaman</t>
        </is>
      </c>
      <c r="H559" s="5" t="inlineStr">
        <is>
          <t>SPV-A</t>
        </is>
      </c>
      <c r="I559" s="5" t="inlineStr">
        <is>
          <t>data cukup untuk lebih dari satu halaman</t>
        </is>
      </c>
      <c r="J559" s="5" t="inlineStr">
        <is>
          <t>1. Pastikan stasiun ini punya data lebih dari satu halaman.
2. Login di web, lalu sidebar &gt; Data &gt; Boiler Room (/data/boiler-room).
3. Terapkan satu filter (rentang tanggal atau kata kunci) yang hasilnya lebih dari satu halaman.
4. Catat jumlah total hasil yang tertulis.
5. Buka halaman 2.
6. Periksa setiap baris di halaman 2: apakah semuanya masih cocok dengan filternya?</t>
        </is>
      </c>
      <c r="K559" s="5" t="inlineStr">
        <is>
          <t>- Seluruh baris di halaman 2 masih memenuhi filter yang diterapkan.
- Jumlah total hasil tidak berubah saat berpindah halaman.
- Filternya tidak tereset saat pindah halaman.</t>
        </is>
      </c>
      <c r="L559" s="16" t="inlineStr">
        <is>
          <t>Tinggi</t>
        </is>
      </c>
      <c r="M559" s="5" t="inlineStr"/>
      <c r="N559" s="17" t="n"/>
      <c r="O559" s="17" t="n"/>
      <c r="P559" s="17" t="n"/>
      <c r="Q559" s="17" t="n"/>
      <c r="R559" s="17" t="n"/>
    </row>
    <row r="560" ht="149.2" customHeight="1">
      <c r="A560" s="18" t="n">
        <v>556</v>
      </c>
      <c r="B560" s="18" t="n">
        <v>3</v>
      </c>
      <c r="C560" s="19" t="inlineStr">
        <is>
          <t>WB-BRW-04 / Effluent Plant</t>
        </is>
      </c>
      <c r="D560" s="19" t="inlineStr">
        <is>
          <t>WB-BRW-04</t>
        </is>
      </c>
      <c r="E560" s="20" t="inlineStr">
        <is>
          <t>Effluent Plant</t>
        </is>
      </c>
      <c r="F560" s="21" t="inlineStr">
        <is>
          <t>Web — Data Stasiun (WB-)</t>
        </is>
      </c>
      <c r="G560" s="20" t="inlineStr">
        <is>
          <t>Filter menghasilkan hasil yang konsisten antar halaman</t>
        </is>
      </c>
      <c r="H560" s="21" t="inlineStr">
        <is>
          <t>SPV-A</t>
        </is>
      </c>
      <c r="I560" s="21" t="inlineStr">
        <is>
          <t>data cukup untuk lebih dari satu halaman</t>
        </is>
      </c>
      <c r="J560" s="21" t="inlineStr">
        <is>
          <t>1. Pastikan stasiun ini punya data lebih dari satu halaman.
2. Login di web, lalu sidebar &gt; Data &gt; Effluent Plant (/data/effluent-plant).
3. Terapkan satu filter (rentang tanggal atau kata kunci) yang hasilnya lebih dari satu halaman.
4. Catat jumlah total hasil yang tertulis.
5. Buka halaman 2.
6. Periksa setiap baris di halaman 2: apakah semuanya masih cocok dengan filternya?</t>
        </is>
      </c>
      <c r="K560" s="21" t="inlineStr">
        <is>
          <t>- Seluruh baris di halaman 2 masih memenuhi filter yang diterapkan.
- Jumlah total hasil tidak berubah saat berpindah halaman.
- Filternya tidak tereset saat pindah halaman.</t>
        </is>
      </c>
      <c r="L560" s="16" t="inlineStr">
        <is>
          <t>Tinggi</t>
        </is>
      </c>
      <c r="M560" s="21" t="inlineStr"/>
      <c r="N560" s="17" t="n"/>
      <c r="O560" s="17" t="n"/>
      <c r="P560" s="17" t="n"/>
      <c r="Q560" s="17" t="n"/>
      <c r="R560" s="17" t="n"/>
    </row>
    <row r="561" ht="149.2" customHeight="1">
      <c r="A561" s="11" t="n">
        <v>557</v>
      </c>
      <c r="B561" s="12" t="n">
        <v>1</v>
      </c>
      <c r="C561" s="13" t="inlineStr">
        <is>
          <t>WB-BRW-04 / Depricarping</t>
        </is>
      </c>
      <c r="D561" s="13" t="inlineStr">
        <is>
          <t>WB-BRW-04</t>
        </is>
      </c>
      <c r="E561" s="15" t="inlineStr">
        <is>
          <t>Depricarping</t>
        </is>
      </c>
      <c r="F561" s="14" t="inlineStr">
        <is>
          <t>Web — Data Stasiun (WB-)</t>
        </is>
      </c>
      <c r="G561" s="15" t="inlineStr">
        <is>
          <t>Filter menghasilkan hasil yang konsisten antar halaman</t>
        </is>
      </c>
      <c r="H561" s="14" t="inlineStr">
        <is>
          <t>SPV-A</t>
        </is>
      </c>
      <c r="I561" s="14" t="inlineStr">
        <is>
          <t>data cukup untuk lebih dari satu halaman</t>
        </is>
      </c>
      <c r="J561" s="14" t="inlineStr">
        <is>
          <t>1. Pastikan stasiun ini punya data lebih dari satu halaman.
2. Login di web, lalu sidebar &gt; Data &gt; Depricarping (/data/depricarping).
3. Terapkan satu filter (rentang tanggal atau kata kunci) yang hasilnya lebih dari satu halaman.
4. Catat jumlah total hasil yang tertulis.
5. Buka halaman 2.
6. Periksa setiap baris di halaman 2: apakah semuanya masih cocok dengan filternya?</t>
        </is>
      </c>
      <c r="K561" s="14" t="inlineStr">
        <is>
          <t>- Seluruh baris di halaman 2 masih memenuhi filter yang diterapkan.
- Jumlah total hasil tidak berubah saat berpindah halaman.
- Filternya tidak tereset saat pindah halaman.</t>
        </is>
      </c>
      <c r="L561" s="16" t="inlineStr">
        <is>
          <t>Tinggi</t>
        </is>
      </c>
      <c r="M561" s="14" t="inlineStr"/>
      <c r="N561" s="17" t="n"/>
      <c r="O561" s="17" t="n"/>
      <c r="P561" s="17" t="n"/>
      <c r="Q561" s="17" t="n"/>
      <c r="R561" s="17" t="n"/>
    </row>
    <row r="562" ht="149.2" customHeight="1">
      <c r="A562" s="18" t="n">
        <v>558</v>
      </c>
      <c r="B562" s="18" t="n">
        <v>3</v>
      </c>
      <c r="C562" s="19" t="inlineStr">
        <is>
          <t>WB-BRW-04 / Engine Room</t>
        </is>
      </c>
      <c r="D562" s="19" t="inlineStr">
        <is>
          <t>WB-BRW-04</t>
        </is>
      </c>
      <c r="E562" s="20" t="inlineStr">
        <is>
          <t>Engine Room</t>
        </is>
      </c>
      <c r="F562" s="21" t="inlineStr">
        <is>
          <t>Web — Data Stasiun (WB-)</t>
        </is>
      </c>
      <c r="G562" s="20" t="inlineStr">
        <is>
          <t>Filter menghasilkan hasil yang konsisten antar halaman</t>
        </is>
      </c>
      <c r="H562" s="21" t="inlineStr">
        <is>
          <t>SPV-A</t>
        </is>
      </c>
      <c r="I562" s="21" t="inlineStr">
        <is>
          <t>data cukup untuk lebih dari satu halaman</t>
        </is>
      </c>
      <c r="J562" s="21" t="inlineStr">
        <is>
          <t>1. Pastikan stasiun ini punya data lebih dari satu halaman.
2. Login di web, lalu sidebar &gt; Data &gt; Engine Room (/data/engine-room).
3. Terapkan satu filter (rentang tanggal atau kata kunci) yang hasilnya lebih dari satu halaman.
4. Catat jumlah total hasil yang tertulis.
5. Buka halaman 2.
6. Periksa setiap baris di halaman 2: apakah semuanya masih cocok dengan filternya?</t>
        </is>
      </c>
      <c r="K562" s="21" t="inlineStr">
        <is>
          <t>- Seluruh baris di halaman 2 masih memenuhi filter yang diterapkan.
- Jumlah total hasil tidak berubah saat berpindah halaman.
- Filternya tidak tereset saat pindah halaman.</t>
        </is>
      </c>
      <c r="L562" s="16" t="inlineStr">
        <is>
          <t>Tinggi</t>
        </is>
      </c>
      <c r="M562" s="21" t="inlineStr"/>
      <c r="N562" s="17" t="n"/>
      <c r="O562" s="17" t="n"/>
      <c r="P562" s="17" t="n"/>
      <c r="Q562" s="17" t="n"/>
      <c r="R562" s="17" t="n"/>
    </row>
    <row r="563" ht="149.2" customHeight="1">
      <c r="A563" s="22" t="n">
        <v>559</v>
      </c>
      <c r="B563" s="22" t="n">
        <v>3</v>
      </c>
      <c r="C563" s="23" t="inlineStr">
        <is>
          <t>WB-BRW-04 / Process Water</t>
        </is>
      </c>
      <c r="D563" s="23" t="inlineStr">
        <is>
          <t>WB-BRW-04</t>
        </is>
      </c>
      <c r="E563" s="24" t="inlineStr">
        <is>
          <t>Process Water</t>
        </is>
      </c>
      <c r="F563" s="5" t="inlineStr">
        <is>
          <t>Web — Data Stasiun (WB-)</t>
        </is>
      </c>
      <c r="G563" s="24" t="inlineStr">
        <is>
          <t>Filter menghasilkan hasil yang konsisten antar halaman</t>
        </is>
      </c>
      <c r="H563" s="5" t="inlineStr">
        <is>
          <t>SPV-A</t>
        </is>
      </c>
      <c r="I563" s="5" t="inlineStr">
        <is>
          <t>data cukup untuk lebih dari satu halaman</t>
        </is>
      </c>
      <c r="J563" s="5" t="inlineStr">
        <is>
          <t>1. Pastikan stasiun ini punya data lebih dari satu halaman.
2. Login di web, lalu sidebar &gt; Data &gt; Process Water (/data/process-water).
3. Terapkan satu filter (rentang tanggal atau kata kunci) yang hasilnya lebih dari satu halaman.
4. Catat jumlah total hasil yang tertulis.
5. Buka halaman 2.
6. Periksa setiap baris di halaman 2: apakah semuanya masih cocok dengan filternya?</t>
        </is>
      </c>
      <c r="K563" s="5" t="inlineStr">
        <is>
          <t>- Seluruh baris di halaman 2 masih memenuhi filter yang diterapkan.
- Jumlah total hasil tidak berubah saat berpindah halaman.
- Filternya tidak tereset saat pindah halaman.</t>
        </is>
      </c>
      <c r="L563" s="16" t="inlineStr">
        <is>
          <t>Tinggi</t>
        </is>
      </c>
      <c r="M563" s="5" t="inlineStr"/>
      <c r="N563" s="17" t="n"/>
      <c r="O563" s="17" t="n"/>
      <c r="P563" s="17" t="n"/>
      <c r="Q563" s="17" t="n"/>
      <c r="R563" s="17" t="n"/>
    </row>
    <row r="564" ht="149.2" customHeight="1">
      <c r="A564" s="18" t="n">
        <v>560</v>
      </c>
      <c r="B564" s="18" t="n">
        <v>3</v>
      </c>
      <c r="C564" s="19" t="inlineStr">
        <is>
          <t>WB-BRW-04 / Storage Tank</t>
        </is>
      </c>
      <c r="D564" s="19" t="inlineStr">
        <is>
          <t>WB-BRW-04</t>
        </is>
      </c>
      <c r="E564" s="20" t="inlineStr">
        <is>
          <t>Storage Tank</t>
        </is>
      </c>
      <c r="F564" s="21" t="inlineStr">
        <is>
          <t>Web — Data Stasiun (WB-)</t>
        </is>
      </c>
      <c r="G564" s="20" t="inlineStr">
        <is>
          <t>Filter menghasilkan hasil yang konsisten antar halaman</t>
        </is>
      </c>
      <c r="H564" s="21" t="inlineStr">
        <is>
          <t>SPV-A</t>
        </is>
      </c>
      <c r="I564" s="21" t="inlineStr">
        <is>
          <t>data cukup untuk lebih dari satu halaman</t>
        </is>
      </c>
      <c r="J564" s="21" t="inlineStr">
        <is>
          <t>1. Pastikan stasiun ini punya data lebih dari satu halaman.
2. Login di web, lalu sidebar &gt; Data &gt; Storage Tank (/data/storage-tank).
3. Terapkan satu filter (rentang tanggal atau kata kunci) yang hasilnya lebih dari satu halaman.
4. Catat jumlah total hasil yang tertulis.
5. Buka halaman 2.
6. Periksa setiap baris di halaman 2: apakah semuanya masih cocok dengan filternya?</t>
        </is>
      </c>
      <c r="K564" s="21" t="inlineStr">
        <is>
          <t>- Seluruh baris di halaman 2 masih memenuhi filter yang diterapkan.
- Jumlah total hasil tidak berubah saat berpindah halaman.
- Filternya tidak tereset saat pindah halaman.</t>
        </is>
      </c>
      <c r="L564" s="16" t="inlineStr">
        <is>
          <t>Tinggi</t>
        </is>
      </c>
      <c r="M564" s="21" t="inlineStr"/>
      <c r="N564" s="17" t="n"/>
      <c r="O564" s="17" t="n"/>
      <c r="P564" s="17" t="n"/>
      <c r="Q564" s="17" t="n"/>
      <c r="R564" s="17" t="n"/>
    </row>
    <row r="565" ht="162.4" customHeight="1">
      <c r="A565" s="22" t="n">
        <v>561</v>
      </c>
      <c r="B565" s="22" t="n">
        <v>3</v>
      </c>
      <c r="C565" s="23" t="inlineStr">
        <is>
          <t>WB-BRW-04 / Solid Waste Disposal</t>
        </is>
      </c>
      <c r="D565" s="23" t="inlineStr">
        <is>
          <t>WB-BRW-04</t>
        </is>
      </c>
      <c r="E565" s="24" t="inlineStr">
        <is>
          <t>Solid Waste Disposal</t>
        </is>
      </c>
      <c r="F565" s="5" t="inlineStr">
        <is>
          <t>Web — Data Stasiun (WB-)</t>
        </is>
      </c>
      <c r="G565" s="24" t="inlineStr">
        <is>
          <t>Filter menghasilkan hasil yang konsisten antar halaman</t>
        </is>
      </c>
      <c r="H565" s="5" t="inlineStr">
        <is>
          <t>SPV-A</t>
        </is>
      </c>
      <c r="I565" s="5" t="inlineStr">
        <is>
          <t>data cukup untuk lebih dari satu halaman</t>
        </is>
      </c>
      <c r="J565" s="5" t="inlineStr">
        <is>
          <t>1. Pastikan stasiun ini punya data lebih dari satu halaman.
2. Login di web, lalu sidebar &gt; Data &gt; Solid Waste Disposal (/data/solid-waste-disposal).
3. Terapkan satu filter (rentang tanggal atau kata kunci) yang hasilnya lebih dari satu halaman.
4. Catat jumlah total hasil yang tertulis.
5. Buka halaman 2.
6. Periksa setiap baris di halaman 2: apakah semuanya masih cocok dengan filternya?</t>
        </is>
      </c>
      <c r="K565" s="5" t="inlineStr">
        <is>
          <t>- Seluruh baris di halaman 2 masih memenuhi filter yang diterapkan.
- Jumlah total hasil tidak berubah saat berpindah halaman.
- Filternya tidak tereset saat pindah halaman.</t>
        </is>
      </c>
      <c r="L565" s="16" t="inlineStr">
        <is>
          <t>Tinggi</t>
        </is>
      </c>
      <c r="M565" s="5" t="inlineStr"/>
      <c r="N565" s="17" t="n"/>
      <c r="O565" s="17" t="n"/>
      <c r="P565" s="17" t="n"/>
      <c r="Q565" s="17" t="n"/>
      <c r="R565" s="17" t="n"/>
    </row>
    <row r="566" ht="149.2" customHeight="1">
      <c r="A566" s="18" t="n">
        <v>562</v>
      </c>
      <c r="B566" s="18" t="n">
        <v>3</v>
      </c>
      <c r="C566" s="19" t="inlineStr">
        <is>
          <t>WB-BRW-04 / Kernel Dispatch</t>
        </is>
      </c>
      <c r="D566" s="19" t="inlineStr">
        <is>
          <t>WB-BRW-04</t>
        </is>
      </c>
      <c r="E566" s="20" t="inlineStr">
        <is>
          <t>Kernel Dispatch</t>
        </is>
      </c>
      <c r="F566" s="21" t="inlineStr">
        <is>
          <t>Web — Data Stasiun (WB-)</t>
        </is>
      </c>
      <c r="G566" s="20" t="inlineStr">
        <is>
          <t>Filter menghasilkan hasil yang konsisten antar halaman</t>
        </is>
      </c>
      <c r="H566" s="21" t="inlineStr">
        <is>
          <t>SPV-A</t>
        </is>
      </c>
      <c r="I566" s="21" t="inlineStr">
        <is>
          <t>data cukup untuk lebih dari satu halaman</t>
        </is>
      </c>
      <c r="J566" s="21" t="inlineStr">
        <is>
          <t>1. Pastikan stasiun ini punya data lebih dari satu halaman.
2. Login di web, lalu sidebar &gt; Data &gt; Kernel Dispatch (/data/kernel-dispatch).
3. Terapkan satu filter (rentang tanggal atau kata kunci) yang hasilnya lebih dari satu halaman.
4. Catat jumlah total hasil yang tertulis.
5. Buka halaman 2.
6. Periksa setiap baris di halaman 2: apakah semuanya masih cocok dengan filternya?</t>
        </is>
      </c>
      <c r="K566" s="21" t="inlineStr">
        <is>
          <t>- Seluruh baris di halaman 2 masih memenuhi filter yang diterapkan.
- Jumlah total hasil tidak berubah saat berpindah halaman.
- Filternya tidak tereset saat pindah halaman.</t>
        </is>
      </c>
      <c r="L566" s="16" t="inlineStr">
        <is>
          <t>Tinggi</t>
        </is>
      </c>
      <c r="M566" s="21" t="inlineStr"/>
      <c r="N566" s="17" t="n"/>
      <c r="O566" s="17" t="n"/>
      <c r="P566" s="17" t="n"/>
      <c r="Q566" s="17" t="n"/>
      <c r="R566" s="17" t="n"/>
    </row>
    <row r="567" ht="149.2" customHeight="1">
      <c r="A567" s="22" t="n">
        <v>563</v>
      </c>
      <c r="B567" s="22" t="n">
        <v>3</v>
      </c>
      <c r="C567" s="23" t="inlineStr">
        <is>
          <t>WB-BRW-04 / CPO Dispatch</t>
        </is>
      </c>
      <c r="D567" s="23" t="inlineStr">
        <is>
          <t>WB-BRW-04</t>
        </is>
      </c>
      <c r="E567" s="24" t="inlineStr">
        <is>
          <t>CPO Dispatch</t>
        </is>
      </c>
      <c r="F567" s="5" t="inlineStr">
        <is>
          <t>Web — Data Stasiun (WB-)</t>
        </is>
      </c>
      <c r="G567" s="24" t="inlineStr">
        <is>
          <t>Filter menghasilkan hasil yang konsisten antar halaman</t>
        </is>
      </c>
      <c r="H567" s="5" t="inlineStr">
        <is>
          <t>SPV-A</t>
        </is>
      </c>
      <c r="I567" s="5" t="inlineStr">
        <is>
          <t>data cukup untuk lebih dari satu halaman</t>
        </is>
      </c>
      <c r="J567" s="5" t="inlineStr">
        <is>
          <t>1. Pastikan stasiun ini punya data lebih dari satu halaman.
2. Login di web, lalu sidebar &gt; Data &gt; CPO Dispatch (/data/cpo-dispatch).
3. Terapkan satu filter (rentang tanggal atau kata kunci) yang hasilnya lebih dari satu halaman.
4. Catat jumlah total hasil yang tertulis.
5. Buka halaman 2.
6. Periksa setiap baris di halaman 2: apakah semuanya masih cocok dengan filternya?</t>
        </is>
      </c>
      <c r="K567" s="5" t="inlineStr">
        <is>
          <t>- Seluruh baris di halaman 2 masih memenuhi filter yang diterapkan.
- Jumlah total hasil tidak berubah saat berpindah halaman.
- Filternya tidak tereset saat pindah halaman.</t>
        </is>
      </c>
      <c r="L567" s="16" t="inlineStr">
        <is>
          <t>Tinggi</t>
        </is>
      </c>
      <c r="M567" s="5" t="inlineStr"/>
      <c r="N567" s="17" t="n"/>
      <c r="O567" s="17" t="n"/>
      <c r="P567" s="17" t="n"/>
      <c r="Q567" s="17" t="n"/>
      <c r="R567" s="17" t="n"/>
    </row>
    <row r="568" ht="162.4" customHeight="1">
      <c r="A568" s="18" t="n">
        <v>564</v>
      </c>
      <c r="B568" s="18" t="n">
        <v>3</v>
      </c>
      <c r="C568" s="19" t="inlineStr">
        <is>
          <t>WB-BRW-04 / Process Quality Control</t>
        </is>
      </c>
      <c r="D568" s="19" t="inlineStr">
        <is>
          <t>WB-BRW-04</t>
        </is>
      </c>
      <c r="E568" s="20" t="inlineStr">
        <is>
          <t>Process Quality Control</t>
        </is>
      </c>
      <c r="F568" s="21" t="inlineStr">
        <is>
          <t>Web — Data Stasiun (WB-)</t>
        </is>
      </c>
      <c r="G568" s="20" t="inlineStr">
        <is>
          <t>Filter menghasilkan hasil yang konsisten antar halaman</t>
        </is>
      </c>
      <c r="H568" s="21" t="inlineStr">
        <is>
          <t>SPV-A</t>
        </is>
      </c>
      <c r="I568" s="21" t="inlineStr">
        <is>
          <t>data cukup untuk lebih dari satu halaman</t>
        </is>
      </c>
      <c r="J568" s="21" t="inlineStr">
        <is>
          <t>1. Pastikan stasiun ini punya data lebih dari satu halaman.
2. Login di web, lalu sidebar &gt; Data &gt; Process Quality Control (/data/process-quality-control).
3. Terapkan satu filter (rentang tanggal atau kata kunci) yang hasilnya lebih dari satu halaman.
4. Catat jumlah total hasil yang tertulis.
5. Buka halaman 2.
6. Periksa setiap baris di halaman 2: apakah semuanya masih cocok dengan filternya?</t>
        </is>
      </c>
      <c r="K568" s="21" t="inlineStr">
        <is>
          <t>- Seluruh baris di halaman 2 masih memenuhi filter yang diterapkan.
- Jumlah total hasil tidak berubah saat berpindah halaman.
- Filternya tidak tereset saat pindah halaman.</t>
        </is>
      </c>
      <c r="L568" s="16" t="inlineStr">
        <is>
          <t>Tinggi</t>
        </is>
      </c>
      <c r="M568" s="21" t="inlineStr"/>
      <c r="N568" s="17" t="n"/>
      <c r="O568" s="17" t="n"/>
      <c r="P568" s="17" t="n"/>
      <c r="Q568" s="17" t="n"/>
      <c r="R568" s="17" t="n"/>
    </row>
    <row r="569" ht="96.39999999999999" customHeight="1">
      <c r="A569" s="22" t="n">
        <v>565</v>
      </c>
      <c r="B569" s="22" t="n">
        <v>3</v>
      </c>
      <c r="C569" s="23" t="inlineStr">
        <is>
          <t>WB-BRW-05 / Weighbridge</t>
        </is>
      </c>
      <c r="D569" s="23" t="inlineStr">
        <is>
          <t>WB-BRW-05</t>
        </is>
      </c>
      <c r="E569" s="24" t="inlineStr">
        <is>
          <t>Weighbridge</t>
        </is>
      </c>
      <c r="F569" s="5" t="inlineStr">
        <is>
          <t>Web — Data Stasiun (WB-)</t>
        </is>
      </c>
      <c r="G569" s="24" t="inlineStr">
        <is>
          <t>Reset filter memulihkan keadaan awal</t>
        </is>
      </c>
      <c r="H569" s="5" t="inlineStr">
        <is>
          <t>SPV-A</t>
        </is>
      </c>
      <c r="I569" s="5" t="inlineStr">
        <is>
          <t>—</t>
        </is>
      </c>
      <c r="J569" s="5" t="inlineStr">
        <is>
          <t>1. Login di web, lalu sidebar &gt; Data &gt; Weighbridge (/data/weighbridge). Catat keadaan awal: isi filter dan jumlah hasil.
2. Ubah rentang tanggal dan isi kata kunci pencarian.
3. Terapkan, lalu catat jumlah hasilnya.
4. Tekan Reset Filter.</t>
        </is>
      </c>
      <c r="K569" s="5" t="inlineStr">
        <is>
          <t>- Seluruh kolom filter kembali ke nilai awalnya.
- Jumlah hasil kembali sama dengan langkah 1.
- Halaman kembali ke halaman 1.</t>
        </is>
      </c>
      <c r="L569" s="22" t="inlineStr">
        <is>
          <t>Rendah</t>
        </is>
      </c>
      <c r="M569" s="5" t="inlineStr"/>
      <c r="N569" s="17" t="n"/>
      <c r="O569" s="17" t="n"/>
      <c r="P569" s="17" t="n"/>
      <c r="Q569" s="17" t="n"/>
      <c r="R569" s="17" t="n"/>
    </row>
    <row r="570" ht="96.39999999999999" customHeight="1">
      <c r="A570" s="18" t="n">
        <v>566</v>
      </c>
      <c r="B570" s="18" t="n">
        <v>3</v>
      </c>
      <c r="C570" s="19" t="inlineStr">
        <is>
          <t>WB-BRW-05 / Grading</t>
        </is>
      </c>
      <c r="D570" s="19" t="inlineStr">
        <is>
          <t>WB-BRW-05</t>
        </is>
      </c>
      <c r="E570" s="20" t="inlineStr">
        <is>
          <t>Grading</t>
        </is>
      </c>
      <c r="F570" s="21" t="inlineStr">
        <is>
          <t>Web — Data Stasiun (WB-)</t>
        </is>
      </c>
      <c r="G570" s="20" t="inlineStr">
        <is>
          <t>Reset filter memulihkan keadaan awal</t>
        </is>
      </c>
      <c r="H570" s="21" t="inlineStr">
        <is>
          <t>SPV-A</t>
        </is>
      </c>
      <c r="I570" s="21" t="inlineStr">
        <is>
          <t>—</t>
        </is>
      </c>
      <c r="J570" s="21" t="inlineStr">
        <is>
          <t>1. Login di web, lalu sidebar &gt; Data &gt; Grading (/data/grading). Catat keadaan awal: isi filter dan jumlah hasil.
2. Ubah rentang tanggal dan isi kata kunci pencarian.
3. Terapkan, lalu catat jumlah hasilnya.
4. Tekan Reset Filter.</t>
        </is>
      </c>
      <c r="K570" s="21" t="inlineStr">
        <is>
          <t>- Seluruh kolom filter kembali ke nilai awalnya.
- Jumlah hasil kembali sama dengan langkah 1.
- Halaman kembali ke halaman 1.</t>
        </is>
      </c>
      <c r="L570" s="18" t="inlineStr">
        <is>
          <t>Rendah</t>
        </is>
      </c>
      <c r="M570" s="21" t="inlineStr"/>
      <c r="N570" s="17" t="n"/>
      <c r="O570" s="17" t="n"/>
      <c r="P570" s="17" t="n"/>
      <c r="Q570" s="17" t="n"/>
      <c r="R570" s="17" t="n"/>
    </row>
    <row r="571" ht="96.39999999999999" customHeight="1">
      <c r="A571" s="22" t="n">
        <v>567</v>
      </c>
      <c r="B571" s="22" t="n">
        <v>3</v>
      </c>
      <c r="C571" s="23" t="inlineStr">
        <is>
          <t>WB-BRW-05 / Cages Track</t>
        </is>
      </c>
      <c r="D571" s="23" t="inlineStr">
        <is>
          <t>WB-BRW-05</t>
        </is>
      </c>
      <c r="E571" s="24" t="inlineStr">
        <is>
          <t>Cages Track</t>
        </is>
      </c>
      <c r="F571" s="5" t="inlineStr">
        <is>
          <t>Web — Data Stasiun (WB-)</t>
        </is>
      </c>
      <c r="G571" s="24" t="inlineStr">
        <is>
          <t>Reset filter memulihkan keadaan awal</t>
        </is>
      </c>
      <c r="H571" s="5" t="inlineStr">
        <is>
          <t>SPV-A</t>
        </is>
      </c>
      <c r="I571" s="5" t="inlineStr">
        <is>
          <t>—</t>
        </is>
      </c>
      <c r="J571" s="5" t="inlineStr">
        <is>
          <t>1. Login di web, lalu sidebar &gt; Data &gt; Cages Track (/data/cages-track). Catat keadaan awal: isi filter dan jumlah hasil.
2. Ubah rentang tanggal dan isi kata kunci pencarian.
3. Terapkan, lalu catat jumlah hasilnya.
4. Tekan Reset Filter.</t>
        </is>
      </c>
      <c r="K571" s="5" t="inlineStr">
        <is>
          <t>- Seluruh kolom filter kembali ke nilai awalnya.
- Jumlah hasil kembali sama dengan langkah 1.
- Halaman kembali ke halaman 1.</t>
        </is>
      </c>
      <c r="L571" s="22" t="inlineStr">
        <is>
          <t>Rendah</t>
        </is>
      </c>
      <c r="M571" s="5" t="inlineStr"/>
      <c r="N571" s="17" t="n"/>
      <c r="O571" s="17" t="n"/>
      <c r="P571" s="17" t="n"/>
      <c r="Q571" s="17" t="n"/>
      <c r="R571" s="17" t="n"/>
    </row>
    <row r="572" ht="96.39999999999999" customHeight="1">
      <c r="A572" s="18" t="n">
        <v>568</v>
      </c>
      <c r="B572" s="18" t="n">
        <v>3</v>
      </c>
      <c r="C572" s="19" t="inlineStr">
        <is>
          <t>WB-BRW-05 / Sterilizer</t>
        </is>
      </c>
      <c r="D572" s="19" t="inlineStr">
        <is>
          <t>WB-BRW-05</t>
        </is>
      </c>
      <c r="E572" s="20" t="inlineStr">
        <is>
          <t>Sterilizer</t>
        </is>
      </c>
      <c r="F572" s="21" t="inlineStr">
        <is>
          <t>Web — Data Stasiun (WB-)</t>
        </is>
      </c>
      <c r="G572" s="20" t="inlineStr">
        <is>
          <t>Reset filter memulihkan keadaan awal</t>
        </is>
      </c>
      <c r="H572" s="21" t="inlineStr">
        <is>
          <t>SPV-A</t>
        </is>
      </c>
      <c r="I572" s="21" t="inlineStr">
        <is>
          <t>—</t>
        </is>
      </c>
      <c r="J572" s="21" t="inlineStr">
        <is>
          <t>1. Login di web, lalu sidebar &gt; Data &gt; Sterilizer (/data/sterilizer). Catat keadaan awal: isi filter dan jumlah hasil.
2. Ubah rentang tanggal dan isi kata kunci pencarian.
3. Terapkan, lalu catat jumlah hasilnya.
4. Tekan Reset Filter.</t>
        </is>
      </c>
      <c r="K572" s="21" t="inlineStr">
        <is>
          <t>- Seluruh kolom filter kembali ke nilai awalnya.
- Jumlah hasil kembali sama dengan langkah 1.
- Halaman kembali ke halaman 1.</t>
        </is>
      </c>
      <c r="L572" s="18" t="inlineStr">
        <is>
          <t>Rendah</t>
        </is>
      </c>
      <c r="M572" s="21" t="inlineStr"/>
      <c r="N572" s="17" t="n"/>
      <c r="O572" s="17" t="n"/>
      <c r="P572" s="17" t="n"/>
      <c r="Q572" s="17" t="n"/>
      <c r="R572" s="17" t="n"/>
    </row>
    <row r="573" ht="96.39999999999999" customHeight="1">
      <c r="A573" s="22" t="n">
        <v>569</v>
      </c>
      <c r="B573" s="22" t="n">
        <v>3</v>
      </c>
      <c r="C573" s="23" t="inlineStr">
        <is>
          <t>WB-BRW-05 / Threshing</t>
        </is>
      </c>
      <c r="D573" s="23" t="inlineStr">
        <is>
          <t>WB-BRW-05</t>
        </is>
      </c>
      <c r="E573" s="24" t="inlineStr">
        <is>
          <t>Threshing</t>
        </is>
      </c>
      <c r="F573" s="5" t="inlineStr">
        <is>
          <t>Web — Data Stasiun (WB-)</t>
        </is>
      </c>
      <c r="G573" s="24" t="inlineStr">
        <is>
          <t>Reset filter memulihkan keadaan awal</t>
        </is>
      </c>
      <c r="H573" s="5" t="inlineStr">
        <is>
          <t>SPV-A</t>
        </is>
      </c>
      <c r="I573" s="5" t="inlineStr">
        <is>
          <t>—</t>
        </is>
      </c>
      <c r="J573" s="5" t="inlineStr">
        <is>
          <t>1. Login di web, lalu sidebar &gt; Data &gt; Threshing (/data/threshing). Catat keadaan awal: isi filter dan jumlah hasil.
2. Ubah rentang tanggal dan isi kata kunci pencarian.
3. Terapkan, lalu catat jumlah hasilnya.
4. Tekan Reset Filter.</t>
        </is>
      </c>
      <c r="K573" s="5" t="inlineStr">
        <is>
          <t>- Seluruh kolom filter kembali ke nilai awalnya.
- Jumlah hasil kembali sama dengan langkah 1.
- Halaman kembali ke halaman 1.</t>
        </is>
      </c>
      <c r="L573" s="22" t="inlineStr">
        <is>
          <t>Rendah</t>
        </is>
      </c>
      <c r="M573" s="5" t="inlineStr"/>
      <c r="N573" s="17" t="n"/>
      <c r="O573" s="17" t="n"/>
      <c r="P573" s="17" t="n"/>
      <c r="Q573" s="17" t="n"/>
      <c r="R573" s="17" t="n"/>
    </row>
    <row r="574" ht="96.39999999999999" customHeight="1">
      <c r="A574" s="18" t="n">
        <v>570</v>
      </c>
      <c r="B574" s="18" t="n">
        <v>3</v>
      </c>
      <c r="C574" s="19" t="inlineStr">
        <is>
          <t>WB-BRW-05 / Pressing</t>
        </is>
      </c>
      <c r="D574" s="19" t="inlineStr">
        <is>
          <t>WB-BRW-05</t>
        </is>
      </c>
      <c r="E574" s="20" t="inlineStr">
        <is>
          <t>Pressing</t>
        </is>
      </c>
      <c r="F574" s="21" t="inlineStr">
        <is>
          <t>Web — Data Stasiun (WB-)</t>
        </is>
      </c>
      <c r="G574" s="20" t="inlineStr">
        <is>
          <t>Reset filter memulihkan keadaan awal</t>
        </is>
      </c>
      <c r="H574" s="21" t="inlineStr">
        <is>
          <t>SPV-A</t>
        </is>
      </c>
      <c r="I574" s="21" t="inlineStr">
        <is>
          <t>—</t>
        </is>
      </c>
      <c r="J574" s="21" t="inlineStr">
        <is>
          <t>1. Login di web, lalu sidebar &gt; Data &gt; Pressing (/data/pressing). Catat keadaan awal: isi filter dan jumlah hasil.
2. Ubah rentang tanggal dan isi kata kunci pencarian.
3. Terapkan, lalu catat jumlah hasilnya.
4. Tekan Reset Filter.</t>
        </is>
      </c>
      <c r="K574" s="21" t="inlineStr">
        <is>
          <t>- Seluruh kolom filter kembali ke nilai awalnya.
- Jumlah hasil kembali sama dengan langkah 1.
- Halaman kembali ke halaman 1.</t>
        </is>
      </c>
      <c r="L574" s="18" t="inlineStr">
        <is>
          <t>Rendah</t>
        </is>
      </c>
      <c r="M574" s="21" t="inlineStr"/>
      <c r="N574" s="17" t="n"/>
      <c r="O574" s="17" t="n"/>
      <c r="P574" s="17" t="n"/>
      <c r="Q574" s="17" t="n"/>
      <c r="R574" s="17" t="n"/>
    </row>
    <row r="575" ht="96.39999999999999" customHeight="1">
      <c r="A575" s="22" t="n">
        <v>571</v>
      </c>
      <c r="B575" s="22" t="n">
        <v>3</v>
      </c>
      <c r="C575" s="23" t="inlineStr">
        <is>
          <t>WB-BRW-05 / Clarification</t>
        </is>
      </c>
      <c r="D575" s="23" t="inlineStr">
        <is>
          <t>WB-BRW-05</t>
        </is>
      </c>
      <c r="E575" s="24" t="inlineStr">
        <is>
          <t>Clarification</t>
        </is>
      </c>
      <c r="F575" s="5" t="inlineStr">
        <is>
          <t>Web — Data Stasiun (WB-)</t>
        </is>
      </c>
      <c r="G575" s="24" t="inlineStr">
        <is>
          <t>Reset filter memulihkan keadaan awal</t>
        </is>
      </c>
      <c r="H575" s="5" t="inlineStr">
        <is>
          <t>SPV-A</t>
        </is>
      </c>
      <c r="I575" s="5" t="inlineStr">
        <is>
          <t>—</t>
        </is>
      </c>
      <c r="J575" s="5" t="inlineStr">
        <is>
          <t>1. Login di web, lalu sidebar &gt; Data &gt; Clarification (/data/clarification). Catat keadaan awal: isi filter dan jumlah hasil.
2. Ubah rentang tanggal dan isi kata kunci pencarian.
3. Terapkan, lalu catat jumlah hasilnya.
4. Tekan Reset Filter.</t>
        </is>
      </c>
      <c r="K575" s="5" t="inlineStr">
        <is>
          <t>- Seluruh kolom filter kembali ke nilai awalnya.
- Jumlah hasil kembali sama dengan langkah 1.
- Halaman kembali ke halaman 1.</t>
        </is>
      </c>
      <c r="L575" s="22" t="inlineStr">
        <is>
          <t>Rendah</t>
        </is>
      </c>
      <c r="M575" s="5" t="inlineStr"/>
      <c r="N575" s="17" t="n"/>
      <c r="O575" s="17" t="n"/>
      <c r="P575" s="17" t="n"/>
      <c r="Q575" s="17" t="n"/>
      <c r="R575" s="17" t="n"/>
    </row>
    <row r="576" ht="96.39999999999999" customHeight="1">
      <c r="A576" s="18" t="n">
        <v>572</v>
      </c>
      <c r="B576" s="18" t="n">
        <v>3</v>
      </c>
      <c r="C576" s="19" t="inlineStr">
        <is>
          <t>WB-BRW-05 / Kernel Plant</t>
        </is>
      </c>
      <c r="D576" s="19" t="inlineStr">
        <is>
          <t>WB-BRW-05</t>
        </is>
      </c>
      <c r="E576" s="20" t="inlineStr">
        <is>
          <t>Kernel Plant</t>
        </is>
      </c>
      <c r="F576" s="21" t="inlineStr">
        <is>
          <t>Web — Data Stasiun (WB-)</t>
        </is>
      </c>
      <c r="G576" s="20" t="inlineStr">
        <is>
          <t>Reset filter memulihkan keadaan awal</t>
        </is>
      </c>
      <c r="H576" s="21" t="inlineStr">
        <is>
          <t>SPV-A</t>
        </is>
      </c>
      <c r="I576" s="21" t="inlineStr">
        <is>
          <t>—</t>
        </is>
      </c>
      <c r="J576" s="21" t="inlineStr">
        <is>
          <t>1. Login di web, lalu sidebar &gt; Data &gt; Kernel Plant (/data/kernel-plant). Catat keadaan awal: isi filter dan jumlah hasil.
2. Ubah rentang tanggal dan isi kata kunci pencarian.
3. Terapkan, lalu catat jumlah hasilnya.
4. Tekan Reset Filter.</t>
        </is>
      </c>
      <c r="K576" s="21" t="inlineStr">
        <is>
          <t>- Seluruh kolom filter kembali ke nilai awalnya.
- Jumlah hasil kembali sama dengan langkah 1.
- Halaman kembali ke halaman 1.</t>
        </is>
      </c>
      <c r="L576" s="18" t="inlineStr">
        <is>
          <t>Rendah</t>
        </is>
      </c>
      <c r="M576" s="21" t="inlineStr"/>
      <c r="N576" s="17" t="n"/>
      <c r="O576" s="17" t="n"/>
      <c r="P576" s="17" t="n"/>
      <c r="Q576" s="17" t="n"/>
      <c r="R576" s="17" t="n"/>
    </row>
    <row r="577" ht="96.39999999999999" customHeight="1">
      <c r="A577" s="22" t="n">
        <v>573</v>
      </c>
      <c r="B577" s="22" t="n">
        <v>3</v>
      </c>
      <c r="C577" s="23" t="inlineStr">
        <is>
          <t>WB-BRW-05 / Boiler Room</t>
        </is>
      </c>
      <c r="D577" s="23" t="inlineStr">
        <is>
          <t>WB-BRW-05</t>
        </is>
      </c>
      <c r="E577" s="24" t="inlineStr">
        <is>
          <t>Boiler Room</t>
        </is>
      </c>
      <c r="F577" s="5" t="inlineStr">
        <is>
          <t>Web — Data Stasiun (WB-)</t>
        </is>
      </c>
      <c r="G577" s="24" t="inlineStr">
        <is>
          <t>Reset filter memulihkan keadaan awal</t>
        </is>
      </c>
      <c r="H577" s="5" t="inlineStr">
        <is>
          <t>SPV-A</t>
        </is>
      </c>
      <c r="I577" s="5" t="inlineStr">
        <is>
          <t>—</t>
        </is>
      </c>
      <c r="J577" s="5" t="inlineStr">
        <is>
          <t>1. Login di web, lalu sidebar &gt; Data &gt; Boiler Room (/data/boiler-room). Catat keadaan awal: isi filter dan jumlah hasil.
2. Ubah rentang tanggal dan isi kata kunci pencarian.
3. Terapkan, lalu catat jumlah hasilnya.
4. Tekan Reset Filter.</t>
        </is>
      </c>
      <c r="K577" s="5" t="inlineStr">
        <is>
          <t>- Seluruh kolom filter kembali ke nilai awalnya.
- Jumlah hasil kembali sama dengan langkah 1.
- Halaman kembali ke halaman 1.</t>
        </is>
      </c>
      <c r="L577" s="22" t="inlineStr">
        <is>
          <t>Rendah</t>
        </is>
      </c>
      <c r="M577" s="5" t="inlineStr"/>
      <c r="N577" s="17" t="n"/>
      <c r="O577" s="17" t="n"/>
      <c r="P577" s="17" t="n"/>
      <c r="Q577" s="17" t="n"/>
      <c r="R577" s="17" t="n"/>
    </row>
    <row r="578" ht="96.39999999999999" customHeight="1">
      <c r="A578" s="18" t="n">
        <v>574</v>
      </c>
      <c r="B578" s="18" t="n">
        <v>3</v>
      </c>
      <c r="C578" s="19" t="inlineStr">
        <is>
          <t>WB-BRW-05 / Effluent Plant</t>
        </is>
      </c>
      <c r="D578" s="19" t="inlineStr">
        <is>
          <t>WB-BRW-05</t>
        </is>
      </c>
      <c r="E578" s="20" t="inlineStr">
        <is>
          <t>Effluent Plant</t>
        </is>
      </c>
      <c r="F578" s="21" t="inlineStr">
        <is>
          <t>Web — Data Stasiun (WB-)</t>
        </is>
      </c>
      <c r="G578" s="20" t="inlineStr">
        <is>
          <t>Reset filter memulihkan keadaan awal</t>
        </is>
      </c>
      <c r="H578" s="21" t="inlineStr">
        <is>
          <t>SPV-A</t>
        </is>
      </c>
      <c r="I578" s="21" t="inlineStr">
        <is>
          <t>—</t>
        </is>
      </c>
      <c r="J578" s="21" t="inlineStr">
        <is>
          <t>1. Login di web, lalu sidebar &gt; Data &gt; Effluent Plant (/data/effluent-plant). Catat keadaan awal: isi filter dan jumlah hasil.
2. Ubah rentang tanggal dan isi kata kunci pencarian.
3. Terapkan, lalu catat jumlah hasilnya.
4. Tekan Reset Filter.</t>
        </is>
      </c>
      <c r="K578" s="21" t="inlineStr">
        <is>
          <t>- Seluruh kolom filter kembali ke nilai awalnya.
- Jumlah hasil kembali sama dengan langkah 1.
- Halaman kembali ke halaman 1.</t>
        </is>
      </c>
      <c r="L578" s="18" t="inlineStr">
        <is>
          <t>Rendah</t>
        </is>
      </c>
      <c r="M578" s="21" t="inlineStr"/>
      <c r="N578" s="17" t="n"/>
      <c r="O578" s="17" t="n"/>
      <c r="P578" s="17" t="n"/>
      <c r="Q578" s="17" t="n"/>
      <c r="R578" s="17" t="n"/>
    </row>
    <row r="579" ht="96.39999999999999" customHeight="1">
      <c r="A579" s="11" t="n">
        <v>575</v>
      </c>
      <c r="B579" s="12" t="n">
        <v>1</v>
      </c>
      <c r="C579" s="13" t="inlineStr">
        <is>
          <t>WB-BRW-05 / Depricarping</t>
        </is>
      </c>
      <c r="D579" s="13" t="inlineStr">
        <is>
          <t>WB-BRW-05</t>
        </is>
      </c>
      <c r="E579" s="15" t="inlineStr">
        <is>
          <t>Depricarping</t>
        </is>
      </c>
      <c r="F579" s="14" t="inlineStr">
        <is>
          <t>Web — Data Stasiun (WB-)</t>
        </is>
      </c>
      <c r="G579" s="15" t="inlineStr">
        <is>
          <t>Reset filter memulihkan keadaan awal</t>
        </is>
      </c>
      <c r="H579" s="14" t="inlineStr">
        <is>
          <t>SPV-A</t>
        </is>
      </c>
      <c r="I579" s="14" t="inlineStr">
        <is>
          <t>—</t>
        </is>
      </c>
      <c r="J579" s="14" t="inlineStr">
        <is>
          <t>1. Login di web, lalu sidebar &gt; Data &gt; Depricarping (/data/depricarping). Catat keadaan awal: isi filter dan jumlah hasil.
2. Ubah rentang tanggal dan isi kata kunci pencarian.
3. Terapkan, lalu catat jumlah hasilnya.
4. Tekan Reset Filter.</t>
        </is>
      </c>
      <c r="K579" s="14" t="inlineStr">
        <is>
          <t>- Seluruh kolom filter kembali ke nilai awalnya.
- Jumlah hasil kembali sama dengan langkah 1.
- Halaman kembali ke halaman 1.</t>
        </is>
      </c>
      <c r="L579" s="11" t="inlineStr">
        <is>
          <t>Rendah</t>
        </is>
      </c>
      <c r="M579" s="14" t="inlineStr"/>
      <c r="N579" s="17" t="n"/>
      <c r="O579" s="17" t="n"/>
      <c r="P579" s="17" t="n"/>
      <c r="Q579" s="17" t="n"/>
      <c r="R579" s="17" t="n"/>
    </row>
    <row r="580" ht="96.39999999999999" customHeight="1">
      <c r="A580" s="18" t="n">
        <v>576</v>
      </c>
      <c r="B580" s="18" t="n">
        <v>3</v>
      </c>
      <c r="C580" s="19" t="inlineStr">
        <is>
          <t>WB-BRW-05 / Engine Room</t>
        </is>
      </c>
      <c r="D580" s="19" t="inlineStr">
        <is>
          <t>WB-BRW-05</t>
        </is>
      </c>
      <c r="E580" s="20" t="inlineStr">
        <is>
          <t>Engine Room</t>
        </is>
      </c>
      <c r="F580" s="21" t="inlineStr">
        <is>
          <t>Web — Data Stasiun (WB-)</t>
        </is>
      </c>
      <c r="G580" s="20" t="inlineStr">
        <is>
          <t>Reset filter memulihkan keadaan awal</t>
        </is>
      </c>
      <c r="H580" s="21" t="inlineStr">
        <is>
          <t>SPV-A</t>
        </is>
      </c>
      <c r="I580" s="21" t="inlineStr">
        <is>
          <t>—</t>
        </is>
      </c>
      <c r="J580" s="21" t="inlineStr">
        <is>
          <t>1. Login di web, lalu sidebar &gt; Data &gt; Engine Room (/data/engine-room). Catat keadaan awal: isi filter dan jumlah hasil.
2. Ubah rentang tanggal dan isi kata kunci pencarian.
3. Terapkan, lalu catat jumlah hasilnya.
4. Tekan Reset Filter.</t>
        </is>
      </c>
      <c r="K580" s="21" t="inlineStr">
        <is>
          <t>- Seluruh kolom filter kembali ke nilai awalnya.
- Jumlah hasil kembali sama dengan langkah 1.
- Halaman kembali ke halaman 1.</t>
        </is>
      </c>
      <c r="L580" s="18" t="inlineStr">
        <is>
          <t>Rendah</t>
        </is>
      </c>
      <c r="M580" s="21" t="inlineStr"/>
      <c r="N580" s="17" t="n"/>
      <c r="O580" s="17" t="n"/>
      <c r="P580" s="17" t="n"/>
      <c r="Q580" s="17" t="n"/>
      <c r="R580" s="17" t="n"/>
    </row>
    <row r="581" ht="96.39999999999999" customHeight="1">
      <c r="A581" s="22" t="n">
        <v>577</v>
      </c>
      <c r="B581" s="22" t="n">
        <v>3</v>
      </c>
      <c r="C581" s="23" t="inlineStr">
        <is>
          <t>WB-BRW-05 / Process Water</t>
        </is>
      </c>
      <c r="D581" s="23" t="inlineStr">
        <is>
          <t>WB-BRW-05</t>
        </is>
      </c>
      <c r="E581" s="24" t="inlineStr">
        <is>
          <t>Process Water</t>
        </is>
      </c>
      <c r="F581" s="5" t="inlineStr">
        <is>
          <t>Web — Data Stasiun (WB-)</t>
        </is>
      </c>
      <c r="G581" s="24" t="inlineStr">
        <is>
          <t>Reset filter memulihkan keadaan awal</t>
        </is>
      </c>
      <c r="H581" s="5" t="inlineStr">
        <is>
          <t>SPV-A</t>
        </is>
      </c>
      <c r="I581" s="5" t="inlineStr">
        <is>
          <t>—</t>
        </is>
      </c>
      <c r="J581" s="5" t="inlineStr">
        <is>
          <t>1. Login di web, lalu sidebar &gt; Data &gt; Process Water (/data/process-water). Catat keadaan awal: isi filter dan jumlah hasil.
2. Ubah rentang tanggal dan isi kata kunci pencarian.
3. Terapkan, lalu catat jumlah hasilnya.
4. Tekan Reset Filter.</t>
        </is>
      </c>
      <c r="K581" s="5" t="inlineStr">
        <is>
          <t>- Seluruh kolom filter kembali ke nilai awalnya.
- Jumlah hasil kembali sama dengan langkah 1.
- Halaman kembali ke halaman 1.</t>
        </is>
      </c>
      <c r="L581" s="22" t="inlineStr">
        <is>
          <t>Rendah</t>
        </is>
      </c>
      <c r="M581" s="5" t="inlineStr"/>
      <c r="N581" s="17" t="n"/>
      <c r="O581" s="17" t="n"/>
      <c r="P581" s="17" t="n"/>
      <c r="Q581" s="17" t="n"/>
      <c r="R581" s="17" t="n"/>
    </row>
    <row r="582" ht="96.39999999999999" customHeight="1">
      <c r="A582" s="18" t="n">
        <v>578</v>
      </c>
      <c r="B582" s="18" t="n">
        <v>3</v>
      </c>
      <c r="C582" s="19" t="inlineStr">
        <is>
          <t>WB-BRW-05 / Storage Tank</t>
        </is>
      </c>
      <c r="D582" s="19" t="inlineStr">
        <is>
          <t>WB-BRW-05</t>
        </is>
      </c>
      <c r="E582" s="20" t="inlineStr">
        <is>
          <t>Storage Tank</t>
        </is>
      </c>
      <c r="F582" s="21" t="inlineStr">
        <is>
          <t>Web — Data Stasiun (WB-)</t>
        </is>
      </c>
      <c r="G582" s="20" t="inlineStr">
        <is>
          <t>Reset filter memulihkan keadaan awal</t>
        </is>
      </c>
      <c r="H582" s="21" t="inlineStr">
        <is>
          <t>SPV-A</t>
        </is>
      </c>
      <c r="I582" s="21" t="inlineStr">
        <is>
          <t>—</t>
        </is>
      </c>
      <c r="J582" s="21" t="inlineStr">
        <is>
          <t>1. Login di web, lalu sidebar &gt; Data &gt; Storage Tank (/data/storage-tank). Catat keadaan awal: isi filter dan jumlah hasil.
2. Ubah rentang tanggal dan isi kata kunci pencarian.
3. Terapkan, lalu catat jumlah hasilnya.
4. Tekan Reset Filter.</t>
        </is>
      </c>
      <c r="K582" s="21" t="inlineStr">
        <is>
          <t>- Seluruh kolom filter kembali ke nilai awalnya.
- Jumlah hasil kembali sama dengan langkah 1.
- Halaman kembali ke halaman 1.</t>
        </is>
      </c>
      <c r="L582" s="18" t="inlineStr">
        <is>
          <t>Rendah</t>
        </is>
      </c>
      <c r="M582" s="21" t="inlineStr"/>
      <c r="N582" s="17" t="n"/>
      <c r="O582" s="17" t="n"/>
      <c r="P582" s="17" t="n"/>
      <c r="Q582" s="17" t="n"/>
      <c r="R582" s="17" t="n"/>
    </row>
    <row r="583" ht="109.6" customHeight="1">
      <c r="A583" s="22" t="n">
        <v>579</v>
      </c>
      <c r="B583" s="22" t="n">
        <v>3</v>
      </c>
      <c r="C583" s="23" t="inlineStr">
        <is>
          <t>WB-BRW-05 / Solid Waste Disposal</t>
        </is>
      </c>
      <c r="D583" s="23" t="inlineStr">
        <is>
          <t>WB-BRW-05</t>
        </is>
      </c>
      <c r="E583" s="24" t="inlineStr">
        <is>
          <t>Solid Waste Disposal</t>
        </is>
      </c>
      <c r="F583" s="5" t="inlineStr">
        <is>
          <t>Web — Data Stasiun (WB-)</t>
        </is>
      </c>
      <c r="G583" s="24" t="inlineStr">
        <is>
          <t>Reset filter memulihkan keadaan awal</t>
        </is>
      </c>
      <c r="H583" s="5" t="inlineStr">
        <is>
          <t>SPV-A</t>
        </is>
      </c>
      <c r="I583" s="5" t="inlineStr">
        <is>
          <t>—</t>
        </is>
      </c>
      <c r="J583" s="5" t="inlineStr">
        <is>
          <t>1. Login di web, lalu sidebar &gt; Data &gt; Solid Waste Disposal (/data/solid-waste-disposal). Catat keadaan awal: isi filter dan jumlah hasil.
2. Ubah rentang tanggal dan isi kata kunci pencarian.
3. Terapkan, lalu catat jumlah hasilnya.
4. Tekan Reset Filter.</t>
        </is>
      </c>
      <c r="K583" s="5" t="inlineStr">
        <is>
          <t>- Seluruh kolom filter kembali ke nilai awalnya.
- Jumlah hasil kembali sama dengan langkah 1.
- Halaman kembali ke halaman 1.</t>
        </is>
      </c>
      <c r="L583" s="22" t="inlineStr">
        <is>
          <t>Rendah</t>
        </is>
      </c>
      <c r="M583" s="5" t="inlineStr"/>
      <c r="N583" s="17" t="n"/>
      <c r="O583" s="17" t="n"/>
      <c r="P583" s="17" t="n"/>
      <c r="Q583" s="17" t="n"/>
      <c r="R583" s="17" t="n"/>
    </row>
    <row r="584" ht="96.39999999999999" customHeight="1">
      <c r="A584" s="18" t="n">
        <v>580</v>
      </c>
      <c r="B584" s="18" t="n">
        <v>3</v>
      </c>
      <c r="C584" s="19" t="inlineStr">
        <is>
          <t>WB-BRW-05 / Kernel Dispatch</t>
        </is>
      </c>
      <c r="D584" s="19" t="inlineStr">
        <is>
          <t>WB-BRW-05</t>
        </is>
      </c>
      <c r="E584" s="20" t="inlineStr">
        <is>
          <t>Kernel Dispatch</t>
        </is>
      </c>
      <c r="F584" s="21" t="inlineStr">
        <is>
          <t>Web — Data Stasiun (WB-)</t>
        </is>
      </c>
      <c r="G584" s="20" t="inlineStr">
        <is>
          <t>Reset filter memulihkan keadaan awal</t>
        </is>
      </c>
      <c r="H584" s="21" t="inlineStr">
        <is>
          <t>SPV-A</t>
        </is>
      </c>
      <c r="I584" s="21" t="inlineStr">
        <is>
          <t>—</t>
        </is>
      </c>
      <c r="J584" s="21" t="inlineStr">
        <is>
          <t>1. Login di web, lalu sidebar &gt; Data &gt; Kernel Dispatch (/data/kernel-dispatch). Catat keadaan awal: isi filter dan jumlah hasil.
2. Ubah rentang tanggal dan isi kata kunci pencarian.
3. Terapkan, lalu catat jumlah hasilnya.
4. Tekan Reset Filter.</t>
        </is>
      </c>
      <c r="K584" s="21" t="inlineStr">
        <is>
          <t>- Seluruh kolom filter kembali ke nilai awalnya.
- Jumlah hasil kembali sama dengan langkah 1.
- Halaman kembali ke halaman 1.</t>
        </is>
      </c>
      <c r="L584" s="18" t="inlineStr">
        <is>
          <t>Rendah</t>
        </is>
      </c>
      <c r="M584" s="21" t="inlineStr"/>
      <c r="N584" s="17" t="n"/>
      <c r="O584" s="17" t="n"/>
      <c r="P584" s="17" t="n"/>
      <c r="Q584" s="17" t="n"/>
      <c r="R584" s="17" t="n"/>
    </row>
    <row r="585" ht="96.39999999999999" customHeight="1">
      <c r="A585" s="22" t="n">
        <v>581</v>
      </c>
      <c r="B585" s="22" t="n">
        <v>3</v>
      </c>
      <c r="C585" s="23" t="inlineStr">
        <is>
          <t>WB-BRW-05 / CPO Dispatch</t>
        </is>
      </c>
      <c r="D585" s="23" t="inlineStr">
        <is>
          <t>WB-BRW-05</t>
        </is>
      </c>
      <c r="E585" s="24" t="inlineStr">
        <is>
          <t>CPO Dispatch</t>
        </is>
      </c>
      <c r="F585" s="5" t="inlineStr">
        <is>
          <t>Web — Data Stasiun (WB-)</t>
        </is>
      </c>
      <c r="G585" s="24" t="inlineStr">
        <is>
          <t>Reset filter memulihkan keadaan awal</t>
        </is>
      </c>
      <c r="H585" s="5" t="inlineStr">
        <is>
          <t>SPV-A</t>
        </is>
      </c>
      <c r="I585" s="5" t="inlineStr">
        <is>
          <t>—</t>
        </is>
      </c>
      <c r="J585" s="5" t="inlineStr">
        <is>
          <t>1. Login di web, lalu sidebar &gt; Data &gt; CPO Dispatch (/data/cpo-dispatch). Catat keadaan awal: isi filter dan jumlah hasil.
2. Ubah rentang tanggal dan isi kata kunci pencarian.
3. Terapkan, lalu catat jumlah hasilnya.
4. Tekan Reset Filter.</t>
        </is>
      </c>
      <c r="K585" s="5" t="inlineStr">
        <is>
          <t>- Seluruh kolom filter kembali ke nilai awalnya.
- Jumlah hasil kembali sama dengan langkah 1.
- Halaman kembali ke halaman 1.</t>
        </is>
      </c>
      <c r="L585" s="22" t="inlineStr">
        <is>
          <t>Rendah</t>
        </is>
      </c>
      <c r="M585" s="5" t="inlineStr"/>
      <c r="N585" s="17" t="n"/>
      <c r="O585" s="17" t="n"/>
      <c r="P585" s="17" t="n"/>
      <c r="Q585" s="17" t="n"/>
      <c r="R585" s="17" t="n"/>
    </row>
    <row r="586" ht="109.6" customHeight="1">
      <c r="A586" s="18" t="n">
        <v>582</v>
      </c>
      <c r="B586" s="18" t="n">
        <v>3</v>
      </c>
      <c r="C586" s="19" t="inlineStr">
        <is>
          <t>WB-BRW-05 / Process Quality Control</t>
        </is>
      </c>
      <c r="D586" s="19" t="inlineStr">
        <is>
          <t>WB-BRW-05</t>
        </is>
      </c>
      <c r="E586" s="20" t="inlineStr">
        <is>
          <t>Process Quality Control</t>
        </is>
      </c>
      <c r="F586" s="21" t="inlineStr">
        <is>
          <t>Web — Data Stasiun (WB-)</t>
        </is>
      </c>
      <c r="G586" s="20" t="inlineStr">
        <is>
          <t>Reset filter memulihkan keadaan awal</t>
        </is>
      </c>
      <c r="H586" s="21" t="inlineStr">
        <is>
          <t>SPV-A</t>
        </is>
      </c>
      <c r="I586" s="21" t="inlineStr">
        <is>
          <t>—</t>
        </is>
      </c>
      <c r="J586" s="21" t="inlineStr">
        <is>
          <t>1. Login di web, lalu sidebar &gt; Data &gt; Process Quality Control (/data/process-quality-control). Catat keadaan awal: isi filter dan jumlah hasil.
2. Ubah rentang tanggal dan isi kata kunci pencarian.
3. Terapkan, lalu catat jumlah hasilnya.
4. Tekan Reset Filter.</t>
        </is>
      </c>
      <c r="K586" s="21" t="inlineStr">
        <is>
          <t>- Seluruh kolom filter kembali ke nilai awalnya.
- Jumlah hasil kembali sama dengan langkah 1.
- Halaman kembali ke halaman 1.</t>
        </is>
      </c>
      <c r="L586" s="18" t="inlineStr">
        <is>
          <t>Rendah</t>
        </is>
      </c>
      <c r="M586" s="21" t="inlineStr"/>
      <c r="N586" s="17" t="n"/>
      <c r="O586" s="17" t="n"/>
      <c r="P586" s="17" t="n"/>
      <c r="Q586" s="17" t="n"/>
      <c r="R586" s="17" t="n"/>
    </row>
    <row r="587" ht="96.39999999999999" customHeight="1">
      <c r="A587" s="22" t="n">
        <v>583</v>
      </c>
      <c r="B587" s="22" t="n">
        <v>3</v>
      </c>
      <c r="C587" s="23" t="inlineStr">
        <is>
          <t>WB-BRW-06 / Weighbridge</t>
        </is>
      </c>
      <c r="D587" s="23" t="inlineStr">
        <is>
          <t>WB-BRW-06</t>
        </is>
      </c>
      <c r="E587" s="24" t="inlineStr">
        <is>
          <t>Weighbridge</t>
        </is>
      </c>
      <c r="F587" s="5" t="inlineStr">
        <is>
          <t>Web — Data Stasiun (WB-)</t>
        </is>
      </c>
      <c r="G587" s="24" t="inlineStr">
        <is>
          <t>Klik baris membuka Detail record itu</t>
        </is>
      </c>
      <c r="H587" s="5" t="inlineStr">
        <is>
          <t>SPV-A</t>
        </is>
      </c>
      <c r="I587" s="5" t="inlineStr">
        <is>
          <t>—</t>
        </is>
      </c>
      <c r="J587" s="5" t="inlineStr">
        <is>
          <t>1. Login di web, lalu sidebar &gt; Data &gt; Weighbridge (/data/weighbridge).
2. Catat identitas dan tanggal pada baris ketiga tabel.
3. Klik baris ketiga itu.
4. Bandingkan header layar yang terbuka dengan catatan langkah 2.</t>
        </is>
      </c>
      <c r="K587" s="5" t="inlineStr">
        <is>
          <t>- Terbuka layar Detail (/data/weighbridge/&lt;id&gt;).
- Identitas dan tanggal pada Detail sama dengan baris yang diklik — bukan record lain.</t>
        </is>
      </c>
      <c r="L587" s="16" t="inlineStr">
        <is>
          <t>Tinggi</t>
        </is>
      </c>
      <c r="M587" s="5" t="inlineStr"/>
      <c r="N587" s="17" t="n"/>
      <c r="O587" s="17" t="n"/>
      <c r="P587" s="17" t="n"/>
      <c r="Q587" s="17" t="n"/>
      <c r="R587" s="17" t="n"/>
    </row>
    <row r="588" ht="96.39999999999999" customHeight="1">
      <c r="A588" s="18" t="n">
        <v>584</v>
      </c>
      <c r="B588" s="18" t="n">
        <v>3</v>
      </c>
      <c r="C588" s="19" t="inlineStr">
        <is>
          <t>WB-BRW-06 / Grading</t>
        </is>
      </c>
      <c r="D588" s="19" t="inlineStr">
        <is>
          <t>WB-BRW-06</t>
        </is>
      </c>
      <c r="E588" s="20" t="inlineStr">
        <is>
          <t>Grading</t>
        </is>
      </c>
      <c r="F588" s="21" t="inlineStr">
        <is>
          <t>Web — Data Stasiun (WB-)</t>
        </is>
      </c>
      <c r="G588" s="20" t="inlineStr">
        <is>
          <t>Klik baris membuka Detail record itu</t>
        </is>
      </c>
      <c r="H588" s="21" t="inlineStr">
        <is>
          <t>SPV-A</t>
        </is>
      </c>
      <c r="I588" s="21" t="inlineStr">
        <is>
          <t>—</t>
        </is>
      </c>
      <c r="J588" s="21" t="inlineStr">
        <is>
          <t>1. Login di web, lalu sidebar &gt; Data &gt; Grading (/data/grading).
2. Catat identitas dan tanggal pada baris ketiga tabel.
3. Klik baris ketiga itu.
4. Bandingkan header layar yang terbuka dengan catatan langkah 2.</t>
        </is>
      </c>
      <c r="K588" s="21" t="inlineStr">
        <is>
          <t>- Terbuka layar Detail (/data/grading/&lt;id&gt;).
- Identitas dan tanggal pada Detail sama dengan baris yang diklik — bukan record lain.</t>
        </is>
      </c>
      <c r="L588" s="16" t="inlineStr">
        <is>
          <t>Tinggi</t>
        </is>
      </c>
      <c r="M588" s="21" t="inlineStr"/>
      <c r="N588" s="17" t="n"/>
      <c r="O588" s="17" t="n"/>
      <c r="P588" s="17" t="n"/>
      <c r="Q588" s="17" t="n"/>
      <c r="R588" s="17" t="n"/>
    </row>
    <row r="589" ht="96.39999999999999" customHeight="1">
      <c r="A589" s="22" t="n">
        <v>585</v>
      </c>
      <c r="B589" s="22" t="n">
        <v>3</v>
      </c>
      <c r="C589" s="23" t="inlineStr">
        <is>
          <t>WB-BRW-06 / Cages Track</t>
        </is>
      </c>
      <c r="D589" s="23" t="inlineStr">
        <is>
          <t>WB-BRW-06</t>
        </is>
      </c>
      <c r="E589" s="24" t="inlineStr">
        <is>
          <t>Cages Track</t>
        </is>
      </c>
      <c r="F589" s="5" t="inlineStr">
        <is>
          <t>Web — Data Stasiun (WB-)</t>
        </is>
      </c>
      <c r="G589" s="24" t="inlineStr">
        <is>
          <t>Klik baris membuka Detail record itu</t>
        </is>
      </c>
      <c r="H589" s="5" t="inlineStr">
        <is>
          <t>SPV-A</t>
        </is>
      </c>
      <c r="I589" s="5" t="inlineStr">
        <is>
          <t>—</t>
        </is>
      </c>
      <c r="J589" s="5" t="inlineStr">
        <is>
          <t>1. Login di web, lalu sidebar &gt; Data &gt; Cages Track (/data/cages-track).
2. Catat identitas dan tanggal pada baris ketiga tabel.
3. Klik baris ketiga itu.
4. Bandingkan header layar yang terbuka dengan catatan langkah 2.</t>
        </is>
      </c>
      <c r="K589" s="5" t="inlineStr">
        <is>
          <t>- Terbuka layar Detail (/data/cages-track/&lt;id&gt;).
- Identitas dan tanggal pada Detail sama dengan baris yang diklik — bukan record lain.</t>
        </is>
      </c>
      <c r="L589" s="16" t="inlineStr">
        <is>
          <t>Tinggi</t>
        </is>
      </c>
      <c r="M589" s="5" t="inlineStr"/>
      <c r="N589" s="17" t="n"/>
      <c r="O589" s="17" t="n"/>
      <c r="P589" s="17" t="n"/>
      <c r="Q589" s="17" t="n"/>
      <c r="R589" s="17" t="n"/>
    </row>
    <row r="590" ht="96.39999999999999" customHeight="1">
      <c r="A590" s="18" t="n">
        <v>586</v>
      </c>
      <c r="B590" s="18" t="n">
        <v>3</v>
      </c>
      <c r="C590" s="19" t="inlineStr">
        <is>
          <t>WB-BRW-06 / Sterilizer</t>
        </is>
      </c>
      <c r="D590" s="19" t="inlineStr">
        <is>
          <t>WB-BRW-06</t>
        </is>
      </c>
      <c r="E590" s="20" t="inlineStr">
        <is>
          <t>Sterilizer</t>
        </is>
      </c>
      <c r="F590" s="21" t="inlineStr">
        <is>
          <t>Web — Data Stasiun (WB-)</t>
        </is>
      </c>
      <c r="G590" s="20" t="inlineStr">
        <is>
          <t>Klik baris membuka Detail record itu</t>
        </is>
      </c>
      <c r="H590" s="21" t="inlineStr">
        <is>
          <t>SPV-A</t>
        </is>
      </c>
      <c r="I590" s="21" t="inlineStr">
        <is>
          <t>—</t>
        </is>
      </c>
      <c r="J590" s="21" t="inlineStr">
        <is>
          <t>1. Login di web, lalu sidebar &gt; Data &gt; Sterilizer (/data/sterilizer).
2. Catat identitas dan tanggal pada baris ketiga tabel.
3. Klik baris ketiga itu.
4. Bandingkan header layar yang terbuka dengan catatan langkah 2.</t>
        </is>
      </c>
      <c r="K590" s="21" t="inlineStr">
        <is>
          <t>- Terbuka layar Detail (/data/sterilizer/&lt;id&gt;).
- Identitas dan tanggal pada Detail sama dengan baris yang diklik — bukan record lain.</t>
        </is>
      </c>
      <c r="L590" s="16" t="inlineStr">
        <is>
          <t>Tinggi</t>
        </is>
      </c>
      <c r="M590" s="21" t="inlineStr"/>
      <c r="N590" s="17" t="n"/>
      <c r="O590" s="17" t="n"/>
      <c r="P590" s="17" t="n"/>
      <c r="Q590" s="17" t="n"/>
      <c r="R590" s="17" t="n"/>
    </row>
    <row r="591" ht="96.39999999999999" customHeight="1">
      <c r="A591" s="22" t="n">
        <v>587</v>
      </c>
      <c r="B591" s="22" t="n">
        <v>3</v>
      </c>
      <c r="C591" s="23" t="inlineStr">
        <is>
          <t>WB-BRW-06 / Threshing</t>
        </is>
      </c>
      <c r="D591" s="23" t="inlineStr">
        <is>
          <t>WB-BRW-06</t>
        </is>
      </c>
      <c r="E591" s="24" t="inlineStr">
        <is>
          <t>Threshing</t>
        </is>
      </c>
      <c r="F591" s="5" t="inlineStr">
        <is>
          <t>Web — Data Stasiun (WB-)</t>
        </is>
      </c>
      <c r="G591" s="24" t="inlineStr">
        <is>
          <t>Klik baris membuka Detail record itu</t>
        </is>
      </c>
      <c r="H591" s="5" t="inlineStr">
        <is>
          <t>SPV-A</t>
        </is>
      </c>
      <c r="I591" s="5" t="inlineStr">
        <is>
          <t>—</t>
        </is>
      </c>
      <c r="J591" s="5" t="inlineStr">
        <is>
          <t>1. Login di web, lalu sidebar &gt; Data &gt; Threshing (/data/threshing).
2. Catat identitas dan tanggal pada baris ketiga tabel.
3. Klik baris ketiga itu.
4. Bandingkan header layar yang terbuka dengan catatan langkah 2.</t>
        </is>
      </c>
      <c r="K591" s="5" t="inlineStr">
        <is>
          <t>- Terbuka layar Detail (/data/threshing/&lt;id&gt;).
- Identitas dan tanggal pada Detail sama dengan baris yang diklik — bukan record lain.</t>
        </is>
      </c>
      <c r="L591" s="16" t="inlineStr">
        <is>
          <t>Tinggi</t>
        </is>
      </c>
      <c r="M591" s="5" t="inlineStr"/>
      <c r="N591" s="17" t="n"/>
      <c r="O591" s="17" t="n"/>
      <c r="P591" s="17" t="n"/>
      <c r="Q591" s="17" t="n"/>
      <c r="R591" s="17" t="n"/>
    </row>
    <row r="592" ht="96.39999999999999" customHeight="1">
      <c r="A592" s="18" t="n">
        <v>588</v>
      </c>
      <c r="B592" s="18" t="n">
        <v>3</v>
      </c>
      <c r="C592" s="19" t="inlineStr">
        <is>
          <t>WB-BRW-06 / Pressing</t>
        </is>
      </c>
      <c r="D592" s="19" t="inlineStr">
        <is>
          <t>WB-BRW-06</t>
        </is>
      </c>
      <c r="E592" s="20" t="inlineStr">
        <is>
          <t>Pressing</t>
        </is>
      </c>
      <c r="F592" s="21" t="inlineStr">
        <is>
          <t>Web — Data Stasiun (WB-)</t>
        </is>
      </c>
      <c r="G592" s="20" t="inlineStr">
        <is>
          <t>Klik baris membuka Detail record itu</t>
        </is>
      </c>
      <c r="H592" s="21" t="inlineStr">
        <is>
          <t>SPV-A</t>
        </is>
      </c>
      <c r="I592" s="21" t="inlineStr">
        <is>
          <t>—</t>
        </is>
      </c>
      <c r="J592" s="21" t="inlineStr">
        <is>
          <t>1. Login di web, lalu sidebar &gt; Data &gt; Pressing (/data/pressing).
2. Catat identitas dan tanggal pada baris ketiga tabel.
3. Klik baris ketiga itu.
4. Bandingkan header layar yang terbuka dengan catatan langkah 2.</t>
        </is>
      </c>
      <c r="K592" s="21" t="inlineStr">
        <is>
          <t>- Terbuka layar Detail (/data/pressing/&lt;id&gt;).
- Identitas dan tanggal pada Detail sama dengan baris yang diklik — bukan record lain.</t>
        </is>
      </c>
      <c r="L592" s="16" t="inlineStr">
        <is>
          <t>Tinggi</t>
        </is>
      </c>
      <c r="M592" s="21" t="inlineStr"/>
      <c r="N592" s="17" t="n"/>
      <c r="O592" s="17" t="n"/>
      <c r="P592" s="17" t="n"/>
      <c r="Q592" s="17" t="n"/>
      <c r="R592" s="17" t="n"/>
    </row>
    <row r="593" ht="96.39999999999999" customHeight="1">
      <c r="A593" s="22" t="n">
        <v>589</v>
      </c>
      <c r="B593" s="22" t="n">
        <v>3</v>
      </c>
      <c r="C593" s="23" t="inlineStr">
        <is>
          <t>WB-BRW-06 / Clarification</t>
        </is>
      </c>
      <c r="D593" s="23" t="inlineStr">
        <is>
          <t>WB-BRW-06</t>
        </is>
      </c>
      <c r="E593" s="24" t="inlineStr">
        <is>
          <t>Clarification</t>
        </is>
      </c>
      <c r="F593" s="5" t="inlineStr">
        <is>
          <t>Web — Data Stasiun (WB-)</t>
        </is>
      </c>
      <c r="G593" s="24" t="inlineStr">
        <is>
          <t>Klik baris membuka Detail record itu</t>
        </is>
      </c>
      <c r="H593" s="5" t="inlineStr">
        <is>
          <t>SPV-A</t>
        </is>
      </c>
      <c r="I593" s="5" t="inlineStr">
        <is>
          <t>—</t>
        </is>
      </c>
      <c r="J593" s="5" t="inlineStr">
        <is>
          <t>1. Login di web, lalu sidebar &gt; Data &gt; Clarification (/data/clarification).
2. Catat identitas dan tanggal pada baris ketiga tabel.
3. Klik baris ketiga itu.
4. Bandingkan header layar yang terbuka dengan catatan langkah 2.</t>
        </is>
      </c>
      <c r="K593" s="5" t="inlineStr">
        <is>
          <t>- Terbuka layar Detail (/data/clarification/&lt;id&gt;).
- Identitas dan tanggal pada Detail sama dengan baris yang diklik — bukan record lain.</t>
        </is>
      </c>
      <c r="L593" s="16" t="inlineStr">
        <is>
          <t>Tinggi</t>
        </is>
      </c>
      <c r="M593" s="5" t="inlineStr"/>
      <c r="N593" s="17" t="n"/>
      <c r="O593" s="17" t="n"/>
      <c r="P593" s="17" t="n"/>
      <c r="Q593" s="17" t="n"/>
      <c r="R593" s="17" t="n"/>
    </row>
    <row r="594" ht="96.39999999999999" customHeight="1">
      <c r="A594" s="18" t="n">
        <v>590</v>
      </c>
      <c r="B594" s="18" t="n">
        <v>3</v>
      </c>
      <c r="C594" s="19" t="inlineStr">
        <is>
          <t>WB-BRW-06 / Kernel Plant</t>
        </is>
      </c>
      <c r="D594" s="19" t="inlineStr">
        <is>
          <t>WB-BRW-06</t>
        </is>
      </c>
      <c r="E594" s="20" t="inlineStr">
        <is>
          <t>Kernel Plant</t>
        </is>
      </c>
      <c r="F594" s="21" t="inlineStr">
        <is>
          <t>Web — Data Stasiun (WB-)</t>
        </is>
      </c>
      <c r="G594" s="20" t="inlineStr">
        <is>
          <t>Klik baris membuka Detail record itu</t>
        </is>
      </c>
      <c r="H594" s="21" t="inlineStr">
        <is>
          <t>SPV-A</t>
        </is>
      </c>
      <c r="I594" s="21" t="inlineStr">
        <is>
          <t>—</t>
        </is>
      </c>
      <c r="J594" s="21" t="inlineStr">
        <is>
          <t>1. Login di web, lalu sidebar &gt; Data &gt; Kernel Plant (/data/kernel-plant).
2. Catat identitas dan tanggal pada baris ketiga tabel.
3. Klik baris ketiga itu.
4. Bandingkan header layar yang terbuka dengan catatan langkah 2.</t>
        </is>
      </c>
      <c r="K594" s="21" t="inlineStr">
        <is>
          <t>- Terbuka layar Detail (/data/kernel-plant/&lt;id&gt;).
- Identitas dan tanggal pada Detail sama dengan baris yang diklik — bukan record lain.</t>
        </is>
      </c>
      <c r="L594" s="16" t="inlineStr">
        <is>
          <t>Tinggi</t>
        </is>
      </c>
      <c r="M594" s="21" t="inlineStr"/>
      <c r="N594" s="17" t="n"/>
      <c r="O594" s="17" t="n"/>
      <c r="P594" s="17" t="n"/>
      <c r="Q594" s="17" t="n"/>
      <c r="R594" s="17" t="n"/>
    </row>
    <row r="595" ht="96.39999999999999" customHeight="1">
      <c r="A595" s="22" t="n">
        <v>591</v>
      </c>
      <c r="B595" s="22" t="n">
        <v>3</v>
      </c>
      <c r="C595" s="23" t="inlineStr">
        <is>
          <t>WB-BRW-06 / Boiler Room</t>
        </is>
      </c>
      <c r="D595" s="23" t="inlineStr">
        <is>
          <t>WB-BRW-06</t>
        </is>
      </c>
      <c r="E595" s="24" t="inlineStr">
        <is>
          <t>Boiler Room</t>
        </is>
      </c>
      <c r="F595" s="5" t="inlineStr">
        <is>
          <t>Web — Data Stasiun (WB-)</t>
        </is>
      </c>
      <c r="G595" s="24" t="inlineStr">
        <is>
          <t>Klik baris membuka Detail record itu</t>
        </is>
      </c>
      <c r="H595" s="5" t="inlineStr">
        <is>
          <t>SPV-A</t>
        </is>
      </c>
      <c r="I595" s="5" t="inlineStr">
        <is>
          <t>—</t>
        </is>
      </c>
      <c r="J595" s="5" t="inlineStr">
        <is>
          <t>1. Login di web, lalu sidebar &gt; Data &gt; Boiler Room (/data/boiler-room).
2. Catat identitas dan tanggal pada baris ketiga tabel.
3. Klik baris ketiga itu.
4. Bandingkan header layar yang terbuka dengan catatan langkah 2.</t>
        </is>
      </c>
      <c r="K595" s="5" t="inlineStr">
        <is>
          <t>- Terbuka layar Detail (/data/boiler-room/&lt;id&gt;).
- Identitas dan tanggal pada Detail sama dengan baris yang diklik — bukan record lain.</t>
        </is>
      </c>
      <c r="L595" s="16" t="inlineStr">
        <is>
          <t>Tinggi</t>
        </is>
      </c>
      <c r="M595" s="5" t="inlineStr"/>
      <c r="N595" s="17" t="n"/>
      <c r="O595" s="17" t="n"/>
      <c r="P595" s="17" t="n"/>
      <c r="Q595" s="17" t="n"/>
      <c r="R595" s="17" t="n"/>
    </row>
    <row r="596" ht="96.39999999999999" customHeight="1">
      <c r="A596" s="18" t="n">
        <v>592</v>
      </c>
      <c r="B596" s="18" t="n">
        <v>3</v>
      </c>
      <c r="C596" s="19" t="inlineStr">
        <is>
          <t>WB-BRW-06 / Effluent Plant</t>
        </is>
      </c>
      <c r="D596" s="19" t="inlineStr">
        <is>
          <t>WB-BRW-06</t>
        </is>
      </c>
      <c r="E596" s="20" t="inlineStr">
        <is>
          <t>Effluent Plant</t>
        </is>
      </c>
      <c r="F596" s="21" t="inlineStr">
        <is>
          <t>Web — Data Stasiun (WB-)</t>
        </is>
      </c>
      <c r="G596" s="20" t="inlineStr">
        <is>
          <t>Klik baris membuka Detail record itu</t>
        </is>
      </c>
      <c r="H596" s="21" t="inlineStr">
        <is>
          <t>SPV-A</t>
        </is>
      </c>
      <c r="I596" s="21" t="inlineStr">
        <is>
          <t>—</t>
        </is>
      </c>
      <c r="J596" s="21" t="inlineStr">
        <is>
          <t>1. Login di web, lalu sidebar &gt; Data &gt; Effluent Plant (/data/effluent-plant).
2. Catat identitas dan tanggal pada baris ketiga tabel.
3. Klik baris ketiga itu.
4. Bandingkan header layar yang terbuka dengan catatan langkah 2.</t>
        </is>
      </c>
      <c r="K596" s="21" t="inlineStr">
        <is>
          <t>- Terbuka layar Detail (/data/effluent-plant/&lt;id&gt;).
- Identitas dan tanggal pada Detail sama dengan baris yang diklik — bukan record lain.</t>
        </is>
      </c>
      <c r="L596" s="16" t="inlineStr">
        <is>
          <t>Tinggi</t>
        </is>
      </c>
      <c r="M596" s="21" t="inlineStr"/>
      <c r="N596" s="17" t="n"/>
      <c r="O596" s="17" t="n"/>
      <c r="P596" s="17" t="n"/>
      <c r="Q596" s="17" t="n"/>
      <c r="R596" s="17" t="n"/>
    </row>
    <row r="597" ht="96.39999999999999" customHeight="1">
      <c r="A597" s="11" t="n">
        <v>593</v>
      </c>
      <c r="B597" s="12" t="n">
        <v>1</v>
      </c>
      <c r="C597" s="13" t="inlineStr">
        <is>
          <t>WB-BRW-06 / Depricarping</t>
        </is>
      </c>
      <c r="D597" s="13" t="inlineStr">
        <is>
          <t>WB-BRW-06</t>
        </is>
      </c>
      <c r="E597" s="15" t="inlineStr">
        <is>
          <t>Depricarping</t>
        </is>
      </c>
      <c r="F597" s="14" t="inlineStr">
        <is>
          <t>Web — Data Stasiun (WB-)</t>
        </is>
      </c>
      <c r="G597" s="15" t="inlineStr">
        <is>
          <t>Klik baris membuka Detail record itu</t>
        </is>
      </c>
      <c r="H597" s="14" t="inlineStr">
        <is>
          <t>SPV-A</t>
        </is>
      </c>
      <c r="I597" s="14" t="inlineStr">
        <is>
          <t>—</t>
        </is>
      </c>
      <c r="J597" s="14" t="inlineStr">
        <is>
          <t>1. Login di web, lalu sidebar &gt; Data &gt; Depricarping (/data/depricarping).
2. Catat identitas dan tanggal pada baris ketiga tabel.
3. Klik baris ketiga itu.
4. Bandingkan header layar yang terbuka dengan catatan langkah 2.</t>
        </is>
      </c>
      <c r="K597" s="14" t="inlineStr">
        <is>
          <t>- Terbuka layar Detail (/data/depricarping/&lt;id&gt;).
- Identitas dan tanggal pada Detail sama dengan baris yang diklik — bukan record lain.</t>
        </is>
      </c>
      <c r="L597" s="16" t="inlineStr">
        <is>
          <t>Tinggi</t>
        </is>
      </c>
      <c r="M597" s="14" t="inlineStr"/>
      <c r="N597" s="17" t="n"/>
      <c r="O597" s="17" t="n"/>
      <c r="P597" s="17" t="n"/>
      <c r="Q597" s="17" t="n"/>
      <c r="R597" s="17" t="n"/>
    </row>
    <row r="598" ht="96.39999999999999" customHeight="1">
      <c r="A598" s="18" t="n">
        <v>594</v>
      </c>
      <c r="B598" s="18" t="n">
        <v>3</v>
      </c>
      <c r="C598" s="19" t="inlineStr">
        <is>
          <t>WB-BRW-06 / Engine Room</t>
        </is>
      </c>
      <c r="D598" s="19" t="inlineStr">
        <is>
          <t>WB-BRW-06</t>
        </is>
      </c>
      <c r="E598" s="20" t="inlineStr">
        <is>
          <t>Engine Room</t>
        </is>
      </c>
      <c r="F598" s="21" t="inlineStr">
        <is>
          <t>Web — Data Stasiun (WB-)</t>
        </is>
      </c>
      <c r="G598" s="20" t="inlineStr">
        <is>
          <t>Klik baris membuka Detail record itu</t>
        </is>
      </c>
      <c r="H598" s="21" t="inlineStr">
        <is>
          <t>SPV-A</t>
        </is>
      </c>
      <c r="I598" s="21" t="inlineStr">
        <is>
          <t>—</t>
        </is>
      </c>
      <c r="J598" s="21" t="inlineStr">
        <is>
          <t>1. Login di web, lalu sidebar &gt; Data &gt; Engine Room (/data/engine-room).
2. Catat identitas dan tanggal pada baris ketiga tabel.
3. Klik baris ketiga itu.
4. Bandingkan header layar yang terbuka dengan catatan langkah 2.</t>
        </is>
      </c>
      <c r="K598" s="21" t="inlineStr">
        <is>
          <t>- Terbuka layar Detail (/data/engine-room/&lt;id&gt;).
- Identitas dan tanggal pada Detail sama dengan baris yang diklik — bukan record lain.</t>
        </is>
      </c>
      <c r="L598" s="16" t="inlineStr">
        <is>
          <t>Tinggi</t>
        </is>
      </c>
      <c r="M598" s="21" t="inlineStr"/>
      <c r="N598" s="17" t="n"/>
      <c r="O598" s="17" t="n"/>
      <c r="P598" s="17" t="n"/>
      <c r="Q598" s="17" t="n"/>
      <c r="R598" s="17" t="n"/>
    </row>
    <row r="599" ht="96.39999999999999" customHeight="1">
      <c r="A599" s="22" t="n">
        <v>595</v>
      </c>
      <c r="B599" s="22" t="n">
        <v>3</v>
      </c>
      <c r="C599" s="23" t="inlineStr">
        <is>
          <t>WB-BRW-06 / Process Water</t>
        </is>
      </c>
      <c r="D599" s="23" t="inlineStr">
        <is>
          <t>WB-BRW-06</t>
        </is>
      </c>
      <c r="E599" s="24" t="inlineStr">
        <is>
          <t>Process Water</t>
        </is>
      </c>
      <c r="F599" s="5" t="inlineStr">
        <is>
          <t>Web — Data Stasiun (WB-)</t>
        </is>
      </c>
      <c r="G599" s="24" t="inlineStr">
        <is>
          <t>Klik baris membuka Detail record itu</t>
        </is>
      </c>
      <c r="H599" s="5" t="inlineStr">
        <is>
          <t>SPV-A</t>
        </is>
      </c>
      <c r="I599" s="5" t="inlineStr">
        <is>
          <t>—</t>
        </is>
      </c>
      <c r="J599" s="5" t="inlineStr">
        <is>
          <t>1. Login di web, lalu sidebar &gt; Data &gt; Process Water (/data/process-water).
2. Catat identitas dan tanggal pada baris ketiga tabel.
3. Klik baris ketiga itu.
4. Bandingkan header layar yang terbuka dengan catatan langkah 2.</t>
        </is>
      </c>
      <c r="K599" s="5" t="inlineStr">
        <is>
          <t>- Terbuka layar Detail (/data/process-water/&lt;id&gt;).
- Identitas dan tanggal pada Detail sama dengan baris yang diklik — bukan record lain.</t>
        </is>
      </c>
      <c r="L599" s="16" t="inlineStr">
        <is>
          <t>Tinggi</t>
        </is>
      </c>
      <c r="M599" s="5" t="inlineStr"/>
      <c r="N599" s="17" t="n"/>
      <c r="O599" s="17" t="n"/>
      <c r="P599" s="17" t="n"/>
      <c r="Q599" s="17" t="n"/>
      <c r="R599" s="17" t="n"/>
    </row>
    <row r="600" ht="96.39999999999999" customHeight="1">
      <c r="A600" s="18" t="n">
        <v>596</v>
      </c>
      <c r="B600" s="18" t="n">
        <v>3</v>
      </c>
      <c r="C600" s="19" t="inlineStr">
        <is>
          <t>WB-BRW-06 / Storage Tank</t>
        </is>
      </c>
      <c r="D600" s="19" t="inlineStr">
        <is>
          <t>WB-BRW-06</t>
        </is>
      </c>
      <c r="E600" s="20" t="inlineStr">
        <is>
          <t>Storage Tank</t>
        </is>
      </c>
      <c r="F600" s="21" t="inlineStr">
        <is>
          <t>Web — Data Stasiun (WB-)</t>
        </is>
      </c>
      <c r="G600" s="20" t="inlineStr">
        <is>
          <t>Klik baris membuka Detail record itu</t>
        </is>
      </c>
      <c r="H600" s="21" t="inlineStr">
        <is>
          <t>SPV-A</t>
        </is>
      </c>
      <c r="I600" s="21" t="inlineStr">
        <is>
          <t>—</t>
        </is>
      </c>
      <c r="J600" s="21" t="inlineStr">
        <is>
          <t>1. Login di web, lalu sidebar &gt; Data &gt; Storage Tank (/data/storage-tank).
2. Catat identitas dan tanggal pada baris ketiga tabel.
3. Klik baris ketiga itu.
4. Bandingkan header layar yang terbuka dengan catatan langkah 2.</t>
        </is>
      </c>
      <c r="K600" s="21" t="inlineStr">
        <is>
          <t>- Terbuka layar Detail (/data/storage-tank/&lt;id&gt;).
- Identitas dan tanggal pada Detail sama dengan baris yang diklik — bukan record lain.</t>
        </is>
      </c>
      <c r="L600" s="16" t="inlineStr">
        <is>
          <t>Tinggi</t>
        </is>
      </c>
      <c r="M600" s="21" t="inlineStr"/>
      <c r="N600" s="17" t="n"/>
      <c r="O600" s="17" t="n"/>
      <c r="P600" s="17" t="n"/>
      <c r="Q600" s="17" t="n"/>
      <c r="R600" s="17" t="n"/>
    </row>
    <row r="601" ht="109.6" customHeight="1">
      <c r="A601" s="22" t="n">
        <v>597</v>
      </c>
      <c r="B601" s="22" t="n">
        <v>3</v>
      </c>
      <c r="C601" s="23" t="inlineStr">
        <is>
          <t>WB-BRW-06 / Solid Waste Disposal</t>
        </is>
      </c>
      <c r="D601" s="23" t="inlineStr">
        <is>
          <t>WB-BRW-06</t>
        </is>
      </c>
      <c r="E601" s="24" t="inlineStr">
        <is>
          <t>Solid Waste Disposal</t>
        </is>
      </c>
      <c r="F601" s="5" t="inlineStr">
        <is>
          <t>Web — Data Stasiun (WB-)</t>
        </is>
      </c>
      <c r="G601" s="24" t="inlineStr">
        <is>
          <t>Klik baris membuka Detail record itu</t>
        </is>
      </c>
      <c r="H601" s="5" t="inlineStr">
        <is>
          <t>SPV-A</t>
        </is>
      </c>
      <c r="I601" s="5" t="inlineStr">
        <is>
          <t>—</t>
        </is>
      </c>
      <c r="J601" s="5" t="inlineStr">
        <is>
          <t>1. Login di web, lalu sidebar &gt; Data &gt; Solid Waste Disposal (/data/solid-waste-disposal).
2. Catat identitas dan tanggal pada baris ketiga tabel.
3. Klik baris ketiga itu.
4. Bandingkan header layar yang terbuka dengan catatan langkah 2.</t>
        </is>
      </c>
      <c r="K601" s="5" t="inlineStr">
        <is>
          <t>- Terbuka layar Detail (/data/solid-waste-disposal/&lt;id&gt;).
- Identitas dan tanggal pada Detail sama dengan baris yang diklik — bukan record lain.</t>
        </is>
      </c>
      <c r="L601" s="16" t="inlineStr">
        <is>
          <t>Tinggi</t>
        </is>
      </c>
      <c r="M601" s="5" t="inlineStr"/>
      <c r="N601" s="17" t="n"/>
      <c r="O601" s="17" t="n"/>
      <c r="P601" s="17" t="n"/>
      <c r="Q601" s="17" t="n"/>
      <c r="R601" s="17" t="n"/>
    </row>
    <row r="602" ht="96.39999999999999" customHeight="1">
      <c r="A602" s="18" t="n">
        <v>598</v>
      </c>
      <c r="B602" s="18" t="n">
        <v>3</v>
      </c>
      <c r="C602" s="19" t="inlineStr">
        <is>
          <t>WB-BRW-06 / Kernel Dispatch</t>
        </is>
      </c>
      <c r="D602" s="19" t="inlineStr">
        <is>
          <t>WB-BRW-06</t>
        </is>
      </c>
      <c r="E602" s="20" t="inlineStr">
        <is>
          <t>Kernel Dispatch</t>
        </is>
      </c>
      <c r="F602" s="21" t="inlineStr">
        <is>
          <t>Web — Data Stasiun (WB-)</t>
        </is>
      </c>
      <c r="G602" s="20" t="inlineStr">
        <is>
          <t>Klik baris membuka Detail record itu</t>
        </is>
      </c>
      <c r="H602" s="21" t="inlineStr">
        <is>
          <t>SPV-A</t>
        </is>
      </c>
      <c r="I602" s="21" t="inlineStr">
        <is>
          <t>—</t>
        </is>
      </c>
      <c r="J602" s="21" t="inlineStr">
        <is>
          <t>1. Login di web, lalu sidebar &gt; Data &gt; Kernel Dispatch (/data/kernel-dispatch).
2. Catat identitas dan tanggal pada baris ketiga tabel.
3. Klik baris ketiga itu.
4. Bandingkan header layar yang terbuka dengan catatan langkah 2.</t>
        </is>
      </c>
      <c r="K602" s="21" t="inlineStr">
        <is>
          <t>- Terbuka layar Detail (/data/kernel-dispatch/&lt;id&gt;).
- Identitas dan tanggal pada Detail sama dengan baris yang diklik — bukan record lain.</t>
        </is>
      </c>
      <c r="L602" s="16" t="inlineStr">
        <is>
          <t>Tinggi</t>
        </is>
      </c>
      <c r="M602" s="21" t="inlineStr"/>
      <c r="N602" s="17" t="n"/>
      <c r="O602" s="17" t="n"/>
      <c r="P602" s="17" t="n"/>
      <c r="Q602" s="17" t="n"/>
      <c r="R602" s="17" t="n"/>
    </row>
    <row r="603" ht="96.39999999999999" customHeight="1">
      <c r="A603" s="22" t="n">
        <v>599</v>
      </c>
      <c r="B603" s="22" t="n">
        <v>3</v>
      </c>
      <c r="C603" s="23" t="inlineStr">
        <is>
          <t>WB-BRW-06 / CPO Dispatch</t>
        </is>
      </c>
      <c r="D603" s="23" t="inlineStr">
        <is>
          <t>WB-BRW-06</t>
        </is>
      </c>
      <c r="E603" s="24" t="inlineStr">
        <is>
          <t>CPO Dispatch</t>
        </is>
      </c>
      <c r="F603" s="5" t="inlineStr">
        <is>
          <t>Web — Data Stasiun (WB-)</t>
        </is>
      </c>
      <c r="G603" s="24" t="inlineStr">
        <is>
          <t>Klik baris membuka Detail record itu</t>
        </is>
      </c>
      <c r="H603" s="5" t="inlineStr">
        <is>
          <t>SPV-A</t>
        </is>
      </c>
      <c r="I603" s="5" t="inlineStr">
        <is>
          <t>—</t>
        </is>
      </c>
      <c r="J603" s="5" t="inlineStr">
        <is>
          <t>1. Login di web, lalu sidebar &gt; Data &gt; CPO Dispatch (/data/cpo-dispatch).
2. Catat identitas dan tanggal pada baris ketiga tabel.
3. Klik baris ketiga itu.
4. Bandingkan header layar yang terbuka dengan catatan langkah 2.</t>
        </is>
      </c>
      <c r="K603" s="5" t="inlineStr">
        <is>
          <t>- Terbuka layar Detail (/data/cpo-dispatch/&lt;id&gt;).
- Identitas dan tanggal pada Detail sama dengan baris yang diklik — bukan record lain.</t>
        </is>
      </c>
      <c r="L603" s="16" t="inlineStr">
        <is>
          <t>Tinggi</t>
        </is>
      </c>
      <c r="M603" s="5" t="inlineStr"/>
      <c r="N603" s="17" t="n"/>
      <c r="O603" s="17" t="n"/>
      <c r="P603" s="17" t="n"/>
      <c r="Q603" s="17" t="n"/>
      <c r="R603" s="17" t="n"/>
    </row>
    <row r="604" ht="109.6" customHeight="1">
      <c r="A604" s="18" t="n">
        <v>600</v>
      </c>
      <c r="B604" s="18" t="n">
        <v>3</v>
      </c>
      <c r="C604" s="19" t="inlineStr">
        <is>
          <t>WB-BRW-06 / Process Quality Control</t>
        </is>
      </c>
      <c r="D604" s="19" t="inlineStr">
        <is>
          <t>WB-BRW-06</t>
        </is>
      </c>
      <c r="E604" s="20" t="inlineStr">
        <is>
          <t>Process Quality Control</t>
        </is>
      </c>
      <c r="F604" s="21" t="inlineStr">
        <is>
          <t>Web — Data Stasiun (WB-)</t>
        </is>
      </c>
      <c r="G604" s="20" t="inlineStr">
        <is>
          <t>Klik baris membuka Detail record itu</t>
        </is>
      </c>
      <c r="H604" s="21" t="inlineStr">
        <is>
          <t>SPV-A</t>
        </is>
      </c>
      <c r="I604" s="21" t="inlineStr">
        <is>
          <t>—</t>
        </is>
      </c>
      <c r="J604" s="21" t="inlineStr">
        <is>
          <t>1. Login di web, lalu sidebar &gt; Data &gt; Process Quality Control (/data/process-quality-control).
2. Catat identitas dan tanggal pada baris ketiga tabel.
3. Klik baris ketiga itu.
4. Bandingkan header layar yang terbuka dengan catatan langkah 2.</t>
        </is>
      </c>
      <c r="K604" s="21" t="inlineStr">
        <is>
          <t>- Terbuka layar Detail (/data/process-quality-control/&lt;id&gt;).
- Identitas dan tanggal pada Detail sama dengan baris yang diklik — bukan record lain.</t>
        </is>
      </c>
      <c r="L604" s="16" t="inlineStr">
        <is>
          <t>Tinggi</t>
        </is>
      </c>
      <c r="M604" s="21" t="inlineStr"/>
      <c r="N604" s="17" t="n"/>
      <c r="O604" s="17" t="n"/>
      <c r="P604" s="17" t="n"/>
      <c r="Q604" s="17" t="n"/>
      <c r="R604" s="17" t="n"/>
    </row>
    <row r="605" ht="96.39999999999999" customHeight="1">
      <c r="A605" s="22" t="n">
        <v>601</v>
      </c>
      <c r="B605" s="22" t="n">
        <v>3</v>
      </c>
      <c r="C605" s="23" t="inlineStr">
        <is>
          <t>WB-BRW-07 / Weighbridge</t>
        </is>
      </c>
      <c r="D605" s="23" t="inlineStr">
        <is>
          <t>WB-BRW-07</t>
        </is>
      </c>
      <c r="E605" s="24" t="inlineStr">
        <is>
          <t>Weighbridge</t>
        </is>
      </c>
      <c r="F605" s="5" t="inlineStr">
        <is>
          <t>Web — Data Stasiun (WB-)</t>
        </is>
      </c>
      <c r="G605" s="24" t="inlineStr">
        <is>
          <t>Tambah Data membuka Form kosong</t>
        </is>
      </c>
      <c r="H605" s="5" t="inlineStr">
        <is>
          <t>SPV-A</t>
        </is>
      </c>
      <c r="I605" s="5" t="inlineStr">
        <is>
          <t>—</t>
        </is>
      </c>
      <c r="J605" s="5" t="inlineStr">
        <is>
          <t>1. Login di web, lalu sidebar &gt; Data &gt; Weighbridge (/data/weighbridge).
2. Tekan Tambah.
3. Baca seluruh kolom pada form yang terbuka.
4. Periksa bagian grid: berapa baris yang sudah ada?</t>
        </is>
      </c>
      <c r="K605" s="5" t="inlineStr">
        <is>
          <t>- Terbuka Form kosong (/data/weighbridge/create).
- Kolom identitas kosong; tidak ada nilai sisa dari record mana pun.
- Kolom Production Line dapat dipilih.
- Grid slot waktu masih kosong atau menyediakan satu baris kosong untuk diisi.</t>
        </is>
      </c>
      <c r="L605" s="16" t="inlineStr">
        <is>
          <t>Tinggi</t>
        </is>
      </c>
      <c r="M605" s="5" t="inlineStr"/>
      <c r="N605" s="17" t="n"/>
      <c r="O605" s="17" t="n"/>
      <c r="P605" s="17" t="n"/>
      <c r="Q605" s="17" t="n"/>
      <c r="R605" s="17" t="n"/>
    </row>
    <row r="606" ht="96.39999999999999" customHeight="1">
      <c r="A606" s="18" t="n">
        <v>602</v>
      </c>
      <c r="B606" s="18" t="n">
        <v>3</v>
      </c>
      <c r="C606" s="19" t="inlineStr">
        <is>
          <t>WB-BRW-07 / Grading</t>
        </is>
      </c>
      <c r="D606" s="19" t="inlineStr">
        <is>
          <t>WB-BRW-07</t>
        </is>
      </c>
      <c r="E606" s="20" t="inlineStr">
        <is>
          <t>Grading</t>
        </is>
      </c>
      <c r="F606" s="21" t="inlineStr">
        <is>
          <t>Web — Data Stasiun (WB-)</t>
        </is>
      </c>
      <c r="G606" s="20" t="inlineStr">
        <is>
          <t>Tambah Data membuka Form kosong</t>
        </is>
      </c>
      <c r="H606" s="21" t="inlineStr">
        <is>
          <t>SPV-A</t>
        </is>
      </c>
      <c r="I606" s="21" t="inlineStr">
        <is>
          <t>—</t>
        </is>
      </c>
      <c r="J606" s="21" t="inlineStr">
        <is>
          <t>1. Login di web, lalu sidebar &gt; Data &gt; Grading (/data/grading).
2. Tekan Tambah.
3. Baca seluruh kolom pada form yang terbuka.
4. Periksa bagian grid: berapa baris yang sudah ada?</t>
        </is>
      </c>
      <c r="K606" s="21" t="inlineStr">
        <is>
          <t>- Terbuka Form kosong (/data/grading/create).
- Kolom identitas kosong; tidak ada nilai sisa dari record mana pun.
- Kolom Production Line dapat dipilih.
- Grid slot waktu masih kosong atau menyediakan satu baris kosong untuk diisi.</t>
        </is>
      </c>
      <c r="L606" s="16" t="inlineStr">
        <is>
          <t>Tinggi</t>
        </is>
      </c>
      <c r="M606" s="21" t="inlineStr"/>
      <c r="N606" s="17" t="n"/>
      <c r="O606" s="17" t="n"/>
      <c r="P606" s="17" t="n"/>
      <c r="Q606" s="17" t="n"/>
      <c r="R606" s="17" t="n"/>
    </row>
    <row r="607" ht="96.39999999999999" customHeight="1">
      <c r="A607" s="22" t="n">
        <v>603</v>
      </c>
      <c r="B607" s="22" t="n">
        <v>3</v>
      </c>
      <c r="C607" s="23" t="inlineStr">
        <is>
          <t>WB-BRW-07 / Cages Track</t>
        </is>
      </c>
      <c r="D607" s="23" t="inlineStr">
        <is>
          <t>WB-BRW-07</t>
        </is>
      </c>
      <c r="E607" s="24" t="inlineStr">
        <is>
          <t>Cages Track</t>
        </is>
      </c>
      <c r="F607" s="5" t="inlineStr">
        <is>
          <t>Web — Data Stasiun (WB-)</t>
        </is>
      </c>
      <c r="G607" s="24" t="inlineStr">
        <is>
          <t>Tambah Data membuka Form kosong</t>
        </is>
      </c>
      <c r="H607" s="5" t="inlineStr">
        <is>
          <t>SPV-A</t>
        </is>
      </c>
      <c r="I607" s="5" t="inlineStr">
        <is>
          <t>—</t>
        </is>
      </c>
      <c r="J607" s="5" t="inlineStr">
        <is>
          <t>1. Login di web, lalu sidebar &gt; Data &gt; Cages Track (/data/cages-track).
2. Tekan Tambah.
3. Baca seluruh kolom pada form yang terbuka.
4. Periksa bagian grid: berapa baris yang sudah ada?</t>
        </is>
      </c>
      <c r="K607" s="5" t="inlineStr">
        <is>
          <t>- Terbuka Form kosong (/data/cages-track/create).
- Kolom identitas kosong; tidak ada nilai sisa dari record mana pun.
- Kolom Production Line dapat dipilih.
- Grid slot waktu masih kosong atau menyediakan satu baris kosong untuk diisi.</t>
        </is>
      </c>
      <c r="L607" s="16" t="inlineStr">
        <is>
          <t>Tinggi</t>
        </is>
      </c>
      <c r="M607" s="5" t="inlineStr"/>
      <c r="N607" s="17" t="n"/>
      <c r="O607" s="17" t="n"/>
      <c r="P607" s="17" t="n"/>
      <c r="Q607" s="17" t="n"/>
      <c r="R607" s="17" t="n"/>
    </row>
    <row r="608" ht="96.39999999999999" customHeight="1">
      <c r="A608" s="18" t="n">
        <v>604</v>
      </c>
      <c r="B608" s="18" t="n">
        <v>3</v>
      </c>
      <c r="C608" s="19" t="inlineStr">
        <is>
          <t>WB-BRW-07 / Sterilizer</t>
        </is>
      </c>
      <c r="D608" s="19" t="inlineStr">
        <is>
          <t>WB-BRW-07</t>
        </is>
      </c>
      <c r="E608" s="20" t="inlineStr">
        <is>
          <t>Sterilizer</t>
        </is>
      </c>
      <c r="F608" s="21" t="inlineStr">
        <is>
          <t>Web — Data Stasiun (WB-)</t>
        </is>
      </c>
      <c r="G608" s="20" t="inlineStr">
        <is>
          <t>Tambah Data membuka Form kosong</t>
        </is>
      </c>
      <c r="H608" s="21" t="inlineStr">
        <is>
          <t>SPV-A</t>
        </is>
      </c>
      <c r="I608" s="21" t="inlineStr">
        <is>
          <t>—</t>
        </is>
      </c>
      <c r="J608" s="21" t="inlineStr">
        <is>
          <t>1. Login di web, lalu sidebar &gt; Data &gt; Sterilizer (/data/sterilizer).
2. Tekan Tambah.
3. Baca seluruh kolom pada form yang terbuka.
4. Periksa bagian grid: berapa baris yang sudah ada?</t>
        </is>
      </c>
      <c r="K608" s="21" t="inlineStr">
        <is>
          <t>- Terbuka Form kosong (/data/sterilizer/create).
- Kolom identitas kosong; tidak ada nilai sisa dari record mana pun.
- Kolom Production Line dapat dipilih.
- Grid slot waktu masih kosong atau menyediakan satu baris kosong untuk diisi.</t>
        </is>
      </c>
      <c r="L608" s="16" t="inlineStr">
        <is>
          <t>Tinggi</t>
        </is>
      </c>
      <c r="M608" s="21" t="inlineStr"/>
      <c r="N608" s="17" t="n"/>
      <c r="O608" s="17" t="n"/>
      <c r="P608" s="17" t="n"/>
      <c r="Q608" s="17" t="n"/>
      <c r="R608" s="17" t="n"/>
    </row>
    <row r="609" ht="96.39999999999999" customHeight="1">
      <c r="A609" s="22" t="n">
        <v>605</v>
      </c>
      <c r="B609" s="22" t="n">
        <v>3</v>
      </c>
      <c r="C609" s="23" t="inlineStr">
        <is>
          <t>WB-BRW-07 / Threshing</t>
        </is>
      </c>
      <c r="D609" s="23" t="inlineStr">
        <is>
          <t>WB-BRW-07</t>
        </is>
      </c>
      <c r="E609" s="24" t="inlineStr">
        <is>
          <t>Threshing</t>
        </is>
      </c>
      <c r="F609" s="5" t="inlineStr">
        <is>
          <t>Web — Data Stasiun (WB-)</t>
        </is>
      </c>
      <c r="G609" s="24" t="inlineStr">
        <is>
          <t>Tambah Data membuka Form kosong</t>
        </is>
      </c>
      <c r="H609" s="5" t="inlineStr">
        <is>
          <t>SPV-A</t>
        </is>
      </c>
      <c r="I609" s="5" t="inlineStr">
        <is>
          <t>—</t>
        </is>
      </c>
      <c r="J609" s="5" t="inlineStr">
        <is>
          <t>1. Login di web, lalu sidebar &gt; Data &gt; Threshing (/data/threshing).
2. Tekan Tambah.
3. Baca seluruh kolom pada form yang terbuka.
4. Periksa bagian grid: berapa baris yang sudah ada?</t>
        </is>
      </c>
      <c r="K609" s="5" t="inlineStr">
        <is>
          <t>- Terbuka Form kosong (/data/threshing/create).
- Kolom identitas kosong; tidak ada nilai sisa dari record mana pun.
- Kolom Production Line dapat dipilih.
- Grid slot waktu masih kosong atau menyediakan satu baris kosong untuk diisi.</t>
        </is>
      </c>
      <c r="L609" s="16" t="inlineStr">
        <is>
          <t>Tinggi</t>
        </is>
      </c>
      <c r="M609" s="5" t="inlineStr"/>
      <c r="N609" s="17" t="n"/>
      <c r="O609" s="17" t="n"/>
      <c r="P609" s="17" t="n"/>
      <c r="Q609" s="17" t="n"/>
      <c r="R609" s="17" t="n"/>
    </row>
    <row r="610" ht="96.39999999999999" customHeight="1">
      <c r="A610" s="18" t="n">
        <v>606</v>
      </c>
      <c r="B610" s="18" t="n">
        <v>3</v>
      </c>
      <c r="C610" s="19" t="inlineStr">
        <is>
          <t>WB-BRW-07 / Pressing</t>
        </is>
      </c>
      <c r="D610" s="19" t="inlineStr">
        <is>
          <t>WB-BRW-07</t>
        </is>
      </c>
      <c r="E610" s="20" t="inlineStr">
        <is>
          <t>Pressing</t>
        </is>
      </c>
      <c r="F610" s="21" t="inlineStr">
        <is>
          <t>Web — Data Stasiun (WB-)</t>
        </is>
      </c>
      <c r="G610" s="20" t="inlineStr">
        <is>
          <t>Tambah Data membuka Form kosong</t>
        </is>
      </c>
      <c r="H610" s="21" t="inlineStr">
        <is>
          <t>SPV-A</t>
        </is>
      </c>
      <c r="I610" s="21" t="inlineStr">
        <is>
          <t>—</t>
        </is>
      </c>
      <c r="J610" s="21" t="inlineStr">
        <is>
          <t>1. Login di web, lalu sidebar &gt; Data &gt; Pressing (/data/pressing).
2. Tekan Tambah.
3. Baca seluruh kolom pada form yang terbuka.
4. Periksa bagian grid: berapa baris yang sudah ada?</t>
        </is>
      </c>
      <c r="K610" s="21" t="inlineStr">
        <is>
          <t>- Terbuka Form kosong (/data/pressing/create).
- Kolom identitas kosong; tidak ada nilai sisa dari record mana pun.
- Kolom Production Line dapat dipilih.
- Grid slot waktu masih kosong atau menyediakan satu baris kosong untuk diisi.</t>
        </is>
      </c>
      <c r="L610" s="16" t="inlineStr">
        <is>
          <t>Tinggi</t>
        </is>
      </c>
      <c r="M610" s="21" t="inlineStr"/>
      <c r="N610" s="17" t="n"/>
      <c r="O610" s="17" t="n"/>
      <c r="P610" s="17" t="n"/>
      <c r="Q610" s="17" t="n"/>
      <c r="R610" s="17" t="n"/>
    </row>
    <row r="611" ht="96.39999999999999" customHeight="1">
      <c r="A611" s="22" t="n">
        <v>607</v>
      </c>
      <c r="B611" s="22" t="n">
        <v>3</v>
      </c>
      <c r="C611" s="23" t="inlineStr">
        <is>
          <t>WB-BRW-07 / Clarification</t>
        </is>
      </c>
      <c r="D611" s="23" t="inlineStr">
        <is>
          <t>WB-BRW-07</t>
        </is>
      </c>
      <c r="E611" s="24" t="inlineStr">
        <is>
          <t>Clarification</t>
        </is>
      </c>
      <c r="F611" s="5" t="inlineStr">
        <is>
          <t>Web — Data Stasiun (WB-)</t>
        </is>
      </c>
      <c r="G611" s="24" t="inlineStr">
        <is>
          <t>Tambah Data membuka Form kosong</t>
        </is>
      </c>
      <c r="H611" s="5" t="inlineStr">
        <is>
          <t>SPV-A</t>
        </is>
      </c>
      <c r="I611" s="5" t="inlineStr">
        <is>
          <t>—</t>
        </is>
      </c>
      <c r="J611" s="5" t="inlineStr">
        <is>
          <t>1. Login di web, lalu sidebar &gt; Data &gt; Clarification (/data/clarification).
2. Tekan Tambah.
3. Baca seluruh kolom pada form yang terbuka.
4. Periksa bagian grid: berapa baris yang sudah ada?</t>
        </is>
      </c>
      <c r="K611" s="5" t="inlineStr">
        <is>
          <t>- Terbuka Form kosong (/data/clarification/create).
- Kolom identitas kosong; tidak ada nilai sisa dari record mana pun.
- Kolom Production Line dapat dipilih.
- Grid slot waktu masih kosong atau menyediakan satu baris kosong untuk diisi.</t>
        </is>
      </c>
      <c r="L611" s="16" t="inlineStr">
        <is>
          <t>Tinggi</t>
        </is>
      </c>
      <c r="M611" s="5" t="inlineStr"/>
      <c r="N611" s="17" t="n"/>
      <c r="O611" s="17" t="n"/>
      <c r="P611" s="17" t="n"/>
      <c r="Q611" s="17" t="n"/>
      <c r="R611" s="17" t="n"/>
    </row>
    <row r="612" ht="96.39999999999999" customHeight="1">
      <c r="A612" s="18" t="n">
        <v>608</v>
      </c>
      <c r="B612" s="18" t="n">
        <v>3</v>
      </c>
      <c r="C612" s="19" t="inlineStr">
        <is>
          <t>WB-BRW-07 / Kernel Plant</t>
        </is>
      </c>
      <c r="D612" s="19" t="inlineStr">
        <is>
          <t>WB-BRW-07</t>
        </is>
      </c>
      <c r="E612" s="20" t="inlineStr">
        <is>
          <t>Kernel Plant</t>
        </is>
      </c>
      <c r="F612" s="21" t="inlineStr">
        <is>
          <t>Web — Data Stasiun (WB-)</t>
        </is>
      </c>
      <c r="G612" s="20" t="inlineStr">
        <is>
          <t>Tambah Data membuka Form kosong</t>
        </is>
      </c>
      <c r="H612" s="21" t="inlineStr">
        <is>
          <t>SPV-A</t>
        </is>
      </c>
      <c r="I612" s="21" t="inlineStr">
        <is>
          <t>—</t>
        </is>
      </c>
      <c r="J612" s="21" t="inlineStr">
        <is>
          <t>1. Login di web, lalu sidebar &gt; Data &gt; Kernel Plant (/data/kernel-plant).
2. Tekan Tambah.
3. Baca seluruh kolom pada form yang terbuka.
4. Periksa bagian grid: berapa baris yang sudah ada?</t>
        </is>
      </c>
      <c r="K612" s="21" t="inlineStr">
        <is>
          <t>- Terbuka Form kosong (/data/kernel-plant/create).
- Kolom identitas kosong; tidak ada nilai sisa dari record mana pun.
- Kolom Production Line dapat dipilih.
- Grid slot waktu masih kosong atau menyediakan satu baris kosong untuk diisi.</t>
        </is>
      </c>
      <c r="L612" s="16" t="inlineStr">
        <is>
          <t>Tinggi</t>
        </is>
      </c>
      <c r="M612" s="21" t="inlineStr"/>
      <c r="N612" s="17" t="n"/>
      <c r="O612" s="17" t="n"/>
      <c r="P612" s="17" t="n"/>
      <c r="Q612" s="17" t="n"/>
      <c r="R612" s="17" t="n"/>
    </row>
    <row r="613" ht="96.39999999999999" customHeight="1">
      <c r="A613" s="22" t="n">
        <v>609</v>
      </c>
      <c r="B613" s="22" t="n">
        <v>3</v>
      </c>
      <c r="C613" s="23" t="inlineStr">
        <is>
          <t>WB-BRW-07 / Boiler Room</t>
        </is>
      </c>
      <c r="D613" s="23" t="inlineStr">
        <is>
          <t>WB-BRW-07</t>
        </is>
      </c>
      <c r="E613" s="24" t="inlineStr">
        <is>
          <t>Boiler Room</t>
        </is>
      </c>
      <c r="F613" s="5" t="inlineStr">
        <is>
          <t>Web — Data Stasiun (WB-)</t>
        </is>
      </c>
      <c r="G613" s="24" t="inlineStr">
        <is>
          <t>Tambah Data membuka Form kosong</t>
        </is>
      </c>
      <c r="H613" s="5" t="inlineStr">
        <is>
          <t>SPV-A</t>
        </is>
      </c>
      <c r="I613" s="5" t="inlineStr">
        <is>
          <t>—</t>
        </is>
      </c>
      <c r="J613" s="5" t="inlineStr">
        <is>
          <t>1. Login di web, lalu sidebar &gt; Data &gt; Boiler Room (/data/boiler-room).
2. Tekan Tambah.
3. Baca seluruh kolom pada form yang terbuka.
4. Periksa bagian grid: berapa baris yang sudah ada?</t>
        </is>
      </c>
      <c r="K613" s="5" t="inlineStr">
        <is>
          <t>- Terbuka Form kosong (/data/boiler-room/create).
- Kolom identitas kosong; tidak ada nilai sisa dari record mana pun.
- Kolom Production Line dapat dipilih.
- Grid slot waktu masih kosong atau menyediakan satu baris kosong untuk diisi.</t>
        </is>
      </c>
      <c r="L613" s="16" t="inlineStr">
        <is>
          <t>Tinggi</t>
        </is>
      </c>
      <c r="M613" s="5" t="inlineStr"/>
      <c r="N613" s="17" t="n"/>
      <c r="O613" s="17" t="n"/>
      <c r="P613" s="17" t="n"/>
      <c r="Q613" s="17" t="n"/>
      <c r="R613" s="17" t="n"/>
    </row>
    <row r="614" ht="96.39999999999999" customHeight="1">
      <c r="A614" s="18" t="n">
        <v>610</v>
      </c>
      <c r="B614" s="18" t="n">
        <v>3</v>
      </c>
      <c r="C614" s="19" t="inlineStr">
        <is>
          <t>WB-BRW-07 / Effluent Plant</t>
        </is>
      </c>
      <c r="D614" s="19" t="inlineStr">
        <is>
          <t>WB-BRW-07</t>
        </is>
      </c>
      <c r="E614" s="20" t="inlineStr">
        <is>
          <t>Effluent Plant</t>
        </is>
      </c>
      <c r="F614" s="21" t="inlineStr">
        <is>
          <t>Web — Data Stasiun (WB-)</t>
        </is>
      </c>
      <c r="G614" s="20" t="inlineStr">
        <is>
          <t>Tambah Data membuka Form kosong</t>
        </is>
      </c>
      <c r="H614" s="21" t="inlineStr">
        <is>
          <t>SPV-A</t>
        </is>
      </c>
      <c r="I614" s="21" t="inlineStr">
        <is>
          <t>—</t>
        </is>
      </c>
      <c r="J614" s="21" t="inlineStr">
        <is>
          <t>1. Login di web, lalu sidebar &gt; Data &gt; Effluent Plant (/data/effluent-plant).
2. Tekan Tambah.
3. Baca seluruh kolom pada form yang terbuka.
4. Periksa bagian grid: berapa baris yang sudah ada?</t>
        </is>
      </c>
      <c r="K614" s="21" t="inlineStr">
        <is>
          <t>- Terbuka Form kosong (/data/effluent-plant/create).
- Kolom identitas kosong; tidak ada nilai sisa dari record mana pun.
- Kolom Production Line dapat dipilih.
- Grid slot waktu masih kosong atau menyediakan satu baris kosong untuk diisi.</t>
        </is>
      </c>
      <c r="L614" s="16" t="inlineStr">
        <is>
          <t>Tinggi</t>
        </is>
      </c>
      <c r="M614" s="21" t="inlineStr"/>
      <c r="N614" s="17" t="n"/>
      <c r="O614" s="17" t="n"/>
      <c r="P614" s="17" t="n"/>
      <c r="Q614" s="17" t="n"/>
      <c r="R614" s="17" t="n"/>
    </row>
    <row r="615" ht="96.39999999999999" customHeight="1">
      <c r="A615" s="11" t="n">
        <v>611</v>
      </c>
      <c r="B615" s="12" t="n">
        <v>1</v>
      </c>
      <c r="C615" s="13" t="inlineStr">
        <is>
          <t>WB-BRW-07 / Depricarping</t>
        </is>
      </c>
      <c r="D615" s="13" t="inlineStr">
        <is>
          <t>WB-BRW-07</t>
        </is>
      </c>
      <c r="E615" s="15" t="inlineStr">
        <is>
          <t>Depricarping</t>
        </is>
      </c>
      <c r="F615" s="14" t="inlineStr">
        <is>
          <t>Web — Data Stasiun (WB-)</t>
        </is>
      </c>
      <c r="G615" s="15" t="inlineStr">
        <is>
          <t>Tambah Data membuka Form kosong</t>
        </is>
      </c>
      <c r="H615" s="14" t="inlineStr">
        <is>
          <t>SPV-A</t>
        </is>
      </c>
      <c r="I615" s="14" t="inlineStr">
        <is>
          <t>—</t>
        </is>
      </c>
      <c r="J615" s="14" t="inlineStr">
        <is>
          <t>1. Login di web, lalu sidebar &gt; Data &gt; Depricarping (/data/depricarping).
2. Tekan Tambah.
3. Baca seluruh kolom pada form yang terbuka.
4. Periksa bagian grid: berapa baris yang sudah ada?</t>
        </is>
      </c>
      <c r="K615" s="14" t="inlineStr">
        <is>
          <t>- Terbuka Form kosong (/data/depricarping/create).
- Kolom identitas kosong; tidak ada nilai sisa dari record mana pun.
- Kolom Production Line dapat dipilih.
- Grid slot waktu masih kosong atau menyediakan satu baris kosong untuk diisi.</t>
        </is>
      </c>
      <c r="L615" s="16" t="inlineStr">
        <is>
          <t>Tinggi</t>
        </is>
      </c>
      <c r="M615" s="14" t="inlineStr"/>
      <c r="N615" s="17" t="n"/>
      <c r="O615" s="17" t="n"/>
      <c r="P615" s="17" t="n"/>
      <c r="Q615" s="17" t="n"/>
      <c r="R615" s="17" t="n"/>
    </row>
    <row r="616" ht="96.39999999999999" customHeight="1">
      <c r="A616" s="18" t="n">
        <v>612</v>
      </c>
      <c r="B616" s="18" t="n">
        <v>3</v>
      </c>
      <c r="C616" s="19" t="inlineStr">
        <is>
          <t>WB-BRW-07 / Engine Room</t>
        </is>
      </c>
      <c r="D616" s="19" t="inlineStr">
        <is>
          <t>WB-BRW-07</t>
        </is>
      </c>
      <c r="E616" s="20" t="inlineStr">
        <is>
          <t>Engine Room</t>
        </is>
      </c>
      <c r="F616" s="21" t="inlineStr">
        <is>
          <t>Web — Data Stasiun (WB-)</t>
        </is>
      </c>
      <c r="G616" s="20" t="inlineStr">
        <is>
          <t>Tambah Data membuka Form kosong</t>
        </is>
      </c>
      <c r="H616" s="21" t="inlineStr">
        <is>
          <t>SPV-A</t>
        </is>
      </c>
      <c r="I616" s="21" t="inlineStr">
        <is>
          <t>—</t>
        </is>
      </c>
      <c r="J616" s="21" t="inlineStr">
        <is>
          <t>1. Login di web, lalu sidebar &gt; Data &gt; Engine Room (/data/engine-room).
2. Tekan Tambah.
3. Baca seluruh kolom pada form yang terbuka.
4. Periksa bagian grid: berapa baris yang sudah ada?</t>
        </is>
      </c>
      <c r="K616" s="21" t="inlineStr">
        <is>
          <t>- Terbuka Form kosong (/data/engine-room/create).
- Kolom identitas kosong; tidak ada nilai sisa dari record mana pun.
- Kolom Production Line dapat dipilih.
- Grid slot waktu masih kosong atau menyediakan satu baris kosong untuk diisi.</t>
        </is>
      </c>
      <c r="L616" s="16" t="inlineStr">
        <is>
          <t>Tinggi</t>
        </is>
      </c>
      <c r="M616" s="21" t="inlineStr"/>
      <c r="N616" s="17" t="n"/>
      <c r="O616" s="17" t="n"/>
      <c r="P616" s="17" t="n"/>
      <c r="Q616" s="17" t="n"/>
      <c r="R616" s="17" t="n"/>
    </row>
    <row r="617" ht="96.39999999999999" customHeight="1">
      <c r="A617" s="22" t="n">
        <v>613</v>
      </c>
      <c r="B617" s="22" t="n">
        <v>3</v>
      </c>
      <c r="C617" s="23" t="inlineStr">
        <is>
          <t>WB-BRW-07 / Process Water</t>
        </is>
      </c>
      <c r="D617" s="23" t="inlineStr">
        <is>
          <t>WB-BRW-07</t>
        </is>
      </c>
      <c r="E617" s="24" t="inlineStr">
        <is>
          <t>Process Water</t>
        </is>
      </c>
      <c r="F617" s="5" t="inlineStr">
        <is>
          <t>Web — Data Stasiun (WB-)</t>
        </is>
      </c>
      <c r="G617" s="24" t="inlineStr">
        <is>
          <t>Tambah Data membuka Form kosong</t>
        </is>
      </c>
      <c r="H617" s="5" t="inlineStr">
        <is>
          <t>SPV-A</t>
        </is>
      </c>
      <c r="I617" s="5" t="inlineStr">
        <is>
          <t>—</t>
        </is>
      </c>
      <c r="J617" s="5" t="inlineStr">
        <is>
          <t>1. Login di web, lalu sidebar &gt; Data &gt; Process Water (/data/process-water).
2. Tekan Tambah.
3. Baca seluruh kolom pada form yang terbuka.
4. Periksa bagian grid: berapa baris yang sudah ada?</t>
        </is>
      </c>
      <c r="K617" s="5" t="inlineStr">
        <is>
          <t>- Terbuka Form kosong (/data/process-water/create).
- Kolom identitas kosong; tidak ada nilai sisa dari record mana pun.
- Kolom Production Line dapat dipilih.
- Grid slot waktu masih kosong atau menyediakan satu baris kosong untuk diisi.</t>
        </is>
      </c>
      <c r="L617" s="16" t="inlineStr">
        <is>
          <t>Tinggi</t>
        </is>
      </c>
      <c r="M617" s="5" t="inlineStr"/>
      <c r="N617" s="17" t="n"/>
      <c r="O617" s="17" t="n"/>
      <c r="P617" s="17" t="n"/>
      <c r="Q617" s="17" t="n"/>
      <c r="R617" s="17" t="n"/>
    </row>
    <row r="618" ht="96.39999999999999" customHeight="1">
      <c r="A618" s="18" t="n">
        <v>614</v>
      </c>
      <c r="B618" s="18" t="n">
        <v>3</v>
      </c>
      <c r="C618" s="19" t="inlineStr">
        <is>
          <t>WB-BRW-07 / Storage Tank</t>
        </is>
      </c>
      <c r="D618" s="19" t="inlineStr">
        <is>
          <t>WB-BRW-07</t>
        </is>
      </c>
      <c r="E618" s="20" t="inlineStr">
        <is>
          <t>Storage Tank</t>
        </is>
      </c>
      <c r="F618" s="21" t="inlineStr">
        <is>
          <t>Web — Data Stasiun (WB-)</t>
        </is>
      </c>
      <c r="G618" s="20" t="inlineStr">
        <is>
          <t>Tambah Data membuka Form kosong</t>
        </is>
      </c>
      <c r="H618" s="21" t="inlineStr">
        <is>
          <t>SPV-A</t>
        </is>
      </c>
      <c r="I618" s="21" t="inlineStr">
        <is>
          <t>—</t>
        </is>
      </c>
      <c r="J618" s="21" t="inlineStr">
        <is>
          <t>1. Login di web, lalu sidebar &gt; Data &gt; Storage Tank (/data/storage-tank).
2. Tekan Tambah.
3. Baca seluruh kolom pada form yang terbuka.
4. Periksa bagian grid: berapa baris yang sudah ada?</t>
        </is>
      </c>
      <c r="K618" s="21" t="inlineStr">
        <is>
          <t>- Terbuka Form kosong (/data/storage-tank/create).
- Kolom identitas kosong; tidak ada nilai sisa dari record mana pun.
- Kolom Production Line dapat dipilih.
- Grid slot waktu masih kosong atau menyediakan satu baris kosong untuk diisi.</t>
        </is>
      </c>
      <c r="L618" s="16" t="inlineStr">
        <is>
          <t>Tinggi</t>
        </is>
      </c>
      <c r="M618" s="21" t="inlineStr"/>
      <c r="N618" s="17" t="n"/>
      <c r="O618" s="17" t="n"/>
      <c r="P618" s="17" t="n"/>
      <c r="Q618" s="17" t="n"/>
      <c r="R618" s="17" t="n"/>
    </row>
    <row r="619" ht="109.6" customHeight="1">
      <c r="A619" s="22" t="n">
        <v>615</v>
      </c>
      <c r="B619" s="22" t="n">
        <v>3</v>
      </c>
      <c r="C619" s="23" t="inlineStr">
        <is>
          <t>WB-BRW-07 / Solid Waste Disposal</t>
        </is>
      </c>
      <c r="D619" s="23" t="inlineStr">
        <is>
          <t>WB-BRW-07</t>
        </is>
      </c>
      <c r="E619" s="24" t="inlineStr">
        <is>
          <t>Solid Waste Disposal</t>
        </is>
      </c>
      <c r="F619" s="5" t="inlineStr">
        <is>
          <t>Web — Data Stasiun (WB-)</t>
        </is>
      </c>
      <c r="G619" s="24" t="inlineStr">
        <is>
          <t>Tambah Data membuka Form kosong</t>
        </is>
      </c>
      <c r="H619" s="5" t="inlineStr">
        <is>
          <t>SPV-A</t>
        </is>
      </c>
      <c r="I619" s="5" t="inlineStr">
        <is>
          <t>—</t>
        </is>
      </c>
      <c r="J619" s="5" t="inlineStr">
        <is>
          <t>1. Login di web, lalu sidebar &gt; Data &gt; Solid Waste Disposal (/data/solid-waste-disposal).
2. Tekan Tambah.
3. Baca seluruh kolom pada form yang terbuka.
4. Periksa bagian grid: berapa baris yang sudah ada?</t>
        </is>
      </c>
      <c r="K619" s="5" t="inlineStr">
        <is>
          <t>- Terbuka Form kosong (/data/solid-waste-disposal/create).
- Kolom identitas kosong; tidak ada nilai sisa dari record mana pun.
- Kolom Production Line dapat dipilih.
- Grid slot waktu masih kosong atau menyediakan satu baris kosong untuk diisi.</t>
        </is>
      </c>
      <c r="L619" s="16" t="inlineStr">
        <is>
          <t>Tinggi</t>
        </is>
      </c>
      <c r="M619" s="5" t="inlineStr"/>
      <c r="N619" s="17" t="n"/>
      <c r="O619" s="17" t="n"/>
      <c r="P619" s="17" t="n"/>
      <c r="Q619" s="17" t="n"/>
      <c r="R619" s="17" t="n"/>
    </row>
    <row r="620" ht="96.39999999999999" customHeight="1">
      <c r="A620" s="18" t="n">
        <v>616</v>
      </c>
      <c r="B620" s="18" t="n">
        <v>3</v>
      </c>
      <c r="C620" s="19" t="inlineStr">
        <is>
          <t>WB-BRW-07 / Kernel Dispatch</t>
        </is>
      </c>
      <c r="D620" s="19" t="inlineStr">
        <is>
          <t>WB-BRW-07</t>
        </is>
      </c>
      <c r="E620" s="20" t="inlineStr">
        <is>
          <t>Kernel Dispatch</t>
        </is>
      </c>
      <c r="F620" s="21" t="inlineStr">
        <is>
          <t>Web — Data Stasiun (WB-)</t>
        </is>
      </c>
      <c r="G620" s="20" t="inlineStr">
        <is>
          <t>Tambah Data membuka Form kosong</t>
        </is>
      </c>
      <c r="H620" s="21" t="inlineStr">
        <is>
          <t>SPV-A</t>
        </is>
      </c>
      <c r="I620" s="21" t="inlineStr">
        <is>
          <t>—</t>
        </is>
      </c>
      <c r="J620" s="21" t="inlineStr">
        <is>
          <t>1. Login di web, lalu sidebar &gt; Data &gt; Kernel Dispatch (/data/kernel-dispatch).
2. Tekan Tambah.
3. Baca seluruh kolom pada form yang terbuka.
4. Periksa bagian grid: berapa baris yang sudah ada?</t>
        </is>
      </c>
      <c r="K620" s="21" t="inlineStr">
        <is>
          <t>- Terbuka Form kosong (/data/kernel-dispatch/create).
- Kolom identitas kosong; tidak ada nilai sisa dari record mana pun.
- Kolom Production Line dapat dipilih.
- Grid slot waktu masih kosong atau menyediakan satu baris kosong untuk diisi.</t>
        </is>
      </c>
      <c r="L620" s="16" t="inlineStr">
        <is>
          <t>Tinggi</t>
        </is>
      </c>
      <c r="M620" s="21" t="inlineStr"/>
      <c r="N620" s="17" t="n"/>
      <c r="O620" s="17" t="n"/>
      <c r="P620" s="17" t="n"/>
      <c r="Q620" s="17" t="n"/>
      <c r="R620" s="17" t="n"/>
    </row>
    <row r="621" ht="96.39999999999999" customHeight="1">
      <c r="A621" s="22" t="n">
        <v>617</v>
      </c>
      <c r="B621" s="22" t="n">
        <v>3</v>
      </c>
      <c r="C621" s="23" t="inlineStr">
        <is>
          <t>WB-BRW-07 / CPO Dispatch</t>
        </is>
      </c>
      <c r="D621" s="23" t="inlineStr">
        <is>
          <t>WB-BRW-07</t>
        </is>
      </c>
      <c r="E621" s="24" t="inlineStr">
        <is>
          <t>CPO Dispatch</t>
        </is>
      </c>
      <c r="F621" s="5" t="inlineStr">
        <is>
          <t>Web — Data Stasiun (WB-)</t>
        </is>
      </c>
      <c r="G621" s="24" t="inlineStr">
        <is>
          <t>Tambah Data membuka Form kosong</t>
        </is>
      </c>
      <c r="H621" s="5" t="inlineStr">
        <is>
          <t>SPV-A</t>
        </is>
      </c>
      <c r="I621" s="5" t="inlineStr">
        <is>
          <t>—</t>
        </is>
      </c>
      <c r="J621" s="5" t="inlineStr">
        <is>
          <t>1. Login di web, lalu sidebar &gt; Data &gt; CPO Dispatch (/data/cpo-dispatch).
2. Tekan Tambah.
3. Baca seluruh kolom pada form yang terbuka.
4. Periksa bagian grid: berapa baris yang sudah ada?</t>
        </is>
      </c>
      <c r="K621" s="5" t="inlineStr">
        <is>
          <t>- Terbuka Form kosong (/data/cpo-dispatch/create).
- Kolom identitas kosong; tidak ada nilai sisa dari record mana pun.
- Kolom Production Line dapat dipilih.
- Grid slot waktu masih kosong atau menyediakan satu baris kosong untuk diisi.</t>
        </is>
      </c>
      <c r="L621" s="16" t="inlineStr">
        <is>
          <t>Tinggi</t>
        </is>
      </c>
      <c r="M621" s="5" t="inlineStr"/>
      <c r="N621" s="17" t="n"/>
      <c r="O621" s="17" t="n"/>
      <c r="P621" s="17" t="n"/>
      <c r="Q621" s="17" t="n"/>
      <c r="R621" s="17" t="n"/>
    </row>
    <row r="622" ht="109.6" customHeight="1">
      <c r="A622" s="18" t="n">
        <v>618</v>
      </c>
      <c r="B622" s="18" t="n">
        <v>3</v>
      </c>
      <c r="C622" s="19" t="inlineStr">
        <is>
          <t>WB-BRW-07 / Process Quality Control</t>
        </is>
      </c>
      <c r="D622" s="19" t="inlineStr">
        <is>
          <t>WB-BRW-07</t>
        </is>
      </c>
      <c r="E622" s="20" t="inlineStr">
        <is>
          <t>Process Quality Control</t>
        </is>
      </c>
      <c r="F622" s="21" t="inlineStr">
        <is>
          <t>Web — Data Stasiun (WB-)</t>
        </is>
      </c>
      <c r="G622" s="20" t="inlineStr">
        <is>
          <t>Tambah Data membuka Form kosong</t>
        </is>
      </c>
      <c r="H622" s="21" t="inlineStr">
        <is>
          <t>SPV-A</t>
        </is>
      </c>
      <c r="I622" s="21" t="inlineStr">
        <is>
          <t>—</t>
        </is>
      </c>
      <c r="J622" s="21" t="inlineStr">
        <is>
          <t>1. Login di web, lalu sidebar &gt; Data &gt; Process Quality Control (/data/process-quality-control).
2. Tekan Tambah.
3. Baca seluruh kolom pada form yang terbuka.
4. Periksa bagian grid: berapa baris yang sudah ada?</t>
        </is>
      </c>
      <c r="K622" s="21" t="inlineStr">
        <is>
          <t>- Terbuka Form kosong (/data/process-quality-control/create).
- Kolom identitas kosong; tidak ada nilai sisa dari record mana pun.
- Kolom Production Line dapat dipilih.
- Grid slot waktu masih kosong atau menyediakan satu baris kosong untuk diisi.</t>
        </is>
      </c>
      <c r="L622" s="16" t="inlineStr">
        <is>
          <t>Tinggi</t>
        </is>
      </c>
      <c r="M622" s="21" t="inlineStr"/>
      <c r="N622" s="17" t="n"/>
      <c r="O622" s="17" t="n"/>
      <c r="P622" s="17" t="n"/>
      <c r="Q622" s="17" t="n"/>
      <c r="R622" s="17" t="n"/>
    </row>
    <row r="623" ht="83.19999999999999" customHeight="1">
      <c r="A623" s="22" t="n">
        <v>619</v>
      </c>
      <c r="B623" s="22" t="n">
        <v>3</v>
      </c>
      <c r="C623" s="23" t="inlineStr">
        <is>
          <t>WB-BRW-08 / Weighbridge</t>
        </is>
      </c>
      <c r="D623" s="23" t="inlineStr">
        <is>
          <t>WB-BRW-08</t>
        </is>
      </c>
      <c r="E623" s="24" t="inlineStr">
        <is>
          <t>Weighbridge</t>
        </is>
      </c>
      <c r="F623" s="5" t="inlineStr">
        <is>
          <t>Web — Data Stasiun (WB-)</t>
        </is>
      </c>
      <c r="G623" s="24" t="inlineStr">
        <is>
          <t>Filter tanpa hasil memberi keterangan, bukan tabel kosong tanpa penjelasan</t>
        </is>
      </c>
      <c r="H623" s="5" t="inlineStr">
        <is>
          <t>SPV-A</t>
        </is>
      </c>
      <c r="I623" s="5" t="inlineStr">
        <is>
          <t>—</t>
        </is>
      </c>
      <c r="J623" s="5" t="inlineStr">
        <is>
          <t>1. Login di web, lalu sidebar &gt; Data &gt; Weighbridge (/data/weighbridge).
2. Terapkan rentang tanggal yang pasti tidak punya data (mis. 1–2 Januari 2020).
3. Baca isi area tabel.</t>
        </is>
      </c>
      <c r="K623" s="5" t="inlineStr">
        <is>
          <t>- Muncul keterangan bahwa tidak ada data untuk filter itu — satu kalimat yang terbaca.
- BUKAN tabel dengan nol baris tanpa penjelasan.
- Panel filter tetap terlihat supaya penguji dapat mengubahnya kembali.</t>
        </is>
      </c>
      <c r="L623" s="22" t="inlineStr">
        <is>
          <t>Sedang</t>
        </is>
      </c>
      <c r="M623" s="5" t="inlineStr"/>
      <c r="N623" s="17" t="n"/>
      <c r="O623" s="17" t="n"/>
      <c r="P623" s="17" t="n"/>
      <c r="Q623" s="17" t="n"/>
      <c r="R623" s="17" t="n"/>
    </row>
    <row r="624" ht="83.19999999999999" customHeight="1">
      <c r="A624" s="18" t="n">
        <v>620</v>
      </c>
      <c r="B624" s="18" t="n">
        <v>3</v>
      </c>
      <c r="C624" s="19" t="inlineStr">
        <is>
          <t>WB-BRW-08 / Grading</t>
        </is>
      </c>
      <c r="D624" s="19" t="inlineStr">
        <is>
          <t>WB-BRW-08</t>
        </is>
      </c>
      <c r="E624" s="20" t="inlineStr">
        <is>
          <t>Grading</t>
        </is>
      </c>
      <c r="F624" s="21" t="inlineStr">
        <is>
          <t>Web — Data Stasiun (WB-)</t>
        </is>
      </c>
      <c r="G624" s="20" t="inlineStr">
        <is>
          <t>Filter tanpa hasil memberi keterangan, bukan tabel kosong tanpa penjelasan</t>
        </is>
      </c>
      <c r="H624" s="21" t="inlineStr">
        <is>
          <t>SPV-A</t>
        </is>
      </c>
      <c r="I624" s="21" t="inlineStr">
        <is>
          <t>—</t>
        </is>
      </c>
      <c r="J624" s="21" t="inlineStr">
        <is>
          <t>1. Login di web, lalu sidebar &gt; Data &gt; Grading (/data/grading).
2. Terapkan rentang tanggal yang pasti tidak punya data (mis. 1–2 Januari 2020).
3. Baca isi area tabel.</t>
        </is>
      </c>
      <c r="K624" s="21" t="inlineStr">
        <is>
          <t>- Muncul keterangan bahwa tidak ada data untuk filter itu — satu kalimat yang terbaca.
- BUKAN tabel dengan nol baris tanpa penjelasan.
- Panel filter tetap terlihat supaya penguji dapat mengubahnya kembali.</t>
        </is>
      </c>
      <c r="L624" s="18" t="inlineStr">
        <is>
          <t>Sedang</t>
        </is>
      </c>
      <c r="M624" s="21" t="inlineStr"/>
      <c r="N624" s="17" t="n"/>
      <c r="O624" s="17" t="n"/>
      <c r="P624" s="17" t="n"/>
      <c r="Q624" s="17" t="n"/>
      <c r="R624" s="17" t="n"/>
    </row>
    <row r="625" ht="83.19999999999999" customHeight="1">
      <c r="A625" s="22" t="n">
        <v>621</v>
      </c>
      <c r="B625" s="22" t="n">
        <v>3</v>
      </c>
      <c r="C625" s="23" t="inlineStr">
        <is>
          <t>WB-BRW-08 / Cages Track</t>
        </is>
      </c>
      <c r="D625" s="23" t="inlineStr">
        <is>
          <t>WB-BRW-08</t>
        </is>
      </c>
      <c r="E625" s="24" t="inlineStr">
        <is>
          <t>Cages Track</t>
        </is>
      </c>
      <c r="F625" s="5" t="inlineStr">
        <is>
          <t>Web — Data Stasiun (WB-)</t>
        </is>
      </c>
      <c r="G625" s="24" t="inlineStr">
        <is>
          <t>Filter tanpa hasil memberi keterangan, bukan tabel kosong tanpa penjelasan</t>
        </is>
      </c>
      <c r="H625" s="5" t="inlineStr">
        <is>
          <t>SPV-A</t>
        </is>
      </c>
      <c r="I625" s="5" t="inlineStr">
        <is>
          <t>—</t>
        </is>
      </c>
      <c r="J625" s="5" t="inlineStr">
        <is>
          <t>1. Login di web, lalu sidebar &gt; Data &gt; Cages Track (/data/cages-track).
2. Terapkan rentang tanggal yang pasti tidak punya data (mis. 1–2 Januari 2020).
3. Baca isi area tabel.</t>
        </is>
      </c>
      <c r="K625" s="5" t="inlineStr">
        <is>
          <t>- Muncul keterangan bahwa tidak ada data untuk filter itu — satu kalimat yang terbaca.
- BUKAN tabel dengan nol baris tanpa penjelasan.
- Panel filter tetap terlihat supaya penguji dapat mengubahnya kembali.</t>
        </is>
      </c>
      <c r="L625" s="22" t="inlineStr">
        <is>
          <t>Sedang</t>
        </is>
      </c>
      <c r="M625" s="5" t="inlineStr"/>
      <c r="N625" s="17" t="n"/>
      <c r="O625" s="17" t="n"/>
      <c r="P625" s="17" t="n"/>
      <c r="Q625" s="17" t="n"/>
      <c r="R625" s="17" t="n"/>
    </row>
    <row r="626" ht="83.19999999999999" customHeight="1">
      <c r="A626" s="18" t="n">
        <v>622</v>
      </c>
      <c r="B626" s="18" t="n">
        <v>3</v>
      </c>
      <c r="C626" s="19" t="inlineStr">
        <is>
          <t>WB-BRW-08 / Sterilizer</t>
        </is>
      </c>
      <c r="D626" s="19" t="inlineStr">
        <is>
          <t>WB-BRW-08</t>
        </is>
      </c>
      <c r="E626" s="20" t="inlineStr">
        <is>
          <t>Sterilizer</t>
        </is>
      </c>
      <c r="F626" s="21" t="inlineStr">
        <is>
          <t>Web — Data Stasiun (WB-)</t>
        </is>
      </c>
      <c r="G626" s="20" t="inlineStr">
        <is>
          <t>Filter tanpa hasil memberi keterangan, bukan tabel kosong tanpa penjelasan</t>
        </is>
      </c>
      <c r="H626" s="21" t="inlineStr">
        <is>
          <t>SPV-A</t>
        </is>
      </c>
      <c r="I626" s="21" t="inlineStr">
        <is>
          <t>—</t>
        </is>
      </c>
      <c r="J626" s="21" t="inlineStr">
        <is>
          <t>1. Login di web, lalu sidebar &gt; Data &gt; Sterilizer (/data/sterilizer).
2. Terapkan rentang tanggal yang pasti tidak punya data (mis. 1–2 Januari 2020).
3. Baca isi area tabel.</t>
        </is>
      </c>
      <c r="K626" s="21" t="inlineStr">
        <is>
          <t>- Muncul keterangan bahwa tidak ada data untuk filter itu — satu kalimat yang terbaca.
- BUKAN tabel dengan nol baris tanpa penjelasan.
- Panel filter tetap terlihat supaya penguji dapat mengubahnya kembali.</t>
        </is>
      </c>
      <c r="L626" s="18" t="inlineStr">
        <is>
          <t>Sedang</t>
        </is>
      </c>
      <c r="M626" s="21" t="inlineStr"/>
      <c r="N626" s="17" t="n"/>
      <c r="O626" s="17" t="n"/>
      <c r="P626" s="17" t="n"/>
      <c r="Q626" s="17" t="n"/>
      <c r="R626" s="17" t="n"/>
    </row>
    <row r="627" ht="83.19999999999999" customHeight="1">
      <c r="A627" s="22" t="n">
        <v>623</v>
      </c>
      <c r="B627" s="22" t="n">
        <v>3</v>
      </c>
      <c r="C627" s="23" t="inlineStr">
        <is>
          <t>WB-BRW-08 / Threshing</t>
        </is>
      </c>
      <c r="D627" s="23" t="inlineStr">
        <is>
          <t>WB-BRW-08</t>
        </is>
      </c>
      <c r="E627" s="24" t="inlineStr">
        <is>
          <t>Threshing</t>
        </is>
      </c>
      <c r="F627" s="5" t="inlineStr">
        <is>
          <t>Web — Data Stasiun (WB-)</t>
        </is>
      </c>
      <c r="G627" s="24" t="inlineStr">
        <is>
          <t>Filter tanpa hasil memberi keterangan, bukan tabel kosong tanpa penjelasan</t>
        </is>
      </c>
      <c r="H627" s="5" t="inlineStr">
        <is>
          <t>SPV-A</t>
        </is>
      </c>
      <c r="I627" s="5" t="inlineStr">
        <is>
          <t>—</t>
        </is>
      </c>
      <c r="J627" s="5" t="inlineStr">
        <is>
          <t>1. Login di web, lalu sidebar &gt; Data &gt; Threshing (/data/threshing).
2. Terapkan rentang tanggal yang pasti tidak punya data (mis. 1–2 Januari 2020).
3. Baca isi area tabel.</t>
        </is>
      </c>
      <c r="K627" s="5" t="inlineStr">
        <is>
          <t>- Muncul keterangan bahwa tidak ada data untuk filter itu — satu kalimat yang terbaca.
- BUKAN tabel dengan nol baris tanpa penjelasan.
- Panel filter tetap terlihat supaya penguji dapat mengubahnya kembali.</t>
        </is>
      </c>
      <c r="L627" s="22" t="inlineStr">
        <is>
          <t>Sedang</t>
        </is>
      </c>
      <c r="M627" s="5" t="inlineStr"/>
      <c r="N627" s="17" t="n"/>
      <c r="O627" s="17" t="n"/>
      <c r="P627" s="17" t="n"/>
      <c r="Q627" s="17" t="n"/>
      <c r="R627" s="17" t="n"/>
    </row>
    <row r="628" ht="83.19999999999999" customHeight="1">
      <c r="A628" s="18" t="n">
        <v>624</v>
      </c>
      <c r="B628" s="18" t="n">
        <v>3</v>
      </c>
      <c r="C628" s="19" t="inlineStr">
        <is>
          <t>WB-BRW-08 / Pressing</t>
        </is>
      </c>
      <c r="D628" s="19" t="inlineStr">
        <is>
          <t>WB-BRW-08</t>
        </is>
      </c>
      <c r="E628" s="20" t="inlineStr">
        <is>
          <t>Pressing</t>
        </is>
      </c>
      <c r="F628" s="21" t="inlineStr">
        <is>
          <t>Web — Data Stasiun (WB-)</t>
        </is>
      </c>
      <c r="G628" s="20" t="inlineStr">
        <is>
          <t>Filter tanpa hasil memberi keterangan, bukan tabel kosong tanpa penjelasan</t>
        </is>
      </c>
      <c r="H628" s="21" t="inlineStr">
        <is>
          <t>SPV-A</t>
        </is>
      </c>
      <c r="I628" s="21" t="inlineStr">
        <is>
          <t>—</t>
        </is>
      </c>
      <c r="J628" s="21" t="inlineStr">
        <is>
          <t>1. Login di web, lalu sidebar &gt; Data &gt; Pressing (/data/pressing).
2. Terapkan rentang tanggal yang pasti tidak punya data (mis. 1–2 Januari 2020).
3. Baca isi area tabel.</t>
        </is>
      </c>
      <c r="K628" s="21" t="inlineStr">
        <is>
          <t>- Muncul keterangan bahwa tidak ada data untuk filter itu — satu kalimat yang terbaca.
- BUKAN tabel dengan nol baris tanpa penjelasan.
- Panel filter tetap terlihat supaya penguji dapat mengubahnya kembali.</t>
        </is>
      </c>
      <c r="L628" s="18" t="inlineStr">
        <is>
          <t>Sedang</t>
        </is>
      </c>
      <c r="M628" s="21" t="inlineStr"/>
      <c r="N628" s="17" t="n"/>
      <c r="O628" s="17" t="n"/>
      <c r="P628" s="17" t="n"/>
      <c r="Q628" s="17" t="n"/>
      <c r="R628" s="17" t="n"/>
    </row>
    <row r="629" ht="83.19999999999999" customHeight="1">
      <c r="A629" s="22" t="n">
        <v>625</v>
      </c>
      <c r="B629" s="22" t="n">
        <v>3</v>
      </c>
      <c r="C629" s="23" t="inlineStr">
        <is>
          <t>WB-BRW-08 / Clarification</t>
        </is>
      </c>
      <c r="D629" s="23" t="inlineStr">
        <is>
          <t>WB-BRW-08</t>
        </is>
      </c>
      <c r="E629" s="24" t="inlineStr">
        <is>
          <t>Clarification</t>
        </is>
      </c>
      <c r="F629" s="5" t="inlineStr">
        <is>
          <t>Web — Data Stasiun (WB-)</t>
        </is>
      </c>
      <c r="G629" s="24" t="inlineStr">
        <is>
          <t>Filter tanpa hasil memberi keterangan, bukan tabel kosong tanpa penjelasan</t>
        </is>
      </c>
      <c r="H629" s="5" t="inlineStr">
        <is>
          <t>SPV-A</t>
        </is>
      </c>
      <c r="I629" s="5" t="inlineStr">
        <is>
          <t>—</t>
        </is>
      </c>
      <c r="J629" s="5" t="inlineStr">
        <is>
          <t>1. Login di web, lalu sidebar &gt; Data &gt; Clarification (/data/clarification).
2. Terapkan rentang tanggal yang pasti tidak punya data (mis. 1–2 Januari 2020).
3. Baca isi area tabel.</t>
        </is>
      </c>
      <c r="K629" s="5" t="inlineStr">
        <is>
          <t>- Muncul keterangan bahwa tidak ada data untuk filter itu — satu kalimat yang terbaca.
- BUKAN tabel dengan nol baris tanpa penjelasan.
- Panel filter tetap terlihat supaya penguji dapat mengubahnya kembali.</t>
        </is>
      </c>
      <c r="L629" s="22" t="inlineStr">
        <is>
          <t>Sedang</t>
        </is>
      </c>
      <c r="M629" s="5" t="inlineStr"/>
      <c r="N629" s="17" t="n"/>
      <c r="O629" s="17" t="n"/>
      <c r="P629" s="17" t="n"/>
      <c r="Q629" s="17" t="n"/>
      <c r="R629" s="17" t="n"/>
    </row>
    <row r="630" ht="83.19999999999999" customHeight="1">
      <c r="A630" s="18" t="n">
        <v>626</v>
      </c>
      <c r="B630" s="18" t="n">
        <v>3</v>
      </c>
      <c r="C630" s="19" t="inlineStr">
        <is>
          <t>WB-BRW-08 / Kernel Plant</t>
        </is>
      </c>
      <c r="D630" s="19" t="inlineStr">
        <is>
          <t>WB-BRW-08</t>
        </is>
      </c>
      <c r="E630" s="20" t="inlineStr">
        <is>
          <t>Kernel Plant</t>
        </is>
      </c>
      <c r="F630" s="21" t="inlineStr">
        <is>
          <t>Web — Data Stasiun (WB-)</t>
        </is>
      </c>
      <c r="G630" s="20" t="inlineStr">
        <is>
          <t>Filter tanpa hasil memberi keterangan, bukan tabel kosong tanpa penjelasan</t>
        </is>
      </c>
      <c r="H630" s="21" t="inlineStr">
        <is>
          <t>SPV-A</t>
        </is>
      </c>
      <c r="I630" s="21" t="inlineStr">
        <is>
          <t>—</t>
        </is>
      </c>
      <c r="J630" s="21" t="inlineStr">
        <is>
          <t>1. Login di web, lalu sidebar &gt; Data &gt; Kernel Plant (/data/kernel-plant).
2. Terapkan rentang tanggal yang pasti tidak punya data (mis. 1–2 Januari 2020).
3. Baca isi area tabel.</t>
        </is>
      </c>
      <c r="K630" s="21" t="inlineStr">
        <is>
          <t>- Muncul keterangan bahwa tidak ada data untuk filter itu — satu kalimat yang terbaca.
- BUKAN tabel dengan nol baris tanpa penjelasan.
- Panel filter tetap terlihat supaya penguji dapat mengubahnya kembali.</t>
        </is>
      </c>
      <c r="L630" s="18" t="inlineStr">
        <is>
          <t>Sedang</t>
        </is>
      </c>
      <c r="M630" s="21" t="inlineStr"/>
      <c r="N630" s="17" t="n"/>
      <c r="O630" s="17" t="n"/>
      <c r="P630" s="17" t="n"/>
      <c r="Q630" s="17" t="n"/>
      <c r="R630" s="17" t="n"/>
    </row>
    <row r="631" ht="83.19999999999999" customHeight="1">
      <c r="A631" s="22" t="n">
        <v>627</v>
      </c>
      <c r="B631" s="22" t="n">
        <v>3</v>
      </c>
      <c r="C631" s="23" t="inlineStr">
        <is>
          <t>WB-BRW-08 / Boiler Room</t>
        </is>
      </c>
      <c r="D631" s="23" t="inlineStr">
        <is>
          <t>WB-BRW-08</t>
        </is>
      </c>
      <c r="E631" s="24" t="inlineStr">
        <is>
          <t>Boiler Room</t>
        </is>
      </c>
      <c r="F631" s="5" t="inlineStr">
        <is>
          <t>Web — Data Stasiun (WB-)</t>
        </is>
      </c>
      <c r="G631" s="24" t="inlineStr">
        <is>
          <t>Filter tanpa hasil memberi keterangan, bukan tabel kosong tanpa penjelasan</t>
        </is>
      </c>
      <c r="H631" s="5" t="inlineStr">
        <is>
          <t>SPV-A</t>
        </is>
      </c>
      <c r="I631" s="5" t="inlineStr">
        <is>
          <t>—</t>
        </is>
      </c>
      <c r="J631" s="5" t="inlineStr">
        <is>
          <t>1. Login di web, lalu sidebar &gt; Data &gt; Boiler Room (/data/boiler-room).
2. Terapkan rentang tanggal yang pasti tidak punya data (mis. 1–2 Januari 2020).
3. Baca isi area tabel.</t>
        </is>
      </c>
      <c r="K631" s="5" t="inlineStr">
        <is>
          <t>- Muncul keterangan bahwa tidak ada data untuk filter itu — satu kalimat yang terbaca.
- BUKAN tabel dengan nol baris tanpa penjelasan.
- Panel filter tetap terlihat supaya penguji dapat mengubahnya kembali.</t>
        </is>
      </c>
      <c r="L631" s="22" t="inlineStr">
        <is>
          <t>Sedang</t>
        </is>
      </c>
      <c r="M631" s="5" t="inlineStr"/>
      <c r="N631" s="17" t="n"/>
      <c r="O631" s="17" t="n"/>
      <c r="P631" s="17" t="n"/>
      <c r="Q631" s="17" t="n"/>
      <c r="R631" s="17" t="n"/>
    </row>
    <row r="632" ht="83.19999999999999" customHeight="1">
      <c r="A632" s="18" t="n">
        <v>628</v>
      </c>
      <c r="B632" s="18" t="n">
        <v>3</v>
      </c>
      <c r="C632" s="19" t="inlineStr">
        <is>
          <t>WB-BRW-08 / Effluent Plant</t>
        </is>
      </c>
      <c r="D632" s="19" t="inlineStr">
        <is>
          <t>WB-BRW-08</t>
        </is>
      </c>
      <c r="E632" s="20" t="inlineStr">
        <is>
          <t>Effluent Plant</t>
        </is>
      </c>
      <c r="F632" s="21" t="inlineStr">
        <is>
          <t>Web — Data Stasiun (WB-)</t>
        </is>
      </c>
      <c r="G632" s="20" t="inlineStr">
        <is>
          <t>Filter tanpa hasil memberi keterangan, bukan tabel kosong tanpa penjelasan</t>
        </is>
      </c>
      <c r="H632" s="21" t="inlineStr">
        <is>
          <t>SPV-A</t>
        </is>
      </c>
      <c r="I632" s="21" t="inlineStr">
        <is>
          <t>—</t>
        </is>
      </c>
      <c r="J632" s="21" t="inlineStr">
        <is>
          <t>1. Login di web, lalu sidebar &gt; Data &gt; Effluent Plant (/data/effluent-plant).
2. Terapkan rentang tanggal yang pasti tidak punya data (mis. 1–2 Januari 2020).
3. Baca isi area tabel.</t>
        </is>
      </c>
      <c r="K632" s="21" t="inlineStr">
        <is>
          <t>- Muncul keterangan bahwa tidak ada data untuk filter itu — satu kalimat yang terbaca.
- BUKAN tabel dengan nol baris tanpa penjelasan.
- Panel filter tetap terlihat supaya penguji dapat mengubahnya kembali.</t>
        </is>
      </c>
      <c r="L632" s="18" t="inlineStr">
        <is>
          <t>Sedang</t>
        </is>
      </c>
      <c r="M632" s="21" t="inlineStr"/>
      <c r="N632" s="17" t="n"/>
      <c r="O632" s="17" t="n"/>
      <c r="P632" s="17" t="n"/>
      <c r="Q632" s="17" t="n"/>
      <c r="R632" s="17" t="n"/>
    </row>
    <row r="633" ht="83.19999999999999" customHeight="1">
      <c r="A633" s="11" t="n">
        <v>629</v>
      </c>
      <c r="B633" s="12" t="n">
        <v>1</v>
      </c>
      <c r="C633" s="13" t="inlineStr">
        <is>
          <t>WB-BRW-08 / Depricarping</t>
        </is>
      </c>
      <c r="D633" s="13" t="inlineStr">
        <is>
          <t>WB-BRW-08</t>
        </is>
      </c>
      <c r="E633" s="15" t="inlineStr">
        <is>
          <t>Depricarping</t>
        </is>
      </c>
      <c r="F633" s="14" t="inlineStr">
        <is>
          <t>Web — Data Stasiun (WB-)</t>
        </is>
      </c>
      <c r="G633" s="15" t="inlineStr">
        <is>
          <t>Filter tanpa hasil memberi keterangan, bukan tabel kosong tanpa penjelasan</t>
        </is>
      </c>
      <c r="H633" s="14" t="inlineStr">
        <is>
          <t>SPV-A</t>
        </is>
      </c>
      <c r="I633" s="14" t="inlineStr">
        <is>
          <t>—</t>
        </is>
      </c>
      <c r="J633" s="14" t="inlineStr">
        <is>
          <t>1. Login di web, lalu sidebar &gt; Data &gt; Depricarping (/data/depricarping).
2. Terapkan rentang tanggal yang pasti tidak punya data (mis. 1–2 Januari 2020).
3. Baca isi area tabel.</t>
        </is>
      </c>
      <c r="K633" s="14" t="inlineStr">
        <is>
          <t>- Muncul keterangan bahwa tidak ada data untuk filter itu — satu kalimat yang terbaca.
- BUKAN tabel dengan nol baris tanpa penjelasan.
- Panel filter tetap terlihat supaya penguji dapat mengubahnya kembali.</t>
        </is>
      </c>
      <c r="L633" s="11" t="inlineStr">
        <is>
          <t>Sedang</t>
        </is>
      </c>
      <c r="M633" s="14" t="inlineStr"/>
      <c r="N633" s="17" t="n"/>
      <c r="O633" s="17" t="n"/>
      <c r="P633" s="17" t="n"/>
      <c r="Q633" s="17" t="n"/>
      <c r="R633" s="17" t="n"/>
    </row>
    <row r="634" ht="83.19999999999999" customHeight="1">
      <c r="A634" s="18" t="n">
        <v>630</v>
      </c>
      <c r="B634" s="18" t="n">
        <v>3</v>
      </c>
      <c r="C634" s="19" t="inlineStr">
        <is>
          <t>WB-BRW-08 / Engine Room</t>
        </is>
      </c>
      <c r="D634" s="19" t="inlineStr">
        <is>
          <t>WB-BRW-08</t>
        </is>
      </c>
      <c r="E634" s="20" t="inlineStr">
        <is>
          <t>Engine Room</t>
        </is>
      </c>
      <c r="F634" s="21" t="inlineStr">
        <is>
          <t>Web — Data Stasiun (WB-)</t>
        </is>
      </c>
      <c r="G634" s="20" t="inlineStr">
        <is>
          <t>Filter tanpa hasil memberi keterangan, bukan tabel kosong tanpa penjelasan</t>
        </is>
      </c>
      <c r="H634" s="21" t="inlineStr">
        <is>
          <t>SPV-A</t>
        </is>
      </c>
      <c r="I634" s="21" t="inlineStr">
        <is>
          <t>—</t>
        </is>
      </c>
      <c r="J634" s="21" t="inlineStr">
        <is>
          <t>1. Login di web, lalu sidebar &gt; Data &gt; Engine Room (/data/engine-room).
2. Terapkan rentang tanggal yang pasti tidak punya data (mis. 1–2 Januari 2020).
3. Baca isi area tabel.</t>
        </is>
      </c>
      <c r="K634" s="21" t="inlineStr">
        <is>
          <t>- Muncul keterangan bahwa tidak ada data untuk filter itu — satu kalimat yang terbaca.
- BUKAN tabel dengan nol baris tanpa penjelasan.
- Panel filter tetap terlihat supaya penguji dapat mengubahnya kembali.</t>
        </is>
      </c>
      <c r="L634" s="18" t="inlineStr">
        <is>
          <t>Sedang</t>
        </is>
      </c>
      <c r="M634" s="21" t="inlineStr"/>
      <c r="N634" s="17" t="n"/>
      <c r="O634" s="17" t="n"/>
      <c r="P634" s="17" t="n"/>
      <c r="Q634" s="17" t="n"/>
      <c r="R634" s="17" t="n"/>
    </row>
    <row r="635" ht="83.19999999999999" customHeight="1">
      <c r="A635" s="22" t="n">
        <v>631</v>
      </c>
      <c r="B635" s="22" t="n">
        <v>3</v>
      </c>
      <c r="C635" s="23" t="inlineStr">
        <is>
          <t>WB-BRW-08 / Process Water</t>
        </is>
      </c>
      <c r="D635" s="23" t="inlineStr">
        <is>
          <t>WB-BRW-08</t>
        </is>
      </c>
      <c r="E635" s="24" t="inlineStr">
        <is>
          <t>Process Water</t>
        </is>
      </c>
      <c r="F635" s="5" t="inlineStr">
        <is>
          <t>Web — Data Stasiun (WB-)</t>
        </is>
      </c>
      <c r="G635" s="24" t="inlineStr">
        <is>
          <t>Filter tanpa hasil memberi keterangan, bukan tabel kosong tanpa penjelasan</t>
        </is>
      </c>
      <c r="H635" s="5" t="inlineStr">
        <is>
          <t>SPV-A</t>
        </is>
      </c>
      <c r="I635" s="5" t="inlineStr">
        <is>
          <t>—</t>
        </is>
      </c>
      <c r="J635" s="5" t="inlineStr">
        <is>
          <t>1. Login di web, lalu sidebar &gt; Data &gt; Process Water (/data/process-water).
2. Terapkan rentang tanggal yang pasti tidak punya data (mis. 1–2 Januari 2020).
3. Baca isi area tabel.</t>
        </is>
      </c>
      <c r="K635" s="5" t="inlineStr">
        <is>
          <t>- Muncul keterangan bahwa tidak ada data untuk filter itu — satu kalimat yang terbaca.
- BUKAN tabel dengan nol baris tanpa penjelasan.
- Panel filter tetap terlihat supaya penguji dapat mengubahnya kembali.</t>
        </is>
      </c>
      <c r="L635" s="22" t="inlineStr">
        <is>
          <t>Sedang</t>
        </is>
      </c>
      <c r="M635" s="5" t="inlineStr"/>
      <c r="N635" s="17" t="n"/>
      <c r="O635" s="17" t="n"/>
      <c r="P635" s="17" t="n"/>
      <c r="Q635" s="17" t="n"/>
      <c r="R635" s="17" t="n"/>
    </row>
    <row r="636" ht="83.19999999999999" customHeight="1">
      <c r="A636" s="18" t="n">
        <v>632</v>
      </c>
      <c r="B636" s="18" t="n">
        <v>3</v>
      </c>
      <c r="C636" s="19" t="inlineStr">
        <is>
          <t>WB-BRW-08 / Storage Tank</t>
        </is>
      </c>
      <c r="D636" s="19" t="inlineStr">
        <is>
          <t>WB-BRW-08</t>
        </is>
      </c>
      <c r="E636" s="20" t="inlineStr">
        <is>
          <t>Storage Tank</t>
        </is>
      </c>
      <c r="F636" s="21" t="inlineStr">
        <is>
          <t>Web — Data Stasiun (WB-)</t>
        </is>
      </c>
      <c r="G636" s="20" t="inlineStr">
        <is>
          <t>Filter tanpa hasil memberi keterangan, bukan tabel kosong tanpa penjelasan</t>
        </is>
      </c>
      <c r="H636" s="21" t="inlineStr">
        <is>
          <t>SPV-A</t>
        </is>
      </c>
      <c r="I636" s="21" t="inlineStr">
        <is>
          <t>—</t>
        </is>
      </c>
      <c r="J636" s="21" t="inlineStr">
        <is>
          <t>1. Login di web, lalu sidebar &gt; Data &gt; Storage Tank (/data/storage-tank).
2. Terapkan rentang tanggal yang pasti tidak punya data (mis. 1–2 Januari 2020).
3. Baca isi area tabel.</t>
        </is>
      </c>
      <c r="K636" s="21" t="inlineStr">
        <is>
          <t>- Muncul keterangan bahwa tidak ada data untuk filter itu — satu kalimat yang terbaca.
- BUKAN tabel dengan nol baris tanpa penjelasan.
- Panel filter tetap terlihat supaya penguji dapat mengubahnya kembali.</t>
        </is>
      </c>
      <c r="L636" s="18" t="inlineStr">
        <is>
          <t>Sedang</t>
        </is>
      </c>
      <c r="M636" s="21" t="inlineStr"/>
      <c r="N636" s="17" t="n"/>
      <c r="O636" s="17" t="n"/>
      <c r="P636" s="17" t="n"/>
      <c r="Q636" s="17" t="n"/>
      <c r="R636" s="17" t="n"/>
    </row>
    <row r="637" ht="83.19999999999999" customHeight="1">
      <c r="A637" s="22" t="n">
        <v>633</v>
      </c>
      <c r="B637" s="22" t="n">
        <v>3</v>
      </c>
      <c r="C637" s="23" t="inlineStr">
        <is>
          <t>WB-BRW-08 / Solid Waste Disposal</t>
        </is>
      </c>
      <c r="D637" s="23" t="inlineStr">
        <is>
          <t>WB-BRW-08</t>
        </is>
      </c>
      <c r="E637" s="24" t="inlineStr">
        <is>
          <t>Solid Waste Disposal</t>
        </is>
      </c>
      <c r="F637" s="5" t="inlineStr">
        <is>
          <t>Web — Data Stasiun (WB-)</t>
        </is>
      </c>
      <c r="G637" s="24" t="inlineStr">
        <is>
          <t>Filter tanpa hasil memberi keterangan, bukan tabel kosong tanpa penjelasan</t>
        </is>
      </c>
      <c r="H637" s="5" t="inlineStr">
        <is>
          <t>SPV-A</t>
        </is>
      </c>
      <c r="I637" s="5" t="inlineStr">
        <is>
          <t>—</t>
        </is>
      </c>
      <c r="J637" s="5" t="inlineStr">
        <is>
          <t>1. Login di web, lalu sidebar &gt; Data &gt; Solid Waste Disposal (/data/solid-waste-disposal).
2. Terapkan rentang tanggal yang pasti tidak punya data (mis. 1–2 Januari 2020).
3. Baca isi area tabel.</t>
        </is>
      </c>
      <c r="K637" s="5" t="inlineStr">
        <is>
          <t>- Muncul keterangan bahwa tidak ada data untuk filter itu — satu kalimat yang terbaca.
- BUKAN tabel dengan nol baris tanpa penjelasan.
- Panel filter tetap terlihat supaya penguji dapat mengubahnya kembali.</t>
        </is>
      </c>
      <c r="L637" s="22" t="inlineStr">
        <is>
          <t>Sedang</t>
        </is>
      </c>
      <c r="M637" s="5" t="inlineStr"/>
      <c r="N637" s="17" t="n"/>
      <c r="O637" s="17" t="n"/>
      <c r="P637" s="17" t="n"/>
      <c r="Q637" s="17" t="n"/>
      <c r="R637" s="17" t="n"/>
    </row>
    <row r="638" ht="83.19999999999999" customHeight="1">
      <c r="A638" s="18" t="n">
        <v>634</v>
      </c>
      <c r="B638" s="18" t="n">
        <v>3</v>
      </c>
      <c r="C638" s="19" t="inlineStr">
        <is>
          <t>WB-BRW-08 / Kernel Dispatch</t>
        </is>
      </c>
      <c r="D638" s="19" t="inlineStr">
        <is>
          <t>WB-BRW-08</t>
        </is>
      </c>
      <c r="E638" s="20" t="inlineStr">
        <is>
          <t>Kernel Dispatch</t>
        </is>
      </c>
      <c r="F638" s="21" t="inlineStr">
        <is>
          <t>Web — Data Stasiun (WB-)</t>
        </is>
      </c>
      <c r="G638" s="20" t="inlineStr">
        <is>
          <t>Filter tanpa hasil memberi keterangan, bukan tabel kosong tanpa penjelasan</t>
        </is>
      </c>
      <c r="H638" s="21" t="inlineStr">
        <is>
          <t>SPV-A</t>
        </is>
      </c>
      <c r="I638" s="21" t="inlineStr">
        <is>
          <t>—</t>
        </is>
      </c>
      <c r="J638" s="21" t="inlineStr">
        <is>
          <t>1. Login di web, lalu sidebar &gt; Data &gt; Kernel Dispatch (/data/kernel-dispatch).
2. Terapkan rentang tanggal yang pasti tidak punya data (mis. 1–2 Januari 2020).
3. Baca isi area tabel.</t>
        </is>
      </c>
      <c r="K638" s="21" t="inlineStr">
        <is>
          <t>- Muncul keterangan bahwa tidak ada data untuk filter itu — satu kalimat yang terbaca.
- BUKAN tabel dengan nol baris tanpa penjelasan.
- Panel filter tetap terlihat supaya penguji dapat mengubahnya kembali.</t>
        </is>
      </c>
      <c r="L638" s="18" t="inlineStr">
        <is>
          <t>Sedang</t>
        </is>
      </c>
      <c r="M638" s="21" t="inlineStr"/>
      <c r="N638" s="17" t="n"/>
      <c r="O638" s="17" t="n"/>
      <c r="P638" s="17" t="n"/>
      <c r="Q638" s="17" t="n"/>
      <c r="R638" s="17" t="n"/>
    </row>
    <row r="639" ht="83.19999999999999" customHeight="1">
      <c r="A639" s="22" t="n">
        <v>635</v>
      </c>
      <c r="B639" s="22" t="n">
        <v>3</v>
      </c>
      <c r="C639" s="23" t="inlineStr">
        <is>
          <t>WB-BRW-08 / CPO Dispatch</t>
        </is>
      </c>
      <c r="D639" s="23" t="inlineStr">
        <is>
          <t>WB-BRW-08</t>
        </is>
      </c>
      <c r="E639" s="24" t="inlineStr">
        <is>
          <t>CPO Dispatch</t>
        </is>
      </c>
      <c r="F639" s="5" t="inlineStr">
        <is>
          <t>Web — Data Stasiun (WB-)</t>
        </is>
      </c>
      <c r="G639" s="24" t="inlineStr">
        <is>
          <t>Filter tanpa hasil memberi keterangan, bukan tabel kosong tanpa penjelasan</t>
        </is>
      </c>
      <c r="H639" s="5" t="inlineStr">
        <is>
          <t>SPV-A</t>
        </is>
      </c>
      <c r="I639" s="5" t="inlineStr">
        <is>
          <t>—</t>
        </is>
      </c>
      <c r="J639" s="5" t="inlineStr">
        <is>
          <t>1. Login di web, lalu sidebar &gt; Data &gt; CPO Dispatch (/data/cpo-dispatch).
2. Terapkan rentang tanggal yang pasti tidak punya data (mis. 1–2 Januari 2020).
3. Baca isi area tabel.</t>
        </is>
      </c>
      <c r="K639" s="5" t="inlineStr">
        <is>
          <t>- Muncul keterangan bahwa tidak ada data untuk filter itu — satu kalimat yang terbaca.
- BUKAN tabel dengan nol baris tanpa penjelasan.
- Panel filter tetap terlihat supaya penguji dapat mengubahnya kembali.</t>
        </is>
      </c>
      <c r="L639" s="22" t="inlineStr">
        <is>
          <t>Sedang</t>
        </is>
      </c>
      <c r="M639" s="5" t="inlineStr"/>
      <c r="N639" s="17" t="n"/>
      <c r="O639" s="17" t="n"/>
      <c r="P639" s="17" t="n"/>
      <c r="Q639" s="17" t="n"/>
      <c r="R639" s="17" t="n"/>
    </row>
    <row r="640" ht="83.19999999999999" customHeight="1">
      <c r="A640" s="18" t="n">
        <v>636</v>
      </c>
      <c r="B640" s="18" t="n">
        <v>3</v>
      </c>
      <c r="C640" s="19" t="inlineStr">
        <is>
          <t>WB-BRW-08 / Process Quality Control</t>
        </is>
      </c>
      <c r="D640" s="19" t="inlineStr">
        <is>
          <t>WB-BRW-08</t>
        </is>
      </c>
      <c r="E640" s="20" t="inlineStr">
        <is>
          <t>Process Quality Control</t>
        </is>
      </c>
      <c r="F640" s="21" t="inlineStr">
        <is>
          <t>Web — Data Stasiun (WB-)</t>
        </is>
      </c>
      <c r="G640" s="20" t="inlineStr">
        <is>
          <t>Filter tanpa hasil memberi keterangan, bukan tabel kosong tanpa penjelasan</t>
        </is>
      </c>
      <c r="H640" s="21" t="inlineStr">
        <is>
          <t>SPV-A</t>
        </is>
      </c>
      <c r="I640" s="21" t="inlineStr">
        <is>
          <t>—</t>
        </is>
      </c>
      <c r="J640" s="21" t="inlineStr">
        <is>
          <t>1. Login di web, lalu sidebar &gt; Data &gt; Process Quality Control (/data/process-quality-control).
2. Terapkan rentang tanggal yang pasti tidak punya data (mis. 1–2 Januari 2020).
3. Baca isi area tabel.</t>
        </is>
      </c>
      <c r="K640" s="21" t="inlineStr">
        <is>
          <t>- Muncul keterangan bahwa tidak ada data untuk filter itu — satu kalimat yang terbaca.
- BUKAN tabel dengan nol baris tanpa penjelasan.
- Panel filter tetap terlihat supaya penguji dapat mengubahnya kembali.</t>
        </is>
      </c>
      <c r="L640" s="18" t="inlineStr">
        <is>
          <t>Sedang</t>
        </is>
      </c>
      <c r="M640" s="21" t="inlineStr"/>
      <c r="N640" s="17" t="n"/>
      <c r="O640" s="17" t="n"/>
      <c r="P640" s="17" t="n"/>
      <c r="Q640" s="17" t="n"/>
      <c r="R640" s="17" t="n"/>
    </row>
    <row r="641" ht="136" customHeight="1">
      <c r="A641" s="22" t="n">
        <v>637</v>
      </c>
      <c r="B641" s="22" t="n">
        <v>3</v>
      </c>
      <c r="C641" s="23" t="inlineStr">
        <is>
          <t>WB-BRW-09 / Weighbridge</t>
        </is>
      </c>
      <c r="D641" s="23" t="inlineStr">
        <is>
          <t>WB-BRW-09</t>
        </is>
      </c>
      <c r="E641" s="24" t="inlineStr">
        <is>
          <t>Weighbridge</t>
        </is>
      </c>
      <c r="F641" s="5" t="inlineStr">
        <is>
          <t>Web — Data Stasiun (WB-)</t>
        </is>
      </c>
      <c r="G641" s="24" t="inlineStr">
        <is>
          <t>Ekspor melebihi batas baris ditolak dengan pesan, bukan berkas rusak</t>
        </is>
      </c>
      <c r="H641" s="5" t="inlineStr">
        <is>
          <t>ADM</t>
        </is>
      </c>
      <c r="I641" s="5" t="inlineStr">
        <is>
          <t>data melebihi batas ekspor (50.000 baris) — bila tak tersedia, catat kasus ini sebagai *tidak dapat diuji* dan jangan tandai lulus</t>
        </is>
      </c>
      <c r="J641" s="5" t="inlineStr">
        <is>
          <t>1. Pastikan stasiun ini punya data melebihi batas ekspor (50.000 baris). Bila tidak tersedia, catat kasus ini sebagai Tidak diuji dan jangan ditandai Lulus.
2. Login di web, lalu sidebar &gt; Data &gt; Weighbridge (/data/weighbridge), atur filter supaya mencakup seluruh data itu.
3. Tekan Ekspor CSV.
4. Baca pesan yang muncul. Periksa folder unduhan.</t>
        </is>
      </c>
      <c r="K641" s="5" t="inlineStr">
        <is>
          <t>- Ditolak dengan pesan yang menyebut batas jumlah barisnya.
- Pesannya menyarankan mempersempit rentang tanggal.
- Tidak ada berkas yang terunduh — lebih baik tanpa berkas daripada berkas separuh.</t>
        </is>
      </c>
      <c r="L641" s="22" t="inlineStr">
        <is>
          <t>Sedang</t>
        </is>
      </c>
      <c r="M641" s="5" t="inlineStr"/>
      <c r="N641" s="17" t="n"/>
      <c r="O641" s="17" t="n"/>
      <c r="P641" s="17" t="n"/>
      <c r="Q641" s="17" t="n"/>
      <c r="R641" s="17" t="n"/>
    </row>
    <row r="642" ht="136" customHeight="1">
      <c r="A642" s="18" t="n">
        <v>638</v>
      </c>
      <c r="B642" s="18" t="n">
        <v>3</v>
      </c>
      <c r="C642" s="19" t="inlineStr">
        <is>
          <t>WB-BRW-09 / Grading</t>
        </is>
      </c>
      <c r="D642" s="19" t="inlineStr">
        <is>
          <t>WB-BRW-09</t>
        </is>
      </c>
      <c r="E642" s="20" t="inlineStr">
        <is>
          <t>Grading</t>
        </is>
      </c>
      <c r="F642" s="21" t="inlineStr">
        <is>
          <t>Web — Data Stasiun (WB-)</t>
        </is>
      </c>
      <c r="G642" s="20" t="inlineStr">
        <is>
          <t>Ekspor melebihi batas baris ditolak dengan pesan, bukan berkas rusak</t>
        </is>
      </c>
      <c r="H642" s="21" t="inlineStr">
        <is>
          <t>ADM</t>
        </is>
      </c>
      <c r="I642" s="21" t="inlineStr">
        <is>
          <t>data melebihi batas ekspor (50.000 baris) — bila tak tersedia, catat kasus ini sebagai *tidak dapat diuji* dan jangan tandai lulus</t>
        </is>
      </c>
      <c r="J642" s="21" t="inlineStr">
        <is>
          <t>1. Pastikan stasiun ini punya data melebihi batas ekspor (50.000 baris). Bila tidak tersedia, catat kasus ini sebagai Tidak diuji dan jangan ditandai Lulus.
2. Login di web, lalu sidebar &gt; Data &gt; Grading (/data/grading), atur filter supaya mencakup seluruh data itu.
3. Tekan Ekspor CSV.
4. Baca pesan yang muncul. Periksa folder unduhan.</t>
        </is>
      </c>
      <c r="K642" s="21" t="inlineStr">
        <is>
          <t>- Ditolak dengan pesan yang menyebut batas jumlah barisnya.
- Pesannya menyarankan mempersempit rentang tanggal.
- Tidak ada berkas yang terunduh — lebih baik tanpa berkas daripada berkas separuh.</t>
        </is>
      </c>
      <c r="L642" s="18" t="inlineStr">
        <is>
          <t>Sedang</t>
        </is>
      </c>
      <c r="M642" s="21" t="inlineStr"/>
      <c r="N642" s="17" t="n"/>
      <c r="O642" s="17" t="n"/>
      <c r="P642" s="17" t="n"/>
      <c r="Q642" s="17" t="n"/>
      <c r="R642" s="17" t="n"/>
    </row>
    <row r="643" ht="136" customHeight="1">
      <c r="A643" s="22" t="n">
        <v>639</v>
      </c>
      <c r="B643" s="22" t="n">
        <v>3</v>
      </c>
      <c r="C643" s="23" t="inlineStr">
        <is>
          <t>WB-BRW-09 / Cages Track</t>
        </is>
      </c>
      <c r="D643" s="23" t="inlineStr">
        <is>
          <t>WB-BRW-09</t>
        </is>
      </c>
      <c r="E643" s="24" t="inlineStr">
        <is>
          <t>Cages Track</t>
        </is>
      </c>
      <c r="F643" s="5" t="inlineStr">
        <is>
          <t>Web — Data Stasiun (WB-)</t>
        </is>
      </c>
      <c r="G643" s="24" t="inlineStr">
        <is>
          <t>Ekspor melebihi batas baris ditolak dengan pesan, bukan berkas rusak</t>
        </is>
      </c>
      <c r="H643" s="5" t="inlineStr">
        <is>
          <t>ADM</t>
        </is>
      </c>
      <c r="I643" s="5" t="inlineStr">
        <is>
          <t>data melebihi batas ekspor (50.000 baris) — bila tak tersedia, catat kasus ini sebagai *tidak dapat diuji* dan jangan tandai lulus</t>
        </is>
      </c>
      <c r="J643" s="5" t="inlineStr">
        <is>
          <t>1. Pastikan stasiun ini punya data melebihi batas ekspor (50.000 baris). Bila tidak tersedia, catat kasus ini sebagai Tidak diuji dan jangan ditandai Lulus.
2. Login di web, lalu sidebar &gt; Data &gt; Cages Track (/data/cages-track), atur filter supaya mencakup seluruh data itu.
3. Tekan Ekspor CSV.
4. Baca pesan yang muncul. Periksa folder unduhan.</t>
        </is>
      </c>
      <c r="K643" s="5" t="inlineStr">
        <is>
          <t>- Ditolak dengan pesan yang menyebut batas jumlah barisnya.
- Pesannya menyarankan mempersempit rentang tanggal.
- Tidak ada berkas yang terunduh — lebih baik tanpa berkas daripada berkas separuh.</t>
        </is>
      </c>
      <c r="L643" s="22" t="inlineStr">
        <is>
          <t>Sedang</t>
        </is>
      </c>
      <c r="M643" s="5" t="inlineStr"/>
      <c r="N643" s="17" t="n"/>
      <c r="O643" s="17" t="n"/>
      <c r="P643" s="17" t="n"/>
      <c r="Q643" s="17" t="n"/>
      <c r="R643" s="17" t="n"/>
    </row>
    <row r="644" ht="136" customHeight="1">
      <c r="A644" s="18" t="n">
        <v>640</v>
      </c>
      <c r="B644" s="18" t="n">
        <v>3</v>
      </c>
      <c r="C644" s="19" t="inlineStr">
        <is>
          <t>WB-BRW-09 / Sterilizer</t>
        </is>
      </c>
      <c r="D644" s="19" t="inlineStr">
        <is>
          <t>WB-BRW-09</t>
        </is>
      </c>
      <c r="E644" s="20" t="inlineStr">
        <is>
          <t>Sterilizer</t>
        </is>
      </c>
      <c r="F644" s="21" t="inlineStr">
        <is>
          <t>Web — Data Stasiun (WB-)</t>
        </is>
      </c>
      <c r="G644" s="20" t="inlineStr">
        <is>
          <t>Ekspor melebihi batas baris ditolak dengan pesan, bukan berkas rusak</t>
        </is>
      </c>
      <c r="H644" s="21" t="inlineStr">
        <is>
          <t>ADM</t>
        </is>
      </c>
      <c r="I644" s="21" t="inlineStr">
        <is>
          <t>data melebihi batas ekspor (50.000 baris) — bila tak tersedia, catat kasus ini sebagai *tidak dapat diuji* dan jangan tandai lulus</t>
        </is>
      </c>
      <c r="J644" s="21" t="inlineStr">
        <is>
          <t>1. Pastikan stasiun ini punya data melebihi batas ekspor (50.000 baris). Bila tidak tersedia, catat kasus ini sebagai Tidak diuji dan jangan ditandai Lulus.
2. Login di web, lalu sidebar &gt; Data &gt; Sterilizer (/data/sterilizer), atur filter supaya mencakup seluruh data itu.
3. Tekan Ekspor CSV.
4. Baca pesan yang muncul. Periksa folder unduhan.</t>
        </is>
      </c>
      <c r="K644" s="21" t="inlineStr">
        <is>
          <t>- Ditolak dengan pesan yang menyebut batas jumlah barisnya.
- Pesannya menyarankan mempersempit rentang tanggal.
- Tidak ada berkas yang terunduh — lebih baik tanpa berkas daripada berkas separuh.</t>
        </is>
      </c>
      <c r="L644" s="18" t="inlineStr">
        <is>
          <t>Sedang</t>
        </is>
      </c>
      <c r="M644" s="21" t="inlineStr"/>
      <c r="N644" s="17" t="n"/>
      <c r="O644" s="17" t="n"/>
      <c r="P644" s="17" t="n"/>
      <c r="Q644" s="17" t="n"/>
      <c r="R644" s="17" t="n"/>
    </row>
    <row r="645" ht="136" customHeight="1">
      <c r="A645" s="22" t="n">
        <v>641</v>
      </c>
      <c r="B645" s="22" t="n">
        <v>3</v>
      </c>
      <c r="C645" s="23" t="inlineStr">
        <is>
          <t>WB-BRW-09 / Threshing</t>
        </is>
      </c>
      <c r="D645" s="23" t="inlineStr">
        <is>
          <t>WB-BRW-09</t>
        </is>
      </c>
      <c r="E645" s="24" t="inlineStr">
        <is>
          <t>Threshing</t>
        </is>
      </c>
      <c r="F645" s="5" t="inlineStr">
        <is>
          <t>Web — Data Stasiun (WB-)</t>
        </is>
      </c>
      <c r="G645" s="24" t="inlineStr">
        <is>
          <t>Ekspor melebihi batas baris ditolak dengan pesan, bukan berkas rusak</t>
        </is>
      </c>
      <c r="H645" s="5" t="inlineStr">
        <is>
          <t>ADM</t>
        </is>
      </c>
      <c r="I645" s="5" t="inlineStr">
        <is>
          <t>data melebihi batas ekspor (50.000 baris) — bila tak tersedia, catat kasus ini sebagai *tidak dapat diuji* dan jangan tandai lulus</t>
        </is>
      </c>
      <c r="J645" s="5" t="inlineStr">
        <is>
          <t>1. Pastikan stasiun ini punya data melebihi batas ekspor (50.000 baris). Bila tidak tersedia, catat kasus ini sebagai Tidak diuji dan jangan ditandai Lulus.
2. Login di web, lalu sidebar &gt; Data &gt; Threshing (/data/threshing), atur filter supaya mencakup seluruh data itu.
3. Tekan Ekspor CSV.
4. Baca pesan yang muncul. Periksa folder unduhan.</t>
        </is>
      </c>
      <c r="K645" s="5" t="inlineStr">
        <is>
          <t>- Ditolak dengan pesan yang menyebut batas jumlah barisnya.
- Pesannya menyarankan mempersempit rentang tanggal.
- Tidak ada berkas yang terunduh — lebih baik tanpa berkas daripada berkas separuh.</t>
        </is>
      </c>
      <c r="L645" s="22" t="inlineStr">
        <is>
          <t>Sedang</t>
        </is>
      </c>
      <c r="M645" s="5" t="inlineStr"/>
      <c r="N645" s="17" t="n"/>
      <c r="O645" s="17" t="n"/>
      <c r="P645" s="17" t="n"/>
      <c r="Q645" s="17" t="n"/>
      <c r="R645" s="17" t="n"/>
    </row>
    <row r="646" ht="136" customHeight="1">
      <c r="A646" s="18" t="n">
        <v>642</v>
      </c>
      <c r="B646" s="18" t="n">
        <v>3</v>
      </c>
      <c r="C646" s="19" t="inlineStr">
        <is>
          <t>WB-BRW-09 / Pressing</t>
        </is>
      </c>
      <c r="D646" s="19" t="inlineStr">
        <is>
          <t>WB-BRW-09</t>
        </is>
      </c>
      <c r="E646" s="20" t="inlineStr">
        <is>
          <t>Pressing</t>
        </is>
      </c>
      <c r="F646" s="21" t="inlineStr">
        <is>
          <t>Web — Data Stasiun (WB-)</t>
        </is>
      </c>
      <c r="G646" s="20" t="inlineStr">
        <is>
          <t>Ekspor melebihi batas baris ditolak dengan pesan, bukan berkas rusak</t>
        </is>
      </c>
      <c r="H646" s="21" t="inlineStr">
        <is>
          <t>ADM</t>
        </is>
      </c>
      <c r="I646" s="21" t="inlineStr">
        <is>
          <t>data melebihi batas ekspor (50.000 baris) — bila tak tersedia, catat kasus ini sebagai *tidak dapat diuji* dan jangan tandai lulus</t>
        </is>
      </c>
      <c r="J646" s="21" t="inlineStr">
        <is>
          <t>1. Pastikan stasiun ini punya data melebihi batas ekspor (50.000 baris). Bila tidak tersedia, catat kasus ini sebagai Tidak diuji dan jangan ditandai Lulus.
2. Login di web, lalu sidebar &gt; Data &gt; Pressing (/data/pressing), atur filter supaya mencakup seluruh data itu.
3. Tekan Ekspor CSV.
4. Baca pesan yang muncul. Periksa folder unduhan.</t>
        </is>
      </c>
      <c r="K646" s="21" t="inlineStr">
        <is>
          <t>- Ditolak dengan pesan yang menyebut batas jumlah barisnya.
- Pesannya menyarankan mempersempit rentang tanggal.
- Tidak ada berkas yang terunduh — lebih baik tanpa berkas daripada berkas separuh.</t>
        </is>
      </c>
      <c r="L646" s="18" t="inlineStr">
        <is>
          <t>Sedang</t>
        </is>
      </c>
      <c r="M646" s="21" t="inlineStr"/>
      <c r="N646" s="17" t="n"/>
      <c r="O646" s="17" t="n"/>
      <c r="P646" s="17" t="n"/>
      <c r="Q646" s="17" t="n"/>
      <c r="R646" s="17" t="n"/>
    </row>
    <row r="647" ht="136" customHeight="1">
      <c r="A647" s="22" t="n">
        <v>643</v>
      </c>
      <c r="B647" s="22" t="n">
        <v>3</v>
      </c>
      <c r="C647" s="23" t="inlineStr">
        <is>
          <t>WB-BRW-09 / Clarification</t>
        </is>
      </c>
      <c r="D647" s="23" t="inlineStr">
        <is>
          <t>WB-BRW-09</t>
        </is>
      </c>
      <c r="E647" s="24" t="inlineStr">
        <is>
          <t>Clarification</t>
        </is>
      </c>
      <c r="F647" s="5" t="inlineStr">
        <is>
          <t>Web — Data Stasiun (WB-)</t>
        </is>
      </c>
      <c r="G647" s="24" t="inlineStr">
        <is>
          <t>Ekspor melebihi batas baris ditolak dengan pesan, bukan berkas rusak</t>
        </is>
      </c>
      <c r="H647" s="5" t="inlineStr">
        <is>
          <t>ADM</t>
        </is>
      </c>
      <c r="I647" s="5" t="inlineStr">
        <is>
          <t>data melebihi batas ekspor (50.000 baris) — bila tak tersedia, catat kasus ini sebagai *tidak dapat diuji* dan jangan tandai lulus</t>
        </is>
      </c>
      <c r="J647" s="5" t="inlineStr">
        <is>
          <t>1. Pastikan stasiun ini punya data melebihi batas ekspor (50.000 baris). Bila tidak tersedia, catat kasus ini sebagai Tidak diuji dan jangan ditandai Lulus.
2. Login di web, lalu sidebar &gt; Data &gt; Clarification (/data/clarification), atur filter supaya mencakup seluruh data itu.
3. Tekan Ekspor CSV.
4. Baca pesan yang muncul. Periksa folder unduhan.</t>
        </is>
      </c>
      <c r="K647" s="5" t="inlineStr">
        <is>
          <t>- Ditolak dengan pesan yang menyebut batas jumlah barisnya.
- Pesannya menyarankan mempersempit rentang tanggal.
- Tidak ada berkas yang terunduh — lebih baik tanpa berkas daripada berkas separuh.</t>
        </is>
      </c>
      <c r="L647" s="22" t="inlineStr">
        <is>
          <t>Sedang</t>
        </is>
      </c>
      <c r="M647" s="5" t="inlineStr"/>
      <c r="N647" s="17" t="n"/>
      <c r="O647" s="17" t="n"/>
      <c r="P647" s="17" t="n"/>
      <c r="Q647" s="17" t="n"/>
      <c r="R647" s="17" t="n"/>
    </row>
    <row r="648" ht="136" customHeight="1">
      <c r="A648" s="18" t="n">
        <v>644</v>
      </c>
      <c r="B648" s="18" t="n">
        <v>3</v>
      </c>
      <c r="C648" s="19" t="inlineStr">
        <is>
          <t>WB-BRW-09 / Kernel Plant</t>
        </is>
      </c>
      <c r="D648" s="19" t="inlineStr">
        <is>
          <t>WB-BRW-09</t>
        </is>
      </c>
      <c r="E648" s="20" t="inlineStr">
        <is>
          <t>Kernel Plant</t>
        </is>
      </c>
      <c r="F648" s="21" t="inlineStr">
        <is>
          <t>Web — Data Stasiun (WB-)</t>
        </is>
      </c>
      <c r="G648" s="20" t="inlineStr">
        <is>
          <t>Ekspor melebihi batas baris ditolak dengan pesan, bukan berkas rusak</t>
        </is>
      </c>
      <c r="H648" s="21" t="inlineStr">
        <is>
          <t>ADM</t>
        </is>
      </c>
      <c r="I648" s="21" t="inlineStr">
        <is>
          <t>data melebihi batas ekspor (50.000 baris) — bila tak tersedia, catat kasus ini sebagai *tidak dapat diuji* dan jangan tandai lulus</t>
        </is>
      </c>
      <c r="J648" s="21" t="inlineStr">
        <is>
          <t>1. Pastikan stasiun ini punya data melebihi batas ekspor (50.000 baris). Bila tidak tersedia, catat kasus ini sebagai Tidak diuji dan jangan ditandai Lulus.
2. Login di web, lalu sidebar &gt; Data &gt; Kernel Plant (/data/kernel-plant), atur filter supaya mencakup seluruh data itu.
3. Tekan Ekspor CSV.
4. Baca pesan yang muncul. Periksa folder unduhan.</t>
        </is>
      </c>
      <c r="K648" s="21" t="inlineStr">
        <is>
          <t>- Ditolak dengan pesan yang menyebut batas jumlah barisnya.
- Pesannya menyarankan mempersempit rentang tanggal.
- Tidak ada berkas yang terunduh — lebih baik tanpa berkas daripada berkas separuh.</t>
        </is>
      </c>
      <c r="L648" s="18" t="inlineStr">
        <is>
          <t>Sedang</t>
        </is>
      </c>
      <c r="M648" s="21" t="inlineStr"/>
      <c r="N648" s="17" t="n"/>
      <c r="O648" s="17" t="n"/>
      <c r="P648" s="17" t="n"/>
      <c r="Q648" s="17" t="n"/>
      <c r="R648" s="17" t="n"/>
    </row>
    <row r="649" ht="136" customHeight="1">
      <c r="A649" s="22" t="n">
        <v>645</v>
      </c>
      <c r="B649" s="22" t="n">
        <v>3</v>
      </c>
      <c r="C649" s="23" t="inlineStr">
        <is>
          <t>WB-BRW-09 / Boiler Room</t>
        </is>
      </c>
      <c r="D649" s="23" t="inlineStr">
        <is>
          <t>WB-BRW-09</t>
        </is>
      </c>
      <c r="E649" s="24" t="inlineStr">
        <is>
          <t>Boiler Room</t>
        </is>
      </c>
      <c r="F649" s="5" t="inlineStr">
        <is>
          <t>Web — Data Stasiun (WB-)</t>
        </is>
      </c>
      <c r="G649" s="24" t="inlineStr">
        <is>
          <t>Ekspor melebihi batas baris ditolak dengan pesan, bukan berkas rusak</t>
        </is>
      </c>
      <c r="H649" s="5" t="inlineStr">
        <is>
          <t>ADM</t>
        </is>
      </c>
      <c r="I649" s="5" t="inlineStr">
        <is>
          <t>data melebihi batas ekspor (50.000 baris) — bila tak tersedia, catat kasus ini sebagai *tidak dapat diuji* dan jangan tandai lulus</t>
        </is>
      </c>
      <c r="J649" s="5" t="inlineStr">
        <is>
          <t>1. Pastikan stasiun ini punya data melebihi batas ekspor (50.000 baris). Bila tidak tersedia, catat kasus ini sebagai Tidak diuji dan jangan ditandai Lulus.
2. Login di web, lalu sidebar &gt; Data &gt; Boiler Room (/data/boiler-room), atur filter supaya mencakup seluruh data itu.
3. Tekan Ekspor CSV.
4. Baca pesan yang muncul. Periksa folder unduhan.</t>
        </is>
      </c>
      <c r="K649" s="5" t="inlineStr">
        <is>
          <t>- Ditolak dengan pesan yang menyebut batas jumlah barisnya.
- Pesannya menyarankan mempersempit rentang tanggal.
- Tidak ada berkas yang terunduh — lebih baik tanpa berkas daripada berkas separuh.</t>
        </is>
      </c>
      <c r="L649" s="22" t="inlineStr">
        <is>
          <t>Sedang</t>
        </is>
      </c>
      <c r="M649" s="5" t="inlineStr"/>
      <c r="N649" s="17" t="n"/>
      <c r="O649" s="17" t="n"/>
      <c r="P649" s="17" t="n"/>
      <c r="Q649" s="17" t="n"/>
      <c r="R649" s="17" t="n"/>
    </row>
    <row r="650" ht="136" customHeight="1">
      <c r="A650" s="18" t="n">
        <v>646</v>
      </c>
      <c r="B650" s="18" t="n">
        <v>3</v>
      </c>
      <c r="C650" s="19" t="inlineStr">
        <is>
          <t>WB-BRW-09 / Effluent Plant</t>
        </is>
      </c>
      <c r="D650" s="19" t="inlineStr">
        <is>
          <t>WB-BRW-09</t>
        </is>
      </c>
      <c r="E650" s="20" t="inlineStr">
        <is>
          <t>Effluent Plant</t>
        </is>
      </c>
      <c r="F650" s="21" t="inlineStr">
        <is>
          <t>Web — Data Stasiun (WB-)</t>
        </is>
      </c>
      <c r="G650" s="20" t="inlineStr">
        <is>
          <t>Ekspor melebihi batas baris ditolak dengan pesan, bukan berkas rusak</t>
        </is>
      </c>
      <c r="H650" s="21" t="inlineStr">
        <is>
          <t>ADM</t>
        </is>
      </c>
      <c r="I650" s="21" t="inlineStr">
        <is>
          <t>data melebihi batas ekspor (50.000 baris) — bila tak tersedia, catat kasus ini sebagai *tidak dapat diuji* dan jangan tandai lulus</t>
        </is>
      </c>
      <c r="J650" s="21" t="inlineStr">
        <is>
          <t>1. Pastikan stasiun ini punya data melebihi batas ekspor (50.000 baris). Bila tidak tersedia, catat kasus ini sebagai Tidak diuji dan jangan ditandai Lulus.
2. Login di web, lalu sidebar &gt; Data &gt; Effluent Plant (/data/effluent-plant), atur filter supaya mencakup seluruh data itu.
3. Tekan Ekspor CSV.
4. Baca pesan yang muncul. Periksa folder unduhan.</t>
        </is>
      </c>
      <c r="K650" s="21" t="inlineStr">
        <is>
          <t>- Ditolak dengan pesan yang menyebut batas jumlah barisnya.
- Pesannya menyarankan mempersempit rentang tanggal.
- Tidak ada berkas yang terunduh — lebih baik tanpa berkas daripada berkas separuh.</t>
        </is>
      </c>
      <c r="L650" s="18" t="inlineStr">
        <is>
          <t>Sedang</t>
        </is>
      </c>
      <c r="M650" s="21" t="inlineStr"/>
      <c r="N650" s="17" t="n"/>
      <c r="O650" s="17" t="n"/>
      <c r="P650" s="17" t="n"/>
      <c r="Q650" s="17" t="n"/>
      <c r="R650" s="17" t="n"/>
    </row>
    <row r="651" ht="136" customHeight="1">
      <c r="A651" s="11" t="n">
        <v>647</v>
      </c>
      <c r="B651" s="12" t="n">
        <v>1</v>
      </c>
      <c r="C651" s="13" t="inlineStr">
        <is>
          <t>WB-BRW-09 / Depricarping</t>
        </is>
      </c>
      <c r="D651" s="13" t="inlineStr">
        <is>
          <t>WB-BRW-09</t>
        </is>
      </c>
      <c r="E651" s="15" t="inlineStr">
        <is>
          <t>Depricarping</t>
        </is>
      </c>
      <c r="F651" s="14" t="inlineStr">
        <is>
          <t>Web — Data Stasiun (WB-)</t>
        </is>
      </c>
      <c r="G651" s="15" t="inlineStr">
        <is>
          <t>Ekspor melebihi batas baris ditolak dengan pesan, bukan berkas rusak</t>
        </is>
      </c>
      <c r="H651" s="14" t="inlineStr">
        <is>
          <t>ADM</t>
        </is>
      </c>
      <c r="I651" s="14" t="inlineStr">
        <is>
          <t>data melebihi batas ekspor (50.000 baris) — bila tak tersedia, catat kasus ini sebagai *tidak dapat diuji* dan jangan tandai lulus</t>
        </is>
      </c>
      <c r="J651" s="14" t="inlineStr">
        <is>
          <t>1. Pastikan stasiun ini punya data melebihi batas ekspor (50.000 baris). Bila tidak tersedia, catat kasus ini sebagai Tidak diuji dan jangan ditandai Lulus.
2. Login di web, lalu sidebar &gt; Data &gt; Depricarping (/data/depricarping), atur filter supaya mencakup seluruh data itu.
3. Tekan Ekspor CSV.
4. Baca pesan yang muncul. Periksa folder unduhan.</t>
        </is>
      </c>
      <c r="K651" s="14" t="inlineStr">
        <is>
          <t>- Ditolak dengan pesan yang menyebut batas jumlah barisnya.
- Pesannya menyarankan mempersempit rentang tanggal.
- Tidak ada berkas yang terunduh — lebih baik tanpa berkas daripada berkas separuh.</t>
        </is>
      </c>
      <c r="L651" s="11" t="inlineStr">
        <is>
          <t>Sedang</t>
        </is>
      </c>
      <c r="M651" s="14" t="inlineStr"/>
      <c r="N651" s="17" t="n"/>
      <c r="O651" s="17" t="n"/>
      <c r="P651" s="17" t="n"/>
      <c r="Q651" s="17" t="n"/>
      <c r="R651" s="17" t="n"/>
    </row>
    <row r="652" ht="136" customHeight="1">
      <c r="A652" s="18" t="n">
        <v>648</v>
      </c>
      <c r="B652" s="18" t="n">
        <v>3</v>
      </c>
      <c r="C652" s="19" t="inlineStr">
        <is>
          <t>WB-BRW-09 / Engine Room</t>
        </is>
      </c>
      <c r="D652" s="19" t="inlineStr">
        <is>
          <t>WB-BRW-09</t>
        </is>
      </c>
      <c r="E652" s="20" t="inlineStr">
        <is>
          <t>Engine Room</t>
        </is>
      </c>
      <c r="F652" s="21" t="inlineStr">
        <is>
          <t>Web — Data Stasiun (WB-)</t>
        </is>
      </c>
      <c r="G652" s="20" t="inlineStr">
        <is>
          <t>Ekspor melebihi batas baris ditolak dengan pesan, bukan berkas rusak</t>
        </is>
      </c>
      <c r="H652" s="21" t="inlineStr">
        <is>
          <t>ADM</t>
        </is>
      </c>
      <c r="I652" s="21" t="inlineStr">
        <is>
          <t>data melebihi batas ekspor (50.000 baris) — bila tak tersedia, catat kasus ini sebagai *tidak dapat diuji* dan jangan tandai lulus</t>
        </is>
      </c>
      <c r="J652" s="21" t="inlineStr">
        <is>
          <t>1. Pastikan stasiun ini punya data melebihi batas ekspor (50.000 baris). Bila tidak tersedia, catat kasus ini sebagai Tidak diuji dan jangan ditandai Lulus.
2. Login di web, lalu sidebar &gt; Data &gt; Engine Room (/data/engine-room), atur filter supaya mencakup seluruh data itu.
3. Tekan Ekspor CSV.
4. Baca pesan yang muncul. Periksa folder unduhan.</t>
        </is>
      </c>
      <c r="K652" s="21" t="inlineStr">
        <is>
          <t>- Ditolak dengan pesan yang menyebut batas jumlah barisnya.
- Pesannya menyarankan mempersempit rentang tanggal.
- Tidak ada berkas yang terunduh — lebih baik tanpa berkas daripada berkas separuh.</t>
        </is>
      </c>
      <c r="L652" s="18" t="inlineStr">
        <is>
          <t>Sedang</t>
        </is>
      </c>
      <c r="M652" s="21" t="inlineStr"/>
      <c r="N652" s="17" t="n"/>
      <c r="O652" s="17" t="n"/>
      <c r="P652" s="17" t="n"/>
      <c r="Q652" s="17" t="n"/>
      <c r="R652" s="17" t="n"/>
    </row>
    <row r="653" ht="136" customHeight="1">
      <c r="A653" s="22" t="n">
        <v>649</v>
      </c>
      <c r="B653" s="22" t="n">
        <v>3</v>
      </c>
      <c r="C653" s="23" t="inlineStr">
        <is>
          <t>WB-BRW-09 / Process Water</t>
        </is>
      </c>
      <c r="D653" s="23" t="inlineStr">
        <is>
          <t>WB-BRW-09</t>
        </is>
      </c>
      <c r="E653" s="24" t="inlineStr">
        <is>
          <t>Process Water</t>
        </is>
      </c>
      <c r="F653" s="5" t="inlineStr">
        <is>
          <t>Web — Data Stasiun (WB-)</t>
        </is>
      </c>
      <c r="G653" s="24" t="inlineStr">
        <is>
          <t>Ekspor melebihi batas baris ditolak dengan pesan, bukan berkas rusak</t>
        </is>
      </c>
      <c r="H653" s="5" t="inlineStr">
        <is>
          <t>ADM</t>
        </is>
      </c>
      <c r="I653" s="5" t="inlineStr">
        <is>
          <t>data melebihi batas ekspor (50.000 baris) — bila tak tersedia, catat kasus ini sebagai *tidak dapat diuji* dan jangan tandai lulus</t>
        </is>
      </c>
      <c r="J653" s="5" t="inlineStr">
        <is>
          <t>1. Pastikan stasiun ini punya data melebihi batas ekspor (50.000 baris). Bila tidak tersedia, catat kasus ini sebagai Tidak diuji dan jangan ditandai Lulus.
2. Login di web, lalu sidebar &gt; Data &gt; Process Water (/data/process-water), atur filter supaya mencakup seluruh data itu.
3. Tekan Ekspor CSV.
4. Baca pesan yang muncul. Periksa folder unduhan.</t>
        </is>
      </c>
      <c r="K653" s="5" t="inlineStr">
        <is>
          <t>- Ditolak dengan pesan yang menyebut batas jumlah barisnya.
- Pesannya menyarankan mempersempit rentang tanggal.
- Tidak ada berkas yang terunduh — lebih baik tanpa berkas daripada berkas separuh.</t>
        </is>
      </c>
      <c r="L653" s="22" t="inlineStr">
        <is>
          <t>Sedang</t>
        </is>
      </c>
      <c r="M653" s="5" t="inlineStr"/>
      <c r="N653" s="17" t="n"/>
      <c r="O653" s="17" t="n"/>
      <c r="P653" s="17" t="n"/>
      <c r="Q653" s="17" t="n"/>
      <c r="R653" s="17" t="n"/>
    </row>
    <row r="654" ht="136" customHeight="1">
      <c r="A654" s="18" t="n">
        <v>650</v>
      </c>
      <c r="B654" s="18" t="n">
        <v>3</v>
      </c>
      <c r="C654" s="19" t="inlineStr">
        <is>
          <t>WB-BRW-09 / Storage Tank</t>
        </is>
      </c>
      <c r="D654" s="19" t="inlineStr">
        <is>
          <t>WB-BRW-09</t>
        </is>
      </c>
      <c r="E654" s="20" t="inlineStr">
        <is>
          <t>Storage Tank</t>
        </is>
      </c>
      <c r="F654" s="21" t="inlineStr">
        <is>
          <t>Web — Data Stasiun (WB-)</t>
        </is>
      </c>
      <c r="G654" s="20" t="inlineStr">
        <is>
          <t>Ekspor melebihi batas baris ditolak dengan pesan, bukan berkas rusak</t>
        </is>
      </c>
      <c r="H654" s="21" t="inlineStr">
        <is>
          <t>ADM</t>
        </is>
      </c>
      <c r="I654" s="21" t="inlineStr">
        <is>
          <t>data melebihi batas ekspor (50.000 baris) — bila tak tersedia, catat kasus ini sebagai *tidak dapat diuji* dan jangan tandai lulus</t>
        </is>
      </c>
      <c r="J654" s="21" t="inlineStr">
        <is>
          <t>1. Pastikan stasiun ini punya data melebihi batas ekspor (50.000 baris). Bila tidak tersedia, catat kasus ini sebagai Tidak diuji dan jangan ditandai Lulus.
2. Login di web, lalu sidebar &gt; Data &gt; Storage Tank (/data/storage-tank), atur filter supaya mencakup seluruh data itu.
3. Tekan Ekspor CSV.
4. Baca pesan yang muncul. Periksa folder unduhan.</t>
        </is>
      </c>
      <c r="K654" s="21" t="inlineStr">
        <is>
          <t>- Ditolak dengan pesan yang menyebut batas jumlah barisnya.
- Pesannya menyarankan mempersempit rentang tanggal.
- Tidak ada berkas yang terunduh — lebih baik tanpa berkas daripada berkas separuh.</t>
        </is>
      </c>
      <c r="L654" s="18" t="inlineStr">
        <is>
          <t>Sedang</t>
        </is>
      </c>
      <c r="M654" s="21" t="inlineStr"/>
      <c r="N654" s="17" t="n"/>
      <c r="O654" s="17" t="n"/>
      <c r="P654" s="17" t="n"/>
      <c r="Q654" s="17" t="n"/>
      <c r="R654" s="17" t="n"/>
    </row>
    <row r="655" ht="149.2" customHeight="1">
      <c r="A655" s="22" t="n">
        <v>651</v>
      </c>
      <c r="B655" s="22" t="n">
        <v>3</v>
      </c>
      <c r="C655" s="23" t="inlineStr">
        <is>
          <t>WB-BRW-09 / Solid Waste Disposal</t>
        </is>
      </c>
      <c r="D655" s="23" t="inlineStr">
        <is>
          <t>WB-BRW-09</t>
        </is>
      </c>
      <c r="E655" s="24" t="inlineStr">
        <is>
          <t>Solid Waste Disposal</t>
        </is>
      </c>
      <c r="F655" s="5" t="inlineStr">
        <is>
          <t>Web — Data Stasiun (WB-)</t>
        </is>
      </c>
      <c r="G655" s="24" t="inlineStr">
        <is>
          <t>Ekspor melebihi batas baris ditolak dengan pesan, bukan berkas rusak</t>
        </is>
      </c>
      <c r="H655" s="5" t="inlineStr">
        <is>
          <t>ADM</t>
        </is>
      </c>
      <c r="I655" s="5" t="inlineStr">
        <is>
          <t>data melebihi batas ekspor (50.000 baris) — bila tak tersedia, catat kasus ini sebagai *tidak dapat diuji* dan jangan tandai lulus</t>
        </is>
      </c>
      <c r="J655" s="5" t="inlineStr">
        <is>
          <t>1. Pastikan stasiun ini punya data melebihi batas ekspor (50.000 baris). Bila tidak tersedia, catat kasus ini sebagai Tidak diuji dan jangan ditandai Lulus.
2. Login di web, lalu sidebar &gt; Data &gt; Solid Waste Disposal (/data/solid-waste-disposal), atur filter supaya mencakup seluruh data itu.
3. Tekan Ekspor CSV.
4. Baca pesan yang muncul. Periksa folder unduhan.</t>
        </is>
      </c>
      <c r="K655" s="5" t="inlineStr">
        <is>
          <t>- Ditolak dengan pesan yang menyebut batas jumlah barisnya.
- Pesannya menyarankan mempersempit rentang tanggal.
- Tidak ada berkas yang terunduh — lebih baik tanpa berkas daripada berkas separuh.</t>
        </is>
      </c>
      <c r="L655" s="22" t="inlineStr">
        <is>
          <t>Sedang</t>
        </is>
      </c>
      <c r="M655" s="5" t="inlineStr"/>
      <c r="N655" s="17" t="n"/>
      <c r="O655" s="17" t="n"/>
      <c r="P655" s="17" t="n"/>
      <c r="Q655" s="17" t="n"/>
      <c r="R655" s="17" t="n"/>
    </row>
    <row r="656" ht="136" customHeight="1">
      <c r="A656" s="18" t="n">
        <v>652</v>
      </c>
      <c r="B656" s="18" t="n">
        <v>3</v>
      </c>
      <c r="C656" s="19" t="inlineStr">
        <is>
          <t>WB-BRW-09 / Kernel Dispatch</t>
        </is>
      </c>
      <c r="D656" s="19" t="inlineStr">
        <is>
          <t>WB-BRW-09</t>
        </is>
      </c>
      <c r="E656" s="20" t="inlineStr">
        <is>
          <t>Kernel Dispatch</t>
        </is>
      </c>
      <c r="F656" s="21" t="inlineStr">
        <is>
          <t>Web — Data Stasiun (WB-)</t>
        </is>
      </c>
      <c r="G656" s="20" t="inlineStr">
        <is>
          <t>Ekspor melebihi batas baris ditolak dengan pesan, bukan berkas rusak</t>
        </is>
      </c>
      <c r="H656" s="21" t="inlineStr">
        <is>
          <t>ADM</t>
        </is>
      </c>
      <c r="I656" s="21" t="inlineStr">
        <is>
          <t>data melebihi batas ekspor (50.000 baris) — bila tak tersedia, catat kasus ini sebagai *tidak dapat diuji* dan jangan tandai lulus</t>
        </is>
      </c>
      <c r="J656" s="21" t="inlineStr">
        <is>
          <t>1. Pastikan stasiun ini punya data melebihi batas ekspor (50.000 baris). Bila tidak tersedia, catat kasus ini sebagai Tidak diuji dan jangan ditandai Lulus.
2. Login di web, lalu sidebar &gt; Data &gt; Kernel Dispatch (/data/kernel-dispatch), atur filter supaya mencakup seluruh data itu.
3. Tekan Ekspor CSV.
4. Baca pesan yang muncul. Periksa folder unduhan.</t>
        </is>
      </c>
      <c r="K656" s="21" t="inlineStr">
        <is>
          <t>- Ditolak dengan pesan yang menyebut batas jumlah barisnya.
- Pesannya menyarankan mempersempit rentang tanggal.
- Tidak ada berkas yang terunduh — lebih baik tanpa berkas daripada berkas separuh.</t>
        </is>
      </c>
      <c r="L656" s="18" t="inlineStr">
        <is>
          <t>Sedang</t>
        </is>
      </c>
      <c r="M656" s="21" t="inlineStr"/>
      <c r="N656" s="17" t="n"/>
      <c r="O656" s="17" t="n"/>
      <c r="P656" s="17" t="n"/>
      <c r="Q656" s="17" t="n"/>
      <c r="R656" s="17" t="n"/>
    </row>
    <row r="657" ht="136" customHeight="1">
      <c r="A657" s="22" t="n">
        <v>653</v>
      </c>
      <c r="B657" s="22" t="n">
        <v>3</v>
      </c>
      <c r="C657" s="23" t="inlineStr">
        <is>
          <t>WB-BRW-09 / CPO Dispatch</t>
        </is>
      </c>
      <c r="D657" s="23" t="inlineStr">
        <is>
          <t>WB-BRW-09</t>
        </is>
      </c>
      <c r="E657" s="24" t="inlineStr">
        <is>
          <t>CPO Dispatch</t>
        </is>
      </c>
      <c r="F657" s="5" t="inlineStr">
        <is>
          <t>Web — Data Stasiun (WB-)</t>
        </is>
      </c>
      <c r="G657" s="24" t="inlineStr">
        <is>
          <t>Ekspor melebihi batas baris ditolak dengan pesan, bukan berkas rusak</t>
        </is>
      </c>
      <c r="H657" s="5" t="inlineStr">
        <is>
          <t>ADM</t>
        </is>
      </c>
      <c r="I657" s="5" t="inlineStr">
        <is>
          <t>data melebihi batas ekspor (50.000 baris) — bila tak tersedia, catat kasus ini sebagai *tidak dapat diuji* dan jangan tandai lulus</t>
        </is>
      </c>
      <c r="J657" s="5" t="inlineStr">
        <is>
          <t>1. Pastikan stasiun ini punya data melebihi batas ekspor (50.000 baris). Bila tidak tersedia, catat kasus ini sebagai Tidak diuji dan jangan ditandai Lulus.
2. Login di web, lalu sidebar &gt; Data &gt; CPO Dispatch (/data/cpo-dispatch), atur filter supaya mencakup seluruh data itu.
3. Tekan Ekspor CSV.
4. Baca pesan yang muncul. Periksa folder unduhan.</t>
        </is>
      </c>
      <c r="K657" s="5" t="inlineStr">
        <is>
          <t>- Ditolak dengan pesan yang menyebut batas jumlah barisnya.
- Pesannya menyarankan mempersempit rentang tanggal.
- Tidak ada berkas yang terunduh — lebih baik tanpa berkas daripada berkas separuh.</t>
        </is>
      </c>
      <c r="L657" s="22" t="inlineStr">
        <is>
          <t>Sedang</t>
        </is>
      </c>
      <c r="M657" s="5" t="inlineStr"/>
      <c r="N657" s="17" t="n"/>
      <c r="O657" s="17" t="n"/>
      <c r="P657" s="17" t="n"/>
      <c r="Q657" s="17" t="n"/>
      <c r="R657" s="17" t="n"/>
    </row>
    <row r="658" ht="149.2" customHeight="1">
      <c r="A658" s="18" t="n">
        <v>654</v>
      </c>
      <c r="B658" s="18" t="n">
        <v>3</v>
      </c>
      <c r="C658" s="19" t="inlineStr">
        <is>
          <t>WB-BRW-09 / Process Quality Control</t>
        </is>
      </c>
      <c r="D658" s="19" t="inlineStr">
        <is>
          <t>WB-BRW-09</t>
        </is>
      </c>
      <c r="E658" s="20" t="inlineStr">
        <is>
          <t>Process Quality Control</t>
        </is>
      </c>
      <c r="F658" s="21" t="inlineStr">
        <is>
          <t>Web — Data Stasiun (WB-)</t>
        </is>
      </c>
      <c r="G658" s="20" t="inlineStr">
        <is>
          <t>Ekspor melebihi batas baris ditolak dengan pesan, bukan berkas rusak</t>
        </is>
      </c>
      <c r="H658" s="21" t="inlineStr">
        <is>
          <t>ADM</t>
        </is>
      </c>
      <c r="I658" s="21" t="inlineStr">
        <is>
          <t>data melebihi batas ekspor (50.000 baris) — bila tak tersedia, catat kasus ini sebagai *tidak dapat diuji* dan jangan tandai lulus</t>
        </is>
      </c>
      <c r="J658" s="21" t="inlineStr">
        <is>
          <t>1. Pastikan stasiun ini punya data melebihi batas ekspor (50.000 baris). Bila tidak tersedia, catat kasus ini sebagai Tidak diuji dan jangan ditandai Lulus.
2. Login di web, lalu sidebar &gt; Data &gt; Process Quality Control (/data/process-quality-control), atur filter supaya mencakup seluruh data itu.
3. Tekan Ekspor CSV.
4. Baca pesan yang muncul. Periksa folder unduhan.</t>
        </is>
      </c>
      <c r="K658" s="21" t="inlineStr">
        <is>
          <t>- Ditolak dengan pesan yang menyebut batas jumlah barisnya.
- Pesannya menyarankan mempersempit rentang tanggal.
- Tidak ada berkas yang terunduh — lebih baik tanpa berkas daripada berkas separuh.</t>
        </is>
      </c>
      <c r="L658" s="18" t="inlineStr">
        <is>
          <t>Sedang</t>
        </is>
      </c>
      <c r="M658" s="21" t="inlineStr"/>
      <c r="N658" s="17" t="n"/>
      <c r="O658" s="17" t="n"/>
      <c r="P658" s="17" t="n"/>
      <c r="Q658" s="17" t="n"/>
      <c r="R658" s="17" t="n"/>
    </row>
    <row r="659" ht="83.19999999999999" customHeight="1">
      <c r="A659" s="22" t="n">
        <v>655</v>
      </c>
      <c r="B659" s="22" t="n">
        <v>3</v>
      </c>
      <c r="C659" s="23" t="inlineStr">
        <is>
          <t>WB-DTL-01 / Weighbridge</t>
        </is>
      </c>
      <c r="D659" s="23" t="inlineStr">
        <is>
          <t>WB-DTL-01</t>
        </is>
      </c>
      <c r="E659" s="24" t="inlineStr">
        <is>
          <t>Weighbridge</t>
        </is>
      </c>
      <c r="F659" s="5" t="inlineStr">
        <is>
          <t>Web — Data Stasiun (WB-)</t>
        </is>
      </c>
      <c r="G659" s="24" t="inlineStr">
        <is>
          <t>Seluruh kolom read-only, tanpa edit di tempat</t>
        </is>
      </c>
      <c r="H659" s="5" t="inlineStr">
        <is>
          <t>SPV-A</t>
        </is>
      </c>
      <c r="I659" s="5" t="inlineStr">
        <is>
          <t>—</t>
        </is>
      </c>
      <c r="J659" s="5" t="inlineStr">
        <is>
          <t>1. Login di web, buka /data/weighbridge (Weighbridge), lalu klik salah satu baris tabel.
2. Coba klik dan mengetik pada setiap nilai di header: identitas, tanggal, catatan.
3. Coba klik dan mengetik pada sel-sel grid.
4. Cari tombol Simpan di layar ini.</t>
        </is>
      </c>
      <c r="K659" s="5" t="inlineStr">
        <is>
          <t>- Tidak satu pun nilai dapat diubah di layar ini.
- Tidak ada tombol Simpan — layar ini hanya membaca.
- Perubahan hanya mungkin lewat tombol Edit, yang membuka Form.</t>
        </is>
      </c>
      <c r="L659" s="16" t="inlineStr">
        <is>
          <t>Tinggi</t>
        </is>
      </c>
      <c r="M659" s="5" t="inlineStr"/>
      <c r="N659" s="17" t="n"/>
      <c r="O659" s="17" t="n"/>
      <c r="P659" s="17" t="n"/>
      <c r="Q659" s="17" t="n"/>
      <c r="R659" s="17" t="n"/>
    </row>
    <row r="660" ht="83.19999999999999" customHeight="1">
      <c r="A660" s="18" t="n">
        <v>656</v>
      </c>
      <c r="B660" s="18" t="n">
        <v>3</v>
      </c>
      <c r="C660" s="19" t="inlineStr">
        <is>
          <t>WB-DTL-01 / Grading</t>
        </is>
      </c>
      <c r="D660" s="19" t="inlineStr">
        <is>
          <t>WB-DTL-01</t>
        </is>
      </c>
      <c r="E660" s="20" t="inlineStr">
        <is>
          <t>Grading</t>
        </is>
      </c>
      <c r="F660" s="21" t="inlineStr">
        <is>
          <t>Web — Data Stasiun (WB-)</t>
        </is>
      </c>
      <c r="G660" s="20" t="inlineStr">
        <is>
          <t>Seluruh kolom read-only, tanpa edit di tempat</t>
        </is>
      </c>
      <c r="H660" s="21" t="inlineStr">
        <is>
          <t>SPV-A</t>
        </is>
      </c>
      <c r="I660" s="21" t="inlineStr">
        <is>
          <t>—</t>
        </is>
      </c>
      <c r="J660" s="21" t="inlineStr">
        <is>
          <t>1. Login di web, buka /data/grading (Grading), lalu klik salah satu baris tabel.
2. Coba klik dan mengetik pada setiap nilai di header: identitas, tanggal, catatan.
3. Coba klik dan mengetik pada sel-sel grid.
4. Cari tombol Simpan di layar ini.</t>
        </is>
      </c>
      <c r="K660" s="21" t="inlineStr">
        <is>
          <t>- Tidak satu pun nilai dapat diubah di layar ini.
- Tidak ada tombol Simpan — layar ini hanya membaca.
- Perubahan hanya mungkin lewat tombol Edit, yang membuka Form.</t>
        </is>
      </c>
      <c r="L660" s="16" t="inlineStr">
        <is>
          <t>Tinggi</t>
        </is>
      </c>
      <c r="M660" s="21" t="inlineStr"/>
      <c r="N660" s="17" t="n"/>
      <c r="O660" s="17" t="n"/>
      <c r="P660" s="17" t="n"/>
      <c r="Q660" s="17" t="n"/>
      <c r="R660" s="17" t="n"/>
    </row>
    <row r="661" ht="83.19999999999999" customHeight="1">
      <c r="A661" s="22" t="n">
        <v>657</v>
      </c>
      <c r="B661" s="22" t="n">
        <v>3</v>
      </c>
      <c r="C661" s="23" t="inlineStr">
        <is>
          <t>WB-DTL-01 / Cages Track</t>
        </is>
      </c>
      <c r="D661" s="23" t="inlineStr">
        <is>
          <t>WB-DTL-01</t>
        </is>
      </c>
      <c r="E661" s="24" t="inlineStr">
        <is>
          <t>Cages Track</t>
        </is>
      </c>
      <c r="F661" s="5" t="inlineStr">
        <is>
          <t>Web — Data Stasiun (WB-)</t>
        </is>
      </c>
      <c r="G661" s="24" t="inlineStr">
        <is>
          <t>Seluruh kolom read-only, tanpa edit di tempat</t>
        </is>
      </c>
      <c r="H661" s="5" t="inlineStr">
        <is>
          <t>SPV-A</t>
        </is>
      </c>
      <c r="I661" s="5" t="inlineStr">
        <is>
          <t>—</t>
        </is>
      </c>
      <c r="J661" s="5" t="inlineStr">
        <is>
          <t>1. Login di web, buka /data/cages-track (Cages Track), lalu klik salah satu baris tabel.
2. Coba klik dan mengetik pada setiap nilai di header: identitas, tanggal, catatan.
3. Coba klik dan mengetik pada sel-sel grid.
4. Cari tombol Simpan di layar ini.</t>
        </is>
      </c>
      <c r="K661" s="5" t="inlineStr">
        <is>
          <t>- Tidak satu pun nilai dapat diubah di layar ini.
- Tidak ada tombol Simpan — layar ini hanya membaca.
- Perubahan hanya mungkin lewat tombol Edit, yang membuka Form.</t>
        </is>
      </c>
      <c r="L661" s="16" t="inlineStr">
        <is>
          <t>Tinggi</t>
        </is>
      </c>
      <c r="M661" s="5" t="inlineStr"/>
      <c r="N661" s="17" t="n"/>
      <c r="O661" s="17" t="n"/>
      <c r="P661" s="17" t="n"/>
      <c r="Q661" s="17" t="n"/>
      <c r="R661" s="17" t="n"/>
    </row>
    <row r="662" ht="83.19999999999999" customHeight="1">
      <c r="A662" s="18" t="n">
        <v>658</v>
      </c>
      <c r="B662" s="18" t="n">
        <v>3</v>
      </c>
      <c r="C662" s="19" t="inlineStr">
        <is>
          <t>WB-DTL-01 / Sterilizer</t>
        </is>
      </c>
      <c r="D662" s="19" t="inlineStr">
        <is>
          <t>WB-DTL-01</t>
        </is>
      </c>
      <c r="E662" s="20" t="inlineStr">
        <is>
          <t>Sterilizer</t>
        </is>
      </c>
      <c r="F662" s="21" t="inlineStr">
        <is>
          <t>Web — Data Stasiun (WB-)</t>
        </is>
      </c>
      <c r="G662" s="20" t="inlineStr">
        <is>
          <t>Seluruh kolom read-only, tanpa edit di tempat</t>
        </is>
      </c>
      <c r="H662" s="21" t="inlineStr">
        <is>
          <t>SPV-A</t>
        </is>
      </c>
      <c r="I662" s="21" t="inlineStr">
        <is>
          <t>—</t>
        </is>
      </c>
      <c r="J662" s="21" t="inlineStr">
        <is>
          <t>1. Login di web, buka /data/sterilizer (Sterilizer), lalu klik salah satu baris tabel.
2. Coba klik dan mengetik pada setiap nilai di header: identitas, tanggal, catatan.
3. Coba klik dan mengetik pada sel-sel grid.
4. Cari tombol Simpan di layar ini.</t>
        </is>
      </c>
      <c r="K662" s="21" t="inlineStr">
        <is>
          <t>- Tidak satu pun nilai dapat diubah di layar ini.
- Tidak ada tombol Simpan — layar ini hanya membaca.
- Perubahan hanya mungkin lewat tombol Edit, yang membuka Form.</t>
        </is>
      </c>
      <c r="L662" s="16" t="inlineStr">
        <is>
          <t>Tinggi</t>
        </is>
      </c>
      <c r="M662" s="21" t="inlineStr"/>
      <c r="N662" s="17" t="n"/>
      <c r="O662" s="17" t="n"/>
      <c r="P662" s="17" t="n"/>
      <c r="Q662" s="17" t="n"/>
      <c r="R662" s="17" t="n"/>
    </row>
    <row r="663" ht="83.19999999999999" customHeight="1">
      <c r="A663" s="22" t="n">
        <v>659</v>
      </c>
      <c r="B663" s="22" t="n">
        <v>3</v>
      </c>
      <c r="C663" s="23" t="inlineStr">
        <is>
          <t>WB-DTL-01 / Threshing</t>
        </is>
      </c>
      <c r="D663" s="23" t="inlineStr">
        <is>
          <t>WB-DTL-01</t>
        </is>
      </c>
      <c r="E663" s="24" t="inlineStr">
        <is>
          <t>Threshing</t>
        </is>
      </c>
      <c r="F663" s="5" t="inlineStr">
        <is>
          <t>Web — Data Stasiun (WB-)</t>
        </is>
      </c>
      <c r="G663" s="24" t="inlineStr">
        <is>
          <t>Seluruh kolom read-only, tanpa edit di tempat</t>
        </is>
      </c>
      <c r="H663" s="5" t="inlineStr">
        <is>
          <t>SPV-A</t>
        </is>
      </c>
      <c r="I663" s="5" t="inlineStr">
        <is>
          <t>—</t>
        </is>
      </c>
      <c r="J663" s="5" t="inlineStr">
        <is>
          <t>1. Login di web, buka /data/threshing (Threshing), lalu klik salah satu baris tabel.
2. Coba klik dan mengetik pada setiap nilai di header: identitas, tanggal, catatan.
3. Coba klik dan mengetik pada sel-sel grid.
4. Cari tombol Simpan di layar ini.</t>
        </is>
      </c>
      <c r="K663" s="5" t="inlineStr">
        <is>
          <t>- Tidak satu pun nilai dapat diubah di layar ini.
- Tidak ada tombol Simpan — layar ini hanya membaca.
- Perubahan hanya mungkin lewat tombol Edit, yang membuka Form.</t>
        </is>
      </c>
      <c r="L663" s="16" t="inlineStr">
        <is>
          <t>Tinggi</t>
        </is>
      </c>
      <c r="M663" s="5" t="inlineStr"/>
      <c r="N663" s="17" t="n"/>
      <c r="O663" s="17" t="n"/>
      <c r="P663" s="17" t="n"/>
      <c r="Q663" s="17" t="n"/>
      <c r="R663" s="17" t="n"/>
    </row>
    <row r="664" ht="83.19999999999999" customHeight="1">
      <c r="A664" s="18" t="n">
        <v>660</v>
      </c>
      <c r="B664" s="18" t="n">
        <v>3</v>
      </c>
      <c r="C664" s="19" t="inlineStr">
        <is>
          <t>WB-DTL-01 / Pressing</t>
        </is>
      </c>
      <c r="D664" s="19" t="inlineStr">
        <is>
          <t>WB-DTL-01</t>
        </is>
      </c>
      <c r="E664" s="20" t="inlineStr">
        <is>
          <t>Pressing</t>
        </is>
      </c>
      <c r="F664" s="21" t="inlineStr">
        <is>
          <t>Web — Data Stasiun (WB-)</t>
        </is>
      </c>
      <c r="G664" s="20" t="inlineStr">
        <is>
          <t>Seluruh kolom read-only, tanpa edit di tempat</t>
        </is>
      </c>
      <c r="H664" s="21" t="inlineStr">
        <is>
          <t>SPV-A</t>
        </is>
      </c>
      <c r="I664" s="21" t="inlineStr">
        <is>
          <t>—</t>
        </is>
      </c>
      <c r="J664" s="21" t="inlineStr">
        <is>
          <t>1. Login di web, buka /data/pressing (Pressing), lalu klik salah satu baris tabel.
2. Coba klik dan mengetik pada setiap nilai di header: identitas, tanggal, catatan.
3. Coba klik dan mengetik pada sel-sel grid.
4. Cari tombol Simpan di layar ini.</t>
        </is>
      </c>
      <c r="K664" s="21" t="inlineStr">
        <is>
          <t>- Tidak satu pun nilai dapat diubah di layar ini.
- Tidak ada tombol Simpan — layar ini hanya membaca.
- Perubahan hanya mungkin lewat tombol Edit, yang membuka Form.</t>
        </is>
      </c>
      <c r="L664" s="16" t="inlineStr">
        <is>
          <t>Tinggi</t>
        </is>
      </c>
      <c r="M664" s="21" t="inlineStr"/>
      <c r="N664" s="17" t="n"/>
      <c r="O664" s="17" t="n"/>
      <c r="P664" s="17" t="n"/>
      <c r="Q664" s="17" t="n"/>
      <c r="R664" s="17" t="n"/>
    </row>
    <row r="665" ht="96.39999999999999" customHeight="1">
      <c r="A665" s="22" t="n">
        <v>661</v>
      </c>
      <c r="B665" s="22" t="n">
        <v>3</v>
      </c>
      <c r="C665" s="23" t="inlineStr">
        <is>
          <t>WB-DTL-01 / Clarification</t>
        </is>
      </c>
      <c r="D665" s="23" t="inlineStr">
        <is>
          <t>WB-DTL-01</t>
        </is>
      </c>
      <c r="E665" s="24" t="inlineStr">
        <is>
          <t>Clarification</t>
        </is>
      </c>
      <c r="F665" s="5" t="inlineStr">
        <is>
          <t>Web — Data Stasiun (WB-)</t>
        </is>
      </c>
      <c r="G665" s="24" t="inlineStr">
        <is>
          <t>Seluruh kolom read-only, tanpa edit di tempat</t>
        </is>
      </c>
      <c r="H665" s="5" t="inlineStr">
        <is>
          <t>SPV-A</t>
        </is>
      </c>
      <c r="I665" s="5" t="inlineStr">
        <is>
          <t>—</t>
        </is>
      </c>
      <c r="J665" s="5" t="inlineStr">
        <is>
          <t>1. Login di web, buka /data/clarification (Clarification), lalu klik salah satu baris tabel.
2. Coba klik dan mengetik pada setiap nilai di header: identitas, tanggal, catatan.
3. Coba klik dan mengetik pada sel-sel grid.
4. Cari tombol Simpan di layar ini.</t>
        </is>
      </c>
      <c r="K665" s="5" t="inlineStr">
        <is>
          <t>- Tidak satu pun nilai dapat diubah di layar ini.
- Tidak ada tombol Simpan — layar ini hanya membaca.
- Perubahan hanya mungkin lewat tombol Edit, yang membuka Form.</t>
        </is>
      </c>
      <c r="L665" s="16" t="inlineStr">
        <is>
          <t>Tinggi</t>
        </is>
      </c>
      <c r="M665" s="5" t="inlineStr"/>
      <c r="N665" s="17" t="n"/>
      <c r="O665" s="17" t="n"/>
      <c r="P665" s="17" t="n"/>
      <c r="Q665" s="17" t="n"/>
      <c r="R665" s="17" t="n"/>
    </row>
    <row r="666" ht="96.39999999999999" customHeight="1">
      <c r="A666" s="18" t="n">
        <v>662</v>
      </c>
      <c r="B666" s="18" t="n">
        <v>3</v>
      </c>
      <c r="C666" s="19" t="inlineStr">
        <is>
          <t>WB-DTL-01 / Kernel Plant</t>
        </is>
      </c>
      <c r="D666" s="19" t="inlineStr">
        <is>
          <t>WB-DTL-01</t>
        </is>
      </c>
      <c r="E666" s="20" t="inlineStr">
        <is>
          <t>Kernel Plant</t>
        </is>
      </c>
      <c r="F666" s="21" t="inlineStr">
        <is>
          <t>Web — Data Stasiun (WB-)</t>
        </is>
      </c>
      <c r="G666" s="20" t="inlineStr">
        <is>
          <t>Seluruh kolom read-only, tanpa edit di tempat</t>
        </is>
      </c>
      <c r="H666" s="21" t="inlineStr">
        <is>
          <t>SPV-A</t>
        </is>
      </c>
      <c r="I666" s="21" t="inlineStr">
        <is>
          <t>—</t>
        </is>
      </c>
      <c r="J666" s="21" t="inlineStr">
        <is>
          <t>1. Login di web, buka /data/kernel-plant (Kernel Plant), lalu klik salah satu baris tabel.
2. Coba klik dan mengetik pada setiap nilai di header: identitas, tanggal, catatan.
3. Coba klik dan mengetik pada sel-sel grid.
4. Cari tombol Simpan di layar ini.</t>
        </is>
      </c>
      <c r="K666" s="21" t="inlineStr">
        <is>
          <t>- Tidak satu pun nilai dapat diubah di layar ini.
- Tidak ada tombol Simpan — layar ini hanya membaca.
- Perubahan hanya mungkin lewat tombol Edit, yang membuka Form.</t>
        </is>
      </c>
      <c r="L666" s="16" t="inlineStr">
        <is>
          <t>Tinggi</t>
        </is>
      </c>
      <c r="M666" s="21" t="inlineStr"/>
      <c r="N666" s="17" t="n"/>
      <c r="O666" s="17" t="n"/>
      <c r="P666" s="17" t="n"/>
      <c r="Q666" s="17" t="n"/>
      <c r="R666" s="17" t="n"/>
    </row>
    <row r="667" ht="83.19999999999999" customHeight="1">
      <c r="A667" s="22" t="n">
        <v>663</v>
      </c>
      <c r="B667" s="22" t="n">
        <v>3</v>
      </c>
      <c r="C667" s="23" t="inlineStr">
        <is>
          <t>WB-DTL-01 / Boiler Room</t>
        </is>
      </c>
      <c r="D667" s="23" t="inlineStr">
        <is>
          <t>WB-DTL-01</t>
        </is>
      </c>
      <c r="E667" s="24" t="inlineStr">
        <is>
          <t>Boiler Room</t>
        </is>
      </c>
      <c r="F667" s="5" t="inlineStr">
        <is>
          <t>Web — Data Stasiun (WB-)</t>
        </is>
      </c>
      <c r="G667" s="24" t="inlineStr">
        <is>
          <t>Seluruh kolom read-only, tanpa edit di tempat</t>
        </is>
      </c>
      <c r="H667" s="5" t="inlineStr">
        <is>
          <t>SPV-A</t>
        </is>
      </c>
      <c r="I667" s="5" t="inlineStr">
        <is>
          <t>—</t>
        </is>
      </c>
      <c r="J667" s="5" t="inlineStr">
        <is>
          <t>1. Login di web, buka /data/boiler-room (Boiler Room), lalu klik salah satu baris tabel.
2. Coba klik dan mengetik pada setiap nilai di header: identitas, tanggal, catatan.
3. Coba klik dan mengetik pada sel-sel grid.
4. Cari tombol Simpan di layar ini.</t>
        </is>
      </c>
      <c r="K667" s="5" t="inlineStr">
        <is>
          <t>- Tidak satu pun nilai dapat diubah di layar ini.
- Tidak ada tombol Simpan — layar ini hanya membaca.
- Perubahan hanya mungkin lewat tombol Edit, yang membuka Form.</t>
        </is>
      </c>
      <c r="L667" s="16" t="inlineStr">
        <is>
          <t>Tinggi</t>
        </is>
      </c>
      <c r="M667" s="5" t="inlineStr"/>
      <c r="N667" s="17" t="n"/>
      <c r="O667" s="17" t="n"/>
      <c r="P667" s="17" t="n"/>
      <c r="Q667" s="17" t="n"/>
      <c r="R667" s="17" t="n"/>
    </row>
    <row r="668" ht="96.39999999999999" customHeight="1">
      <c r="A668" s="18" t="n">
        <v>664</v>
      </c>
      <c r="B668" s="18" t="n">
        <v>3</v>
      </c>
      <c r="C668" s="19" t="inlineStr">
        <is>
          <t>WB-DTL-01 / Effluent Plant</t>
        </is>
      </c>
      <c r="D668" s="19" t="inlineStr">
        <is>
          <t>WB-DTL-01</t>
        </is>
      </c>
      <c r="E668" s="20" t="inlineStr">
        <is>
          <t>Effluent Plant</t>
        </is>
      </c>
      <c r="F668" s="21" t="inlineStr">
        <is>
          <t>Web — Data Stasiun (WB-)</t>
        </is>
      </c>
      <c r="G668" s="20" t="inlineStr">
        <is>
          <t>Seluruh kolom read-only, tanpa edit di tempat</t>
        </is>
      </c>
      <c r="H668" s="21" t="inlineStr">
        <is>
          <t>SPV-A</t>
        </is>
      </c>
      <c r="I668" s="21" t="inlineStr">
        <is>
          <t>—</t>
        </is>
      </c>
      <c r="J668" s="21" t="inlineStr">
        <is>
          <t>1. Login di web, buka /data/effluent-plant (Effluent Plant), lalu klik salah satu baris tabel.
2. Coba klik dan mengetik pada setiap nilai di header: identitas, tanggal, catatan.
3. Coba klik dan mengetik pada sel-sel grid.
4. Cari tombol Simpan di layar ini.</t>
        </is>
      </c>
      <c r="K668" s="21" t="inlineStr">
        <is>
          <t>- Tidak satu pun nilai dapat diubah di layar ini.
- Tidak ada tombol Simpan — layar ini hanya membaca.
- Perubahan hanya mungkin lewat tombol Edit, yang membuka Form.</t>
        </is>
      </c>
      <c r="L668" s="16" t="inlineStr">
        <is>
          <t>Tinggi</t>
        </is>
      </c>
      <c r="M668" s="21" t="inlineStr"/>
      <c r="N668" s="17" t="n"/>
      <c r="O668" s="17" t="n"/>
      <c r="P668" s="17" t="n"/>
      <c r="Q668" s="17" t="n"/>
      <c r="R668" s="17" t="n"/>
    </row>
    <row r="669" ht="96.39999999999999" customHeight="1">
      <c r="A669" s="11" t="n">
        <v>665</v>
      </c>
      <c r="B669" s="12" t="n">
        <v>1</v>
      </c>
      <c r="C669" s="13" t="inlineStr">
        <is>
          <t>WB-DTL-01 / Depricarping</t>
        </is>
      </c>
      <c r="D669" s="13" t="inlineStr">
        <is>
          <t>WB-DTL-01</t>
        </is>
      </c>
      <c r="E669" s="15" t="inlineStr">
        <is>
          <t>Depricarping</t>
        </is>
      </c>
      <c r="F669" s="14" t="inlineStr">
        <is>
          <t>Web — Data Stasiun (WB-)</t>
        </is>
      </c>
      <c r="G669" s="15" t="inlineStr">
        <is>
          <t>Seluruh kolom read-only, tanpa edit di tempat</t>
        </is>
      </c>
      <c r="H669" s="14" t="inlineStr">
        <is>
          <t>SPV-A</t>
        </is>
      </c>
      <c r="I669" s="14" t="inlineStr">
        <is>
          <t>—</t>
        </is>
      </c>
      <c r="J669" s="14" t="inlineStr">
        <is>
          <t>1. Login di web, buka /data/depricarping (Depricarping), lalu klik salah satu baris tabel.
2. Coba klik dan mengetik pada setiap nilai di header: identitas, tanggal, catatan.
3. Coba klik dan mengetik pada sel-sel grid.
4. Cari tombol Simpan di layar ini.</t>
        </is>
      </c>
      <c r="K669" s="14" t="inlineStr">
        <is>
          <t>- Tidak satu pun nilai dapat diubah di layar ini.
- Tidak ada tombol Simpan — layar ini hanya membaca.
- Perubahan hanya mungkin lewat tombol Edit, yang membuka Form.</t>
        </is>
      </c>
      <c r="L669" s="16" t="inlineStr">
        <is>
          <t>Tinggi</t>
        </is>
      </c>
      <c r="M669" s="14" t="inlineStr"/>
      <c r="N669" s="17" t="n"/>
      <c r="O669" s="17" t="n"/>
      <c r="P669" s="17" t="n"/>
      <c r="Q669" s="17" t="n"/>
      <c r="R669" s="17" t="n"/>
    </row>
    <row r="670" ht="83.19999999999999" customHeight="1">
      <c r="A670" s="18" t="n">
        <v>666</v>
      </c>
      <c r="B670" s="18" t="n">
        <v>3</v>
      </c>
      <c r="C670" s="19" t="inlineStr">
        <is>
          <t>WB-DTL-01 / Engine Room</t>
        </is>
      </c>
      <c r="D670" s="19" t="inlineStr">
        <is>
          <t>WB-DTL-01</t>
        </is>
      </c>
      <c r="E670" s="20" t="inlineStr">
        <is>
          <t>Engine Room</t>
        </is>
      </c>
      <c r="F670" s="21" t="inlineStr">
        <is>
          <t>Web — Data Stasiun (WB-)</t>
        </is>
      </c>
      <c r="G670" s="20" t="inlineStr">
        <is>
          <t>Seluruh kolom read-only, tanpa edit di tempat</t>
        </is>
      </c>
      <c r="H670" s="21" t="inlineStr">
        <is>
          <t>SPV-A</t>
        </is>
      </c>
      <c r="I670" s="21" t="inlineStr">
        <is>
          <t>—</t>
        </is>
      </c>
      <c r="J670" s="21" t="inlineStr">
        <is>
          <t>1. Login di web, buka /data/engine-room (Engine Room), lalu klik salah satu baris tabel.
2. Coba klik dan mengetik pada setiap nilai di header: identitas, tanggal, catatan.
3. Coba klik dan mengetik pada sel-sel grid.
4. Cari tombol Simpan di layar ini.</t>
        </is>
      </c>
      <c r="K670" s="21" t="inlineStr">
        <is>
          <t>- Tidak satu pun nilai dapat diubah di layar ini.
- Tidak ada tombol Simpan — layar ini hanya membaca.
- Perubahan hanya mungkin lewat tombol Edit, yang membuka Form.</t>
        </is>
      </c>
      <c r="L670" s="16" t="inlineStr">
        <is>
          <t>Tinggi</t>
        </is>
      </c>
      <c r="M670" s="21" t="inlineStr"/>
      <c r="N670" s="17" t="n"/>
      <c r="O670" s="17" t="n"/>
      <c r="P670" s="17" t="n"/>
      <c r="Q670" s="17" t="n"/>
      <c r="R670" s="17" t="n"/>
    </row>
    <row r="671" ht="96.39999999999999" customHeight="1">
      <c r="A671" s="22" t="n">
        <v>667</v>
      </c>
      <c r="B671" s="22" t="n">
        <v>3</v>
      </c>
      <c r="C671" s="23" t="inlineStr">
        <is>
          <t>WB-DTL-01 / Process Water</t>
        </is>
      </c>
      <c r="D671" s="23" t="inlineStr">
        <is>
          <t>WB-DTL-01</t>
        </is>
      </c>
      <c r="E671" s="24" t="inlineStr">
        <is>
          <t>Process Water</t>
        </is>
      </c>
      <c r="F671" s="5" t="inlineStr">
        <is>
          <t>Web — Data Stasiun (WB-)</t>
        </is>
      </c>
      <c r="G671" s="24" t="inlineStr">
        <is>
          <t>Seluruh kolom read-only, tanpa edit di tempat</t>
        </is>
      </c>
      <c r="H671" s="5" t="inlineStr">
        <is>
          <t>SPV-A</t>
        </is>
      </c>
      <c r="I671" s="5" t="inlineStr">
        <is>
          <t>—</t>
        </is>
      </c>
      <c r="J671" s="5" t="inlineStr">
        <is>
          <t>1. Login di web, buka /data/process-water (Process Water), lalu klik salah satu baris tabel.
2. Coba klik dan mengetik pada setiap nilai di header: identitas, tanggal, catatan.
3. Coba klik dan mengetik pada sel-sel grid.
4. Cari tombol Simpan di layar ini.</t>
        </is>
      </c>
      <c r="K671" s="5" t="inlineStr">
        <is>
          <t>- Tidak satu pun nilai dapat diubah di layar ini.
- Tidak ada tombol Simpan — layar ini hanya membaca.
- Perubahan hanya mungkin lewat tombol Edit, yang membuka Form.</t>
        </is>
      </c>
      <c r="L671" s="16" t="inlineStr">
        <is>
          <t>Tinggi</t>
        </is>
      </c>
      <c r="M671" s="5" t="inlineStr"/>
      <c r="N671" s="17" t="n"/>
      <c r="O671" s="17" t="n"/>
      <c r="P671" s="17" t="n"/>
      <c r="Q671" s="17" t="n"/>
      <c r="R671" s="17" t="n"/>
    </row>
    <row r="672" ht="96.39999999999999" customHeight="1">
      <c r="A672" s="18" t="n">
        <v>668</v>
      </c>
      <c r="B672" s="18" t="n">
        <v>3</v>
      </c>
      <c r="C672" s="19" t="inlineStr">
        <is>
          <t>WB-DTL-01 / Storage Tank</t>
        </is>
      </c>
      <c r="D672" s="19" t="inlineStr">
        <is>
          <t>WB-DTL-01</t>
        </is>
      </c>
      <c r="E672" s="20" t="inlineStr">
        <is>
          <t>Storage Tank</t>
        </is>
      </c>
      <c r="F672" s="21" t="inlineStr">
        <is>
          <t>Web — Data Stasiun (WB-)</t>
        </is>
      </c>
      <c r="G672" s="20" t="inlineStr">
        <is>
          <t>Seluruh kolom read-only, tanpa edit di tempat</t>
        </is>
      </c>
      <c r="H672" s="21" t="inlineStr">
        <is>
          <t>SPV-A</t>
        </is>
      </c>
      <c r="I672" s="21" t="inlineStr">
        <is>
          <t>—</t>
        </is>
      </c>
      <c r="J672" s="21" t="inlineStr">
        <is>
          <t>1. Login di web, buka /data/storage-tank (Storage Tank), lalu klik salah satu baris tabel.
2. Coba klik dan mengetik pada setiap nilai di header: identitas, tanggal, catatan.
3. Coba klik dan mengetik pada sel-sel grid.
4. Cari tombol Simpan di layar ini.</t>
        </is>
      </c>
      <c r="K672" s="21" t="inlineStr">
        <is>
          <t>- Tidak satu pun nilai dapat diubah di layar ini.
- Tidak ada tombol Simpan — layar ini hanya membaca.
- Perubahan hanya mungkin lewat tombol Edit, yang membuka Form.</t>
        </is>
      </c>
      <c r="L672" s="16" t="inlineStr">
        <is>
          <t>Tinggi</t>
        </is>
      </c>
      <c r="M672" s="21" t="inlineStr"/>
      <c r="N672" s="17" t="n"/>
      <c r="O672" s="17" t="n"/>
      <c r="P672" s="17" t="n"/>
      <c r="Q672" s="17" t="n"/>
      <c r="R672" s="17" t="n"/>
    </row>
    <row r="673" ht="96.39999999999999" customHeight="1">
      <c r="A673" s="22" t="n">
        <v>669</v>
      </c>
      <c r="B673" s="22" t="n">
        <v>3</v>
      </c>
      <c r="C673" s="23" t="inlineStr">
        <is>
          <t>WB-DTL-01 / Solid Waste Disposal</t>
        </is>
      </c>
      <c r="D673" s="23" t="inlineStr">
        <is>
          <t>WB-DTL-01</t>
        </is>
      </c>
      <c r="E673" s="24" t="inlineStr">
        <is>
          <t>Solid Waste Disposal</t>
        </is>
      </c>
      <c r="F673" s="5" t="inlineStr">
        <is>
          <t>Web — Data Stasiun (WB-)</t>
        </is>
      </c>
      <c r="G673" s="24" t="inlineStr">
        <is>
          <t>Seluruh kolom read-only, tanpa edit di tempat</t>
        </is>
      </c>
      <c r="H673" s="5" t="inlineStr">
        <is>
          <t>SPV-A</t>
        </is>
      </c>
      <c r="I673" s="5" t="inlineStr">
        <is>
          <t>—</t>
        </is>
      </c>
      <c r="J673" s="5" t="inlineStr">
        <is>
          <t>1. Login di web, buka /data/solid-waste-disposal (Solid Waste Disposal), lalu klik salah satu baris tabel.
2. Coba klik dan mengetik pada setiap nilai di header: identitas, tanggal, catatan.
3. Coba klik dan mengetik pada sel-sel grid.
4. Cari tombol Simpan di layar ini.</t>
        </is>
      </c>
      <c r="K673" s="5" t="inlineStr">
        <is>
          <t>- Tidak satu pun nilai dapat diubah di layar ini.
- Tidak ada tombol Simpan — layar ini hanya membaca.
- Perubahan hanya mungkin lewat tombol Edit, yang membuka Form.</t>
        </is>
      </c>
      <c r="L673" s="16" t="inlineStr">
        <is>
          <t>Tinggi</t>
        </is>
      </c>
      <c r="M673" s="5" t="inlineStr"/>
      <c r="N673" s="17" t="n"/>
      <c r="O673" s="17" t="n"/>
      <c r="P673" s="17" t="n"/>
      <c r="Q673" s="17" t="n"/>
      <c r="R673" s="17" t="n"/>
    </row>
    <row r="674" ht="96.39999999999999" customHeight="1">
      <c r="A674" s="18" t="n">
        <v>670</v>
      </c>
      <c r="B674" s="18" t="n">
        <v>3</v>
      </c>
      <c r="C674" s="19" t="inlineStr">
        <is>
          <t>WB-DTL-01 / Kernel Dispatch</t>
        </is>
      </c>
      <c r="D674" s="19" t="inlineStr">
        <is>
          <t>WB-DTL-01</t>
        </is>
      </c>
      <c r="E674" s="20" t="inlineStr">
        <is>
          <t>Kernel Dispatch</t>
        </is>
      </c>
      <c r="F674" s="21" t="inlineStr">
        <is>
          <t>Web — Data Stasiun (WB-)</t>
        </is>
      </c>
      <c r="G674" s="20" t="inlineStr">
        <is>
          <t>Seluruh kolom read-only, tanpa edit di tempat</t>
        </is>
      </c>
      <c r="H674" s="21" t="inlineStr">
        <is>
          <t>SPV-A</t>
        </is>
      </c>
      <c r="I674" s="21" t="inlineStr">
        <is>
          <t>—</t>
        </is>
      </c>
      <c r="J674" s="21" t="inlineStr">
        <is>
          <t>1. Login di web, buka /data/kernel-dispatch (Kernel Dispatch), lalu klik salah satu baris tabel.
2. Coba klik dan mengetik pada setiap nilai di header: identitas, tanggal, catatan.
3. Coba klik dan mengetik pada sel-sel grid.
4. Cari tombol Simpan di layar ini.</t>
        </is>
      </c>
      <c r="K674" s="21" t="inlineStr">
        <is>
          <t>- Tidak satu pun nilai dapat diubah di layar ini.
- Tidak ada tombol Simpan — layar ini hanya membaca.
- Perubahan hanya mungkin lewat tombol Edit, yang membuka Form.</t>
        </is>
      </c>
      <c r="L674" s="16" t="inlineStr">
        <is>
          <t>Tinggi</t>
        </is>
      </c>
      <c r="M674" s="21" t="inlineStr"/>
      <c r="N674" s="17" t="n"/>
      <c r="O674" s="17" t="n"/>
      <c r="P674" s="17" t="n"/>
      <c r="Q674" s="17" t="n"/>
      <c r="R674" s="17" t="n"/>
    </row>
    <row r="675" ht="96.39999999999999" customHeight="1">
      <c r="A675" s="22" t="n">
        <v>671</v>
      </c>
      <c r="B675" s="22" t="n">
        <v>3</v>
      </c>
      <c r="C675" s="23" t="inlineStr">
        <is>
          <t>WB-DTL-01 / CPO Dispatch</t>
        </is>
      </c>
      <c r="D675" s="23" t="inlineStr">
        <is>
          <t>WB-DTL-01</t>
        </is>
      </c>
      <c r="E675" s="24" t="inlineStr">
        <is>
          <t>CPO Dispatch</t>
        </is>
      </c>
      <c r="F675" s="5" t="inlineStr">
        <is>
          <t>Web — Data Stasiun (WB-)</t>
        </is>
      </c>
      <c r="G675" s="24" t="inlineStr">
        <is>
          <t>Seluruh kolom read-only, tanpa edit di tempat</t>
        </is>
      </c>
      <c r="H675" s="5" t="inlineStr">
        <is>
          <t>SPV-A</t>
        </is>
      </c>
      <c r="I675" s="5" t="inlineStr">
        <is>
          <t>—</t>
        </is>
      </c>
      <c r="J675" s="5" t="inlineStr">
        <is>
          <t>1. Login di web, buka /data/cpo-dispatch (CPO Dispatch), lalu klik salah satu baris tabel.
2. Coba klik dan mengetik pada setiap nilai di header: identitas, tanggal, catatan.
3. Coba klik dan mengetik pada sel-sel grid.
4. Cari tombol Simpan di layar ini.</t>
        </is>
      </c>
      <c r="K675" s="5" t="inlineStr">
        <is>
          <t>- Tidak satu pun nilai dapat diubah di layar ini.
- Tidak ada tombol Simpan — layar ini hanya membaca.
- Perubahan hanya mungkin lewat tombol Edit, yang membuka Form.</t>
        </is>
      </c>
      <c r="L675" s="16" t="inlineStr">
        <is>
          <t>Tinggi</t>
        </is>
      </c>
      <c r="M675" s="5" t="inlineStr"/>
      <c r="N675" s="17" t="n"/>
      <c r="O675" s="17" t="n"/>
      <c r="P675" s="17" t="n"/>
      <c r="Q675" s="17" t="n"/>
      <c r="R675" s="17" t="n"/>
    </row>
    <row r="676" ht="96.39999999999999" customHeight="1">
      <c r="A676" s="18" t="n">
        <v>672</v>
      </c>
      <c r="B676" s="18" t="n">
        <v>3</v>
      </c>
      <c r="C676" s="19" t="inlineStr">
        <is>
          <t>WB-DTL-01 / Process Quality Control</t>
        </is>
      </c>
      <c r="D676" s="19" t="inlineStr">
        <is>
          <t>WB-DTL-01</t>
        </is>
      </c>
      <c r="E676" s="20" t="inlineStr">
        <is>
          <t>Process Quality Control</t>
        </is>
      </c>
      <c r="F676" s="21" t="inlineStr">
        <is>
          <t>Web — Data Stasiun (WB-)</t>
        </is>
      </c>
      <c r="G676" s="20" t="inlineStr">
        <is>
          <t>Seluruh kolom read-only, tanpa edit di tempat</t>
        </is>
      </c>
      <c r="H676" s="21" t="inlineStr">
        <is>
          <t>SPV-A</t>
        </is>
      </c>
      <c r="I676" s="21" t="inlineStr">
        <is>
          <t>—</t>
        </is>
      </c>
      <c r="J676" s="21" t="inlineStr">
        <is>
          <t>1. Login di web, buka /data/process-quality-control (Process Quality Control), lalu klik salah satu baris tabel.
2. Coba klik dan mengetik pada setiap nilai di header: identitas, tanggal, catatan.
3. Coba klik dan mengetik pada sel-sel grid.
4. Cari tombol Simpan di layar ini.</t>
        </is>
      </c>
      <c r="K676" s="21" t="inlineStr">
        <is>
          <t>- Tidak satu pun nilai dapat diubah di layar ini.
- Tidak ada tombol Simpan — layar ini hanya membaca.
- Perubahan hanya mungkin lewat tombol Edit, yang membuka Form.</t>
        </is>
      </c>
      <c r="L676" s="16" t="inlineStr">
        <is>
          <t>Tinggi</t>
        </is>
      </c>
      <c r="M676" s="21" t="inlineStr"/>
      <c r="N676" s="17" t="n"/>
      <c r="O676" s="17" t="n"/>
      <c r="P676" s="17" t="n"/>
      <c r="Q676" s="17" t="n"/>
      <c r="R676" s="17" t="n"/>
    </row>
    <row r="677" ht="96.39999999999999" customHeight="1">
      <c r="A677" s="22" t="n">
        <v>673</v>
      </c>
      <c r="B677" s="22" t="n">
        <v>3</v>
      </c>
      <c r="C677" s="23" t="inlineStr">
        <is>
          <t>WB-DTL-02 / Weighbridge</t>
        </is>
      </c>
      <c r="D677" s="23" t="inlineStr">
        <is>
          <t>WB-DTL-02</t>
        </is>
      </c>
      <c r="E677" s="24" t="inlineStr">
        <is>
          <t>Weighbridge</t>
        </is>
      </c>
      <c r="F677" s="5" t="inlineStr">
        <is>
          <t>Web — Data Stasiun (WB-)</t>
        </is>
      </c>
      <c r="G677" s="24" t="inlineStr">
        <is>
          <t>Verifikasi yang kosong ditampilkan sebagai tanda pisah</t>
        </is>
      </c>
      <c r="H677" s="5" t="inlineStr">
        <is>
          <t>SPV-A</t>
        </is>
      </c>
      <c r="I677" s="5" t="inlineStr">
        <is>
          <t>record yang belum diverifikasi siapa pun</t>
        </is>
      </c>
      <c r="J677" s="5" t="inlineStr">
        <is>
          <t>1. Siapkan satu record yang belum diverifikasi siapa pun.
2. Login di web, buka /data/weighbridge (Weighbridge), lalu klik salah satu baris tabel untuk record itu.
3. Baca baris Checked By dan Acknowledged By.</t>
        </is>
      </c>
      <c r="K677" s="5" t="inlineStr">
        <is>
          <t>- Keduanya tampil sebagai tanda pisah "—" atau keterangan "belum diverifikasi".
- BUKAN kosong tanpa label — kosong tanpa label tidak dapat dibedakan dari kolom yang gagal dimuat.
- BUKAN angka 0, BUKAN kata "null".</t>
        </is>
      </c>
      <c r="L677" s="22" t="inlineStr">
        <is>
          <t>Sedang</t>
        </is>
      </c>
      <c r="M677" s="5" t="inlineStr"/>
      <c r="N677" s="17" t="n"/>
      <c r="O677" s="17" t="n"/>
      <c r="P677" s="17" t="n"/>
      <c r="Q677" s="17" t="n"/>
      <c r="R677" s="17" t="n"/>
    </row>
    <row r="678" ht="96.39999999999999" customHeight="1">
      <c r="A678" s="18" t="n">
        <v>674</v>
      </c>
      <c r="B678" s="18" t="n">
        <v>3</v>
      </c>
      <c r="C678" s="19" t="inlineStr">
        <is>
          <t>WB-DTL-02 / Grading</t>
        </is>
      </c>
      <c r="D678" s="19" t="inlineStr">
        <is>
          <t>WB-DTL-02</t>
        </is>
      </c>
      <c r="E678" s="20" t="inlineStr">
        <is>
          <t>Grading</t>
        </is>
      </c>
      <c r="F678" s="21" t="inlineStr">
        <is>
          <t>Web — Data Stasiun (WB-)</t>
        </is>
      </c>
      <c r="G678" s="20" t="inlineStr">
        <is>
          <t>Verifikasi yang kosong ditampilkan sebagai tanda pisah</t>
        </is>
      </c>
      <c r="H678" s="21" t="inlineStr">
        <is>
          <t>SPV-A</t>
        </is>
      </c>
      <c r="I678" s="21" t="inlineStr">
        <is>
          <t>record yang belum diverifikasi siapa pun</t>
        </is>
      </c>
      <c r="J678" s="21" t="inlineStr">
        <is>
          <t>1. Siapkan satu record yang belum diverifikasi siapa pun.
2. Login di web, buka /data/grading (Grading), lalu klik salah satu baris tabel untuk record itu.
3. Baca baris Checked By dan Acknowledged By.</t>
        </is>
      </c>
      <c r="K678" s="21" t="inlineStr">
        <is>
          <t>- Keduanya tampil sebagai tanda pisah "—" atau keterangan "belum diverifikasi".
- BUKAN kosong tanpa label — kosong tanpa label tidak dapat dibedakan dari kolom yang gagal dimuat.
- BUKAN angka 0, BUKAN kata "null".</t>
        </is>
      </c>
      <c r="L678" s="18" t="inlineStr">
        <is>
          <t>Sedang</t>
        </is>
      </c>
      <c r="M678" s="21" t="inlineStr"/>
      <c r="N678" s="17" t="n"/>
      <c r="O678" s="17" t="n"/>
      <c r="P678" s="17" t="n"/>
      <c r="Q678" s="17" t="n"/>
      <c r="R678" s="17" t="n"/>
    </row>
    <row r="679" ht="96.39999999999999" customHeight="1">
      <c r="A679" s="22" t="n">
        <v>675</v>
      </c>
      <c r="B679" s="22" t="n">
        <v>3</v>
      </c>
      <c r="C679" s="23" t="inlineStr">
        <is>
          <t>WB-DTL-02 / Cages Track</t>
        </is>
      </c>
      <c r="D679" s="23" t="inlineStr">
        <is>
          <t>WB-DTL-02</t>
        </is>
      </c>
      <c r="E679" s="24" t="inlineStr">
        <is>
          <t>Cages Track</t>
        </is>
      </c>
      <c r="F679" s="5" t="inlineStr">
        <is>
          <t>Web — Data Stasiun (WB-)</t>
        </is>
      </c>
      <c r="G679" s="24" t="inlineStr">
        <is>
          <t>Verifikasi yang kosong ditampilkan sebagai tanda pisah</t>
        </is>
      </c>
      <c r="H679" s="5" t="inlineStr">
        <is>
          <t>SPV-A</t>
        </is>
      </c>
      <c r="I679" s="5" t="inlineStr">
        <is>
          <t>record yang belum diverifikasi siapa pun</t>
        </is>
      </c>
      <c r="J679" s="5" t="inlineStr">
        <is>
          <t>1. Siapkan satu record yang belum diverifikasi siapa pun.
2. Login di web, buka /data/cages-track (Cages Track), lalu klik salah satu baris tabel untuk record itu.
3. Baca baris Checked By dan Acknowledged By.</t>
        </is>
      </c>
      <c r="K679" s="5" t="inlineStr">
        <is>
          <t>- Keduanya tampil sebagai tanda pisah "—" atau keterangan "belum diverifikasi".
- BUKAN kosong tanpa label — kosong tanpa label tidak dapat dibedakan dari kolom yang gagal dimuat.
- BUKAN angka 0, BUKAN kata "null".</t>
        </is>
      </c>
      <c r="L679" s="22" t="inlineStr">
        <is>
          <t>Sedang</t>
        </is>
      </c>
      <c r="M679" s="5" t="inlineStr"/>
      <c r="N679" s="17" t="n"/>
      <c r="O679" s="17" t="n"/>
      <c r="P679" s="17" t="n"/>
      <c r="Q679" s="17" t="n"/>
      <c r="R679" s="17" t="n"/>
    </row>
    <row r="680" ht="96.39999999999999" customHeight="1">
      <c r="A680" s="18" t="n">
        <v>676</v>
      </c>
      <c r="B680" s="18" t="n">
        <v>3</v>
      </c>
      <c r="C680" s="19" t="inlineStr">
        <is>
          <t>WB-DTL-02 / Sterilizer</t>
        </is>
      </c>
      <c r="D680" s="19" t="inlineStr">
        <is>
          <t>WB-DTL-02</t>
        </is>
      </c>
      <c r="E680" s="20" t="inlineStr">
        <is>
          <t>Sterilizer</t>
        </is>
      </c>
      <c r="F680" s="21" t="inlineStr">
        <is>
          <t>Web — Data Stasiun (WB-)</t>
        </is>
      </c>
      <c r="G680" s="20" t="inlineStr">
        <is>
          <t>Verifikasi yang kosong ditampilkan sebagai tanda pisah</t>
        </is>
      </c>
      <c r="H680" s="21" t="inlineStr">
        <is>
          <t>SPV-A</t>
        </is>
      </c>
      <c r="I680" s="21" t="inlineStr">
        <is>
          <t>record yang belum diverifikasi siapa pun</t>
        </is>
      </c>
      <c r="J680" s="21" t="inlineStr">
        <is>
          <t>1. Siapkan satu record yang belum diverifikasi siapa pun.
2. Login di web, buka /data/sterilizer (Sterilizer), lalu klik salah satu baris tabel untuk record itu.
3. Baca baris Checked By dan Acknowledged By.</t>
        </is>
      </c>
      <c r="K680" s="21" t="inlineStr">
        <is>
          <t>- Keduanya tampil sebagai tanda pisah "—" atau keterangan "belum diverifikasi".
- BUKAN kosong tanpa label — kosong tanpa label tidak dapat dibedakan dari kolom yang gagal dimuat.
- BUKAN angka 0, BUKAN kata "null".</t>
        </is>
      </c>
      <c r="L680" s="18" t="inlineStr">
        <is>
          <t>Sedang</t>
        </is>
      </c>
      <c r="M680" s="21" t="inlineStr"/>
      <c r="N680" s="17" t="n"/>
      <c r="O680" s="17" t="n"/>
      <c r="P680" s="17" t="n"/>
      <c r="Q680" s="17" t="n"/>
      <c r="R680" s="17" t="n"/>
    </row>
    <row r="681" ht="96.39999999999999" customHeight="1">
      <c r="A681" s="22" t="n">
        <v>677</v>
      </c>
      <c r="B681" s="22" t="n">
        <v>3</v>
      </c>
      <c r="C681" s="23" t="inlineStr">
        <is>
          <t>WB-DTL-02 / Threshing</t>
        </is>
      </c>
      <c r="D681" s="23" t="inlineStr">
        <is>
          <t>WB-DTL-02</t>
        </is>
      </c>
      <c r="E681" s="24" t="inlineStr">
        <is>
          <t>Threshing</t>
        </is>
      </c>
      <c r="F681" s="5" t="inlineStr">
        <is>
          <t>Web — Data Stasiun (WB-)</t>
        </is>
      </c>
      <c r="G681" s="24" t="inlineStr">
        <is>
          <t>Verifikasi yang kosong ditampilkan sebagai tanda pisah</t>
        </is>
      </c>
      <c r="H681" s="5" t="inlineStr">
        <is>
          <t>SPV-A</t>
        </is>
      </c>
      <c r="I681" s="5" t="inlineStr">
        <is>
          <t>record yang belum diverifikasi siapa pun</t>
        </is>
      </c>
      <c r="J681" s="5" t="inlineStr">
        <is>
          <t>1. Siapkan satu record yang belum diverifikasi siapa pun.
2. Login di web, buka /data/threshing (Threshing), lalu klik salah satu baris tabel untuk record itu.
3. Baca baris Checked By dan Acknowledged By.</t>
        </is>
      </c>
      <c r="K681" s="5" t="inlineStr">
        <is>
          <t>- Keduanya tampil sebagai tanda pisah "—" atau keterangan "belum diverifikasi".
- BUKAN kosong tanpa label — kosong tanpa label tidak dapat dibedakan dari kolom yang gagal dimuat.
- BUKAN angka 0, BUKAN kata "null".</t>
        </is>
      </c>
      <c r="L681" s="22" t="inlineStr">
        <is>
          <t>Sedang</t>
        </is>
      </c>
      <c r="M681" s="5" t="inlineStr"/>
      <c r="N681" s="17" t="n"/>
      <c r="O681" s="17" t="n"/>
      <c r="P681" s="17" t="n"/>
      <c r="Q681" s="17" t="n"/>
      <c r="R681" s="17" t="n"/>
    </row>
    <row r="682" ht="96.39999999999999" customHeight="1">
      <c r="A682" s="18" t="n">
        <v>678</v>
      </c>
      <c r="B682" s="18" t="n">
        <v>3</v>
      </c>
      <c r="C682" s="19" t="inlineStr">
        <is>
          <t>WB-DTL-02 / Pressing</t>
        </is>
      </c>
      <c r="D682" s="19" t="inlineStr">
        <is>
          <t>WB-DTL-02</t>
        </is>
      </c>
      <c r="E682" s="20" t="inlineStr">
        <is>
          <t>Pressing</t>
        </is>
      </c>
      <c r="F682" s="21" t="inlineStr">
        <is>
          <t>Web — Data Stasiun (WB-)</t>
        </is>
      </c>
      <c r="G682" s="20" t="inlineStr">
        <is>
          <t>Verifikasi yang kosong ditampilkan sebagai tanda pisah</t>
        </is>
      </c>
      <c r="H682" s="21" t="inlineStr">
        <is>
          <t>SPV-A</t>
        </is>
      </c>
      <c r="I682" s="21" t="inlineStr">
        <is>
          <t>record yang belum diverifikasi siapa pun</t>
        </is>
      </c>
      <c r="J682" s="21" t="inlineStr">
        <is>
          <t>1. Siapkan satu record yang belum diverifikasi siapa pun.
2. Login di web, buka /data/pressing (Pressing), lalu klik salah satu baris tabel untuk record itu.
3. Baca baris Checked By dan Acknowledged By.</t>
        </is>
      </c>
      <c r="K682" s="21" t="inlineStr">
        <is>
          <t>- Keduanya tampil sebagai tanda pisah "—" atau keterangan "belum diverifikasi".
- BUKAN kosong tanpa label — kosong tanpa label tidak dapat dibedakan dari kolom yang gagal dimuat.
- BUKAN angka 0, BUKAN kata "null".</t>
        </is>
      </c>
      <c r="L682" s="18" t="inlineStr">
        <is>
          <t>Sedang</t>
        </is>
      </c>
      <c r="M682" s="21" t="inlineStr"/>
      <c r="N682" s="17" t="n"/>
      <c r="O682" s="17" t="n"/>
      <c r="P682" s="17" t="n"/>
      <c r="Q682" s="17" t="n"/>
      <c r="R682" s="17" t="n"/>
    </row>
    <row r="683" ht="96.39999999999999" customHeight="1">
      <c r="A683" s="22" t="n">
        <v>679</v>
      </c>
      <c r="B683" s="22" t="n">
        <v>3</v>
      </c>
      <c r="C683" s="23" t="inlineStr">
        <is>
          <t>WB-DTL-02 / Clarification</t>
        </is>
      </c>
      <c r="D683" s="23" t="inlineStr">
        <is>
          <t>WB-DTL-02</t>
        </is>
      </c>
      <c r="E683" s="24" t="inlineStr">
        <is>
          <t>Clarification</t>
        </is>
      </c>
      <c r="F683" s="5" t="inlineStr">
        <is>
          <t>Web — Data Stasiun (WB-)</t>
        </is>
      </c>
      <c r="G683" s="24" t="inlineStr">
        <is>
          <t>Verifikasi yang kosong ditampilkan sebagai tanda pisah</t>
        </is>
      </c>
      <c r="H683" s="5" t="inlineStr">
        <is>
          <t>SPV-A</t>
        </is>
      </c>
      <c r="I683" s="5" t="inlineStr">
        <is>
          <t>record yang belum diverifikasi siapa pun</t>
        </is>
      </c>
      <c r="J683" s="5" t="inlineStr">
        <is>
          <t>1. Siapkan satu record yang belum diverifikasi siapa pun.
2. Login di web, buka /data/clarification (Clarification), lalu klik salah satu baris tabel untuk record itu.
3. Baca baris Checked By dan Acknowledged By.</t>
        </is>
      </c>
      <c r="K683" s="5" t="inlineStr">
        <is>
          <t>- Keduanya tampil sebagai tanda pisah "—" atau keterangan "belum diverifikasi".
- BUKAN kosong tanpa label — kosong tanpa label tidak dapat dibedakan dari kolom yang gagal dimuat.
- BUKAN angka 0, BUKAN kata "null".</t>
        </is>
      </c>
      <c r="L683" s="22" t="inlineStr">
        <is>
          <t>Sedang</t>
        </is>
      </c>
      <c r="M683" s="5" t="inlineStr"/>
      <c r="N683" s="17" t="n"/>
      <c r="O683" s="17" t="n"/>
      <c r="P683" s="17" t="n"/>
      <c r="Q683" s="17" t="n"/>
      <c r="R683" s="17" t="n"/>
    </row>
    <row r="684" ht="96.39999999999999" customHeight="1">
      <c r="A684" s="18" t="n">
        <v>680</v>
      </c>
      <c r="B684" s="18" t="n">
        <v>3</v>
      </c>
      <c r="C684" s="19" t="inlineStr">
        <is>
          <t>WB-DTL-02 / Kernel Plant</t>
        </is>
      </c>
      <c r="D684" s="19" t="inlineStr">
        <is>
          <t>WB-DTL-02</t>
        </is>
      </c>
      <c r="E684" s="20" t="inlineStr">
        <is>
          <t>Kernel Plant</t>
        </is>
      </c>
      <c r="F684" s="21" t="inlineStr">
        <is>
          <t>Web — Data Stasiun (WB-)</t>
        </is>
      </c>
      <c r="G684" s="20" t="inlineStr">
        <is>
          <t>Verifikasi yang kosong ditampilkan sebagai tanda pisah</t>
        </is>
      </c>
      <c r="H684" s="21" t="inlineStr">
        <is>
          <t>SPV-A</t>
        </is>
      </c>
      <c r="I684" s="21" t="inlineStr">
        <is>
          <t>record yang belum diverifikasi siapa pun</t>
        </is>
      </c>
      <c r="J684" s="21" t="inlineStr">
        <is>
          <t>1. Siapkan satu record yang belum diverifikasi siapa pun.
2. Login di web, buka /data/kernel-plant (Kernel Plant), lalu klik salah satu baris tabel untuk record itu.
3. Baca baris Checked By dan Acknowledged By.</t>
        </is>
      </c>
      <c r="K684" s="21" t="inlineStr">
        <is>
          <t>- Keduanya tampil sebagai tanda pisah "—" atau keterangan "belum diverifikasi".
- BUKAN kosong tanpa label — kosong tanpa label tidak dapat dibedakan dari kolom yang gagal dimuat.
- BUKAN angka 0, BUKAN kata "null".</t>
        </is>
      </c>
      <c r="L684" s="18" t="inlineStr">
        <is>
          <t>Sedang</t>
        </is>
      </c>
      <c r="M684" s="21" t="inlineStr"/>
      <c r="N684" s="17" t="n"/>
      <c r="O684" s="17" t="n"/>
      <c r="P684" s="17" t="n"/>
      <c r="Q684" s="17" t="n"/>
      <c r="R684" s="17" t="n"/>
    </row>
    <row r="685" ht="96.39999999999999" customHeight="1">
      <c r="A685" s="22" t="n">
        <v>681</v>
      </c>
      <c r="B685" s="22" t="n">
        <v>3</v>
      </c>
      <c r="C685" s="23" t="inlineStr">
        <is>
          <t>WB-DTL-02 / Boiler Room</t>
        </is>
      </c>
      <c r="D685" s="23" t="inlineStr">
        <is>
          <t>WB-DTL-02</t>
        </is>
      </c>
      <c r="E685" s="24" t="inlineStr">
        <is>
          <t>Boiler Room</t>
        </is>
      </c>
      <c r="F685" s="5" t="inlineStr">
        <is>
          <t>Web — Data Stasiun (WB-)</t>
        </is>
      </c>
      <c r="G685" s="24" t="inlineStr">
        <is>
          <t>Verifikasi yang kosong ditampilkan sebagai tanda pisah</t>
        </is>
      </c>
      <c r="H685" s="5" t="inlineStr">
        <is>
          <t>SPV-A</t>
        </is>
      </c>
      <c r="I685" s="5" t="inlineStr">
        <is>
          <t>record yang belum diverifikasi siapa pun</t>
        </is>
      </c>
      <c r="J685" s="5" t="inlineStr">
        <is>
          <t>1. Siapkan satu record yang belum diverifikasi siapa pun.
2. Login di web, buka /data/boiler-room (Boiler Room), lalu klik salah satu baris tabel untuk record itu.
3. Baca baris Checked By dan Acknowledged By.</t>
        </is>
      </c>
      <c r="K685" s="5" t="inlineStr">
        <is>
          <t>- Keduanya tampil sebagai tanda pisah "—" atau keterangan "belum diverifikasi".
- BUKAN kosong tanpa label — kosong tanpa label tidak dapat dibedakan dari kolom yang gagal dimuat.
- BUKAN angka 0, BUKAN kata "null".</t>
        </is>
      </c>
      <c r="L685" s="22" t="inlineStr">
        <is>
          <t>Sedang</t>
        </is>
      </c>
      <c r="M685" s="5" t="inlineStr"/>
      <c r="N685" s="17" t="n"/>
      <c r="O685" s="17" t="n"/>
      <c r="P685" s="17" t="n"/>
      <c r="Q685" s="17" t="n"/>
      <c r="R685" s="17" t="n"/>
    </row>
    <row r="686" ht="96.39999999999999" customHeight="1">
      <c r="A686" s="18" t="n">
        <v>682</v>
      </c>
      <c r="B686" s="18" t="n">
        <v>3</v>
      </c>
      <c r="C686" s="19" t="inlineStr">
        <is>
          <t>WB-DTL-02 / Effluent Plant</t>
        </is>
      </c>
      <c r="D686" s="19" t="inlineStr">
        <is>
          <t>WB-DTL-02</t>
        </is>
      </c>
      <c r="E686" s="20" t="inlineStr">
        <is>
          <t>Effluent Plant</t>
        </is>
      </c>
      <c r="F686" s="21" t="inlineStr">
        <is>
          <t>Web — Data Stasiun (WB-)</t>
        </is>
      </c>
      <c r="G686" s="20" t="inlineStr">
        <is>
          <t>Verifikasi yang kosong ditampilkan sebagai tanda pisah</t>
        </is>
      </c>
      <c r="H686" s="21" t="inlineStr">
        <is>
          <t>SPV-A</t>
        </is>
      </c>
      <c r="I686" s="21" t="inlineStr">
        <is>
          <t>record yang belum diverifikasi siapa pun</t>
        </is>
      </c>
      <c r="J686" s="21" t="inlineStr">
        <is>
          <t>1. Siapkan satu record yang belum diverifikasi siapa pun.
2. Login di web, buka /data/effluent-plant (Effluent Plant), lalu klik salah satu baris tabel untuk record itu.
3. Baca baris Checked By dan Acknowledged By.</t>
        </is>
      </c>
      <c r="K686" s="21" t="inlineStr">
        <is>
          <t>- Keduanya tampil sebagai tanda pisah "—" atau keterangan "belum diverifikasi".
- BUKAN kosong tanpa label — kosong tanpa label tidak dapat dibedakan dari kolom yang gagal dimuat.
- BUKAN angka 0, BUKAN kata "null".</t>
        </is>
      </c>
      <c r="L686" s="18" t="inlineStr">
        <is>
          <t>Sedang</t>
        </is>
      </c>
      <c r="M686" s="21" t="inlineStr"/>
      <c r="N686" s="17" t="n"/>
      <c r="O686" s="17" t="n"/>
      <c r="P686" s="17" t="n"/>
      <c r="Q686" s="17" t="n"/>
      <c r="R686" s="17" t="n"/>
    </row>
    <row r="687" ht="96.39999999999999" customHeight="1">
      <c r="A687" s="11" t="n">
        <v>683</v>
      </c>
      <c r="B687" s="12" t="n">
        <v>1</v>
      </c>
      <c r="C687" s="13" t="inlineStr">
        <is>
          <t>WB-DTL-02 / Depricarping</t>
        </is>
      </c>
      <c r="D687" s="13" t="inlineStr">
        <is>
          <t>WB-DTL-02</t>
        </is>
      </c>
      <c r="E687" s="15" t="inlineStr">
        <is>
          <t>Depricarping</t>
        </is>
      </c>
      <c r="F687" s="14" t="inlineStr">
        <is>
          <t>Web — Data Stasiun (WB-)</t>
        </is>
      </c>
      <c r="G687" s="15" t="inlineStr">
        <is>
          <t>Verifikasi yang kosong ditampilkan sebagai tanda pisah</t>
        </is>
      </c>
      <c r="H687" s="14" t="inlineStr">
        <is>
          <t>SPV-A</t>
        </is>
      </c>
      <c r="I687" s="14" t="inlineStr">
        <is>
          <t>record yang belum diverifikasi siapa pun</t>
        </is>
      </c>
      <c r="J687" s="14" t="inlineStr">
        <is>
          <t>1. Siapkan satu record yang belum diverifikasi siapa pun.
2. Login di web, buka /data/depricarping (Depricarping), lalu klik salah satu baris tabel untuk record itu.
3. Baca baris Checked By dan Acknowledged By.</t>
        </is>
      </c>
      <c r="K687" s="14" t="inlineStr">
        <is>
          <t>- Keduanya tampil sebagai tanda pisah "—" atau keterangan "belum diverifikasi".
- BUKAN kosong tanpa label — kosong tanpa label tidak dapat dibedakan dari kolom yang gagal dimuat.
- BUKAN angka 0, BUKAN kata "null".</t>
        </is>
      </c>
      <c r="L687" s="11" t="inlineStr">
        <is>
          <t>Sedang</t>
        </is>
      </c>
      <c r="M687" s="14" t="inlineStr"/>
      <c r="N687" s="17" t="n"/>
      <c r="O687" s="17" t="n"/>
      <c r="P687" s="17" t="n"/>
      <c r="Q687" s="17" t="n"/>
      <c r="R687" s="17" t="n"/>
    </row>
    <row r="688" ht="96.39999999999999" customHeight="1">
      <c r="A688" s="18" t="n">
        <v>684</v>
      </c>
      <c r="B688" s="18" t="n">
        <v>3</v>
      </c>
      <c r="C688" s="19" t="inlineStr">
        <is>
          <t>WB-DTL-02 / Engine Room</t>
        </is>
      </c>
      <c r="D688" s="19" t="inlineStr">
        <is>
          <t>WB-DTL-02</t>
        </is>
      </c>
      <c r="E688" s="20" t="inlineStr">
        <is>
          <t>Engine Room</t>
        </is>
      </c>
      <c r="F688" s="21" t="inlineStr">
        <is>
          <t>Web — Data Stasiun (WB-)</t>
        </is>
      </c>
      <c r="G688" s="20" t="inlineStr">
        <is>
          <t>Verifikasi yang kosong ditampilkan sebagai tanda pisah</t>
        </is>
      </c>
      <c r="H688" s="21" t="inlineStr">
        <is>
          <t>SPV-A</t>
        </is>
      </c>
      <c r="I688" s="21" t="inlineStr">
        <is>
          <t>record yang belum diverifikasi siapa pun</t>
        </is>
      </c>
      <c r="J688" s="21" t="inlineStr">
        <is>
          <t>1. Siapkan satu record yang belum diverifikasi siapa pun.
2. Login di web, buka /data/engine-room (Engine Room), lalu klik salah satu baris tabel untuk record itu.
3. Baca baris Checked By dan Acknowledged By.</t>
        </is>
      </c>
      <c r="K688" s="21" t="inlineStr">
        <is>
          <t>- Keduanya tampil sebagai tanda pisah "—" atau keterangan "belum diverifikasi".
- BUKAN kosong tanpa label — kosong tanpa label tidak dapat dibedakan dari kolom yang gagal dimuat.
- BUKAN angka 0, BUKAN kata "null".</t>
        </is>
      </c>
      <c r="L688" s="18" t="inlineStr">
        <is>
          <t>Sedang</t>
        </is>
      </c>
      <c r="M688" s="21" t="inlineStr"/>
      <c r="N688" s="17" t="n"/>
      <c r="O688" s="17" t="n"/>
      <c r="P688" s="17" t="n"/>
      <c r="Q688" s="17" t="n"/>
      <c r="R688" s="17" t="n"/>
    </row>
    <row r="689" ht="96.39999999999999" customHeight="1">
      <c r="A689" s="22" t="n">
        <v>685</v>
      </c>
      <c r="B689" s="22" t="n">
        <v>3</v>
      </c>
      <c r="C689" s="23" t="inlineStr">
        <is>
          <t>WB-DTL-02 / Process Water</t>
        </is>
      </c>
      <c r="D689" s="23" t="inlineStr">
        <is>
          <t>WB-DTL-02</t>
        </is>
      </c>
      <c r="E689" s="24" t="inlineStr">
        <is>
          <t>Process Water</t>
        </is>
      </c>
      <c r="F689" s="5" t="inlineStr">
        <is>
          <t>Web — Data Stasiun (WB-)</t>
        </is>
      </c>
      <c r="G689" s="24" t="inlineStr">
        <is>
          <t>Verifikasi yang kosong ditampilkan sebagai tanda pisah</t>
        </is>
      </c>
      <c r="H689" s="5" t="inlineStr">
        <is>
          <t>SPV-A</t>
        </is>
      </c>
      <c r="I689" s="5" t="inlineStr">
        <is>
          <t>record yang belum diverifikasi siapa pun</t>
        </is>
      </c>
      <c r="J689" s="5" t="inlineStr">
        <is>
          <t>1. Siapkan satu record yang belum diverifikasi siapa pun.
2. Login di web, buka /data/process-water (Process Water), lalu klik salah satu baris tabel untuk record itu.
3. Baca baris Checked By dan Acknowledged By.</t>
        </is>
      </c>
      <c r="K689" s="5" t="inlineStr">
        <is>
          <t>- Keduanya tampil sebagai tanda pisah "—" atau keterangan "belum diverifikasi".
- BUKAN kosong tanpa label — kosong tanpa label tidak dapat dibedakan dari kolom yang gagal dimuat.
- BUKAN angka 0, BUKAN kata "null".</t>
        </is>
      </c>
      <c r="L689" s="22" t="inlineStr">
        <is>
          <t>Sedang</t>
        </is>
      </c>
      <c r="M689" s="5" t="inlineStr"/>
      <c r="N689" s="17" t="n"/>
      <c r="O689" s="17" t="n"/>
      <c r="P689" s="17" t="n"/>
      <c r="Q689" s="17" t="n"/>
      <c r="R689" s="17" t="n"/>
    </row>
    <row r="690" ht="96.39999999999999" customHeight="1">
      <c r="A690" s="18" t="n">
        <v>686</v>
      </c>
      <c r="B690" s="18" t="n">
        <v>3</v>
      </c>
      <c r="C690" s="19" t="inlineStr">
        <is>
          <t>WB-DTL-02 / Storage Tank</t>
        </is>
      </c>
      <c r="D690" s="19" t="inlineStr">
        <is>
          <t>WB-DTL-02</t>
        </is>
      </c>
      <c r="E690" s="20" t="inlineStr">
        <is>
          <t>Storage Tank</t>
        </is>
      </c>
      <c r="F690" s="21" t="inlineStr">
        <is>
          <t>Web — Data Stasiun (WB-)</t>
        </is>
      </c>
      <c r="G690" s="20" t="inlineStr">
        <is>
          <t>Verifikasi yang kosong ditampilkan sebagai tanda pisah</t>
        </is>
      </c>
      <c r="H690" s="21" t="inlineStr">
        <is>
          <t>SPV-A</t>
        </is>
      </c>
      <c r="I690" s="21" t="inlineStr">
        <is>
          <t>record yang belum diverifikasi siapa pun</t>
        </is>
      </c>
      <c r="J690" s="21" t="inlineStr">
        <is>
          <t>1. Siapkan satu record yang belum diverifikasi siapa pun.
2. Login di web, buka /data/storage-tank (Storage Tank), lalu klik salah satu baris tabel untuk record itu.
3. Baca baris Checked By dan Acknowledged By.</t>
        </is>
      </c>
      <c r="K690" s="21" t="inlineStr">
        <is>
          <t>- Keduanya tampil sebagai tanda pisah "—" atau keterangan "belum diverifikasi".
- BUKAN kosong tanpa label — kosong tanpa label tidak dapat dibedakan dari kolom yang gagal dimuat.
- BUKAN angka 0, BUKAN kata "null".</t>
        </is>
      </c>
      <c r="L690" s="18" t="inlineStr">
        <is>
          <t>Sedang</t>
        </is>
      </c>
      <c r="M690" s="21" t="inlineStr"/>
      <c r="N690" s="17" t="n"/>
      <c r="O690" s="17" t="n"/>
      <c r="P690" s="17" t="n"/>
      <c r="Q690" s="17" t="n"/>
      <c r="R690" s="17" t="n"/>
    </row>
    <row r="691" ht="96.39999999999999" customHeight="1">
      <c r="A691" s="22" t="n">
        <v>687</v>
      </c>
      <c r="B691" s="22" t="n">
        <v>3</v>
      </c>
      <c r="C691" s="23" t="inlineStr">
        <is>
          <t>WB-DTL-02 / Solid Waste Disposal</t>
        </is>
      </c>
      <c r="D691" s="23" t="inlineStr">
        <is>
          <t>WB-DTL-02</t>
        </is>
      </c>
      <c r="E691" s="24" t="inlineStr">
        <is>
          <t>Solid Waste Disposal</t>
        </is>
      </c>
      <c r="F691" s="5" t="inlineStr">
        <is>
          <t>Web — Data Stasiun (WB-)</t>
        </is>
      </c>
      <c r="G691" s="24" t="inlineStr">
        <is>
          <t>Verifikasi yang kosong ditampilkan sebagai tanda pisah</t>
        </is>
      </c>
      <c r="H691" s="5" t="inlineStr">
        <is>
          <t>SPV-A</t>
        </is>
      </c>
      <c r="I691" s="5" t="inlineStr">
        <is>
          <t>record yang belum diverifikasi siapa pun</t>
        </is>
      </c>
      <c r="J691" s="5" t="inlineStr">
        <is>
          <t>1. Siapkan satu record yang belum diverifikasi siapa pun.
2. Login di web, buka /data/solid-waste-disposal (Solid Waste Disposal), lalu klik salah satu baris tabel untuk record itu.
3. Baca baris Checked By dan Acknowledged By.</t>
        </is>
      </c>
      <c r="K691" s="5" t="inlineStr">
        <is>
          <t>- Keduanya tampil sebagai tanda pisah "—" atau keterangan "belum diverifikasi".
- BUKAN kosong tanpa label — kosong tanpa label tidak dapat dibedakan dari kolom yang gagal dimuat.
- BUKAN angka 0, BUKAN kata "null".</t>
        </is>
      </c>
      <c r="L691" s="22" t="inlineStr">
        <is>
          <t>Sedang</t>
        </is>
      </c>
      <c r="M691" s="5" t="inlineStr"/>
      <c r="N691" s="17" t="n"/>
      <c r="O691" s="17" t="n"/>
      <c r="P691" s="17" t="n"/>
      <c r="Q691" s="17" t="n"/>
      <c r="R691" s="17" t="n"/>
    </row>
    <row r="692" ht="96.39999999999999" customHeight="1">
      <c r="A692" s="18" t="n">
        <v>688</v>
      </c>
      <c r="B692" s="18" t="n">
        <v>3</v>
      </c>
      <c r="C692" s="19" t="inlineStr">
        <is>
          <t>WB-DTL-02 / Kernel Dispatch</t>
        </is>
      </c>
      <c r="D692" s="19" t="inlineStr">
        <is>
          <t>WB-DTL-02</t>
        </is>
      </c>
      <c r="E692" s="20" t="inlineStr">
        <is>
          <t>Kernel Dispatch</t>
        </is>
      </c>
      <c r="F692" s="21" t="inlineStr">
        <is>
          <t>Web — Data Stasiun (WB-)</t>
        </is>
      </c>
      <c r="G692" s="20" t="inlineStr">
        <is>
          <t>Verifikasi yang kosong ditampilkan sebagai tanda pisah</t>
        </is>
      </c>
      <c r="H692" s="21" t="inlineStr">
        <is>
          <t>SPV-A</t>
        </is>
      </c>
      <c r="I692" s="21" t="inlineStr">
        <is>
          <t>record yang belum diverifikasi siapa pun</t>
        </is>
      </c>
      <c r="J692" s="21" t="inlineStr">
        <is>
          <t>1. Siapkan satu record yang belum diverifikasi siapa pun.
2. Login di web, buka /data/kernel-dispatch (Kernel Dispatch), lalu klik salah satu baris tabel untuk record itu.
3. Baca baris Checked By dan Acknowledged By.</t>
        </is>
      </c>
      <c r="K692" s="21" t="inlineStr">
        <is>
          <t>- Keduanya tampil sebagai tanda pisah "—" atau keterangan "belum diverifikasi".
- BUKAN kosong tanpa label — kosong tanpa label tidak dapat dibedakan dari kolom yang gagal dimuat.
- BUKAN angka 0, BUKAN kata "null".</t>
        </is>
      </c>
      <c r="L692" s="18" t="inlineStr">
        <is>
          <t>Sedang</t>
        </is>
      </c>
      <c r="M692" s="21" t="inlineStr"/>
      <c r="N692" s="17" t="n"/>
      <c r="O692" s="17" t="n"/>
      <c r="P692" s="17" t="n"/>
      <c r="Q692" s="17" t="n"/>
      <c r="R692" s="17" t="n"/>
    </row>
    <row r="693" ht="96.39999999999999" customHeight="1">
      <c r="A693" s="22" t="n">
        <v>689</v>
      </c>
      <c r="B693" s="22" t="n">
        <v>3</v>
      </c>
      <c r="C693" s="23" t="inlineStr">
        <is>
          <t>WB-DTL-02 / CPO Dispatch</t>
        </is>
      </c>
      <c r="D693" s="23" t="inlineStr">
        <is>
          <t>WB-DTL-02</t>
        </is>
      </c>
      <c r="E693" s="24" t="inlineStr">
        <is>
          <t>CPO Dispatch</t>
        </is>
      </c>
      <c r="F693" s="5" t="inlineStr">
        <is>
          <t>Web — Data Stasiun (WB-)</t>
        </is>
      </c>
      <c r="G693" s="24" t="inlineStr">
        <is>
          <t>Verifikasi yang kosong ditampilkan sebagai tanda pisah</t>
        </is>
      </c>
      <c r="H693" s="5" t="inlineStr">
        <is>
          <t>SPV-A</t>
        </is>
      </c>
      <c r="I693" s="5" t="inlineStr">
        <is>
          <t>record yang belum diverifikasi siapa pun</t>
        </is>
      </c>
      <c r="J693" s="5" t="inlineStr">
        <is>
          <t>1. Siapkan satu record yang belum diverifikasi siapa pun.
2. Login di web, buka /data/cpo-dispatch (CPO Dispatch), lalu klik salah satu baris tabel untuk record itu.
3. Baca baris Checked By dan Acknowledged By.</t>
        </is>
      </c>
      <c r="K693" s="5" t="inlineStr">
        <is>
          <t>- Keduanya tampil sebagai tanda pisah "—" atau keterangan "belum diverifikasi".
- BUKAN kosong tanpa label — kosong tanpa label tidak dapat dibedakan dari kolom yang gagal dimuat.
- BUKAN angka 0, BUKAN kata "null".</t>
        </is>
      </c>
      <c r="L693" s="22" t="inlineStr">
        <is>
          <t>Sedang</t>
        </is>
      </c>
      <c r="M693" s="5" t="inlineStr"/>
      <c r="N693" s="17" t="n"/>
      <c r="O693" s="17" t="n"/>
      <c r="P693" s="17" t="n"/>
      <c r="Q693" s="17" t="n"/>
      <c r="R693" s="17" t="n"/>
    </row>
    <row r="694" ht="96.39999999999999" customHeight="1">
      <c r="A694" s="18" t="n">
        <v>690</v>
      </c>
      <c r="B694" s="18" t="n">
        <v>3</v>
      </c>
      <c r="C694" s="19" t="inlineStr">
        <is>
          <t>WB-DTL-02 / Process Quality Control</t>
        </is>
      </c>
      <c r="D694" s="19" t="inlineStr">
        <is>
          <t>WB-DTL-02</t>
        </is>
      </c>
      <c r="E694" s="20" t="inlineStr">
        <is>
          <t>Process Quality Control</t>
        </is>
      </c>
      <c r="F694" s="21" t="inlineStr">
        <is>
          <t>Web — Data Stasiun (WB-)</t>
        </is>
      </c>
      <c r="G694" s="20" t="inlineStr">
        <is>
          <t>Verifikasi yang kosong ditampilkan sebagai tanda pisah</t>
        </is>
      </c>
      <c r="H694" s="21" t="inlineStr">
        <is>
          <t>SPV-A</t>
        </is>
      </c>
      <c r="I694" s="21" t="inlineStr">
        <is>
          <t>record yang belum diverifikasi siapa pun</t>
        </is>
      </c>
      <c r="J694" s="21" t="inlineStr">
        <is>
          <t>1. Siapkan satu record yang belum diverifikasi siapa pun.
2. Login di web, buka /data/process-quality-control (Process Quality Control), lalu klik salah satu baris tabel untuk record itu.
3. Baca baris Checked By dan Acknowledged By.</t>
        </is>
      </c>
      <c r="K694" s="21" t="inlineStr">
        <is>
          <t>- Keduanya tampil sebagai tanda pisah "—" atau keterangan "belum diverifikasi".
- BUKAN kosong tanpa label — kosong tanpa label tidak dapat dibedakan dari kolom yang gagal dimuat.
- BUKAN angka 0, BUKAN kata "null".</t>
        </is>
      </c>
      <c r="L694" s="18" t="inlineStr">
        <is>
          <t>Sedang</t>
        </is>
      </c>
      <c r="M694" s="21" t="inlineStr"/>
      <c r="N694" s="17" t="n"/>
      <c r="O694" s="17" t="n"/>
      <c r="P694" s="17" t="n"/>
      <c r="Q694" s="17" t="n"/>
      <c r="R694" s="17" t="n"/>
    </row>
    <row r="695" ht="254.8" customHeight="1">
      <c r="A695" s="25" t="n">
        <v>691</v>
      </c>
      <c r="B695" s="26" t="n">
        <v>2</v>
      </c>
      <c r="C695" s="27" t="inlineStr">
        <is>
          <t>WB-DTL-03 / Weighbridge</t>
        </is>
      </c>
      <c r="D695" s="27" t="inlineStr">
        <is>
          <t>WB-DTL-03</t>
        </is>
      </c>
      <c r="E695" s="28" t="inlineStr">
        <is>
          <t>Weighbridge</t>
        </is>
      </c>
      <c r="F695" s="29" t="inlineStr">
        <is>
          <t>Web — Data Stasiun (WB-)</t>
        </is>
      </c>
      <c r="G695" s="28" t="inlineStr">
        <is>
          <t>Grid menampilkan persis baris tersimpan</t>
        </is>
      </c>
      <c r="H695" s="29" t="inlineStr">
        <is>
          <t>SPV-A</t>
        </is>
      </c>
      <c r="I695" s="29" t="inlineStr">
        <is>
          <t>record dengan 3 baris terisi</t>
        </is>
      </c>
      <c r="J695" s="29" t="inlineStr">
        <is>
          <t>1. Siapkan satu record dengan tepat 3 baris terisi.
2. Login di web, buka /data/weighbridge (Weighbridge), lalu klik salah satu baris tabel untuk record itu.
3. Hitung jumlah baris pada grid.
4. Cocokkan slot waktu dan nilai tiap baris dengan yang disimpan.</t>
        </is>
      </c>
      <c r="K695" s="29" t="inlineStr">
        <is>
          <t>- Grid menampilkan tepat 3 baris.
- Tidak digambar 24 baris dengan 21 di antaranya kosong.
- Slot waktu dan nilainya cocok.</t>
        </is>
      </c>
      <c r="L695" s="16" t="inlineStr">
        <is>
          <t>Tinggi</t>
        </is>
      </c>
      <c r="M695"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695" s="17" t="n"/>
      <c r="O695" s="17" t="n"/>
      <c r="P695" s="17" t="n"/>
      <c r="Q695" s="17" t="n"/>
      <c r="R695" s="17" t="n"/>
    </row>
    <row r="696" ht="254.8" customHeight="1">
      <c r="A696" s="25" t="n">
        <v>692</v>
      </c>
      <c r="B696" s="26" t="n">
        <v>2</v>
      </c>
      <c r="C696" s="27" t="inlineStr">
        <is>
          <t>WB-DTL-03 / Grading</t>
        </is>
      </c>
      <c r="D696" s="27" t="inlineStr">
        <is>
          <t>WB-DTL-03</t>
        </is>
      </c>
      <c r="E696" s="28" t="inlineStr">
        <is>
          <t>Grading</t>
        </is>
      </c>
      <c r="F696" s="29" t="inlineStr">
        <is>
          <t>Web — Data Stasiun (WB-)</t>
        </is>
      </c>
      <c r="G696" s="28" t="inlineStr">
        <is>
          <t>Grid menampilkan persis baris tersimpan</t>
        </is>
      </c>
      <c r="H696" s="29" t="inlineStr">
        <is>
          <t>SPV-A</t>
        </is>
      </c>
      <c r="I696" s="29" t="inlineStr">
        <is>
          <t>record dengan 3 baris terisi</t>
        </is>
      </c>
      <c r="J696" s="29" t="inlineStr">
        <is>
          <t>1. Siapkan satu record dengan tepat 3 baris terisi.
2. Login di web, buka /data/grading (Grading), lalu klik salah satu baris tabel untuk record itu.
3. Hitung jumlah baris pada grid.
4. Cocokkan slot waktu dan nilai tiap baris dengan yang disimpan.</t>
        </is>
      </c>
      <c r="K696" s="29" t="inlineStr">
        <is>
          <t>- Grid menampilkan tepat 3 baris.
- Tidak digambar 24 baris dengan 21 di antaranya kosong.
- Slot waktu dan nilainya cocok.</t>
        </is>
      </c>
      <c r="L696" s="16" t="inlineStr">
        <is>
          <t>Tinggi</t>
        </is>
      </c>
      <c r="M696"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696" s="17" t="n"/>
      <c r="O696" s="17" t="n"/>
      <c r="P696" s="17" t="n"/>
      <c r="Q696" s="17" t="n"/>
      <c r="R696" s="17" t="n"/>
    </row>
    <row r="697" ht="254.8" customHeight="1">
      <c r="A697" s="25" t="n">
        <v>693</v>
      </c>
      <c r="B697" s="26" t="n">
        <v>2</v>
      </c>
      <c r="C697" s="27" t="inlineStr">
        <is>
          <t>WB-DTL-03 / Cages Track</t>
        </is>
      </c>
      <c r="D697" s="27" t="inlineStr">
        <is>
          <t>WB-DTL-03</t>
        </is>
      </c>
      <c r="E697" s="28" t="inlineStr">
        <is>
          <t>Cages Track</t>
        </is>
      </c>
      <c r="F697" s="29" t="inlineStr">
        <is>
          <t>Web — Data Stasiun (WB-)</t>
        </is>
      </c>
      <c r="G697" s="28" t="inlineStr">
        <is>
          <t>Grid menampilkan persis baris tersimpan</t>
        </is>
      </c>
      <c r="H697" s="29" t="inlineStr">
        <is>
          <t>SPV-A</t>
        </is>
      </c>
      <c r="I697" s="29" t="inlineStr">
        <is>
          <t>record dengan 3 baris terisi</t>
        </is>
      </c>
      <c r="J697" s="29" t="inlineStr">
        <is>
          <t>1. Siapkan satu record dengan tepat 3 baris terisi.
2. Login di web, buka /data/cages-track (Cages Track), lalu klik salah satu baris tabel untuk record itu.
3. Hitung jumlah baris pada grid.
4. Cocokkan slot waktu dan nilai tiap baris dengan yang disimpan.</t>
        </is>
      </c>
      <c r="K697" s="29" t="inlineStr">
        <is>
          <t>- Grid menampilkan tepat 3 baris.
- Tidak digambar 24 baris dengan 21 di antaranya kosong.
- Slot waktu dan nilainya cocok.</t>
        </is>
      </c>
      <c r="L697" s="16" t="inlineStr">
        <is>
          <t>Tinggi</t>
        </is>
      </c>
      <c r="M697"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697" s="17" t="n"/>
      <c r="O697" s="17" t="n"/>
      <c r="P697" s="17" t="n"/>
      <c r="Q697" s="17" t="n"/>
      <c r="R697" s="17" t="n"/>
    </row>
    <row r="698" ht="254.8" customHeight="1">
      <c r="A698" s="25" t="n">
        <v>694</v>
      </c>
      <c r="B698" s="26" t="n">
        <v>2</v>
      </c>
      <c r="C698" s="27" t="inlineStr">
        <is>
          <t>WB-DTL-03 / Sterilizer</t>
        </is>
      </c>
      <c r="D698" s="27" t="inlineStr">
        <is>
          <t>WB-DTL-03</t>
        </is>
      </c>
      <c r="E698" s="28" t="inlineStr">
        <is>
          <t>Sterilizer</t>
        </is>
      </c>
      <c r="F698" s="29" t="inlineStr">
        <is>
          <t>Web — Data Stasiun (WB-)</t>
        </is>
      </c>
      <c r="G698" s="28" t="inlineStr">
        <is>
          <t>Grid menampilkan persis baris tersimpan</t>
        </is>
      </c>
      <c r="H698" s="29" t="inlineStr">
        <is>
          <t>SPV-A</t>
        </is>
      </c>
      <c r="I698" s="29" t="inlineStr">
        <is>
          <t>record dengan 3 baris terisi</t>
        </is>
      </c>
      <c r="J698" s="29" t="inlineStr">
        <is>
          <t>1. Siapkan satu record dengan tepat 3 baris terisi.
2. Login di web, buka /data/sterilizer (Sterilizer), lalu klik salah satu baris tabel untuk record itu.
3. Hitung jumlah baris pada grid.
4. Cocokkan slot waktu dan nilai tiap baris dengan yang disimpan.</t>
        </is>
      </c>
      <c r="K698" s="29" t="inlineStr">
        <is>
          <t>- Grid menampilkan tepat 3 baris.
- Tidak digambar 24 baris dengan 21 di antaranya kosong.
- Slot waktu dan nilainya cocok.</t>
        </is>
      </c>
      <c r="L698" s="16" t="inlineStr">
        <is>
          <t>Tinggi</t>
        </is>
      </c>
      <c r="M698"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698" s="17" t="n"/>
      <c r="O698" s="17" t="n"/>
      <c r="P698" s="17" t="n"/>
      <c r="Q698" s="17" t="n"/>
      <c r="R698" s="17" t="n"/>
    </row>
    <row r="699" ht="254.8" customHeight="1">
      <c r="A699" s="25" t="n">
        <v>695</v>
      </c>
      <c r="B699" s="26" t="n">
        <v>2</v>
      </c>
      <c r="C699" s="27" t="inlineStr">
        <is>
          <t>WB-DTL-03 / Threshing</t>
        </is>
      </c>
      <c r="D699" s="27" t="inlineStr">
        <is>
          <t>WB-DTL-03</t>
        </is>
      </c>
      <c r="E699" s="28" t="inlineStr">
        <is>
          <t>Threshing</t>
        </is>
      </c>
      <c r="F699" s="29" t="inlineStr">
        <is>
          <t>Web — Data Stasiun (WB-)</t>
        </is>
      </c>
      <c r="G699" s="28" t="inlineStr">
        <is>
          <t>Grid menampilkan persis baris tersimpan</t>
        </is>
      </c>
      <c r="H699" s="29" t="inlineStr">
        <is>
          <t>SPV-A</t>
        </is>
      </c>
      <c r="I699" s="29" t="inlineStr">
        <is>
          <t>record dengan 3 baris terisi</t>
        </is>
      </c>
      <c r="J699" s="29" t="inlineStr">
        <is>
          <t>1. Siapkan satu record dengan tepat 3 baris terisi.
2. Login di web, buka /data/threshing (Threshing), lalu klik salah satu baris tabel untuk record itu.
3. Hitung jumlah baris pada grid.
4. Cocokkan slot waktu dan nilai tiap baris dengan yang disimpan.</t>
        </is>
      </c>
      <c r="K699" s="29" t="inlineStr">
        <is>
          <t>- Grid menampilkan tepat 3 baris.
- Tidak digambar 24 baris dengan 21 di antaranya kosong.
- Slot waktu dan nilainya cocok.</t>
        </is>
      </c>
      <c r="L699" s="16" t="inlineStr">
        <is>
          <t>Tinggi</t>
        </is>
      </c>
      <c r="M699"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699" s="17" t="n"/>
      <c r="O699" s="17" t="n"/>
      <c r="P699" s="17" t="n"/>
      <c r="Q699" s="17" t="n"/>
      <c r="R699" s="17" t="n"/>
    </row>
    <row r="700" ht="254.8" customHeight="1">
      <c r="A700" s="25" t="n">
        <v>696</v>
      </c>
      <c r="B700" s="26" t="n">
        <v>2</v>
      </c>
      <c r="C700" s="27" t="inlineStr">
        <is>
          <t>WB-DTL-03 / Pressing</t>
        </is>
      </c>
      <c r="D700" s="27" t="inlineStr">
        <is>
          <t>WB-DTL-03</t>
        </is>
      </c>
      <c r="E700" s="28" t="inlineStr">
        <is>
          <t>Pressing</t>
        </is>
      </c>
      <c r="F700" s="29" t="inlineStr">
        <is>
          <t>Web — Data Stasiun (WB-)</t>
        </is>
      </c>
      <c r="G700" s="28" t="inlineStr">
        <is>
          <t>Grid menampilkan persis baris tersimpan</t>
        </is>
      </c>
      <c r="H700" s="29" t="inlineStr">
        <is>
          <t>SPV-A</t>
        </is>
      </c>
      <c r="I700" s="29" t="inlineStr">
        <is>
          <t>record dengan 3 baris terisi</t>
        </is>
      </c>
      <c r="J700" s="29" t="inlineStr">
        <is>
          <t>1. Siapkan satu record dengan tepat 3 baris terisi.
2. Login di web, buka /data/pressing (Pressing), lalu klik salah satu baris tabel untuk record itu.
3. Hitung jumlah baris pada grid.
4. Cocokkan slot waktu dan nilai tiap baris dengan yang disimpan.</t>
        </is>
      </c>
      <c r="K700" s="29" t="inlineStr">
        <is>
          <t>- Grid menampilkan tepat 3 baris.
- Tidak digambar 24 baris dengan 21 di antaranya kosong.
- Slot waktu dan nilainya cocok.</t>
        </is>
      </c>
      <c r="L700" s="16" t="inlineStr">
        <is>
          <t>Tinggi</t>
        </is>
      </c>
      <c r="M700"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00" s="17" t="n"/>
      <c r="O700" s="17" t="n"/>
      <c r="P700" s="17" t="n"/>
      <c r="Q700" s="17" t="n"/>
      <c r="R700" s="17" t="n"/>
    </row>
    <row r="701" ht="254.8" customHeight="1">
      <c r="A701" s="25" t="n">
        <v>697</v>
      </c>
      <c r="B701" s="26" t="n">
        <v>2</v>
      </c>
      <c r="C701" s="27" t="inlineStr">
        <is>
          <t>WB-DTL-03 / Clarification</t>
        </is>
      </c>
      <c r="D701" s="27" t="inlineStr">
        <is>
          <t>WB-DTL-03</t>
        </is>
      </c>
      <c r="E701" s="28" t="inlineStr">
        <is>
          <t>Clarification</t>
        </is>
      </c>
      <c r="F701" s="29" t="inlineStr">
        <is>
          <t>Web — Data Stasiun (WB-)</t>
        </is>
      </c>
      <c r="G701" s="28" t="inlineStr">
        <is>
          <t>Grid menampilkan persis baris tersimpan</t>
        </is>
      </c>
      <c r="H701" s="29" t="inlineStr">
        <is>
          <t>SPV-A</t>
        </is>
      </c>
      <c r="I701" s="29" t="inlineStr">
        <is>
          <t>record dengan 3 baris terisi</t>
        </is>
      </c>
      <c r="J701" s="29" t="inlineStr">
        <is>
          <t>1. Siapkan satu record dengan tepat 3 baris terisi.
2. Login di web, buka /data/clarification (Clarification), lalu klik salah satu baris tabel untuk record itu.
3. Hitung jumlah baris pada grid.
4. Cocokkan slot waktu dan nilai tiap baris dengan yang disimpan.</t>
        </is>
      </c>
      <c r="K701" s="29" t="inlineStr">
        <is>
          <t>- Grid menampilkan tepat 3 baris.
- Tidak digambar 24 baris dengan 21 di antaranya kosong.
- Slot waktu dan nilainya cocok.</t>
        </is>
      </c>
      <c r="L701" s="16" t="inlineStr">
        <is>
          <t>Tinggi</t>
        </is>
      </c>
      <c r="M701"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01" s="17" t="n"/>
      <c r="O701" s="17" t="n"/>
      <c r="P701" s="17" t="n"/>
      <c r="Q701" s="17" t="n"/>
      <c r="R701" s="17" t="n"/>
    </row>
    <row r="702" ht="254.8" customHeight="1">
      <c r="A702" s="25" t="n">
        <v>698</v>
      </c>
      <c r="B702" s="26" t="n">
        <v>2</v>
      </c>
      <c r="C702" s="27" t="inlineStr">
        <is>
          <t>WB-DTL-03 / Kernel Plant</t>
        </is>
      </c>
      <c r="D702" s="27" t="inlineStr">
        <is>
          <t>WB-DTL-03</t>
        </is>
      </c>
      <c r="E702" s="28" t="inlineStr">
        <is>
          <t>Kernel Plant</t>
        </is>
      </c>
      <c r="F702" s="29" t="inlineStr">
        <is>
          <t>Web — Data Stasiun (WB-)</t>
        </is>
      </c>
      <c r="G702" s="28" t="inlineStr">
        <is>
          <t>Grid menampilkan persis baris tersimpan</t>
        </is>
      </c>
      <c r="H702" s="29" t="inlineStr">
        <is>
          <t>SPV-A</t>
        </is>
      </c>
      <c r="I702" s="29" t="inlineStr">
        <is>
          <t>record dengan 3 baris terisi</t>
        </is>
      </c>
      <c r="J702" s="29" t="inlineStr">
        <is>
          <t>1. Siapkan satu record dengan tepat 3 baris terisi.
2. Login di web, buka /data/kernel-plant (Kernel Plant), lalu klik salah satu baris tabel untuk record itu.
3. Hitung jumlah baris pada grid.
4. Cocokkan slot waktu dan nilai tiap baris dengan yang disimpan.</t>
        </is>
      </c>
      <c r="K702" s="29" t="inlineStr">
        <is>
          <t>- Grid menampilkan tepat 3 baris.
- Tidak digambar 24 baris dengan 21 di antaranya kosong.
- Slot waktu dan nilainya cocok.</t>
        </is>
      </c>
      <c r="L702" s="16" t="inlineStr">
        <is>
          <t>Tinggi</t>
        </is>
      </c>
      <c r="M702"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02" s="17" t="n"/>
      <c r="O702" s="17" t="n"/>
      <c r="P702" s="17" t="n"/>
      <c r="Q702" s="17" t="n"/>
      <c r="R702" s="17" t="n"/>
    </row>
    <row r="703" ht="254.8" customHeight="1">
      <c r="A703" s="25" t="n">
        <v>699</v>
      </c>
      <c r="B703" s="26" t="n">
        <v>2</v>
      </c>
      <c r="C703" s="27" t="inlineStr">
        <is>
          <t>WB-DTL-03 / Boiler Room</t>
        </is>
      </c>
      <c r="D703" s="27" t="inlineStr">
        <is>
          <t>WB-DTL-03</t>
        </is>
      </c>
      <c r="E703" s="28" t="inlineStr">
        <is>
          <t>Boiler Room</t>
        </is>
      </c>
      <c r="F703" s="29" t="inlineStr">
        <is>
          <t>Web — Data Stasiun (WB-)</t>
        </is>
      </c>
      <c r="G703" s="28" t="inlineStr">
        <is>
          <t>Grid menampilkan persis baris tersimpan</t>
        </is>
      </c>
      <c r="H703" s="29" t="inlineStr">
        <is>
          <t>SPV-A</t>
        </is>
      </c>
      <c r="I703" s="29" t="inlineStr">
        <is>
          <t>record dengan 3 baris terisi</t>
        </is>
      </c>
      <c r="J703" s="29" t="inlineStr">
        <is>
          <t>1. Siapkan satu record dengan tepat 3 baris terisi.
2. Login di web, buka /data/boiler-room (Boiler Room), lalu klik salah satu baris tabel untuk record itu.
3. Hitung jumlah baris pada grid.
4. Cocokkan slot waktu dan nilai tiap baris dengan yang disimpan.</t>
        </is>
      </c>
      <c r="K703" s="29" t="inlineStr">
        <is>
          <t>- Grid menampilkan tepat 3 baris.
- Tidak digambar 24 baris dengan 21 di antaranya kosong.
- Slot waktu dan nilainya cocok.</t>
        </is>
      </c>
      <c r="L703" s="16" t="inlineStr">
        <is>
          <t>Tinggi</t>
        </is>
      </c>
      <c r="M703"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03" s="17" t="n"/>
      <c r="O703" s="17" t="n"/>
      <c r="P703" s="17" t="n"/>
      <c r="Q703" s="17" t="n"/>
      <c r="R703" s="17" t="n"/>
    </row>
    <row r="704" ht="254.8" customHeight="1">
      <c r="A704" s="25" t="n">
        <v>700</v>
      </c>
      <c r="B704" s="26" t="n">
        <v>2</v>
      </c>
      <c r="C704" s="27" t="inlineStr">
        <is>
          <t>WB-DTL-03 / Effluent Plant</t>
        </is>
      </c>
      <c r="D704" s="27" t="inlineStr">
        <is>
          <t>WB-DTL-03</t>
        </is>
      </c>
      <c r="E704" s="28" t="inlineStr">
        <is>
          <t>Effluent Plant</t>
        </is>
      </c>
      <c r="F704" s="29" t="inlineStr">
        <is>
          <t>Web — Data Stasiun (WB-)</t>
        </is>
      </c>
      <c r="G704" s="28" t="inlineStr">
        <is>
          <t>Grid menampilkan persis baris tersimpan</t>
        </is>
      </c>
      <c r="H704" s="29" t="inlineStr">
        <is>
          <t>SPV-A</t>
        </is>
      </c>
      <c r="I704" s="29" t="inlineStr">
        <is>
          <t>record dengan 3 baris terisi</t>
        </is>
      </c>
      <c r="J704" s="29" t="inlineStr">
        <is>
          <t>1. Siapkan satu record dengan tepat 3 baris terisi.
2. Login di web, buka /data/effluent-plant (Effluent Plant), lalu klik salah satu baris tabel untuk record itu.
3. Hitung jumlah baris pada grid.
4. Cocokkan slot waktu dan nilai tiap baris dengan yang disimpan.</t>
        </is>
      </c>
      <c r="K704" s="29" t="inlineStr">
        <is>
          <t>- Grid menampilkan tepat 3 baris.
- Tidak digambar 24 baris dengan 21 di antaranya kosong.
- Slot waktu dan nilainya cocok.</t>
        </is>
      </c>
      <c r="L704" s="16" t="inlineStr">
        <is>
          <t>Tinggi</t>
        </is>
      </c>
      <c r="M704"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04" s="17" t="n"/>
      <c r="O704" s="17" t="n"/>
      <c r="P704" s="17" t="n"/>
      <c r="Q704" s="17" t="n"/>
      <c r="R704" s="17" t="n"/>
    </row>
    <row r="705" ht="254.8" customHeight="1">
      <c r="A705" s="11" t="n">
        <v>701</v>
      </c>
      <c r="B705" s="12" t="n">
        <v>1</v>
      </c>
      <c r="C705" s="13" t="inlineStr">
        <is>
          <t>WB-DTL-03 / Depricarping</t>
        </is>
      </c>
      <c r="D705" s="13" t="inlineStr">
        <is>
          <t>WB-DTL-03</t>
        </is>
      </c>
      <c r="E705" s="15" t="inlineStr">
        <is>
          <t>Depricarping</t>
        </is>
      </c>
      <c r="F705" s="14" t="inlineStr">
        <is>
          <t>Web — Data Stasiun (WB-)</t>
        </is>
      </c>
      <c r="G705" s="15" t="inlineStr">
        <is>
          <t>Grid menampilkan persis baris tersimpan</t>
        </is>
      </c>
      <c r="H705" s="14" t="inlineStr">
        <is>
          <t>SPV-A</t>
        </is>
      </c>
      <c r="I705" s="14" t="inlineStr">
        <is>
          <t>record dengan 3 baris terisi</t>
        </is>
      </c>
      <c r="J705" s="14" t="inlineStr">
        <is>
          <t>1. Siapkan satu record dengan tepat 3 baris terisi.
2. Login di web, buka /data/depricarping (Depricarping), lalu klik salah satu baris tabel untuk record itu.
3. Hitung jumlah baris pada grid.
4. Cocokkan slot waktu dan nilai tiap baris dengan yang disimpan.</t>
        </is>
      </c>
      <c r="K705" s="14" t="inlineStr">
        <is>
          <t>- Grid menampilkan tepat 3 baris.
- Tidak digambar 24 baris dengan 21 di antaranya kosong.
- Slot waktu dan nilainya cocok.</t>
        </is>
      </c>
      <c r="L705" s="16" t="inlineStr">
        <is>
          <t>Tinggi</t>
        </is>
      </c>
      <c r="M705" s="14"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05" s="17" t="n"/>
      <c r="O705" s="17" t="n"/>
      <c r="P705" s="17" t="n"/>
      <c r="Q705" s="17" t="n"/>
      <c r="R705" s="17" t="n"/>
    </row>
    <row r="706" ht="254.8" customHeight="1">
      <c r="A706" s="25" t="n">
        <v>702</v>
      </c>
      <c r="B706" s="26" t="n">
        <v>2</v>
      </c>
      <c r="C706" s="27" t="inlineStr">
        <is>
          <t>WB-DTL-03 / Engine Room</t>
        </is>
      </c>
      <c r="D706" s="27" t="inlineStr">
        <is>
          <t>WB-DTL-03</t>
        </is>
      </c>
      <c r="E706" s="28" t="inlineStr">
        <is>
          <t>Engine Room</t>
        </is>
      </c>
      <c r="F706" s="29" t="inlineStr">
        <is>
          <t>Web — Data Stasiun (WB-)</t>
        </is>
      </c>
      <c r="G706" s="28" t="inlineStr">
        <is>
          <t>Grid menampilkan persis baris tersimpan</t>
        </is>
      </c>
      <c r="H706" s="29" t="inlineStr">
        <is>
          <t>SPV-A</t>
        </is>
      </c>
      <c r="I706" s="29" t="inlineStr">
        <is>
          <t>record dengan 3 baris terisi</t>
        </is>
      </c>
      <c r="J706" s="29" t="inlineStr">
        <is>
          <t>1. Siapkan satu record dengan tepat 3 baris terisi.
2. Login di web, buka /data/engine-room (Engine Room), lalu klik salah satu baris tabel untuk record itu.
3. Hitung jumlah baris pada grid.
4. Cocokkan slot waktu dan nilai tiap baris dengan yang disimpan.</t>
        </is>
      </c>
      <c r="K706" s="29" t="inlineStr">
        <is>
          <t>- Grid menampilkan tepat 3 baris.
- Tidak digambar 24 baris dengan 21 di antaranya kosong.
- Slot waktu dan nilainya cocok.</t>
        </is>
      </c>
      <c r="L706" s="16" t="inlineStr">
        <is>
          <t>Tinggi</t>
        </is>
      </c>
      <c r="M706"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06" s="17" t="n"/>
      <c r="O706" s="17" t="n"/>
      <c r="P706" s="17" t="n"/>
      <c r="Q706" s="17" t="n"/>
      <c r="R706" s="17" t="n"/>
    </row>
    <row r="707" ht="254.8" customHeight="1">
      <c r="A707" s="25" t="n">
        <v>703</v>
      </c>
      <c r="B707" s="26" t="n">
        <v>2</v>
      </c>
      <c r="C707" s="27" t="inlineStr">
        <is>
          <t>WB-DTL-03 / Process Water</t>
        </is>
      </c>
      <c r="D707" s="27" t="inlineStr">
        <is>
          <t>WB-DTL-03</t>
        </is>
      </c>
      <c r="E707" s="28" t="inlineStr">
        <is>
          <t>Process Water</t>
        </is>
      </c>
      <c r="F707" s="29" t="inlineStr">
        <is>
          <t>Web — Data Stasiun (WB-)</t>
        </is>
      </c>
      <c r="G707" s="28" t="inlineStr">
        <is>
          <t>Grid menampilkan persis baris tersimpan</t>
        </is>
      </c>
      <c r="H707" s="29" t="inlineStr">
        <is>
          <t>SPV-A</t>
        </is>
      </c>
      <c r="I707" s="29" t="inlineStr">
        <is>
          <t>record dengan 3 baris terisi</t>
        </is>
      </c>
      <c r="J707" s="29" t="inlineStr">
        <is>
          <t>1. Siapkan satu record dengan tepat 3 baris terisi.
2. Login di web, buka /data/process-water (Process Water), lalu klik salah satu baris tabel untuk record itu.
3. Hitung jumlah baris pada grid.
4. Cocokkan slot waktu dan nilai tiap baris dengan yang disimpan.</t>
        </is>
      </c>
      <c r="K707" s="29" t="inlineStr">
        <is>
          <t>- Grid menampilkan tepat 3 baris.
- Tidak digambar 24 baris dengan 21 di antaranya kosong.
- Slot waktu dan nilainya cocok.</t>
        </is>
      </c>
      <c r="L707" s="16" t="inlineStr">
        <is>
          <t>Tinggi</t>
        </is>
      </c>
      <c r="M707"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07" s="17" t="n"/>
      <c r="O707" s="17" t="n"/>
      <c r="P707" s="17" t="n"/>
      <c r="Q707" s="17" t="n"/>
      <c r="R707" s="17" t="n"/>
    </row>
    <row r="708" ht="254.8" customHeight="1">
      <c r="A708" s="25" t="n">
        <v>704</v>
      </c>
      <c r="B708" s="26" t="n">
        <v>2</v>
      </c>
      <c r="C708" s="27" t="inlineStr">
        <is>
          <t>WB-DTL-03 / Storage Tank</t>
        </is>
      </c>
      <c r="D708" s="27" t="inlineStr">
        <is>
          <t>WB-DTL-03</t>
        </is>
      </c>
      <c r="E708" s="28" t="inlineStr">
        <is>
          <t>Storage Tank</t>
        </is>
      </c>
      <c r="F708" s="29" t="inlineStr">
        <is>
          <t>Web — Data Stasiun (WB-)</t>
        </is>
      </c>
      <c r="G708" s="28" t="inlineStr">
        <is>
          <t>Grid menampilkan persis baris tersimpan</t>
        </is>
      </c>
      <c r="H708" s="29" t="inlineStr">
        <is>
          <t>SPV-A</t>
        </is>
      </c>
      <c r="I708" s="29" t="inlineStr">
        <is>
          <t>record dengan 3 baris terisi</t>
        </is>
      </c>
      <c r="J708" s="29" t="inlineStr">
        <is>
          <t>1. Siapkan satu record dengan tepat 3 baris terisi.
2. Login di web, buka /data/storage-tank (Storage Tank), lalu klik salah satu baris tabel untuk record itu.
3. Hitung jumlah baris pada grid.
4. Cocokkan slot waktu dan nilai tiap baris dengan yang disimpan.</t>
        </is>
      </c>
      <c r="K708" s="29" t="inlineStr">
        <is>
          <t>- Grid menampilkan tepat 3 baris.
- Tidak digambar 24 baris dengan 21 di antaranya kosong.
- Slot waktu dan nilainya cocok.</t>
        </is>
      </c>
      <c r="L708" s="16" t="inlineStr">
        <is>
          <t>Tinggi</t>
        </is>
      </c>
      <c r="M708"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08" s="17" t="n"/>
      <c r="O708" s="17" t="n"/>
      <c r="P708" s="17" t="n"/>
      <c r="Q708" s="17" t="n"/>
      <c r="R708" s="17" t="n"/>
    </row>
    <row r="709" ht="254.8" customHeight="1">
      <c r="A709" s="25" t="n">
        <v>705</v>
      </c>
      <c r="B709" s="26" t="n">
        <v>2</v>
      </c>
      <c r="C709" s="27" t="inlineStr">
        <is>
          <t>WB-DTL-03 / Solid Waste Disposal</t>
        </is>
      </c>
      <c r="D709" s="27" t="inlineStr">
        <is>
          <t>WB-DTL-03</t>
        </is>
      </c>
      <c r="E709" s="28" t="inlineStr">
        <is>
          <t>Solid Waste Disposal</t>
        </is>
      </c>
      <c r="F709" s="29" t="inlineStr">
        <is>
          <t>Web — Data Stasiun (WB-)</t>
        </is>
      </c>
      <c r="G709" s="28" t="inlineStr">
        <is>
          <t>Grid menampilkan persis baris tersimpan</t>
        </is>
      </c>
      <c r="H709" s="29" t="inlineStr">
        <is>
          <t>SPV-A</t>
        </is>
      </c>
      <c r="I709" s="29" t="inlineStr">
        <is>
          <t>record dengan 3 baris terisi</t>
        </is>
      </c>
      <c r="J709" s="29" t="inlineStr">
        <is>
          <t>1. Siapkan satu record dengan tepat 3 baris terisi.
2. Login di web, buka /data/solid-waste-disposal (Solid Waste Disposal), lalu klik salah satu baris tabel untuk record itu.
3. Hitung jumlah baris pada grid.
4. Cocokkan slot waktu dan nilai tiap baris dengan yang disimpan.</t>
        </is>
      </c>
      <c r="K709" s="29" t="inlineStr">
        <is>
          <t>- Grid menampilkan tepat 3 baris.
- Tidak digambar 24 baris dengan 21 di antaranya kosong.
- Slot waktu dan nilainya cocok.</t>
        </is>
      </c>
      <c r="L709" s="16" t="inlineStr">
        <is>
          <t>Tinggi</t>
        </is>
      </c>
      <c r="M709"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09" s="17" t="n"/>
      <c r="O709" s="17" t="n"/>
      <c r="P709" s="17" t="n"/>
      <c r="Q709" s="17" t="n"/>
      <c r="R709" s="17" t="n"/>
    </row>
    <row r="710" ht="254.8" customHeight="1">
      <c r="A710" s="25" t="n">
        <v>706</v>
      </c>
      <c r="B710" s="26" t="n">
        <v>2</v>
      </c>
      <c r="C710" s="27" t="inlineStr">
        <is>
          <t>WB-DTL-03 / Kernel Dispatch</t>
        </is>
      </c>
      <c r="D710" s="27" t="inlineStr">
        <is>
          <t>WB-DTL-03</t>
        </is>
      </c>
      <c r="E710" s="28" t="inlineStr">
        <is>
          <t>Kernel Dispatch</t>
        </is>
      </c>
      <c r="F710" s="29" t="inlineStr">
        <is>
          <t>Web — Data Stasiun (WB-)</t>
        </is>
      </c>
      <c r="G710" s="28" t="inlineStr">
        <is>
          <t>Grid menampilkan persis baris tersimpan</t>
        </is>
      </c>
      <c r="H710" s="29" t="inlineStr">
        <is>
          <t>SPV-A</t>
        </is>
      </c>
      <c r="I710" s="29" t="inlineStr">
        <is>
          <t>record dengan 3 baris terisi</t>
        </is>
      </c>
      <c r="J710" s="29" t="inlineStr">
        <is>
          <t>1. Siapkan satu record dengan tepat 3 baris terisi.
2. Login di web, buka /data/kernel-dispatch (Kernel Dispatch), lalu klik salah satu baris tabel untuk record itu.
3. Hitung jumlah baris pada grid.
4. Cocokkan slot waktu dan nilai tiap baris dengan yang disimpan.</t>
        </is>
      </c>
      <c r="K710" s="29" t="inlineStr">
        <is>
          <t>- Grid menampilkan tepat 3 baris.
- Tidak digambar 24 baris dengan 21 di antaranya kosong.
- Slot waktu dan nilainya cocok.</t>
        </is>
      </c>
      <c r="L710" s="16" t="inlineStr">
        <is>
          <t>Tinggi</t>
        </is>
      </c>
      <c r="M710"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10" s="17" t="n"/>
      <c r="O710" s="17" t="n"/>
      <c r="P710" s="17" t="n"/>
      <c r="Q710" s="17" t="n"/>
      <c r="R710" s="17" t="n"/>
    </row>
    <row r="711" ht="254.8" customHeight="1">
      <c r="A711" s="25" t="n">
        <v>707</v>
      </c>
      <c r="B711" s="26" t="n">
        <v>2</v>
      </c>
      <c r="C711" s="27" t="inlineStr">
        <is>
          <t>WB-DTL-03 / CPO Dispatch</t>
        </is>
      </c>
      <c r="D711" s="27" t="inlineStr">
        <is>
          <t>WB-DTL-03</t>
        </is>
      </c>
      <c r="E711" s="28" t="inlineStr">
        <is>
          <t>CPO Dispatch</t>
        </is>
      </c>
      <c r="F711" s="29" t="inlineStr">
        <is>
          <t>Web — Data Stasiun (WB-)</t>
        </is>
      </c>
      <c r="G711" s="28" t="inlineStr">
        <is>
          <t>Grid menampilkan persis baris tersimpan</t>
        </is>
      </c>
      <c r="H711" s="29" t="inlineStr">
        <is>
          <t>SPV-A</t>
        </is>
      </c>
      <c r="I711" s="29" t="inlineStr">
        <is>
          <t>record dengan 3 baris terisi</t>
        </is>
      </c>
      <c r="J711" s="29" t="inlineStr">
        <is>
          <t>1. Siapkan satu record dengan tepat 3 baris terisi.
2. Login di web, buka /data/cpo-dispatch (CPO Dispatch), lalu klik salah satu baris tabel untuk record itu.
3. Hitung jumlah baris pada grid.
4. Cocokkan slot waktu dan nilai tiap baris dengan yang disimpan.</t>
        </is>
      </c>
      <c r="K711" s="29" t="inlineStr">
        <is>
          <t>- Grid menampilkan tepat 3 baris.
- Tidak digambar 24 baris dengan 21 di antaranya kosong.
- Slot waktu dan nilainya cocok.</t>
        </is>
      </c>
      <c r="L711" s="16" t="inlineStr">
        <is>
          <t>Tinggi</t>
        </is>
      </c>
      <c r="M711"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11" s="17" t="n"/>
      <c r="O711" s="17" t="n"/>
      <c r="P711" s="17" t="n"/>
      <c r="Q711" s="17" t="n"/>
      <c r="R711" s="17" t="n"/>
    </row>
    <row r="712" ht="254.8" customHeight="1">
      <c r="A712" s="25" t="n">
        <v>708</v>
      </c>
      <c r="B712" s="26" t="n">
        <v>2</v>
      </c>
      <c r="C712" s="27" t="inlineStr">
        <is>
          <t>WB-DTL-03 / Process Quality Control</t>
        </is>
      </c>
      <c r="D712" s="27" t="inlineStr">
        <is>
          <t>WB-DTL-03</t>
        </is>
      </c>
      <c r="E712" s="28" t="inlineStr">
        <is>
          <t>Process Quality Control</t>
        </is>
      </c>
      <c r="F712" s="29" t="inlineStr">
        <is>
          <t>Web — Data Stasiun (WB-)</t>
        </is>
      </c>
      <c r="G712" s="28" t="inlineStr">
        <is>
          <t>Grid menampilkan persis baris tersimpan</t>
        </is>
      </c>
      <c r="H712" s="29" t="inlineStr">
        <is>
          <t>SPV-A</t>
        </is>
      </c>
      <c r="I712" s="29" t="inlineStr">
        <is>
          <t>record dengan 3 baris terisi</t>
        </is>
      </c>
      <c r="J712" s="29" t="inlineStr">
        <is>
          <t>1. Siapkan satu record dengan tepat 3 baris terisi.
2. Login di web, buka /data/process-quality-control (Process Quality Control), lalu klik salah satu baris tabel untuk record itu.
3. Hitung jumlah baris pada grid.
4. Cocokkan slot waktu dan nilai tiap baris dengan yang disimpan.</t>
        </is>
      </c>
      <c r="K712" s="29" t="inlineStr">
        <is>
          <t>- Grid menampilkan tepat 3 baris.
- Tidak digambar 24 baris dengan 21 di antaranya kosong.
- Slot waktu dan nilainya cocok.</t>
        </is>
      </c>
      <c r="L712" s="16" t="inlineStr">
        <is>
          <t>Tinggi</t>
        </is>
      </c>
      <c r="M712" s="29"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12" s="17" t="n"/>
      <c r="O712" s="17" t="n"/>
      <c r="P712" s="17" t="n"/>
      <c r="Q712" s="17" t="n"/>
      <c r="R712" s="17" t="n"/>
    </row>
    <row r="713" ht="109.6" customHeight="1">
      <c r="A713" s="22" t="n">
        <v>709</v>
      </c>
      <c r="B713" s="22" t="n">
        <v>3</v>
      </c>
      <c r="C713" s="23" t="inlineStr">
        <is>
          <t>WB-DTL-04 / Weighbridge</t>
        </is>
      </c>
      <c r="D713" s="23" t="inlineStr">
        <is>
          <t>WB-DTL-04</t>
        </is>
      </c>
      <c r="E713" s="24" t="inlineStr">
        <is>
          <t>Weighbridge</t>
        </is>
      </c>
      <c r="F713" s="5" t="inlineStr">
        <is>
          <t>Web — Data Stasiun (WB-)</t>
        </is>
      </c>
      <c r="G713" s="24" t="inlineStr">
        <is>
          <t>Edit membuka Form mode ubah dengan isi yang sama</t>
        </is>
      </c>
      <c r="H713" s="5" t="inlineStr">
        <is>
          <t>SPV-A</t>
        </is>
      </c>
      <c r="I713" s="5" t="inlineStr">
        <is>
          <t>—</t>
        </is>
      </c>
      <c r="J713" s="5" t="inlineStr">
        <is>
          <t>1. Login di web, buka /data/weighbridge (Weighbridge), lalu klik salah satu baris tabel. Catat seluruh nilai header dan isi grid.
2. Tekan Edit.
3. Bandingkan setiap kolom pada Form dengan catatan langkah 1.
4. Periksa kolom Production Line: dapat diubah atau terkunci?</t>
        </is>
      </c>
      <c r="K713" s="5" t="inlineStr">
        <is>
          <t>- Terbuka Form mode ubah (/data/weighbridge/&lt;id&gt;/edit).
- Seluruh nilai sama dengan Detail — tidak ada yang kosong atau tergeser.
- Production Line terkunci pada mode ubah (lihat WB-FRM-02).</t>
        </is>
      </c>
      <c r="L713" s="16" t="inlineStr">
        <is>
          <t>Tinggi</t>
        </is>
      </c>
      <c r="M713" s="5" t="inlineStr"/>
      <c r="N713" s="17" t="n"/>
      <c r="O713" s="17" t="n"/>
      <c r="P713" s="17" t="n"/>
      <c r="Q713" s="17" t="n"/>
      <c r="R713" s="17" t="n"/>
    </row>
    <row r="714" ht="109.6" customHeight="1">
      <c r="A714" s="18" t="n">
        <v>710</v>
      </c>
      <c r="B714" s="18" t="n">
        <v>3</v>
      </c>
      <c r="C714" s="19" t="inlineStr">
        <is>
          <t>WB-DTL-04 / Grading</t>
        </is>
      </c>
      <c r="D714" s="19" t="inlineStr">
        <is>
          <t>WB-DTL-04</t>
        </is>
      </c>
      <c r="E714" s="20" t="inlineStr">
        <is>
          <t>Grading</t>
        </is>
      </c>
      <c r="F714" s="21" t="inlineStr">
        <is>
          <t>Web — Data Stasiun (WB-)</t>
        </is>
      </c>
      <c r="G714" s="20" t="inlineStr">
        <is>
          <t>Edit membuka Form mode ubah dengan isi yang sama</t>
        </is>
      </c>
      <c r="H714" s="21" t="inlineStr">
        <is>
          <t>SPV-A</t>
        </is>
      </c>
      <c r="I714" s="21" t="inlineStr">
        <is>
          <t>—</t>
        </is>
      </c>
      <c r="J714" s="21" t="inlineStr">
        <is>
          <t>1. Login di web, buka /data/grading (Grading), lalu klik salah satu baris tabel. Catat seluruh nilai header dan isi grid.
2. Tekan Edit.
3. Bandingkan setiap kolom pada Form dengan catatan langkah 1.
4. Periksa kolom Production Line: dapat diubah atau terkunci?</t>
        </is>
      </c>
      <c r="K714" s="21" t="inlineStr">
        <is>
          <t>- Terbuka Form mode ubah (/data/grading/&lt;id&gt;/edit).
- Seluruh nilai sama dengan Detail — tidak ada yang kosong atau tergeser.
- Production Line terkunci pada mode ubah (lihat WB-FRM-02).</t>
        </is>
      </c>
      <c r="L714" s="16" t="inlineStr">
        <is>
          <t>Tinggi</t>
        </is>
      </c>
      <c r="M714" s="21" t="inlineStr"/>
      <c r="N714" s="17" t="n"/>
      <c r="O714" s="17" t="n"/>
      <c r="P714" s="17" t="n"/>
      <c r="Q714" s="17" t="n"/>
      <c r="R714" s="17" t="n"/>
    </row>
    <row r="715" ht="109.6" customHeight="1">
      <c r="A715" s="22" t="n">
        <v>711</v>
      </c>
      <c r="B715" s="22" t="n">
        <v>3</v>
      </c>
      <c r="C715" s="23" t="inlineStr">
        <is>
          <t>WB-DTL-04 / Cages Track</t>
        </is>
      </c>
      <c r="D715" s="23" t="inlineStr">
        <is>
          <t>WB-DTL-04</t>
        </is>
      </c>
      <c r="E715" s="24" t="inlineStr">
        <is>
          <t>Cages Track</t>
        </is>
      </c>
      <c r="F715" s="5" t="inlineStr">
        <is>
          <t>Web — Data Stasiun (WB-)</t>
        </is>
      </c>
      <c r="G715" s="24" t="inlineStr">
        <is>
          <t>Edit membuka Form mode ubah dengan isi yang sama</t>
        </is>
      </c>
      <c r="H715" s="5" t="inlineStr">
        <is>
          <t>SPV-A</t>
        </is>
      </c>
      <c r="I715" s="5" t="inlineStr">
        <is>
          <t>—</t>
        </is>
      </c>
      <c r="J715" s="5" t="inlineStr">
        <is>
          <t>1. Login di web, buka /data/cages-track (Cages Track), lalu klik salah satu baris tabel. Catat seluruh nilai header dan isi grid.
2. Tekan Edit.
3. Bandingkan setiap kolom pada Form dengan catatan langkah 1.
4. Periksa kolom Production Line: dapat diubah atau terkunci?</t>
        </is>
      </c>
      <c r="K715" s="5" t="inlineStr">
        <is>
          <t>- Terbuka Form mode ubah (/data/cages-track/&lt;id&gt;/edit).
- Seluruh nilai sama dengan Detail — tidak ada yang kosong atau tergeser.
- Production Line terkunci pada mode ubah (lihat WB-FRM-02).</t>
        </is>
      </c>
      <c r="L715" s="16" t="inlineStr">
        <is>
          <t>Tinggi</t>
        </is>
      </c>
      <c r="M715" s="5" t="inlineStr"/>
      <c r="N715" s="17" t="n"/>
      <c r="O715" s="17" t="n"/>
      <c r="P715" s="17" t="n"/>
      <c r="Q715" s="17" t="n"/>
      <c r="R715" s="17" t="n"/>
    </row>
    <row r="716" ht="109.6" customHeight="1">
      <c r="A716" s="18" t="n">
        <v>712</v>
      </c>
      <c r="B716" s="18" t="n">
        <v>3</v>
      </c>
      <c r="C716" s="19" t="inlineStr">
        <is>
          <t>WB-DTL-04 / Sterilizer</t>
        </is>
      </c>
      <c r="D716" s="19" t="inlineStr">
        <is>
          <t>WB-DTL-04</t>
        </is>
      </c>
      <c r="E716" s="20" t="inlineStr">
        <is>
          <t>Sterilizer</t>
        </is>
      </c>
      <c r="F716" s="21" t="inlineStr">
        <is>
          <t>Web — Data Stasiun (WB-)</t>
        </is>
      </c>
      <c r="G716" s="20" t="inlineStr">
        <is>
          <t>Edit membuka Form mode ubah dengan isi yang sama</t>
        </is>
      </c>
      <c r="H716" s="21" t="inlineStr">
        <is>
          <t>SPV-A</t>
        </is>
      </c>
      <c r="I716" s="21" t="inlineStr">
        <is>
          <t>—</t>
        </is>
      </c>
      <c r="J716" s="21" t="inlineStr">
        <is>
          <t>1. Login di web, buka /data/sterilizer (Sterilizer), lalu klik salah satu baris tabel. Catat seluruh nilai header dan isi grid.
2. Tekan Edit.
3. Bandingkan setiap kolom pada Form dengan catatan langkah 1.
4. Periksa kolom Production Line: dapat diubah atau terkunci?</t>
        </is>
      </c>
      <c r="K716" s="21" t="inlineStr">
        <is>
          <t>- Terbuka Form mode ubah (/data/sterilizer/&lt;id&gt;/edit).
- Seluruh nilai sama dengan Detail — tidak ada yang kosong atau tergeser.
- Production Line terkunci pada mode ubah (lihat WB-FRM-02).</t>
        </is>
      </c>
      <c r="L716" s="16" t="inlineStr">
        <is>
          <t>Tinggi</t>
        </is>
      </c>
      <c r="M716" s="21" t="inlineStr"/>
      <c r="N716" s="17" t="n"/>
      <c r="O716" s="17" t="n"/>
      <c r="P716" s="17" t="n"/>
      <c r="Q716" s="17" t="n"/>
      <c r="R716" s="17" t="n"/>
    </row>
    <row r="717" ht="109.6" customHeight="1">
      <c r="A717" s="22" t="n">
        <v>713</v>
      </c>
      <c r="B717" s="22" t="n">
        <v>3</v>
      </c>
      <c r="C717" s="23" t="inlineStr">
        <is>
          <t>WB-DTL-04 / Threshing</t>
        </is>
      </c>
      <c r="D717" s="23" t="inlineStr">
        <is>
          <t>WB-DTL-04</t>
        </is>
      </c>
      <c r="E717" s="24" t="inlineStr">
        <is>
          <t>Threshing</t>
        </is>
      </c>
      <c r="F717" s="5" t="inlineStr">
        <is>
          <t>Web — Data Stasiun (WB-)</t>
        </is>
      </c>
      <c r="G717" s="24" t="inlineStr">
        <is>
          <t>Edit membuka Form mode ubah dengan isi yang sama</t>
        </is>
      </c>
      <c r="H717" s="5" t="inlineStr">
        <is>
          <t>SPV-A</t>
        </is>
      </c>
      <c r="I717" s="5" t="inlineStr">
        <is>
          <t>—</t>
        </is>
      </c>
      <c r="J717" s="5" t="inlineStr">
        <is>
          <t>1. Login di web, buka /data/threshing (Threshing), lalu klik salah satu baris tabel. Catat seluruh nilai header dan isi grid.
2. Tekan Edit.
3. Bandingkan setiap kolom pada Form dengan catatan langkah 1.
4. Periksa kolom Production Line: dapat diubah atau terkunci?</t>
        </is>
      </c>
      <c r="K717" s="5" t="inlineStr">
        <is>
          <t>- Terbuka Form mode ubah (/data/threshing/&lt;id&gt;/edit).
- Seluruh nilai sama dengan Detail — tidak ada yang kosong atau tergeser.
- Production Line terkunci pada mode ubah (lihat WB-FRM-02).</t>
        </is>
      </c>
      <c r="L717" s="16" t="inlineStr">
        <is>
          <t>Tinggi</t>
        </is>
      </c>
      <c r="M717" s="5" t="inlineStr"/>
      <c r="N717" s="17" t="n"/>
      <c r="O717" s="17" t="n"/>
      <c r="P717" s="17" t="n"/>
      <c r="Q717" s="17" t="n"/>
      <c r="R717" s="17" t="n"/>
    </row>
    <row r="718" ht="109.6" customHeight="1">
      <c r="A718" s="18" t="n">
        <v>714</v>
      </c>
      <c r="B718" s="18" t="n">
        <v>3</v>
      </c>
      <c r="C718" s="19" t="inlineStr">
        <is>
          <t>WB-DTL-04 / Pressing</t>
        </is>
      </c>
      <c r="D718" s="19" t="inlineStr">
        <is>
          <t>WB-DTL-04</t>
        </is>
      </c>
      <c r="E718" s="20" t="inlineStr">
        <is>
          <t>Pressing</t>
        </is>
      </c>
      <c r="F718" s="21" t="inlineStr">
        <is>
          <t>Web — Data Stasiun (WB-)</t>
        </is>
      </c>
      <c r="G718" s="20" t="inlineStr">
        <is>
          <t>Edit membuka Form mode ubah dengan isi yang sama</t>
        </is>
      </c>
      <c r="H718" s="21" t="inlineStr">
        <is>
          <t>SPV-A</t>
        </is>
      </c>
      <c r="I718" s="21" t="inlineStr">
        <is>
          <t>—</t>
        </is>
      </c>
      <c r="J718" s="21" t="inlineStr">
        <is>
          <t>1. Login di web, buka /data/pressing (Pressing), lalu klik salah satu baris tabel. Catat seluruh nilai header dan isi grid.
2. Tekan Edit.
3. Bandingkan setiap kolom pada Form dengan catatan langkah 1.
4. Periksa kolom Production Line: dapat diubah atau terkunci?</t>
        </is>
      </c>
      <c r="K718" s="21" t="inlineStr">
        <is>
          <t>- Terbuka Form mode ubah (/data/pressing/&lt;id&gt;/edit).
- Seluruh nilai sama dengan Detail — tidak ada yang kosong atau tergeser.
- Production Line terkunci pada mode ubah (lihat WB-FRM-02).</t>
        </is>
      </c>
      <c r="L718" s="16" t="inlineStr">
        <is>
          <t>Tinggi</t>
        </is>
      </c>
      <c r="M718" s="21" t="inlineStr"/>
      <c r="N718" s="17" t="n"/>
      <c r="O718" s="17" t="n"/>
      <c r="P718" s="17" t="n"/>
      <c r="Q718" s="17" t="n"/>
      <c r="R718" s="17" t="n"/>
    </row>
    <row r="719" ht="122.8" customHeight="1">
      <c r="A719" s="22" t="n">
        <v>715</v>
      </c>
      <c r="B719" s="22" t="n">
        <v>3</v>
      </c>
      <c r="C719" s="23" t="inlineStr">
        <is>
          <t>WB-DTL-04 / Clarification</t>
        </is>
      </c>
      <c r="D719" s="23" t="inlineStr">
        <is>
          <t>WB-DTL-04</t>
        </is>
      </c>
      <c r="E719" s="24" t="inlineStr">
        <is>
          <t>Clarification</t>
        </is>
      </c>
      <c r="F719" s="5" t="inlineStr">
        <is>
          <t>Web — Data Stasiun (WB-)</t>
        </is>
      </c>
      <c r="G719" s="24" t="inlineStr">
        <is>
          <t>Edit membuka Form mode ubah dengan isi yang sama</t>
        </is>
      </c>
      <c r="H719" s="5" t="inlineStr">
        <is>
          <t>SPV-A</t>
        </is>
      </c>
      <c r="I719" s="5" t="inlineStr">
        <is>
          <t>—</t>
        </is>
      </c>
      <c r="J719" s="5" t="inlineStr">
        <is>
          <t>1. Login di web, buka /data/clarification (Clarification), lalu klik salah satu baris tabel. Catat seluruh nilai header dan isi grid.
2. Tekan Edit.
3. Bandingkan setiap kolom pada Form dengan catatan langkah 1.
4. Periksa kolom Production Line: dapat diubah atau terkunci?</t>
        </is>
      </c>
      <c r="K719" s="5" t="inlineStr">
        <is>
          <t>- Terbuka Form mode ubah (/data/clarification/&lt;id&gt;/edit).
- Seluruh nilai sama dengan Detail — tidak ada yang kosong atau tergeser.
- Production Line terkunci pada mode ubah (lihat WB-FRM-02).</t>
        </is>
      </c>
      <c r="L719" s="16" t="inlineStr">
        <is>
          <t>Tinggi</t>
        </is>
      </c>
      <c r="M719" s="5" t="inlineStr"/>
      <c r="N719" s="17" t="n"/>
      <c r="O719" s="17" t="n"/>
      <c r="P719" s="17" t="n"/>
      <c r="Q719" s="17" t="n"/>
      <c r="R719" s="17" t="n"/>
    </row>
    <row r="720" ht="109.6" customHeight="1">
      <c r="A720" s="18" t="n">
        <v>716</v>
      </c>
      <c r="B720" s="18" t="n">
        <v>3</v>
      </c>
      <c r="C720" s="19" t="inlineStr">
        <is>
          <t>WB-DTL-04 / Kernel Plant</t>
        </is>
      </c>
      <c r="D720" s="19" t="inlineStr">
        <is>
          <t>WB-DTL-04</t>
        </is>
      </c>
      <c r="E720" s="20" t="inlineStr">
        <is>
          <t>Kernel Plant</t>
        </is>
      </c>
      <c r="F720" s="21" t="inlineStr">
        <is>
          <t>Web — Data Stasiun (WB-)</t>
        </is>
      </c>
      <c r="G720" s="20" t="inlineStr">
        <is>
          <t>Edit membuka Form mode ubah dengan isi yang sama</t>
        </is>
      </c>
      <c r="H720" s="21" t="inlineStr">
        <is>
          <t>SPV-A</t>
        </is>
      </c>
      <c r="I720" s="21" t="inlineStr">
        <is>
          <t>—</t>
        </is>
      </c>
      <c r="J720" s="21" t="inlineStr">
        <is>
          <t>1. Login di web, buka /data/kernel-plant (Kernel Plant), lalu klik salah satu baris tabel. Catat seluruh nilai header dan isi grid.
2. Tekan Edit.
3. Bandingkan setiap kolom pada Form dengan catatan langkah 1.
4. Periksa kolom Production Line: dapat diubah atau terkunci?</t>
        </is>
      </c>
      <c r="K720" s="21" t="inlineStr">
        <is>
          <t>- Terbuka Form mode ubah (/data/kernel-plant/&lt;id&gt;/edit).
- Seluruh nilai sama dengan Detail — tidak ada yang kosong atau tergeser.
- Production Line terkunci pada mode ubah (lihat WB-FRM-02).</t>
        </is>
      </c>
      <c r="L720" s="16" t="inlineStr">
        <is>
          <t>Tinggi</t>
        </is>
      </c>
      <c r="M720" s="21" t="inlineStr"/>
      <c r="N720" s="17" t="n"/>
      <c r="O720" s="17" t="n"/>
      <c r="P720" s="17" t="n"/>
      <c r="Q720" s="17" t="n"/>
      <c r="R720" s="17" t="n"/>
    </row>
    <row r="721" ht="109.6" customHeight="1">
      <c r="A721" s="22" t="n">
        <v>717</v>
      </c>
      <c r="B721" s="22" t="n">
        <v>3</v>
      </c>
      <c r="C721" s="23" t="inlineStr">
        <is>
          <t>WB-DTL-04 / Boiler Room</t>
        </is>
      </c>
      <c r="D721" s="23" t="inlineStr">
        <is>
          <t>WB-DTL-04</t>
        </is>
      </c>
      <c r="E721" s="24" t="inlineStr">
        <is>
          <t>Boiler Room</t>
        </is>
      </c>
      <c r="F721" s="5" t="inlineStr">
        <is>
          <t>Web — Data Stasiun (WB-)</t>
        </is>
      </c>
      <c r="G721" s="24" t="inlineStr">
        <is>
          <t>Edit membuka Form mode ubah dengan isi yang sama</t>
        </is>
      </c>
      <c r="H721" s="5" t="inlineStr">
        <is>
          <t>SPV-A</t>
        </is>
      </c>
      <c r="I721" s="5" t="inlineStr">
        <is>
          <t>—</t>
        </is>
      </c>
      <c r="J721" s="5" t="inlineStr">
        <is>
          <t>1. Login di web, buka /data/boiler-room (Boiler Room), lalu klik salah satu baris tabel. Catat seluruh nilai header dan isi grid.
2. Tekan Edit.
3. Bandingkan setiap kolom pada Form dengan catatan langkah 1.
4. Periksa kolom Production Line: dapat diubah atau terkunci?</t>
        </is>
      </c>
      <c r="K721" s="5" t="inlineStr">
        <is>
          <t>- Terbuka Form mode ubah (/data/boiler-room/&lt;id&gt;/edit).
- Seluruh nilai sama dengan Detail — tidak ada yang kosong atau tergeser.
- Production Line terkunci pada mode ubah (lihat WB-FRM-02).</t>
        </is>
      </c>
      <c r="L721" s="16" t="inlineStr">
        <is>
          <t>Tinggi</t>
        </is>
      </c>
      <c r="M721" s="5" t="inlineStr"/>
      <c r="N721" s="17" t="n"/>
      <c r="O721" s="17" t="n"/>
      <c r="P721" s="17" t="n"/>
      <c r="Q721" s="17" t="n"/>
      <c r="R721" s="17" t="n"/>
    </row>
    <row r="722" ht="122.8" customHeight="1">
      <c r="A722" s="18" t="n">
        <v>718</v>
      </c>
      <c r="B722" s="18" t="n">
        <v>3</v>
      </c>
      <c r="C722" s="19" t="inlineStr">
        <is>
          <t>WB-DTL-04 / Effluent Plant</t>
        </is>
      </c>
      <c r="D722" s="19" t="inlineStr">
        <is>
          <t>WB-DTL-04</t>
        </is>
      </c>
      <c r="E722" s="20" t="inlineStr">
        <is>
          <t>Effluent Plant</t>
        </is>
      </c>
      <c r="F722" s="21" t="inlineStr">
        <is>
          <t>Web — Data Stasiun (WB-)</t>
        </is>
      </c>
      <c r="G722" s="20" t="inlineStr">
        <is>
          <t>Edit membuka Form mode ubah dengan isi yang sama</t>
        </is>
      </c>
      <c r="H722" s="21" t="inlineStr">
        <is>
          <t>SPV-A</t>
        </is>
      </c>
      <c r="I722" s="21" t="inlineStr">
        <is>
          <t>—</t>
        </is>
      </c>
      <c r="J722" s="21" t="inlineStr">
        <is>
          <t>1. Login di web, buka /data/effluent-plant (Effluent Plant), lalu klik salah satu baris tabel. Catat seluruh nilai header dan isi grid.
2. Tekan Edit.
3. Bandingkan setiap kolom pada Form dengan catatan langkah 1.
4. Periksa kolom Production Line: dapat diubah atau terkunci?</t>
        </is>
      </c>
      <c r="K722" s="21" t="inlineStr">
        <is>
          <t>- Terbuka Form mode ubah (/data/effluent-plant/&lt;id&gt;/edit).
- Seluruh nilai sama dengan Detail — tidak ada yang kosong atau tergeser.
- Production Line terkunci pada mode ubah (lihat WB-FRM-02).</t>
        </is>
      </c>
      <c r="L722" s="16" t="inlineStr">
        <is>
          <t>Tinggi</t>
        </is>
      </c>
      <c r="M722" s="21" t="inlineStr"/>
      <c r="N722" s="17" t="n"/>
      <c r="O722" s="17" t="n"/>
      <c r="P722" s="17" t="n"/>
      <c r="Q722" s="17" t="n"/>
      <c r="R722" s="17" t="n"/>
    </row>
    <row r="723" ht="109.6" customHeight="1">
      <c r="A723" s="11" t="n">
        <v>719</v>
      </c>
      <c r="B723" s="12" t="n">
        <v>1</v>
      </c>
      <c r="C723" s="13" t="inlineStr">
        <is>
          <t>WB-DTL-04 / Depricarping</t>
        </is>
      </c>
      <c r="D723" s="13" t="inlineStr">
        <is>
          <t>WB-DTL-04</t>
        </is>
      </c>
      <c r="E723" s="15" t="inlineStr">
        <is>
          <t>Depricarping</t>
        </is>
      </c>
      <c r="F723" s="14" t="inlineStr">
        <is>
          <t>Web — Data Stasiun (WB-)</t>
        </is>
      </c>
      <c r="G723" s="15" t="inlineStr">
        <is>
          <t>Edit membuka Form mode ubah dengan isi yang sama</t>
        </is>
      </c>
      <c r="H723" s="14" t="inlineStr">
        <is>
          <t>SPV-A</t>
        </is>
      </c>
      <c r="I723" s="14" t="inlineStr">
        <is>
          <t>—</t>
        </is>
      </c>
      <c r="J723" s="14" t="inlineStr">
        <is>
          <t>1. Login di web, buka /data/depricarping (Depricarping), lalu klik salah satu baris tabel. Catat seluruh nilai header dan isi grid.
2. Tekan Edit.
3. Bandingkan setiap kolom pada Form dengan catatan langkah 1.
4. Periksa kolom Production Line: dapat diubah atau terkunci?</t>
        </is>
      </c>
      <c r="K723" s="14" t="inlineStr">
        <is>
          <t>- Terbuka Form mode ubah (/data/depricarping/&lt;id&gt;/edit).
- Seluruh nilai sama dengan Detail — tidak ada yang kosong atau tergeser.
- Production Line terkunci pada mode ubah (lihat WB-FRM-02).</t>
        </is>
      </c>
      <c r="L723" s="16" t="inlineStr">
        <is>
          <t>Tinggi</t>
        </is>
      </c>
      <c r="M723" s="14" t="inlineStr"/>
      <c r="N723" s="17" t="n"/>
      <c r="O723" s="17" t="n"/>
      <c r="P723" s="17" t="n"/>
      <c r="Q723" s="17" t="n"/>
      <c r="R723" s="17" t="n"/>
    </row>
    <row r="724" ht="109.6" customHeight="1">
      <c r="A724" s="18" t="n">
        <v>720</v>
      </c>
      <c r="B724" s="18" t="n">
        <v>3</v>
      </c>
      <c r="C724" s="19" t="inlineStr">
        <is>
          <t>WB-DTL-04 / Engine Room</t>
        </is>
      </c>
      <c r="D724" s="19" t="inlineStr">
        <is>
          <t>WB-DTL-04</t>
        </is>
      </c>
      <c r="E724" s="20" t="inlineStr">
        <is>
          <t>Engine Room</t>
        </is>
      </c>
      <c r="F724" s="21" t="inlineStr">
        <is>
          <t>Web — Data Stasiun (WB-)</t>
        </is>
      </c>
      <c r="G724" s="20" t="inlineStr">
        <is>
          <t>Edit membuka Form mode ubah dengan isi yang sama</t>
        </is>
      </c>
      <c r="H724" s="21" t="inlineStr">
        <is>
          <t>SPV-A</t>
        </is>
      </c>
      <c r="I724" s="21" t="inlineStr">
        <is>
          <t>—</t>
        </is>
      </c>
      <c r="J724" s="21" t="inlineStr">
        <is>
          <t>1. Login di web, buka /data/engine-room (Engine Room), lalu klik salah satu baris tabel. Catat seluruh nilai header dan isi grid.
2. Tekan Edit.
3. Bandingkan setiap kolom pada Form dengan catatan langkah 1.
4. Periksa kolom Production Line: dapat diubah atau terkunci?</t>
        </is>
      </c>
      <c r="K724" s="21" t="inlineStr">
        <is>
          <t>- Terbuka Form mode ubah (/data/engine-room/&lt;id&gt;/edit).
- Seluruh nilai sama dengan Detail — tidak ada yang kosong atau tergeser.
- Production Line terkunci pada mode ubah (lihat WB-FRM-02).</t>
        </is>
      </c>
      <c r="L724" s="16" t="inlineStr">
        <is>
          <t>Tinggi</t>
        </is>
      </c>
      <c r="M724" s="21" t="inlineStr"/>
      <c r="N724" s="17" t="n"/>
      <c r="O724" s="17" t="n"/>
      <c r="P724" s="17" t="n"/>
      <c r="Q724" s="17" t="n"/>
      <c r="R724" s="17" t="n"/>
    </row>
    <row r="725" ht="122.8" customHeight="1">
      <c r="A725" s="22" t="n">
        <v>721</v>
      </c>
      <c r="B725" s="22" t="n">
        <v>3</v>
      </c>
      <c r="C725" s="23" t="inlineStr">
        <is>
          <t>WB-DTL-04 / Process Water</t>
        </is>
      </c>
      <c r="D725" s="23" t="inlineStr">
        <is>
          <t>WB-DTL-04</t>
        </is>
      </c>
      <c r="E725" s="24" t="inlineStr">
        <is>
          <t>Process Water</t>
        </is>
      </c>
      <c r="F725" s="5" t="inlineStr">
        <is>
          <t>Web — Data Stasiun (WB-)</t>
        </is>
      </c>
      <c r="G725" s="24" t="inlineStr">
        <is>
          <t>Edit membuka Form mode ubah dengan isi yang sama</t>
        </is>
      </c>
      <c r="H725" s="5" t="inlineStr">
        <is>
          <t>SPV-A</t>
        </is>
      </c>
      <c r="I725" s="5" t="inlineStr">
        <is>
          <t>—</t>
        </is>
      </c>
      <c r="J725" s="5" t="inlineStr">
        <is>
          <t>1. Login di web, buka /data/process-water (Process Water), lalu klik salah satu baris tabel. Catat seluruh nilai header dan isi grid.
2. Tekan Edit.
3. Bandingkan setiap kolom pada Form dengan catatan langkah 1.
4. Periksa kolom Production Line: dapat diubah atau terkunci?</t>
        </is>
      </c>
      <c r="K725" s="5" t="inlineStr">
        <is>
          <t>- Terbuka Form mode ubah (/data/process-water/&lt;id&gt;/edit).
- Seluruh nilai sama dengan Detail — tidak ada yang kosong atau tergeser.
- Production Line terkunci pada mode ubah (lihat WB-FRM-02).</t>
        </is>
      </c>
      <c r="L725" s="16" t="inlineStr">
        <is>
          <t>Tinggi</t>
        </is>
      </c>
      <c r="M725" s="5" t="inlineStr"/>
      <c r="N725" s="17" t="n"/>
      <c r="O725" s="17" t="n"/>
      <c r="P725" s="17" t="n"/>
      <c r="Q725" s="17" t="n"/>
      <c r="R725" s="17" t="n"/>
    </row>
    <row r="726" ht="109.6" customHeight="1">
      <c r="A726" s="18" t="n">
        <v>722</v>
      </c>
      <c r="B726" s="18" t="n">
        <v>3</v>
      </c>
      <c r="C726" s="19" t="inlineStr">
        <is>
          <t>WB-DTL-04 / Storage Tank</t>
        </is>
      </c>
      <c r="D726" s="19" t="inlineStr">
        <is>
          <t>WB-DTL-04</t>
        </is>
      </c>
      <c r="E726" s="20" t="inlineStr">
        <is>
          <t>Storage Tank</t>
        </is>
      </c>
      <c r="F726" s="21" t="inlineStr">
        <is>
          <t>Web — Data Stasiun (WB-)</t>
        </is>
      </c>
      <c r="G726" s="20" t="inlineStr">
        <is>
          <t>Edit membuka Form mode ubah dengan isi yang sama</t>
        </is>
      </c>
      <c r="H726" s="21" t="inlineStr">
        <is>
          <t>SPV-A</t>
        </is>
      </c>
      <c r="I726" s="21" t="inlineStr">
        <is>
          <t>—</t>
        </is>
      </c>
      <c r="J726" s="21" t="inlineStr">
        <is>
          <t>1. Login di web, buka /data/storage-tank (Storage Tank), lalu klik salah satu baris tabel. Catat seluruh nilai header dan isi grid.
2. Tekan Edit.
3. Bandingkan setiap kolom pada Form dengan catatan langkah 1.
4. Periksa kolom Production Line: dapat diubah atau terkunci?</t>
        </is>
      </c>
      <c r="K726" s="21" t="inlineStr">
        <is>
          <t>- Terbuka Form mode ubah (/data/storage-tank/&lt;id&gt;/edit).
- Seluruh nilai sama dengan Detail — tidak ada yang kosong atau tergeser.
- Production Line terkunci pada mode ubah (lihat WB-FRM-02).</t>
        </is>
      </c>
      <c r="L726" s="16" t="inlineStr">
        <is>
          <t>Tinggi</t>
        </is>
      </c>
      <c r="M726" s="21" t="inlineStr"/>
      <c r="N726" s="17" t="n"/>
      <c r="O726" s="17" t="n"/>
      <c r="P726" s="17" t="n"/>
      <c r="Q726" s="17" t="n"/>
      <c r="R726" s="17" t="n"/>
    </row>
    <row r="727" ht="122.8" customHeight="1">
      <c r="A727" s="22" t="n">
        <v>723</v>
      </c>
      <c r="B727" s="22" t="n">
        <v>3</v>
      </c>
      <c r="C727" s="23" t="inlineStr">
        <is>
          <t>WB-DTL-04 / Solid Waste Disposal</t>
        </is>
      </c>
      <c r="D727" s="23" t="inlineStr">
        <is>
          <t>WB-DTL-04</t>
        </is>
      </c>
      <c r="E727" s="24" t="inlineStr">
        <is>
          <t>Solid Waste Disposal</t>
        </is>
      </c>
      <c r="F727" s="5" t="inlineStr">
        <is>
          <t>Web — Data Stasiun (WB-)</t>
        </is>
      </c>
      <c r="G727" s="24" t="inlineStr">
        <is>
          <t>Edit membuka Form mode ubah dengan isi yang sama</t>
        </is>
      </c>
      <c r="H727" s="5" t="inlineStr">
        <is>
          <t>SPV-A</t>
        </is>
      </c>
      <c r="I727" s="5" t="inlineStr">
        <is>
          <t>—</t>
        </is>
      </c>
      <c r="J727" s="5" t="inlineStr">
        <is>
          <t>1. Login di web, buka /data/solid-waste-disposal (Solid Waste Disposal), lalu klik salah satu baris tabel. Catat seluruh nilai header dan isi grid.
2. Tekan Edit.
3. Bandingkan setiap kolom pada Form dengan catatan langkah 1.
4. Periksa kolom Production Line: dapat diubah atau terkunci?</t>
        </is>
      </c>
      <c r="K727" s="5" t="inlineStr">
        <is>
          <t>- Terbuka Form mode ubah (/data/solid-waste-disposal/&lt;id&gt;/edit).
- Seluruh nilai sama dengan Detail — tidak ada yang kosong atau tergeser.
- Production Line terkunci pada mode ubah (lihat WB-FRM-02).</t>
        </is>
      </c>
      <c r="L727" s="16" t="inlineStr">
        <is>
          <t>Tinggi</t>
        </is>
      </c>
      <c r="M727" s="5" t="inlineStr"/>
      <c r="N727" s="17" t="n"/>
      <c r="O727" s="17" t="n"/>
      <c r="P727" s="17" t="n"/>
      <c r="Q727" s="17" t="n"/>
      <c r="R727" s="17" t="n"/>
    </row>
    <row r="728" ht="122.8" customHeight="1">
      <c r="A728" s="18" t="n">
        <v>724</v>
      </c>
      <c r="B728" s="18" t="n">
        <v>3</v>
      </c>
      <c r="C728" s="19" t="inlineStr">
        <is>
          <t>WB-DTL-04 / Kernel Dispatch</t>
        </is>
      </c>
      <c r="D728" s="19" t="inlineStr">
        <is>
          <t>WB-DTL-04</t>
        </is>
      </c>
      <c r="E728" s="20" t="inlineStr">
        <is>
          <t>Kernel Dispatch</t>
        </is>
      </c>
      <c r="F728" s="21" t="inlineStr">
        <is>
          <t>Web — Data Stasiun (WB-)</t>
        </is>
      </c>
      <c r="G728" s="20" t="inlineStr">
        <is>
          <t>Edit membuka Form mode ubah dengan isi yang sama</t>
        </is>
      </c>
      <c r="H728" s="21" t="inlineStr">
        <is>
          <t>SPV-A</t>
        </is>
      </c>
      <c r="I728" s="21" t="inlineStr">
        <is>
          <t>—</t>
        </is>
      </c>
      <c r="J728" s="21" t="inlineStr">
        <is>
          <t>1. Login di web, buka /data/kernel-dispatch (Kernel Dispatch), lalu klik salah satu baris tabel. Catat seluruh nilai header dan isi grid.
2. Tekan Edit.
3. Bandingkan setiap kolom pada Form dengan catatan langkah 1.
4. Periksa kolom Production Line: dapat diubah atau terkunci?</t>
        </is>
      </c>
      <c r="K728" s="21" t="inlineStr">
        <is>
          <t>- Terbuka Form mode ubah (/data/kernel-dispatch/&lt;id&gt;/edit).
- Seluruh nilai sama dengan Detail — tidak ada yang kosong atau tergeser.
- Production Line terkunci pada mode ubah (lihat WB-FRM-02).</t>
        </is>
      </c>
      <c r="L728" s="16" t="inlineStr">
        <is>
          <t>Tinggi</t>
        </is>
      </c>
      <c r="M728" s="21" t="inlineStr"/>
      <c r="N728" s="17" t="n"/>
      <c r="O728" s="17" t="n"/>
      <c r="P728" s="17" t="n"/>
      <c r="Q728" s="17" t="n"/>
      <c r="R728" s="17" t="n"/>
    </row>
    <row r="729" ht="109.6" customHeight="1">
      <c r="A729" s="22" t="n">
        <v>725</v>
      </c>
      <c r="B729" s="22" t="n">
        <v>3</v>
      </c>
      <c r="C729" s="23" t="inlineStr">
        <is>
          <t>WB-DTL-04 / CPO Dispatch</t>
        </is>
      </c>
      <c r="D729" s="23" t="inlineStr">
        <is>
          <t>WB-DTL-04</t>
        </is>
      </c>
      <c r="E729" s="24" t="inlineStr">
        <is>
          <t>CPO Dispatch</t>
        </is>
      </c>
      <c r="F729" s="5" t="inlineStr">
        <is>
          <t>Web — Data Stasiun (WB-)</t>
        </is>
      </c>
      <c r="G729" s="24" t="inlineStr">
        <is>
          <t>Edit membuka Form mode ubah dengan isi yang sama</t>
        </is>
      </c>
      <c r="H729" s="5" t="inlineStr">
        <is>
          <t>SPV-A</t>
        </is>
      </c>
      <c r="I729" s="5" t="inlineStr">
        <is>
          <t>—</t>
        </is>
      </c>
      <c r="J729" s="5" t="inlineStr">
        <is>
          <t>1. Login di web, buka /data/cpo-dispatch (CPO Dispatch), lalu klik salah satu baris tabel. Catat seluruh nilai header dan isi grid.
2. Tekan Edit.
3. Bandingkan setiap kolom pada Form dengan catatan langkah 1.
4. Periksa kolom Production Line: dapat diubah atau terkunci?</t>
        </is>
      </c>
      <c r="K729" s="5" t="inlineStr">
        <is>
          <t>- Terbuka Form mode ubah (/data/cpo-dispatch/&lt;id&gt;/edit).
- Seluruh nilai sama dengan Detail — tidak ada yang kosong atau tergeser.
- Production Line terkunci pada mode ubah (lihat WB-FRM-02).</t>
        </is>
      </c>
      <c r="L729" s="16" t="inlineStr">
        <is>
          <t>Tinggi</t>
        </is>
      </c>
      <c r="M729" s="5" t="inlineStr"/>
      <c r="N729" s="17" t="n"/>
      <c r="O729" s="17" t="n"/>
      <c r="P729" s="17" t="n"/>
      <c r="Q729" s="17" t="n"/>
      <c r="R729" s="17" t="n"/>
    </row>
    <row r="730" ht="122.8" customHeight="1">
      <c r="A730" s="18" t="n">
        <v>726</v>
      </c>
      <c r="B730" s="18" t="n">
        <v>3</v>
      </c>
      <c r="C730" s="19" t="inlineStr">
        <is>
          <t>WB-DTL-04 / Process Quality Control</t>
        </is>
      </c>
      <c r="D730" s="19" t="inlineStr">
        <is>
          <t>WB-DTL-04</t>
        </is>
      </c>
      <c r="E730" s="20" t="inlineStr">
        <is>
          <t>Process Quality Control</t>
        </is>
      </c>
      <c r="F730" s="21" t="inlineStr">
        <is>
          <t>Web — Data Stasiun (WB-)</t>
        </is>
      </c>
      <c r="G730" s="20" t="inlineStr">
        <is>
          <t>Edit membuka Form mode ubah dengan isi yang sama</t>
        </is>
      </c>
      <c r="H730" s="21" t="inlineStr">
        <is>
          <t>SPV-A</t>
        </is>
      </c>
      <c r="I730" s="21" t="inlineStr">
        <is>
          <t>—</t>
        </is>
      </c>
      <c r="J730" s="21" t="inlineStr">
        <is>
          <t>1. Login di web, buka /data/process-quality-control (Process Quality Control), lalu klik salah satu baris tabel. Catat seluruh nilai header dan isi grid.
2. Tekan Edit.
3. Bandingkan setiap kolom pada Form dengan catatan langkah 1.
4. Periksa kolom Production Line: dapat diubah atau terkunci?</t>
        </is>
      </c>
      <c r="K730" s="21" t="inlineStr">
        <is>
          <t>- Terbuka Form mode ubah (/data/process-quality-control/&lt;id&gt;/edit).
- Seluruh nilai sama dengan Detail — tidak ada yang kosong atau tergeser.
- Production Line terkunci pada mode ubah (lihat WB-FRM-02).</t>
        </is>
      </c>
      <c r="L730" s="16" t="inlineStr">
        <is>
          <t>Tinggi</t>
        </is>
      </c>
      <c r="M730" s="21" t="inlineStr"/>
      <c r="N730" s="17" t="n"/>
      <c r="O730" s="17" t="n"/>
      <c r="P730" s="17" t="n"/>
      <c r="Q730" s="17" t="n"/>
      <c r="R730" s="17" t="n"/>
    </row>
    <row r="731" ht="109.6" customHeight="1">
      <c r="A731" s="22" t="n">
        <v>727</v>
      </c>
      <c r="B731" s="22" t="n">
        <v>3</v>
      </c>
      <c r="C731" s="23" t="inlineStr">
        <is>
          <t>WB-DTL-05 / Weighbridge</t>
        </is>
      </c>
      <c r="D731" s="23" t="inlineStr">
        <is>
          <t>WB-DTL-05</t>
        </is>
      </c>
      <c r="E731" s="24" t="inlineStr">
        <is>
          <t>Weighbridge</t>
        </is>
      </c>
      <c r="F731" s="5" t="inlineStr">
        <is>
          <t>Web — Data Stasiun (WB-)</t>
        </is>
      </c>
      <c r="G731" s="24" t="inlineStr">
        <is>
          <t>Back kembali ke Data Browser dengan filter yang masih sama</t>
        </is>
      </c>
      <c r="H731" s="5" t="inlineStr">
        <is>
          <t>SPV-A</t>
        </is>
      </c>
      <c r="I731" s="5" t="inlineStr">
        <is>
          <t>—</t>
        </is>
      </c>
      <c r="J731" s="5" t="inlineStr">
        <is>
          <t>1. Login di web, lalu sidebar &gt; Data &gt; Weighbridge (/data/weighbridge). Terapkan satu filter dan buka halaman 2.
2. Catat isi filter dan nomor halaman.
3. Klik satu baris untuk membuka Detail.
4. Tekan Back.
5. Bandingkan filter dan halaman dengan catatan langkah 2.</t>
        </is>
      </c>
      <c r="K731" s="5" t="inlineStr">
        <is>
          <t>- Kembali ke Data Browser stasiun yang sama.
- Filternya masih sama — tidak tereset.
- Halaman yang sedang dibuka juga tetap, atau setidaknya filternya dipertahankan sehingga baris itu mudah ditemukan lagi.</t>
        </is>
      </c>
      <c r="L731" s="22" t="inlineStr">
        <is>
          <t>Sedang</t>
        </is>
      </c>
      <c r="M731" s="5" t="inlineStr"/>
      <c r="N731" s="17" t="n"/>
      <c r="O731" s="17" t="n"/>
      <c r="P731" s="17" t="n"/>
      <c r="Q731" s="17" t="n"/>
      <c r="R731" s="17" t="n"/>
    </row>
    <row r="732" ht="109.6" customHeight="1">
      <c r="A732" s="18" t="n">
        <v>728</v>
      </c>
      <c r="B732" s="18" t="n">
        <v>3</v>
      </c>
      <c r="C732" s="19" t="inlineStr">
        <is>
          <t>WB-DTL-05 / Grading</t>
        </is>
      </c>
      <c r="D732" s="19" t="inlineStr">
        <is>
          <t>WB-DTL-05</t>
        </is>
      </c>
      <c r="E732" s="20" t="inlineStr">
        <is>
          <t>Grading</t>
        </is>
      </c>
      <c r="F732" s="21" t="inlineStr">
        <is>
          <t>Web — Data Stasiun (WB-)</t>
        </is>
      </c>
      <c r="G732" s="20" t="inlineStr">
        <is>
          <t>Back kembali ke Data Browser dengan filter yang masih sama</t>
        </is>
      </c>
      <c r="H732" s="21" t="inlineStr">
        <is>
          <t>SPV-A</t>
        </is>
      </c>
      <c r="I732" s="21" t="inlineStr">
        <is>
          <t>—</t>
        </is>
      </c>
      <c r="J732" s="21" t="inlineStr">
        <is>
          <t>1. Login di web, lalu sidebar &gt; Data &gt; Grading (/data/grading). Terapkan satu filter dan buka halaman 2.
2. Catat isi filter dan nomor halaman.
3. Klik satu baris untuk membuka Detail.
4. Tekan Back.
5. Bandingkan filter dan halaman dengan catatan langkah 2.</t>
        </is>
      </c>
      <c r="K732" s="21" t="inlineStr">
        <is>
          <t>- Kembali ke Data Browser stasiun yang sama.
- Filternya masih sama — tidak tereset.
- Halaman yang sedang dibuka juga tetap, atau setidaknya filternya dipertahankan sehingga baris itu mudah ditemukan lagi.</t>
        </is>
      </c>
      <c r="L732" s="18" t="inlineStr">
        <is>
          <t>Sedang</t>
        </is>
      </c>
      <c r="M732" s="21" t="inlineStr"/>
      <c r="N732" s="17" t="n"/>
      <c r="O732" s="17" t="n"/>
      <c r="P732" s="17" t="n"/>
      <c r="Q732" s="17" t="n"/>
      <c r="R732" s="17" t="n"/>
    </row>
    <row r="733" ht="109.6" customHeight="1">
      <c r="A733" s="22" t="n">
        <v>729</v>
      </c>
      <c r="B733" s="22" t="n">
        <v>3</v>
      </c>
      <c r="C733" s="23" t="inlineStr">
        <is>
          <t>WB-DTL-05 / Cages Track</t>
        </is>
      </c>
      <c r="D733" s="23" t="inlineStr">
        <is>
          <t>WB-DTL-05</t>
        </is>
      </c>
      <c r="E733" s="24" t="inlineStr">
        <is>
          <t>Cages Track</t>
        </is>
      </c>
      <c r="F733" s="5" t="inlineStr">
        <is>
          <t>Web — Data Stasiun (WB-)</t>
        </is>
      </c>
      <c r="G733" s="24" t="inlineStr">
        <is>
          <t>Back kembali ke Data Browser dengan filter yang masih sama</t>
        </is>
      </c>
      <c r="H733" s="5" t="inlineStr">
        <is>
          <t>SPV-A</t>
        </is>
      </c>
      <c r="I733" s="5" t="inlineStr">
        <is>
          <t>—</t>
        </is>
      </c>
      <c r="J733" s="5" t="inlineStr">
        <is>
          <t>1. Login di web, lalu sidebar &gt; Data &gt; Cages Track (/data/cages-track). Terapkan satu filter dan buka halaman 2.
2. Catat isi filter dan nomor halaman.
3. Klik satu baris untuk membuka Detail.
4. Tekan Back.
5. Bandingkan filter dan halaman dengan catatan langkah 2.</t>
        </is>
      </c>
      <c r="K733" s="5" t="inlineStr">
        <is>
          <t>- Kembali ke Data Browser stasiun yang sama.
- Filternya masih sama — tidak tereset.
- Halaman yang sedang dibuka juga tetap, atau setidaknya filternya dipertahankan sehingga baris itu mudah ditemukan lagi.</t>
        </is>
      </c>
      <c r="L733" s="22" t="inlineStr">
        <is>
          <t>Sedang</t>
        </is>
      </c>
      <c r="M733" s="5" t="inlineStr"/>
      <c r="N733" s="17" t="n"/>
      <c r="O733" s="17" t="n"/>
      <c r="P733" s="17" t="n"/>
      <c r="Q733" s="17" t="n"/>
      <c r="R733" s="17" t="n"/>
    </row>
    <row r="734" ht="109.6" customHeight="1">
      <c r="A734" s="18" t="n">
        <v>730</v>
      </c>
      <c r="B734" s="18" t="n">
        <v>3</v>
      </c>
      <c r="C734" s="19" t="inlineStr">
        <is>
          <t>WB-DTL-05 / Sterilizer</t>
        </is>
      </c>
      <c r="D734" s="19" t="inlineStr">
        <is>
          <t>WB-DTL-05</t>
        </is>
      </c>
      <c r="E734" s="20" t="inlineStr">
        <is>
          <t>Sterilizer</t>
        </is>
      </c>
      <c r="F734" s="21" t="inlineStr">
        <is>
          <t>Web — Data Stasiun (WB-)</t>
        </is>
      </c>
      <c r="G734" s="20" t="inlineStr">
        <is>
          <t>Back kembali ke Data Browser dengan filter yang masih sama</t>
        </is>
      </c>
      <c r="H734" s="21" t="inlineStr">
        <is>
          <t>SPV-A</t>
        </is>
      </c>
      <c r="I734" s="21" t="inlineStr">
        <is>
          <t>—</t>
        </is>
      </c>
      <c r="J734" s="21" t="inlineStr">
        <is>
          <t>1. Login di web, lalu sidebar &gt; Data &gt; Sterilizer (/data/sterilizer). Terapkan satu filter dan buka halaman 2.
2. Catat isi filter dan nomor halaman.
3. Klik satu baris untuk membuka Detail.
4. Tekan Back.
5. Bandingkan filter dan halaman dengan catatan langkah 2.</t>
        </is>
      </c>
      <c r="K734" s="21" t="inlineStr">
        <is>
          <t>- Kembali ke Data Browser stasiun yang sama.
- Filternya masih sama — tidak tereset.
- Halaman yang sedang dibuka juga tetap, atau setidaknya filternya dipertahankan sehingga baris itu mudah ditemukan lagi.</t>
        </is>
      </c>
      <c r="L734" s="18" t="inlineStr">
        <is>
          <t>Sedang</t>
        </is>
      </c>
      <c r="M734" s="21" t="inlineStr"/>
      <c r="N734" s="17" t="n"/>
      <c r="O734" s="17" t="n"/>
      <c r="P734" s="17" t="n"/>
      <c r="Q734" s="17" t="n"/>
      <c r="R734" s="17" t="n"/>
    </row>
    <row r="735" ht="109.6" customHeight="1">
      <c r="A735" s="22" t="n">
        <v>731</v>
      </c>
      <c r="B735" s="22" t="n">
        <v>3</v>
      </c>
      <c r="C735" s="23" t="inlineStr">
        <is>
          <t>WB-DTL-05 / Threshing</t>
        </is>
      </c>
      <c r="D735" s="23" t="inlineStr">
        <is>
          <t>WB-DTL-05</t>
        </is>
      </c>
      <c r="E735" s="24" t="inlineStr">
        <is>
          <t>Threshing</t>
        </is>
      </c>
      <c r="F735" s="5" t="inlineStr">
        <is>
          <t>Web — Data Stasiun (WB-)</t>
        </is>
      </c>
      <c r="G735" s="24" t="inlineStr">
        <is>
          <t>Back kembali ke Data Browser dengan filter yang masih sama</t>
        </is>
      </c>
      <c r="H735" s="5" t="inlineStr">
        <is>
          <t>SPV-A</t>
        </is>
      </c>
      <c r="I735" s="5" t="inlineStr">
        <is>
          <t>—</t>
        </is>
      </c>
      <c r="J735" s="5" t="inlineStr">
        <is>
          <t>1. Login di web, lalu sidebar &gt; Data &gt; Threshing (/data/threshing). Terapkan satu filter dan buka halaman 2.
2. Catat isi filter dan nomor halaman.
3. Klik satu baris untuk membuka Detail.
4. Tekan Back.
5. Bandingkan filter dan halaman dengan catatan langkah 2.</t>
        </is>
      </c>
      <c r="K735" s="5" t="inlineStr">
        <is>
          <t>- Kembali ke Data Browser stasiun yang sama.
- Filternya masih sama — tidak tereset.
- Halaman yang sedang dibuka juga tetap, atau setidaknya filternya dipertahankan sehingga baris itu mudah ditemukan lagi.</t>
        </is>
      </c>
      <c r="L735" s="22" t="inlineStr">
        <is>
          <t>Sedang</t>
        </is>
      </c>
      <c r="M735" s="5" t="inlineStr"/>
      <c r="N735" s="17" t="n"/>
      <c r="O735" s="17" t="n"/>
      <c r="P735" s="17" t="n"/>
      <c r="Q735" s="17" t="n"/>
      <c r="R735" s="17" t="n"/>
    </row>
    <row r="736" ht="109.6" customHeight="1">
      <c r="A736" s="18" t="n">
        <v>732</v>
      </c>
      <c r="B736" s="18" t="n">
        <v>3</v>
      </c>
      <c r="C736" s="19" t="inlineStr">
        <is>
          <t>WB-DTL-05 / Pressing</t>
        </is>
      </c>
      <c r="D736" s="19" t="inlineStr">
        <is>
          <t>WB-DTL-05</t>
        </is>
      </c>
      <c r="E736" s="20" t="inlineStr">
        <is>
          <t>Pressing</t>
        </is>
      </c>
      <c r="F736" s="21" t="inlineStr">
        <is>
          <t>Web — Data Stasiun (WB-)</t>
        </is>
      </c>
      <c r="G736" s="20" t="inlineStr">
        <is>
          <t>Back kembali ke Data Browser dengan filter yang masih sama</t>
        </is>
      </c>
      <c r="H736" s="21" t="inlineStr">
        <is>
          <t>SPV-A</t>
        </is>
      </c>
      <c r="I736" s="21" t="inlineStr">
        <is>
          <t>—</t>
        </is>
      </c>
      <c r="J736" s="21" t="inlineStr">
        <is>
          <t>1. Login di web, lalu sidebar &gt; Data &gt; Pressing (/data/pressing). Terapkan satu filter dan buka halaman 2.
2. Catat isi filter dan nomor halaman.
3. Klik satu baris untuk membuka Detail.
4. Tekan Back.
5. Bandingkan filter dan halaman dengan catatan langkah 2.</t>
        </is>
      </c>
      <c r="K736" s="21" t="inlineStr">
        <is>
          <t>- Kembali ke Data Browser stasiun yang sama.
- Filternya masih sama — tidak tereset.
- Halaman yang sedang dibuka juga tetap, atau setidaknya filternya dipertahankan sehingga baris itu mudah ditemukan lagi.</t>
        </is>
      </c>
      <c r="L736" s="18" t="inlineStr">
        <is>
          <t>Sedang</t>
        </is>
      </c>
      <c r="M736" s="21" t="inlineStr"/>
      <c r="N736" s="17" t="n"/>
      <c r="O736" s="17" t="n"/>
      <c r="P736" s="17" t="n"/>
      <c r="Q736" s="17" t="n"/>
      <c r="R736" s="17" t="n"/>
    </row>
    <row r="737" ht="109.6" customHeight="1">
      <c r="A737" s="22" t="n">
        <v>733</v>
      </c>
      <c r="B737" s="22" t="n">
        <v>3</v>
      </c>
      <c r="C737" s="23" t="inlineStr">
        <is>
          <t>WB-DTL-05 / Clarification</t>
        </is>
      </c>
      <c r="D737" s="23" t="inlineStr">
        <is>
          <t>WB-DTL-05</t>
        </is>
      </c>
      <c r="E737" s="24" t="inlineStr">
        <is>
          <t>Clarification</t>
        </is>
      </c>
      <c r="F737" s="5" t="inlineStr">
        <is>
          <t>Web — Data Stasiun (WB-)</t>
        </is>
      </c>
      <c r="G737" s="24" t="inlineStr">
        <is>
          <t>Back kembali ke Data Browser dengan filter yang masih sama</t>
        </is>
      </c>
      <c r="H737" s="5" t="inlineStr">
        <is>
          <t>SPV-A</t>
        </is>
      </c>
      <c r="I737" s="5" t="inlineStr">
        <is>
          <t>—</t>
        </is>
      </c>
      <c r="J737" s="5" t="inlineStr">
        <is>
          <t>1. Login di web, lalu sidebar &gt; Data &gt; Clarification (/data/clarification). Terapkan satu filter dan buka halaman 2.
2. Catat isi filter dan nomor halaman.
3. Klik satu baris untuk membuka Detail.
4. Tekan Back.
5. Bandingkan filter dan halaman dengan catatan langkah 2.</t>
        </is>
      </c>
      <c r="K737" s="5" t="inlineStr">
        <is>
          <t>- Kembali ke Data Browser stasiun yang sama.
- Filternya masih sama — tidak tereset.
- Halaman yang sedang dibuka juga tetap, atau setidaknya filternya dipertahankan sehingga baris itu mudah ditemukan lagi.</t>
        </is>
      </c>
      <c r="L737" s="22" t="inlineStr">
        <is>
          <t>Sedang</t>
        </is>
      </c>
      <c r="M737" s="5" t="inlineStr"/>
      <c r="N737" s="17" t="n"/>
      <c r="O737" s="17" t="n"/>
      <c r="P737" s="17" t="n"/>
      <c r="Q737" s="17" t="n"/>
      <c r="R737" s="17" t="n"/>
    </row>
    <row r="738" ht="109.6" customHeight="1">
      <c r="A738" s="18" t="n">
        <v>734</v>
      </c>
      <c r="B738" s="18" t="n">
        <v>3</v>
      </c>
      <c r="C738" s="19" t="inlineStr">
        <is>
          <t>WB-DTL-05 / Kernel Plant</t>
        </is>
      </c>
      <c r="D738" s="19" t="inlineStr">
        <is>
          <t>WB-DTL-05</t>
        </is>
      </c>
      <c r="E738" s="20" t="inlineStr">
        <is>
          <t>Kernel Plant</t>
        </is>
      </c>
      <c r="F738" s="21" t="inlineStr">
        <is>
          <t>Web — Data Stasiun (WB-)</t>
        </is>
      </c>
      <c r="G738" s="20" t="inlineStr">
        <is>
          <t>Back kembali ke Data Browser dengan filter yang masih sama</t>
        </is>
      </c>
      <c r="H738" s="21" t="inlineStr">
        <is>
          <t>SPV-A</t>
        </is>
      </c>
      <c r="I738" s="21" t="inlineStr">
        <is>
          <t>—</t>
        </is>
      </c>
      <c r="J738" s="21" t="inlineStr">
        <is>
          <t>1. Login di web, lalu sidebar &gt; Data &gt; Kernel Plant (/data/kernel-plant). Terapkan satu filter dan buka halaman 2.
2. Catat isi filter dan nomor halaman.
3. Klik satu baris untuk membuka Detail.
4. Tekan Back.
5. Bandingkan filter dan halaman dengan catatan langkah 2.</t>
        </is>
      </c>
      <c r="K738" s="21" t="inlineStr">
        <is>
          <t>- Kembali ke Data Browser stasiun yang sama.
- Filternya masih sama — tidak tereset.
- Halaman yang sedang dibuka juga tetap, atau setidaknya filternya dipertahankan sehingga baris itu mudah ditemukan lagi.</t>
        </is>
      </c>
      <c r="L738" s="18" t="inlineStr">
        <is>
          <t>Sedang</t>
        </is>
      </c>
      <c r="M738" s="21" t="inlineStr"/>
      <c r="N738" s="17" t="n"/>
      <c r="O738" s="17" t="n"/>
      <c r="P738" s="17" t="n"/>
      <c r="Q738" s="17" t="n"/>
      <c r="R738" s="17" t="n"/>
    </row>
    <row r="739" ht="109.6" customHeight="1">
      <c r="A739" s="22" t="n">
        <v>735</v>
      </c>
      <c r="B739" s="22" t="n">
        <v>3</v>
      </c>
      <c r="C739" s="23" t="inlineStr">
        <is>
          <t>WB-DTL-05 / Boiler Room</t>
        </is>
      </c>
      <c r="D739" s="23" t="inlineStr">
        <is>
          <t>WB-DTL-05</t>
        </is>
      </c>
      <c r="E739" s="24" t="inlineStr">
        <is>
          <t>Boiler Room</t>
        </is>
      </c>
      <c r="F739" s="5" t="inlineStr">
        <is>
          <t>Web — Data Stasiun (WB-)</t>
        </is>
      </c>
      <c r="G739" s="24" t="inlineStr">
        <is>
          <t>Back kembali ke Data Browser dengan filter yang masih sama</t>
        </is>
      </c>
      <c r="H739" s="5" t="inlineStr">
        <is>
          <t>SPV-A</t>
        </is>
      </c>
      <c r="I739" s="5" t="inlineStr">
        <is>
          <t>—</t>
        </is>
      </c>
      <c r="J739" s="5" t="inlineStr">
        <is>
          <t>1. Login di web, lalu sidebar &gt; Data &gt; Boiler Room (/data/boiler-room). Terapkan satu filter dan buka halaman 2.
2. Catat isi filter dan nomor halaman.
3. Klik satu baris untuk membuka Detail.
4. Tekan Back.
5. Bandingkan filter dan halaman dengan catatan langkah 2.</t>
        </is>
      </c>
      <c r="K739" s="5" t="inlineStr">
        <is>
          <t>- Kembali ke Data Browser stasiun yang sama.
- Filternya masih sama — tidak tereset.
- Halaman yang sedang dibuka juga tetap, atau setidaknya filternya dipertahankan sehingga baris itu mudah ditemukan lagi.</t>
        </is>
      </c>
      <c r="L739" s="22" t="inlineStr">
        <is>
          <t>Sedang</t>
        </is>
      </c>
      <c r="M739" s="5" t="inlineStr"/>
      <c r="N739" s="17" t="n"/>
      <c r="O739" s="17" t="n"/>
      <c r="P739" s="17" t="n"/>
      <c r="Q739" s="17" t="n"/>
      <c r="R739" s="17" t="n"/>
    </row>
    <row r="740" ht="109.6" customHeight="1">
      <c r="A740" s="18" t="n">
        <v>736</v>
      </c>
      <c r="B740" s="18" t="n">
        <v>3</v>
      </c>
      <c r="C740" s="19" t="inlineStr">
        <is>
          <t>WB-DTL-05 / Effluent Plant</t>
        </is>
      </c>
      <c r="D740" s="19" t="inlineStr">
        <is>
          <t>WB-DTL-05</t>
        </is>
      </c>
      <c r="E740" s="20" t="inlineStr">
        <is>
          <t>Effluent Plant</t>
        </is>
      </c>
      <c r="F740" s="21" t="inlineStr">
        <is>
          <t>Web — Data Stasiun (WB-)</t>
        </is>
      </c>
      <c r="G740" s="20" t="inlineStr">
        <is>
          <t>Back kembali ke Data Browser dengan filter yang masih sama</t>
        </is>
      </c>
      <c r="H740" s="21" t="inlineStr">
        <is>
          <t>SPV-A</t>
        </is>
      </c>
      <c r="I740" s="21" t="inlineStr">
        <is>
          <t>—</t>
        </is>
      </c>
      <c r="J740" s="21" t="inlineStr">
        <is>
          <t>1. Login di web, lalu sidebar &gt; Data &gt; Effluent Plant (/data/effluent-plant). Terapkan satu filter dan buka halaman 2.
2. Catat isi filter dan nomor halaman.
3. Klik satu baris untuk membuka Detail.
4. Tekan Back.
5. Bandingkan filter dan halaman dengan catatan langkah 2.</t>
        </is>
      </c>
      <c r="K740" s="21" t="inlineStr">
        <is>
          <t>- Kembali ke Data Browser stasiun yang sama.
- Filternya masih sama — tidak tereset.
- Halaman yang sedang dibuka juga tetap, atau setidaknya filternya dipertahankan sehingga baris itu mudah ditemukan lagi.</t>
        </is>
      </c>
      <c r="L740" s="18" t="inlineStr">
        <is>
          <t>Sedang</t>
        </is>
      </c>
      <c r="M740" s="21" t="inlineStr"/>
      <c r="N740" s="17" t="n"/>
      <c r="O740" s="17" t="n"/>
      <c r="P740" s="17" t="n"/>
      <c r="Q740" s="17" t="n"/>
      <c r="R740" s="17" t="n"/>
    </row>
    <row r="741" ht="109.6" customHeight="1">
      <c r="A741" s="11" t="n">
        <v>737</v>
      </c>
      <c r="B741" s="12" t="n">
        <v>1</v>
      </c>
      <c r="C741" s="13" t="inlineStr">
        <is>
          <t>WB-DTL-05 / Depricarping</t>
        </is>
      </c>
      <c r="D741" s="13" t="inlineStr">
        <is>
          <t>WB-DTL-05</t>
        </is>
      </c>
      <c r="E741" s="15" t="inlineStr">
        <is>
          <t>Depricarping</t>
        </is>
      </c>
      <c r="F741" s="14" t="inlineStr">
        <is>
          <t>Web — Data Stasiun (WB-)</t>
        </is>
      </c>
      <c r="G741" s="15" t="inlineStr">
        <is>
          <t>Back kembali ke Data Browser dengan filter yang masih sama</t>
        </is>
      </c>
      <c r="H741" s="14" t="inlineStr">
        <is>
          <t>SPV-A</t>
        </is>
      </c>
      <c r="I741" s="14" t="inlineStr">
        <is>
          <t>—</t>
        </is>
      </c>
      <c r="J741" s="14" t="inlineStr">
        <is>
          <t>1. Login di web, lalu sidebar &gt; Data &gt; Depricarping (/data/depricarping). Terapkan satu filter dan buka halaman 2.
2. Catat isi filter dan nomor halaman.
3. Klik satu baris untuk membuka Detail.
4. Tekan Back.
5. Bandingkan filter dan halaman dengan catatan langkah 2.</t>
        </is>
      </c>
      <c r="K741" s="14" t="inlineStr">
        <is>
          <t>- Kembali ke Data Browser stasiun yang sama.
- Filternya masih sama — tidak tereset.
- Halaman yang sedang dibuka juga tetap, atau setidaknya filternya dipertahankan sehingga baris itu mudah ditemukan lagi.</t>
        </is>
      </c>
      <c r="L741" s="11" t="inlineStr">
        <is>
          <t>Sedang</t>
        </is>
      </c>
      <c r="M741" s="14" t="inlineStr"/>
      <c r="N741" s="17" t="n"/>
      <c r="O741" s="17" t="n"/>
      <c r="P741" s="17" t="n"/>
      <c r="Q741" s="17" t="n"/>
      <c r="R741" s="17" t="n"/>
    </row>
    <row r="742" ht="109.6" customHeight="1">
      <c r="A742" s="18" t="n">
        <v>738</v>
      </c>
      <c r="B742" s="18" t="n">
        <v>3</v>
      </c>
      <c r="C742" s="19" t="inlineStr">
        <is>
          <t>WB-DTL-05 / Engine Room</t>
        </is>
      </c>
      <c r="D742" s="19" t="inlineStr">
        <is>
          <t>WB-DTL-05</t>
        </is>
      </c>
      <c r="E742" s="20" t="inlineStr">
        <is>
          <t>Engine Room</t>
        </is>
      </c>
      <c r="F742" s="21" t="inlineStr">
        <is>
          <t>Web — Data Stasiun (WB-)</t>
        </is>
      </c>
      <c r="G742" s="20" t="inlineStr">
        <is>
          <t>Back kembali ke Data Browser dengan filter yang masih sama</t>
        </is>
      </c>
      <c r="H742" s="21" t="inlineStr">
        <is>
          <t>SPV-A</t>
        </is>
      </c>
      <c r="I742" s="21" t="inlineStr">
        <is>
          <t>—</t>
        </is>
      </c>
      <c r="J742" s="21" t="inlineStr">
        <is>
          <t>1. Login di web, lalu sidebar &gt; Data &gt; Engine Room (/data/engine-room). Terapkan satu filter dan buka halaman 2.
2. Catat isi filter dan nomor halaman.
3. Klik satu baris untuk membuka Detail.
4. Tekan Back.
5. Bandingkan filter dan halaman dengan catatan langkah 2.</t>
        </is>
      </c>
      <c r="K742" s="21" t="inlineStr">
        <is>
          <t>- Kembali ke Data Browser stasiun yang sama.
- Filternya masih sama — tidak tereset.
- Halaman yang sedang dibuka juga tetap, atau setidaknya filternya dipertahankan sehingga baris itu mudah ditemukan lagi.</t>
        </is>
      </c>
      <c r="L742" s="18" t="inlineStr">
        <is>
          <t>Sedang</t>
        </is>
      </c>
      <c r="M742" s="21" t="inlineStr"/>
      <c r="N742" s="17" t="n"/>
      <c r="O742" s="17" t="n"/>
      <c r="P742" s="17" t="n"/>
      <c r="Q742" s="17" t="n"/>
      <c r="R742" s="17" t="n"/>
    </row>
    <row r="743" ht="109.6" customHeight="1">
      <c r="A743" s="22" t="n">
        <v>739</v>
      </c>
      <c r="B743" s="22" t="n">
        <v>3</v>
      </c>
      <c r="C743" s="23" t="inlineStr">
        <is>
          <t>WB-DTL-05 / Process Water</t>
        </is>
      </c>
      <c r="D743" s="23" t="inlineStr">
        <is>
          <t>WB-DTL-05</t>
        </is>
      </c>
      <c r="E743" s="24" t="inlineStr">
        <is>
          <t>Process Water</t>
        </is>
      </c>
      <c r="F743" s="5" t="inlineStr">
        <is>
          <t>Web — Data Stasiun (WB-)</t>
        </is>
      </c>
      <c r="G743" s="24" t="inlineStr">
        <is>
          <t>Back kembali ke Data Browser dengan filter yang masih sama</t>
        </is>
      </c>
      <c r="H743" s="5" t="inlineStr">
        <is>
          <t>SPV-A</t>
        </is>
      </c>
      <c r="I743" s="5" t="inlineStr">
        <is>
          <t>—</t>
        </is>
      </c>
      <c r="J743" s="5" t="inlineStr">
        <is>
          <t>1. Login di web, lalu sidebar &gt; Data &gt; Process Water (/data/process-water). Terapkan satu filter dan buka halaman 2.
2. Catat isi filter dan nomor halaman.
3. Klik satu baris untuk membuka Detail.
4. Tekan Back.
5. Bandingkan filter dan halaman dengan catatan langkah 2.</t>
        </is>
      </c>
      <c r="K743" s="5" t="inlineStr">
        <is>
          <t>- Kembali ke Data Browser stasiun yang sama.
- Filternya masih sama — tidak tereset.
- Halaman yang sedang dibuka juga tetap, atau setidaknya filternya dipertahankan sehingga baris itu mudah ditemukan lagi.</t>
        </is>
      </c>
      <c r="L743" s="22" t="inlineStr">
        <is>
          <t>Sedang</t>
        </is>
      </c>
      <c r="M743" s="5" t="inlineStr"/>
      <c r="N743" s="17" t="n"/>
      <c r="O743" s="17" t="n"/>
      <c r="P743" s="17" t="n"/>
      <c r="Q743" s="17" t="n"/>
      <c r="R743" s="17" t="n"/>
    </row>
    <row r="744" ht="109.6" customHeight="1">
      <c r="A744" s="18" t="n">
        <v>740</v>
      </c>
      <c r="B744" s="18" t="n">
        <v>3</v>
      </c>
      <c r="C744" s="19" t="inlineStr">
        <is>
          <t>WB-DTL-05 / Storage Tank</t>
        </is>
      </c>
      <c r="D744" s="19" t="inlineStr">
        <is>
          <t>WB-DTL-05</t>
        </is>
      </c>
      <c r="E744" s="20" t="inlineStr">
        <is>
          <t>Storage Tank</t>
        </is>
      </c>
      <c r="F744" s="21" t="inlineStr">
        <is>
          <t>Web — Data Stasiun (WB-)</t>
        </is>
      </c>
      <c r="G744" s="20" t="inlineStr">
        <is>
          <t>Back kembali ke Data Browser dengan filter yang masih sama</t>
        </is>
      </c>
      <c r="H744" s="21" t="inlineStr">
        <is>
          <t>SPV-A</t>
        </is>
      </c>
      <c r="I744" s="21" t="inlineStr">
        <is>
          <t>—</t>
        </is>
      </c>
      <c r="J744" s="21" t="inlineStr">
        <is>
          <t>1. Login di web, lalu sidebar &gt; Data &gt; Storage Tank (/data/storage-tank). Terapkan satu filter dan buka halaman 2.
2. Catat isi filter dan nomor halaman.
3. Klik satu baris untuk membuka Detail.
4. Tekan Back.
5. Bandingkan filter dan halaman dengan catatan langkah 2.</t>
        </is>
      </c>
      <c r="K744" s="21" t="inlineStr">
        <is>
          <t>- Kembali ke Data Browser stasiun yang sama.
- Filternya masih sama — tidak tereset.
- Halaman yang sedang dibuka juga tetap, atau setidaknya filternya dipertahankan sehingga baris itu mudah ditemukan lagi.</t>
        </is>
      </c>
      <c r="L744" s="18" t="inlineStr">
        <is>
          <t>Sedang</t>
        </is>
      </c>
      <c r="M744" s="21" t="inlineStr"/>
      <c r="N744" s="17" t="n"/>
      <c r="O744" s="17" t="n"/>
      <c r="P744" s="17" t="n"/>
      <c r="Q744" s="17" t="n"/>
      <c r="R744" s="17" t="n"/>
    </row>
    <row r="745" ht="109.6" customHeight="1">
      <c r="A745" s="22" t="n">
        <v>741</v>
      </c>
      <c r="B745" s="22" t="n">
        <v>3</v>
      </c>
      <c r="C745" s="23" t="inlineStr">
        <is>
          <t>WB-DTL-05 / Solid Waste Disposal</t>
        </is>
      </c>
      <c r="D745" s="23" t="inlineStr">
        <is>
          <t>WB-DTL-05</t>
        </is>
      </c>
      <c r="E745" s="24" t="inlineStr">
        <is>
          <t>Solid Waste Disposal</t>
        </is>
      </c>
      <c r="F745" s="5" t="inlineStr">
        <is>
          <t>Web — Data Stasiun (WB-)</t>
        </is>
      </c>
      <c r="G745" s="24" t="inlineStr">
        <is>
          <t>Back kembali ke Data Browser dengan filter yang masih sama</t>
        </is>
      </c>
      <c r="H745" s="5" t="inlineStr">
        <is>
          <t>SPV-A</t>
        </is>
      </c>
      <c r="I745" s="5" t="inlineStr">
        <is>
          <t>—</t>
        </is>
      </c>
      <c r="J745" s="5" t="inlineStr">
        <is>
          <t>1. Login di web, lalu sidebar &gt; Data &gt; Solid Waste Disposal (/data/solid-waste-disposal). Terapkan satu filter dan buka halaman 2.
2. Catat isi filter dan nomor halaman.
3. Klik satu baris untuk membuka Detail.
4. Tekan Back.
5. Bandingkan filter dan halaman dengan catatan langkah 2.</t>
        </is>
      </c>
      <c r="K745" s="5" t="inlineStr">
        <is>
          <t>- Kembali ke Data Browser stasiun yang sama.
- Filternya masih sama — tidak tereset.
- Halaman yang sedang dibuka juga tetap, atau setidaknya filternya dipertahankan sehingga baris itu mudah ditemukan lagi.</t>
        </is>
      </c>
      <c r="L745" s="22" t="inlineStr">
        <is>
          <t>Sedang</t>
        </is>
      </c>
      <c r="M745" s="5" t="inlineStr"/>
      <c r="N745" s="17" t="n"/>
      <c r="O745" s="17" t="n"/>
      <c r="P745" s="17" t="n"/>
      <c r="Q745" s="17" t="n"/>
      <c r="R745" s="17" t="n"/>
    </row>
    <row r="746" ht="109.6" customHeight="1">
      <c r="A746" s="18" t="n">
        <v>742</v>
      </c>
      <c r="B746" s="18" t="n">
        <v>3</v>
      </c>
      <c r="C746" s="19" t="inlineStr">
        <is>
          <t>WB-DTL-05 / Kernel Dispatch</t>
        </is>
      </c>
      <c r="D746" s="19" t="inlineStr">
        <is>
          <t>WB-DTL-05</t>
        </is>
      </c>
      <c r="E746" s="20" t="inlineStr">
        <is>
          <t>Kernel Dispatch</t>
        </is>
      </c>
      <c r="F746" s="21" t="inlineStr">
        <is>
          <t>Web — Data Stasiun (WB-)</t>
        </is>
      </c>
      <c r="G746" s="20" t="inlineStr">
        <is>
          <t>Back kembali ke Data Browser dengan filter yang masih sama</t>
        </is>
      </c>
      <c r="H746" s="21" t="inlineStr">
        <is>
          <t>SPV-A</t>
        </is>
      </c>
      <c r="I746" s="21" t="inlineStr">
        <is>
          <t>—</t>
        </is>
      </c>
      <c r="J746" s="21" t="inlineStr">
        <is>
          <t>1. Login di web, lalu sidebar &gt; Data &gt; Kernel Dispatch (/data/kernel-dispatch). Terapkan satu filter dan buka halaman 2.
2. Catat isi filter dan nomor halaman.
3. Klik satu baris untuk membuka Detail.
4. Tekan Back.
5. Bandingkan filter dan halaman dengan catatan langkah 2.</t>
        </is>
      </c>
      <c r="K746" s="21" t="inlineStr">
        <is>
          <t>- Kembali ke Data Browser stasiun yang sama.
- Filternya masih sama — tidak tereset.
- Halaman yang sedang dibuka juga tetap, atau setidaknya filternya dipertahankan sehingga baris itu mudah ditemukan lagi.</t>
        </is>
      </c>
      <c r="L746" s="18" t="inlineStr">
        <is>
          <t>Sedang</t>
        </is>
      </c>
      <c r="M746" s="21" t="inlineStr"/>
      <c r="N746" s="17" t="n"/>
      <c r="O746" s="17" t="n"/>
      <c r="P746" s="17" t="n"/>
      <c r="Q746" s="17" t="n"/>
      <c r="R746" s="17" t="n"/>
    </row>
    <row r="747" ht="109.6" customHeight="1">
      <c r="A747" s="22" t="n">
        <v>743</v>
      </c>
      <c r="B747" s="22" t="n">
        <v>3</v>
      </c>
      <c r="C747" s="23" t="inlineStr">
        <is>
          <t>WB-DTL-05 / CPO Dispatch</t>
        </is>
      </c>
      <c r="D747" s="23" t="inlineStr">
        <is>
          <t>WB-DTL-05</t>
        </is>
      </c>
      <c r="E747" s="24" t="inlineStr">
        <is>
          <t>CPO Dispatch</t>
        </is>
      </c>
      <c r="F747" s="5" t="inlineStr">
        <is>
          <t>Web — Data Stasiun (WB-)</t>
        </is>
      </c>
      <c r="G747" s="24" t="inlineStr">
        <is>
          <t>Back kembali ke Data Browser dengan filter yang masih sama</t>
        </is>
      </c>
      <c r="H747" s="5" t="inlineStr">
        <is>
          <t>SPV-A</t>
        </is>
      </c>
      <c r="I747" s="5" t="inlineStr">
        <is>
          <t>—</t>
        </is>
      </c>
      <c r="J747" s="5" t="inlineStr">
        <is>
          <t>1. Login di web, lalu sidebar &gt; Data &gt; CPO Dispatch (/data/cpo-dispatch). Terapkan satu filter dan buka halaman 2.
2. Catat isi filter dan nomor halaman.
3. Klik satu baris untuk membuka Detail.
4. Tekan Back.
5. Bandingkan filter dan halaman dengan catatan langkah 2.</t>
        </is>
      </c>
      <c r="K747" s="5" t="inlineStr">
        <is>
          <t>- Kembali ke Data Browser stasiun yang sama.
- Filternya masih sama — tidak tereset.
- Halaman yang sedang dibuka juga tetap, atau setidaknya filternya dipertahankan sehingga baris itu mudah ditemukan lagi.</t>
        </is>
      </c>
      <c r="L747" s="22" t="inlineStr">
        <is>
          <t>Sedang</t>
        </is>
      </c>
      <c r="M747" s="5" t="inlineStr"/>
      <c r="N747" s="17" t="n"/>
      <c r="O747" s="17" t="n"/>
      <c r="P747" s="17" t="n"/>
      <c r="Q747" s="17" t="n"/>
      <c r="R747" s="17" t="n"/>
    </row>
    <row r="748" ht="122.8" customHeight="1">
      <c r="A748" s="18" t="n">
        <v>744</v>
      </c>
      <c r="B748" s="18" t="n">
        <v>3</v>
      </c>
      <c r="C748" s="19" t="inlineStr">
        <is>
          <t>WB-DTL-05 / Process Quality Control</t>
        </is>
      </c>
      <c r="D748" s="19" t="inlineStr">
        <is>
          <t>WB-DTL-05</t>
        </is>
      </c>
      <c r="E748" s="20" t="inlineStr">
        <is>
          <t>Process Quality Control</t>
        </is>
      </c>
      <c r="F748" s="21" t="inlineStr">
        <is>
          <t>Web — Data Stasiun (WB-)</t>
        </is>
      </c>
      <c r="G748" s="20" t="inlineStr">
        <is>
          <t>Back kembali ke Data Browser dengan filter yang masih sama</t>
        </is>
      </c>
      <c r="H748" s="21" t="inlineStr">
        <is>
          <t>SPV-A</t>
        </is>
      </c>
      <c r="I748" s="21" t="inlineStr">
        <is>
          <t>—</t>
        </is>
      </c>
      <c r="J748" s="21" t="inlineStr">
        <is>
          <t>1. Login di web, lalu sidebar &gt; Data &gt; Process Quality Control (/data/process-quality-control). Terapkan satu filter dan buka halaman 2.
2. Catat isi filter dan nomor halaman.
3. Klik satu baris untuk membuka Detail.
4. Tekan Back.
5. Bandingkan filter dan halaman dengan catatan langkah 2.</t>
        </is>
      </c>
      <c r="K748" s="21" t="inlineStr">
        <is>
          <t>- Kembali ke Data Browser stasiun yang sama.
- Filternya masih sama — tidak tereset.
- Halaman yang sedang dibuka juga tetap, atau setidaknya filternya dipertahankan sehingga baris itu mudah ditemukan lagi.</t>
        </is>
      </c>
      <c r="L748" s="18" t="inlineStr">
        <is>
          <t>Sedang</t>
        </is>
      </c>
      <c r="M748" s="21" t="inlineStr"/>
      <c r="N748" s="17" t="n"/>
      <c r="O748" s="17" t="n"/>
      <c r="P748" s="17" t="n"/>
      <c r="Q748" s="17" t="n"/>
      <c r="R748" s="17" t="n"/>
    </row>
    <row r="749" ht="149.2" customHeight="1">
      <c r="A749" s="25" t="n">
        <v>745</v>
      </c>
      <c r="B749" s="26" t="n">
        <v>2</v>
      </c>
      <c r="C749" s="27" t="inlineStr">
        <is>
          <t>WB-FRM-01 / Weighbridge</t>
        </is>
      </c>
      <c r="D749" s="27" t="inlineStr">
        <is>
          <t>WB-FRM-01</t>
        </is>
      </c>
      <c r="E749" s="28" t="inlineStr">
        <is>
          <t>Weighbridge</t>
        </is>
      </c>
      <c r="F749" s="29" t="inlineStr">
        <is>
          <t>Web — Data Stasiun (WB-)</t>
        </is>
      </c>
      <c r="G749" s="28" t="inlineStr">
        <is>
          <t>Simpan berhasil, status langsung Tersimpan</t>
        </is>
      </c>
      <c r="H749" s="29" t="inlineStr">
        <is>
          <t>SPV-A</t>
        </is>
      </c>
      <c r="I749" s="29" t="inlineStr">
        <is>
          <t>periode Terbuka</t>
        </is>
      </c>
      <c r="J749" s="29" t="inlineStr">
        <is>
          <t>1. Pastikan periode stasiun ini Terbuka.
2. Login di web, buka /data/weighbridge (Weighbridge), lalu tekan Tambah (/data/weighbridge/create) sebagai SPV-A.
3. Pilih Production Line, isi kolom identitas, isi tanggal.
4. Tambah satu baris slot waktu dan isi satu kolom bacaan.
5. Tekan Simpan.
6. Cari record itu di Data Browser dan baca kolom Status.</t>
        </is>
      </c>
      <c r="K749" s="29" t="inlineStr">
        <is>
          <t>- Simpan berhasil, dengan pesan konfirmasi.
- Status record langsung Tersimpan — bukan Draft, karena input web tidak punya alur draft.
- Record muncul di Data Browser tanpa perlu muat ulang manual.</t>
        </is>
      </c>
      <c r="L749" s="16" t="inlineStr">
        <is>
          <t>Tinggi</t>
        </is>
      </c>
      <c r="M749" s="29" t="inlineStr"/>
      <c r="N749" s="17" t="n"/>
      <c r="O749" s="17" t="n"/>
      <c r="P749" s="17" t="n"/>
      <c r="Q749" s="17" t="n"/>
      <c r="R749" s="17" t="n"/>
    </row>
    <row r="750" ht="149.2" customHeight="1">
      <c r="A750" s="25" t="n">
        <v>746</v>
      </c>
      <c r="B750" s="26" t="n">
        <v>2</v>
      </c>
      <c r="C750" s="27" t="inlineStr">
        <is>
          <t>WB-FRM-01 / Grading</t>
        </is>
      </c>
      <c r="D750" s="27" t="inlineStr">
        <is>
          <t>WB-FRM-01</t>
        </is>
      </c>
      <c r="E750" s="28" t="inlineStr">
        <is>
          <t>Grading</t>
        </is>
      </c>
      <c r="F750" s="29" t="inlineStr">
        <is>
          <t>Web — Data Stasiun (WB-)</t>
        </is>
      </c>
      <c r="G750" s="28" t="inlineStr">
        <is>
          <t>Simpan berhasil, status langsung Tersimpan</t>
        </is>
      </c>
      <c r="H750" s="29" t="inlineStr">
        <is>
          <t>SPV-A</t>
        </is>
      </c>
      <c r="I750" s="29" t="inlineStr">
        <is>
          <t>periode Terbuka</t>
        </is>
      </c>
      <c r="J750" s="29" t="inlineStr">
        <is>
          <t>1. Pastikan periode stasiun ini Terbuka.
2. Login di web, buka /data/grading (Grading), lalu tekan Tambah (/data/grading/create) sebagai SPV-A.
3. Pilih Production Line, isi kolom identitas, isi tanggal.
4. Tambah satu baris slot waktu dan isi satu kolom bacaan.
5. Tekan Simpan.
6. Cari record itu di Data Browser dan baca kolom Status.</t>
        </is>
      </c>
      <c r="K750" s="29" t="inlineStr">
        <is>
          <t>- Simpan berhasil, dengan pesan konfirmasi.
- Status record langsung Tersimpan — bukan Draft, karena input web tidak punya alur draft.
- Record muncul di Data Browser tanpa perlu muat ulang manual.</t>
        </is>
      </c>
      <c r="L750" s="16" t="inlineStr">
        <is>
          <t>Tinggi</t>
        </is>
      </c>
      <c r="M750" s="29" t="inlineStr"/>
      <c r="N750" s="17" t="n"/>
      <c r="O750" s="17" t="n"/>
      <c r="P750" s="17" t="n"/>
      <c r="Q750" s="17" t="n"/>
      <c r="R750" s="17" t="n"/>
    </row>
    <row r="751" ht="149.2" customHeight="1">
      <c r="A751" s="25" t="n">
        <v>747</v>
      </c>
      <c r="B751" s="26" t="n">
        <v>2</v>
      </c>
      <c r="C751" s="27" t="inlineStr">
        <is>
          <t>WB-FRM-01 / Cages Track</t>
        </is>
      </c>
      <c r="D751" s="27" t="inlineStr">
        <is>
          <t>WB-FRM-01</t>
        </is>
      </c>
      <c r="E751" s="28" t="inlineStr">
        <is>
          <t>Cages Track</t>
        </is>
      </c>
      <c r="F751" s="29" t="inlineStr">
        <is>
          <t>Web — Data Stasiun (WB-)</t>
        </is>
      </c>
      <c r="G751" s="28" t="inlineStr">
        <is>
          <t>Simpan berhasil, status langsung Tersimpan</t>
        </is>
      </c>
      <c r="H751" s="29" t="inlineStr">
        <is>
          <t>SPV-A</t>
        </is>
      </c>
      <c r="I751" s="29" t="inlineStr">
        <is>
          <t>periode Terbuka</t>
        </is>
      </c>
      <c r="J751" s="29" t="inlineStr">
        <is>
          <t>1. Pastikan periode stasiun ini Terbuka.
2. Login di web, buka /data/cages-track (Cages Track), lalu tekan Tambah (/data/cages-track/create) sebagai SPV-A.
3. Pilih Production Line, isi kolom identitas, isi tanggal.
4. Tambah satu baris slot waktu dan isi satu kolom bacaan.
5. Tekan Simpan.
6. Cari record itu di Data Browser dan baca kolom Status.</t>
        </is>
      </c>
      <c r="K751" s="29" t="inlineStr">
        <is>
          <t>- Simpan berhasil, dengan pesan konfirmasi.
- Status record langsung Tersimpan — bukan Draft, karena input web tidak punya alur draft.
- Record muncul di Data Browser tanpa perlu muat ulang manual.</t>
        </is>
      </c>
      <c r="L751" s="16" t="inlineStr">
        <is>
          <t>Tinggi</t>
        </is>
      </c>
      <c r="M751" s="29" t="inlineStr"/>
      <c r="N751" s="17" t="n"/>
      <c r="O751" s="17" t="n"/>
      <c r="P751" s="17" t="n"/>
      <c r="Q751" s="17" t="n"/>
      <c r="R751" s="17" t="n"/>
    </row>
    <row r="752" ht="149.2" customHeight="1">
      <c r="A752" s="25" t="n">
        <v>748</v>
      </c>
      <c r="B752" s="26" t="n">
        <v>2</v>
      </c>
      <c r="C752" s="27" t="inlineStr">
        <is>
          <t>WB-FRM-01 / Sterilizer</t>
        </is>
      </c>
      <c r="D752" s="27" t="inlineStr">
        <is>
          <t>WB-FRM-01</t>
        </is>
      </c>
      <c r="E752" s="28" t="inlineStr">
        <is>
          <t>Sterilizer</t>
        </is>
      </c>
      <c r="F752" s="29" t="inlineStr">
        <is>
          <t>Web — Data Stasiun (WB-)</t>
        </is>
      </c>
      <c r="G752" s="28" t="inlineStr">
        <is>
          <t>Simpan berhasil, status langsung Tersimpan</t>
        </is>
      </c>
      <c r="H752" s="29" t="inlineStr">
        <is>
          <t>SPV-A</t>
        </is>
      </c>
      <c r="I752" s="29" t="inlineStr">
        <is>
          <t>periode Terbuka</t>
        </is>
      </c>
      <c r="J752" s="29" t="inlineStr">
        <is>
          <t>1. Pastikan periode stasiun ini Terbuka.
2. Login di web, buka /data/sterilizer (Sterilizer), lalu tekan Tambah (/data/sterilizer/create) sebagai SPV-A.
3. Pilih Production Line, isi kolom identitas, isi tanggal.
4. Tambah satu baris slot waktu dan isi satu kolom bacaan.
5. Tekan Simpan.
6. Cari record itu di Data Browser dan baca kolom Status.</t>
        </is>
      </c>
      <c r="K752" s="29" t="inlineStr">
        <is>
          <t>- Simpan berhasil, dengan pesan konfirmasi.
- Status record langsung Tersimpan — bukan Draft, karena input web tidak punya alur draft.
- Record muncul di Data Browser tanpa perlu muat ulang manual.</t>
        </is>
      </c>
      <c r="L752" s="16" t="inlineStr">
        <is>
          <t>Tinggi</t>
        </is>
      </c>
      <c r="M752" s="29" t="inlineStr"/>
      <c r="N752" s="17" t="n"/>
      <c r="O752" s="17" t="n"/>
      <c r="P752" s="17" t="n"/>
      <c r="Q752" s="17" t="n"/>
      <c r="R752" s="17" t="n"/>
    </row>
    <row r="753" ht="149.2" customHeight="1">
      <c r="A753" s="25" t="n">
        <v>749</v>
      </c>
      <c r="B753" s="26" t="n">
        <v>2</v>
      </c>
      <c r="C753" s="27" t="inlineStr">
        <is>
          <t>WB-FRM-01 / Threshing</t>
        </is>
      </c>
      <c r="D753" s="27" t="inlineStr">
        <is>
          <t>WB-FRM-01</t>
        </is>
      </c>
      <c r="E753" s="28" t="inlineStr">
        <is>
          <t>Threshing</t>
        </is>
      </c>
      <c r="F753" s="29" t="inlineStr">
        <is>
          <t>Web — Data Stasiun (WB-)</t>
        </is>
      </c>
      <c r="G753" s="28" t="inlineStr">
        <is>
          <t>Simpan berhasil, status langsung Tersimpan</t>
        </is>
      </c>
      <c r="H753" s="29" t="inlineStr">
        <is>
          <t>SPV-A</t>
        </is>
      </c>
      <c r="I753" s="29" t="inlineStr">
        <is>
          <t>periode Terbuka</t>
        </is>
      </c>
      <c r="J753" s="29" t="inlineStr">
        <is>
          <t>1. Pastikan periode stasiun ini Terbuka.
2. Login di web, buka /data/threshing (Threshing), lalu tekan Tambah (/data/threshing/create) sebagai SPV-A.
3. Pilih Production Line, isi kolom identitas, isi tanggal.
4. Tambah satu baris slot waktu dan isi satu kolom bacaan.
5. Tekan Simpan.
6. Cari record itu di Data Browser dan baca kolom Status.</t>
        </is>
      </c>
      <c r="K753" s="29" t="inlineStr">
        <is>
          <t>- Simpan berhasil, dengan pesan konfirmasi.
- Status record langsung Tersimpan — bukan Draft, karena input web tidak punya alur draft.
- Record muncul di Data Browser tanpa perlu muat ulang manual.</t>
        </is>
      </c>
      <c r="L753" s="16" t="inlineStr">
        <is>
          <t>Tinggi</t>
        </is>
      </c>
      <c r="M753" s="29" t="inlineStr"/>
      <c r="N753" s="17" t="n"/>
      <c r="O753" s="17" t="n"/>
      <c r="P753" s="17" t="n"/>
      <c r="Q753" s="17" t="n"/>
      <c r="R753" s="17" t="n"/>
    </row>
    <row r="754" ht="149.2" customHeight="1">
      <c r="A754" s="25" t="n">
        <v>750</v>
      </c>
      <c r="B754" s="26" t="n">
        <v>2</v>
      </c>
      <c r="C754" s="27" t="inlineStr">
        <is>
          <t>WB-FRM-01 / Pressing</t>
        </is>
      </c>
      <c r="D754" s="27" t="inlineStr">
        <is>
          <t>WB-FRM-01</t>
        </is>
      </c>
      <c r="E754" s="28" t="inlineStr">
        <is>
          <t>Pressing</t>
        </is>
      </c>
      <c r="F754" s="29" t="inlineStr">
        <is>
          <t>Web — Data Stasiun (WB-)</t>
        </is>
      </c>
      <c r="G754" s="28" t="inlineStr">
        <is>
          <t>Simpan berhasil, status langsung Tersimpan</t>
        </is>
      </c>
      <c r="H754" s="29" t="inlineStr">
        <is>
          <t>SPV-A</t>
        </is>
      </c>
      <c r="I754" s="29" t="inlineStr">
        <is>
          <t>periode Terbuka</t>
        </is>
      </c>
      <c r="J754" s="29" t="inlineStr">
        <is>
          <t>1. Pastikan periode stasiun ini Terbuka.
2. Login di web, buka /data/pressing (Pressing), lalu tekan Tambah (/data/pressing/create) sebagai SPV-A.
3. Pilih Production Line, isi kolom identitas, isi tanggal.
4. Tambah satu baris slot waktu dan isi satu kolom bacaan.
5. Tekan Simpan.
6. Cari record itu di Data Browser dan baca kolom Status.</t>
        </is>
      </c>
      <c r="K754" s="29" t="inlineStr">
        <is>
          <t>- Simpan berhasil, dengan pesan konfirmasi.
- Status record langsung Tersimpan — bukan Draft, karena input web tidak punya alur draft.
- Record muncul di Data Browser tanpa perlu muat ulang manual.</t>
        </is>
      </c>
      <c r="L754" s="16" t="inlineStr">
        <is>
          <t>Tinggi</t>
        </is>
      </c>
      <c r="M754" s="29" t="inlineStr"/>
      <c r="N754" s="17" t="n"/>
      <c r="O754" s="17" t="n"/>
      <c r="P754" s="17" t="n"/>
      <c r="Q754" s="17" t="n"/>
      <c r="R754" s="17" t="n"/>
    </row>
    <row r="755" ht="149.2" customHeight="1">
      <c r="A755" s="25" t="n">
        <v>751</v>
      </c>
      <c r="B755" s="26" t="n">
        <v>2</v>
      </c>
      <c r="C755" s="27" t="inlineStr">
        <is>
          <t>WB-FRM-01 / Clarification</t>
        </is>
      </c>
      <c r="D755" s="27" t="inlineStr">
        <is>
          <t>WB-FRM-01</t>
        </is>
      </c>
      <c r="E755" s="28" t="inlineStr">
        <is>
          <t>Clarification</t>
        </is>
      </c>
      <c r="F755" s="29" t="inlineStr">
        <is>
          <t>Web — Data Stasiun (WB-)</t>
        </is>
      </c>
      <c r="G755" s="28" t="inlineStr">
        <is>
          <t>Simpan berhasil, status langsung Tersimpan</t>
        </is>
      </c>
      <c r="H755" s="29" t="inlineStr">
        <is>
          <t>SPV-A</t>
        </is>
      </c>
      <c r="I755" s="29" t="inlineStr">
        <is>
          <t>periode Terbuka</t>
        </is>
      </c>
      <c r="J755" s="29" t="inlineStr">
        <is>
          <t>1. Pastikan periode stasiun ini Terbuka.
2. Login di web, buka /data/clarification (Clarification), lalu tekan Tambah (/data/clarification/create) sebagai SPV-A.
3. Pilih Production Line, isi kolom identitas, isi tanggal.
4. Tambah satu baris slot waktu dan isi satu kolom bacaan.
5. Tekan Simpan.
6. Cari record itu di Data Browser dan baca kolom Status.</t>
        </is>
      </c>
      <c r="K755" s="29" t="inlineStr">
        <is>
          <t>- Simpan berhasil, dengan pesan konfirmasi.
- Status record langsung Tersimpan — bukan Draft, karena input web tidak punya alur draft.
- Record muncul di Data Browser tanpa perlu muat ulang manual.</t>
        </is>
      </c>
      <c r="L755" s="16" t="inlineStr">
        <is>
          <t>Tinggi</t>
        </is>
      </c>
      <c r="M755" s="29" t="inlineStr"/>
      <c r="N755" s="17" t="n"/>
      <c r="O755" s="17" t="n"/>
      <c r="P755" s="17" t="n"/>
      <c r="Q755" s="17" t="n"/>
      <c r="R755" s="17" t="n"/>
    </row>
    <row r="756" ht="149.2" customHeight="1">
      <c r="A756" s="25" t="n">
        <v>752</v>
      </c>
      <c r="B756" s="26" t="n">
        <v>2</v>
      </c>
      <c r="C756" s="27" t="inlineStr">
        <is>
          <t>WB-FRM-01 / Kernel Plant</t>
        </is>
      </c>
      <c r="D756" s="27" t="inlineStr">
        <is>
          <t>WB-FRM-01</t>
        </is>
      </c>
      <c r="E756" s="28" t="inlineStr">
        <is>
          <t>Kernel Plant</t>
        </is>
      </c>
      <c r="F756" s="29" t="inlineStr">
        <is>
          <t>Web — Data Stasiun (WB-)</t>
        </is>
      </c>
      <c r="G756" s="28" t="inlineStr">
        <is>
          <t>Simpan berhasil, status langsung Tersimpan</t>
        </is>
      </c>
      <c r="H756" s="29" t="inlineStr">
        <is>
          <t>SPV-A</t>
        </is>
      </c>
      <c r="I756" s="29" t="inlineStr">
        <is>
          <t>periode Terbuka</t>
        </is>
      </c>
      <c r="J756" s="29" t="inlineStr">
        <is>
          <t>1. Pastikan periode stasiun ini Terbuka.
2. Login di web, buka /data/kernel-plant (Kernel Plant), lalu tekan Tambah (/data/kernel-plant/create) sebagai SPV-A.
3. Pilih Production Line, isi kolom identitas, isi tanggal.
4. Tambah satu baris slot waktu dan isi satu kolom bacaan.
5. Tekan Simpan.
6. Cari record itu di Data Browser dan baca kolom Status.</t>
        </is>
      </c>
      <c r="K756" s="29" t="inlineStr">
        <is>
          <t>- Simpan berhasil, dengan pesan konfirmasi.
- Status record langsung Tersimpan — bukan Draft, karena input web tidak punya alur draft.
- Record muncul di Data Browser tanpa perlu muat ulang manual.</t>
        </is>
      </c>
      <c r="L756" s="16" t="inlineStr">
        <is>
          <t>Tinggi</t>
        </is>
      </c>
      <c r="M756" s="29" t="inlineStr"/>
      <c r="N756" s="17" t="n"/>
      <c r="O756" s="17" t="n"/>
      <c r="P756" s="17" t="n"/>
      <c r="Q756" s="17" t="n"/>
      <c r="R756" s="17" t="n"/>
    </row>
    <row r="757" ht="149.2" customHeight="1">
      <c r="A757" s="25" t="n">
        <v>753</v>
      </c>
      <c r="B757" s="26" t="n">
        <v>2</v>
      </c>
      <c r="C757" s="27" t="inlineStr">
        <is>
          <t>WB-FRM-01 / Boiler Room</t>
        </is>
      </c>
      <c r="D757" s="27" t="inlineStr">
        <is>
          <t>WB-FRM-01</t>
        </is>
      </c>
      <c r="E757" s="28" t="inlineStr">
        <is>
          <t>Boiler Room</t>
        </is>
      </c>
      <c r="F757" s="29" t="inlineStr">
        <is>
          <t>Web — Data Stasiun (WB-)</t>
        </is>
      </c>
      <c r="G757" s="28" t="inlineStr">
        <is>
          <t>Simpan berhasil, status langsung Tersimpan</t>
        </is>
      </c>
      <c r="H757" s="29" t="inlineStr">
        <is>
          <t>SPV-A</t>
        </is>
      </c>
      <c r="I757" s="29" t="inlineStr">
        <is>
          <t>periode Terbuka</t>
        </is>
      </c>
      <c r="J757" s="29" t="inlineStr">
        <is>
          <t>1. Pastikan periode stasiun ini Terbuka.
2. Login di web, buka /data/boiler-room (Boiler Room), lalu tekan Tambah (/data/boiler-room/create) sebagai SPV-A.
3. Pilih Production Line, isi kolom identitas, isi tanggal.
4. Tambah satu baris slot waktu dan isi satu kolom bacaan.
5. Tekan Simpan.
6. Cari record itu di Data Browser dan baca kolom Status.</t>
        </is>
      </c>
      <c r="K757" s="29" t="inlineStr">
        <is>
          <t>- Simpan berhasil, dengan pesan konfirmasi.
- Status record langsung Tersimpan — bukan Draft, karena input web tidak punya alur draft.
- Record muncul di Data Browser tanpa perlu muat ulang manual.</t>
        </is>
      </c>
      <c r="L757" s="16" t="inlineStr">
        <is>
          <t>Tinggi</t>
        </is>
      </c>
      <c r="M757" s="29" t="inlineStr"/>
      <c r="N757" s="17" t="n"/>
      <c r="O757" s="17" t="n"/>
      <c r="P757" s="17" t="n"/>
      <c r="Q757" s="17" t="n"/>
      <c r="R757" s="17" t="n"/>
    </row>
    <row r="758" ht="149.2" customHeight="1">
      <c r="A758" s="25" t="n">
        <v>754</v>
      </c>
      <c r="B758" s="26" t="n">
        <v>2</v>
      </c>
      <c r="C758" s="27" t="inlineStr">
        <is>
          <t>WB-FRM-01 / Effluent Plant</t>
        </is>
      </c>
      <c r="D758" s="27" t="inlineStr">
        <is>
          <t>WB-FRM-01</t>
        </is>
      </c>
      <c r="E758" s="28" t="inlineStr">
        <is>
          <t>Effluent Plant</t>
        </is>
      </c>
      <c r="F758" s="29" t="inlineStr">
        <is>
          <t>Web — Data Stasiun (WB-)</t>
        </is>
      </c>
      <c r="G758" s="28" t="inlineStr">
        <is>
          <t>Simpan berhasil, status langsung Tersimpan</t>
        </is>
      </c>
      <c r="H758" s="29" t="inlineStr">
        <is>
          <t>SPV-A</t>
        </is>
      </c>
      <c r="I758" s="29" t="inlineStr">
        <is>
          <t>periode Terbuka</t>
        </is>
      </c>
      <c r="J758" s="29" t="inlineStr">
        <is>
          <t>1. Pastikan periode stasiun ini Terbuka.
2. Login di web, buka /data/effluent-plant (Effluent Plant), lalu tekan Tambah (/data/effluent-plant/create) sebagai SPV-A.
3. Pilih Production Line, isi kolom identitas, isi tanggal.
4. Tambah satu baris slot waktu dan isi satu kolom bacaan.
5. Tekan Simpan.
6. Cari record itu di Data Browser dan baca kolom Status.</t>
        </is>
      </c>
      <c r="K758" s="29" t="inlineStr">
        <is>
          <t>- Simpan berhasil, dengan pesan konfirmasi.
- Status record langsung Tersimpan — bukan Draft, karena input web tidak punya alur draft.
- Record muncul di Data Browser tanpa perlu muat ulang manual.</t>
        </is>
      </c>
      <c r="L758" s="16" t="inlineStr">
        <is>
          <t>Tinggi</t>
        </is>
      </c>
      <c r="M758" s="29" t="inlineStr"/>
      <c r="N758" s="17" t="n"/>
      <c r="O758" s="17" t="n"/>
      <c r="P758" s="17" t="n"/>
      <c r="Q758" s="17" t="n"/>
      <c r="R758" s="17" t="n"/>
    </row>
    <row r="759" ht="149.2" customHeight="1">
      <c r="A759" s="11" t="n">
        <v>755</v>
      </c>
      <c r="B759" s="12" t="n">
        <v>1</v>
      </c>
      <c r="C759" s="13" t="inlineStr">
        <is>
          <t>WB-FRM-01 / Depricarping</t>
        </is>
      </c>
      <c r="D759" s="13" t="inlineStr">
        <is>
          <t>WB-FRM-01</t>
        </is>
      </c>
      <c r="E759" s="15" t="inlineStr">
        <is>
          <t>Depricarping</t>
        </is>
      </c>
      <c r="F759" s="14" t="inlineStr">
        <is>
          <t>Web — Data Stasiun (WB-)</t>
        </is>
      </c>
      <c r="G759" s="15" t="inlineStr">
        <is>
          <t>Simpan berhasil, status langsung Tersimpan</t>
        </is>
      </c>
      <c r="H759" s="14" t="inlineStr">
        <is>
          <t>SPV-A</t>
        </is>
      </c>
      <c r="I759" s="14" t="inlineStr">
        <is>
          <t>periode Terbuka</t>
        </is>
      </c>
      <c r="J759" s="14" t="inlineStr">
        <is>
          <t>1. Pastikan periode stasiun ini Terbuka.
2. Login di web, buka /data/depricarping (Depricarping), lalu tekan Tambah (/data/depricarping/create) sebagai SPV-A.
3. Pilih Production Line, isi kolom identitas, isi tanggal.
4. Tambah satu baris slot waktu dan isi satu kolom bacaan.
5. Tekan Simpan.
6. Cari record itu di Data Browser dan baca kolom Status.</t>
        </is>
      </c>
      <c r="K759" s="14" t="inlineStr">
        <is>
          <t>- Simpan berhasil, dengan pesan konfirmasi.
- Status record langsung Tersimpan — bukan Draft, karena input web tidak punya alur draft.
- Record muncul di Data Browser tanpa perlu muat ulang manual.</t>
        </is>
      </c>
      <c r="L759" s="16" t="inlineStr">
        <is>
          <t>Tinggi</t>
        </is>
      </c>
      <c r="M759" s="14" t="inlineStr"/>
      <c r="N759" s="17" t="n"/>
      <c r="O759" s="17" t="n"/>
      <c r="P759" s="17" t="n"/>
      <c r="Q759" s="17" t="n"/>
      <c r="R759" s="17" t="n"/>
    </row>
    <row r="760" ht="149.2" customHeight="1">
      <c r="A760" s="25" t="n">
        <v>756</v>
      </c>
      <c r="B760" s="26" t="n">
        <v>2</v>
      </c>
      <c r="C760" s="27" t="inlineStr">
        <is>
          <t>WB-FRM-01 / Engine Room</t>
        </is>
      </c>
      <c r="D760" s="27" t="inlineStr">
        <is>
          <t>WB-FRM-01</t>
        </is>
      </c>
      <c r="E760" s="28" t="inlineStr">
        <is>
          <t>Engine Room</t>
        </is>
      </c>
      <c r="F760" s="29" t="inlineStr">
        <is>
          <t>Web — Data Stasiun (WB-)</t>
        </is>
      </c>
      <c r="G760" s="28" t="inlineStr">
        <is>
          <t>Simpan berhasil, status langsung Tersimpan</t>
        </is>
      </c>
      <c r="H760" s="29" t="inlineStr">
        <is>
          <t>SPV-A</t>
        </is>
      </c>
      <c r="I760" s="29" t="inlineStr">
        <is>
          <t>periode Terbuka</t>
        </is>
      </c>
      <c r="J760" s="29" t="inlineStr">
        <is>
          <t>1. Pastikan periode stasiun ini Terbuka.
2. Login di web, buka /data/engine-room (Engine Room), lalu tekan Tambah (/data/engine-room/create) sebagai SPV-A.
3. Pilih Production Line, isi kolom identitas, isi tanggal.
4. Tambah satu baris slot waktu dan isi satu kolom bacaan.
5. Tekan Simpan.
6. Cari record itu di Data Browser dan baca kolom Status.</t>
        </is>
      </c>
      <c r="K760" s="29" t="inlineStr">
        <is>
          <t>- Simpan berhasil, dengan pesan konfirmasi.
- Status record langsung Tersimpan — bukan Draft, karena input web tidak punya alur draft.
- Record muncul di Data Browser tanpa perlu muat ulang manual.</t>
        </is>
      </c>
      <c r="L760" s="16" t="inlineStr">
        <is>
          <t>Tinggi</t>
        </is>
      </c>
      <c r="M760" s="29" t="inlineStr"/>
      <c r="N760" s="17" t="n"/>
      <c r="O760" s="17" t="n"/>
      <c r="P760" s="17" t="n"/>
      <c r="Q760" s="17" t="n"/>
      <c r="R760" s="17" t="n"/>
    </row>
    <row r="761" ht="149.2" customHeight="1">
      <c r="A761" s="25" t="n">
        <v>757</v>
      </c>
      <c r="B761" s="26" t="n">
        <v>2</v>
      </c>
      <c r="C761" s="27" t="inlineStr">
        <is>
          <t>WB-FRM-01 / Process Water</t>
        </is>
      </c>
      <c r="D761" s="27" t="inlineStr">
        <is>
          <t>WB-FRM-01</t>
        </is>
      </c>
      <c r="E761" s="28" t="inlineStr">
        <is>
          <t>Process Water</t>
        </is>
      </c>
      <c r="F761" s="29" t="inlineStr">
        <is>
          <t>Web — Data Stasiun (WB-)</t>
        </is>
      </c>
      <c r="G761" s="28" t="inlineStr">
        <is>
          <t>Simpan berhasil, status langsung Tersimpan</t>
        </is>
      </c>
      <c r="H761" s="29" t="inlineStr">
        <is>
          <t>SPV-A</t>
        </is>
      </c>
      <c r="I761" s="29" t="inlineStr">
        <is>
          <t>periode Terbuka</t>
        </is>
      </c>
      <c r="J761" s="29" t="inlineStr">
        <is>
          <t>1. Pastikan periode stasiun ini Terbuka.
2. Login di web, buka /data/process-water (Process Water), lalu tekan Tambah (/data/process-water/create) sebagai SPV-A.
3. Pilih Production Line, isi kolom identitas, isi tanggal.
4. Tambah satu baris slot waktu dan isi satu kolom bacaan.
5. Tekan Simpan.
6. Cari record itu di Data Browser dan baca kolom Status.</t>
        </is>
      </c>
      <c r="K761" s="29" t="inlineStr">
        <is>
          <t>- Simpan berhasil, dengan pesan konfirmasi.
- Status record langsung Tersimpan — bukan Draft, karena input web tidak punya alur draft.
- Record muncul di Data Browser tanpa perlu muat ulang manual.</t>
        </is>
      </c>
      <c r="L761" s="16" t="inlineStr">
        <is>
          <t>Tinggi</t>
        </is>
      </c>
      <c r="M761" s="29" t="inlineStr"/>
      <c r="N761" s="17" t="n"/>
      <c r="O761" s="17" t="n"/>
      <c r="P761" s="17" t="n"/>
      <c r="Q761" s="17" t="n"/>
      <c r="R761" s="17" t="n"/>
    </row>
    <row r="762" ht="149.2" customHeight="1">
      <c r="A762" s="25" t="n">
        <v>758</v>
      </c>
      <c r="B762" s="26" t="n">
        <v>2</v>
      </c>
      <c r="C762" s="27" t="inlineStr">
        <is>
          <t>WB-FRM-01 / Storage Tank</t>
        </is>
      </c>
      <c r="D762" s="27" t="inlineStr">
        <is>
          <t>WB-FRM-01</t>
        </is>
      </c>
      <c r="E762" s="28" t="inlineStr">
        <is>
          <t>Storage Tank</t>
        </is>
      </c>
      <c r="F762" s="29" t="inlineStr">
        <is>
          <t>Web — Data Stasiun (WB-)</t>
        </is>
      </c>
      <c r="G762" s="28" t="inlineStr">
        <is>
          <t>Simpan berhasil, status langsung Tersimpan</t>
        </is>
      </c>
      <c r="H762" s="29" t="inlineStr">
        <is>
          <t>SPV-A</t>
        </is>
      </c>
      <c r="I762" s="29" t="inlineStr">
        <is>
          <t>periode Terbuka</t>
        </is>
      </c>
      <c r="J762" s="29" t="inlineStr">
        <is>
          <t>1. Pastikan periode stasiun ini Terbuka.
2. Login di web, buka /data/storage-tank (Storage Tank), lalu tekan Tambah (/data/storage-tank/create) sebagai SPV-A.
3. Pilih Production Line, isi kolom identitas, isi tanggal.
4. Tambah satu baris slot waktu dan isi satu kolom bacaan.
5. Tekan Simpan.
6. Cari record itu di Data Browser dan baca kolom Status.</t>
        </is>
      </c>
      <c r="K762" s="29" t="inlineStr">
        <is>
          <t>- Simpan berhasil, dengan pesan konfirmasi.
- Status record langsung Tersimpan — bukan Draft, karena input web tidak punya alur draft.
- Record muncul di Data Browser tanpa perlu muat ulang manual.</t>
        </is>
      </c>
      <c r="L762" s="16" t="inlineStr">
        <is>
          <t>Tinggi</t>
        </is>
      </c>
      <c r="M762" s="29" t="inlineStr"/>
      <c r="N762" s="17" t="n"/>
      <c r="O762" s="17" t="n"/>
      <c r="P762" s="17" t="n"/>
      <c r="Q762" s="17" t="n"/>
      <c r="R762" s="17" t="n"/>
    </row>
    <row r="763" ht="162.4" customHeight="1">
      <c r="A763" s="25" t="n">
        <v>759</v>
      </c>
      <c r="B763" s="26" t="n">
        <v>2</v>
      </c>
      <c r="C763" s="27" t="inlineStr">
        <is>
          <t>WB-FRM-01 / Solid Waste Disposal</t>
        </is>
      </c>
      <c r="D763" s="27" t="inlineStr">
        <is>
          <t>WB-FRM-01</t>
        </is>
      </c>
      <c r="E763" s="28" t="inlineStr">
        <is>
          <t>Solid Waste Disposal</t>
        </is>
      </c>
      <c r="F763" s="29" t="inlineStr">
        <is>
          <t>Web — Data Stasiun (WB-)</t>
        </is>
      </c>
      <c r="G763" s="28" t="inlineStr">
        <is>
          <t>Simpan berhasil, status langsung Tersimpan</t>
        </is>
      </c>
      <c r="H763" s="29" t="inlineStr">
        <is>
          <t>SPV-A</t>
        </is>
      </c>
      <c r="I763" s="29" t="inlineStr">
        <is>
          <t>periode Terbuka</t>
        </is>
      </c>
      <c r="J763" s="29" t="inlineStr">
        <is>
          <t>1. Pastikan periode stasiun ini Terbuka.
2. Login di web, buka /data/solid-waste-disposal (Solid Waste Disposal), lalu tekan Tambah (/data/solid-waste-disposal/create) sebagai SPV-A.
3. Pilih Production Line, isi kolom identitas, isi tanggal.
4. Tambah satu baris slot waktu dan isi satu kolom bacaan.
5. Tekan Simpan.
6. Cari record itu di Data Browser dan baca kolom Status.</t>
        </is>
      </c>
      <c r="K763" s="29" t="inlineStr">
        <is>
          <t>- Simpan berhasil, dengan pesan konfirmasi.
- Status record langsung Tersimpan — bukan Draft, karena input web tidak punya alur draft.
- Record muncul di Data Browser tanpa perlu muat ulang manual.</t>
        </is>
      </c>
      <c r="L763" s="16" t="inlineStr">
        <is>
          <t>Tinggi</t>
        </is>
      </c>
      <c r="M763" s="29" t="inlineStr"/>
      <c r="N763" s="17" t="n"/>
      <c r="O763" s="17" t="n"/>
      <c r="P763" s="17" t="n"/>
      <c r="Q763" s="17" t="n"/>
      <c r="R763" s="17" t="n"/>
    </row>
    <row r="764" ht="149.2" customHeight="1">
      <c r="A764" s="25" t="n">
        <v>760</v>
      </c>
      <c r="B764" s="26" t="n">
        <v>2</v>
      </c>
      <c r="C764" s="27" t="inlineStr">
        <is>
          <t>WB-FRM-01 / Kernel Dispatch</t>
        </is>
      </c>
      <c r="D764" s="27" t="inlineStr">
        <is>
          <t>WB-FRM-01</t>
        </is>
      </c>
      <c r="E764" s="28" t="inlineStr">
        <is>
          <t>Kernel Dispatch</t>
        </is>
      </c>
      <c r="F764" s="29" t="inlineStr">
        <is>
          <t>Web — Data Stasiun (WB-)</t>
        </is>
      </c>
      <c r="G764" s="28" t="inlineStr">
        <is>
          <t>Simpan berhasil, status langsung Tersimpan</t>
        </is>
      </c>
      <c r="H764" s="29" t="inlineStr">
        <is>
          <t>SPV-A</t>
        </is>
      </c>
      <c r="I764" s="29" t="inlineStr">
        <is>
          <t>periode Terbuka</t>
        </is>
      </c>
      <c r="J764" s="29" t="inlineStr">
        <is>
          <t>1. Pastikan periode stasiun ini Terbuka.
2. Login di web, buka /data/kernel-dispatch (Kernel Dispatch), lalu tekan Tambah (/data/kernel-dispatch/create) sebagai SPV-A.
3. Pilih Production Line, isi kolom identitas, isi tanggal.
4. Tambah satu baris slot waktu dan isi satu kolom bacaan.
5. Tekan Simpan.
6. Cari record itu di Data Browser dan baca kolom Status.</t>
        </is>
      </c>
      <c r="K764" s="29" t="inlineStr">
        <is>
          <t>- Simpan berhasil, dengan pesan konfirmasi.
- Status record langsung Tersimpan — bukan Draft, karena input web tidak punya alur draft.
- Record muncul di Data Browser tanpa perlu muat ulang manual.</t>
        </is>
      </c>
      <c r="L764" s="16" t="inlineStr">
        <is>
          <t>Tinggi</t>
        </is>
      </c>
      <c r="M764" s="29" t="inlineStr"/>
      <c r="N764" s="17" t="n"/>
      <c r="O764" s="17" t="n"/>
      <c r="P764" s="17" t="n"/>
      <c r="Q764" s="17" t="n"/>
      <c r="R764" s="17" t="n"/>
    </row>
    <row r="765" ht="149.2" customHeight="1">
      <c r="A765" s="25" t="n">
        <v>761</v>
      </c>
      <c r="B765" s="26" t="n">
        <v>2</v>
      </c>
      <c r="C765" s="27" t="inlineStr">
        <is>
          <t>WB-FRM-01 / CPO Dispatch</t>
        </is>
      </c>
      <c r="D765" s="27" t="inlineStr">
        <is>
          <t>WB-FRM-01</t>
        </is>
      </c>
      <c r="E765" s="28" t="inlineStr">
        <is>
          <t>CPO Dispatch</t>
        </is>
      </c>
      <c r="F765" s="29" t="inlineStr">
        <is>
          <t>Web — Data Stasiun (WB-)</t>
        </is>
      </c>
      <c r="G765" s="28" t="inlineStr">
        <is>
          <t>Simpan berhasil, status langsung Tersimpan</t>
        </is>
      </c>
      <c r="H765" s="29" t="inlineStr">
        <is>
          <t>SPV-A</t>
        </is>
      </c>
      <c r="I765" s="29" t="inlineStr">
        <is>
          <t>periode Terbuka</t>
        </is>
      </c>
      <c r="J765" s="29" t="inlineStr">
        <is>
          <t>1. Pastikan periode stasiun ini Terbuka.
2. Login di web, buka /data/cpo-dispatch (CPO Dispatch), lalu tekan Tambah (/data/cpo-dispatch/create) sebagai SPV-A.
3. Pilih Production Line, isi kolom identitas, isi tanggal.
4. Tambah satu baris slot waktu dan isi satu kolom bacaan.
5. Tekan Simpan.
6. Cari record itu di Data Browser dan baca kolom Status.</t>
        </is>
      </c>
      <c r="K765" s="29" t="inlineStr">
        <is>
          <t>- Simpan berhasil, dengan pesan konfirmasi.
- Status record langsung Tersimpan — bukan Draft, karena input web tidak punya alur draft.
- Record muncul di Data Browser tanpa perlu muat ulang manual.</t>
        </is>
      </c>
      <c r="L765" s="16" t="inlineStr">
        <is>
          <t>Tinggi</t>
        </is>
      </c>
      <c r="M765" s="29" t="inlineStr"/>
      <c r="N765" s="17" t="n"/>
      <c r="O765" s="17" t="n"/>
      <c r="P765" s="17" t="n"/>
      <c r="Q765" s="17" t="n"/>
      <c r="R765" s="17" t="n"/>
    </row>
    <row r="766" ht="162.4" customHeight="1">
      <c r="A766" s="25" t="n">
        <v>762</v>
      </c>
      <c r="B766" s="26" t="n">
        <v>2</v>
      </c>
      <c r="C766" s="27" t="inlineStr">
        <is>
          <t>WB-FRM-01 / Process Quality Control</t>
        </is>
      </c>
      <c r="D766" s="27" t="inlineStr">
        <is>
          <t>WB-FRM-01</t>
        </is>
      </c>
      <c r="E766" s="28" t="inlineStr">
        <is>
          <t>Process Quality Control</t>
        </is>
      </c>
      <c r="F766" s="29" t="inlineStr">
        <is>
          <t>Web — Data Stasiun (WB-)</t>
        </is>
      </c>
      <c r="G766" s="28" t="inlineStr">
        <is>
          <t>Simpan berhasil, status langsung Tersimpan</t>
        </is>
      </c>
      <c r="H766" s="29" t="inlineStr">
        <is>
          <t>SPV-A</t>
        </is>
      </c>
      <c r="I766" s="29" t="inlineStr">
        <is>
          <t>periode Terbuka</t>
        </is>
      </c>
      <c r="J766" s="29" t="inlineStr">
        <is>
          <t>1. Pastikan periode stasiun ini Terbuka.
2. Login di web, buka /data/process-quality-control (Process Quality Control), lalu tekan Tambah (/data/process-quality-control/create) sebagai SPV-A.
3. Pilih Production Line, isi kolom identitas, isi tanggal.
4. Tambah satu baris slot waktu dan isi satu kolom bacaan.
5. Tekan Simpan.
6. Cari record itu di Data Browser dan baca kolom Status.</t>
        </is>
      </c>
      <c r="K766" s="29" t="inlineStr">
        <is>
          <t>- Simpan berhasil, dengan pesan konfirmasi.
- Status record langsung Tersimpan — bukan Draft, karena input web tidak punya alur draft.
- Record muncul di Data Browser tanpa perlu muat ulang manual.</t>
        </is>
      </c>
      <c r="L766" s="16" t="inlineStr">
        <is>
          <t>Tinggi</t>
        </is>
      </c>
      <c r="M766" s="29" t="inlineStr"/>
      <c r="N766" s="17" t="n"/>
      <c r="O766" s="17" t="n"/>
      <c r="P766" s="17" t="n"/>
      <c r="Q766" s="17" t="n"/>
      <c r="R766" s="17" t="n"/>
    </row>
    <row r="767" ht="109.6" customHeight="1">
      <c r="A767" s="22" t="n">
        <v>763</v>
      </c>
      <c r="B767" s="22" t="n">
        <v>3</v>
      </c>
      <c r="C767" s="23" t="inlineStr">
        <is>
          <t>WB-FRM-02 / Weighbridge</t>
        </is>
      </c>
      <c r="D767" s="23" t="inlineStr">
        <is>
          <t>WB-FRM-02</t>
        </is>
      </c>
      <c r="E767" s="24" t="inlineStr">
        <is>
          <t>Weighbridge</t>
        </is>
      </c>
      <c r="F767" s="5" t="inlineStr">
        <is>
          <t>Web — Data Stasiun (WB-)</t>
        </is>
      </c>
      <c r="G767" s="24" t="inlineStr">
        <is>
          <t>Production Line wajib pada mode tambah, terkunci pada mode ubah</t>
        </is>
      </c>
      <c r="H767" s="5" t="inlineStr">
        <is>
          <t>SPV-A</t>
        </is>
      </c>
      <c r="I767" s="5" t="inlineStr">
        <is>
          <t>—</t>
        </is>
      </c>
      <c r="J767" s="5" t="inlineStr">
        <is>
          <t>1. Login di web, buka /data/weighbridge (Weighbridge), lalu tekan Tambah (/data/weighbridge/create). Jangan pilih Production Line.
2. Isi kolom lain dengan benar, lalu tekan Simpan.
3. Pilih Production Line, Simpan lagi.
4. Buka record itu, tekan Edit.
5. Coba ubah Production Line pada mode ubah.</t>
        </is>
      </c>
      <c r="K767" s="5" t="inlineStr">
        <is>
          <t>- Langkah 2: ditolak, dengan pesan yang menunjuk kolom Production Line.
- Langkah 3: berhasil.
- Langkah 5: Production Line tidak dapat diubah — ia dipaku saat record dibuat, dan ada keterangan yang menyebutkannya.</t>
        </is>
      </c>
      <c r="L767" s="16" t="inlineStr">
        <is>
          <t>Tinggi</t>
        </is>
      </c>
      <c r="M767" s="5" t="inlineStr"/>
      <c r="N767" s="17" t="n"/>
      <c r="O767" s="17" t="n"/>
      <c r="P767" s="17" t="n"/>
      <c r="Q767" s="17" t="n"/>
      <c r="R767" s="17" t="n"/>
    </row>
    <row r="768" ht="109.6" customHeight="1">
      <c r="A768" s="18" t="n">
        <v>764</v>
      </c>
      <c r="B768" s="18" t="n">
        <v>3</v>
      </c>
      <c r="C768" s="19" t="inlineStr">
        <is>
          <t>WB-FRM-02 / Grading</t>
        </is>
      </c>
      <c r="D768" s="19" t="inlineStr">
        <is>
          <t>WB-FRM-02</t>
        </is>
      </c>
      <c r="E768" s="20" t="inlineStr">
        <is>
          <t>Grading</t>
        </is>
      </c>
      <c r="F768" s="21" t="inlineStr">
        <is>
          <t>Web — Data Stasiun (WB-)</t>
        </is>
      </c>
      <c r="G768" s="20" t="inlineStr">
        <is>
          <t>Production Line wajib pada mode tambah, terkunci pada mode ubah</t>
        </is>
      </c>
      <c r="H768" s="21" t="inlineStr">
        <is>
          <t>SPV-A</t>
        </is>
      </c>
      <c r="I768" s="21" t="inlineStr">
        <is>
          <t>—</t>
        </is>
      </c>
      <c r="J768" s="21" t="inlineStr">
        <is>
          <t>1. Login di web, buka /data/grading (Grading), lalu tekan Tambah (/data/grading/create). Jangan pilih Production Line.
2. Isi kolom lain dengan benar, lalu tekan Simpan.
3. Pilih Production Line, Simpan lagi.
4. Buka record itu, tekan Edit.
5. Coba ubah Production Line pada mode ubah.</t>
        </is>
      </c>
      <c r="K768" s="21" t="inlineStr">
        <is>
          <t>- Langkah 2: ditolak, dengan pesan yang menunjuk kolom Production Line.
- Langkah 3: berhasil.
- Langkah 5: Production Line tidak dapat diubah — ia dipaku saat record dibuat, dan ada keterangan yang menyebutkannya.</t>
        </is>
      </c>
      <c r="L768" s="16" t="inlineStr">
        <is>
          <t>Tinggi</t>
        </is>
      </c>
      <c r="M768" s="21" t="inlineStr"/>
      <c r="N768" s="17" t="n"/>
      <c r="O768" s="17" t="n"/>
      <c r="P768" s="17" t="n"/>
      <c r="Q768" s="17" t="n"/>
      <c r="R768" s="17" t="n"/>
    </row>
    <row r="769" ht="109.6" customHeight="1">
      <c r="A769" s="22" t="n">
        <v>765</v>
      </c>
      <c r="B769" s="22" t="n">
        <v>3</v>
      </c>
      <c r="C769" s="23" t="inlineStr">
        <is>
          <t>WB-FRM-02 / Cages Track</t>
        </is>
      </c>
      <c r="D769" s="23" t="inlineStr">
        <is>
          <t>WB-FRM-02</t>
        </is>
      </c>
      <c r="E769" s="24" t="inlineStr">
        <is>
          <t>Cages Track</t>
        </is>
      </c>
      <c r="F769" s="5" t="inlineStr">
        <is>
          <t>Web — Data Stasiun (WB-)</t>
        </is>
      </c>
      <c r="G769" s="24" t="inlineStr">
        <is>
          <t>Production Line wajib pada mode tambah, terkunci pada mode ubah</t>
        </is>
      </c>
      <c r="H769" s="5" t="inlineStr">
        <is>
          <t>SPV-A</t>
        </is>
      </c>
      <c r="I769" s="5" t="inlineStr">
        <is>
          <t>—</t>
        </is>
      </c>
      <c r="J769" s="5" t="inlineStr">
        <is>
          <t>1. Login di web, buka /data/cages-track (Cages Track), lalu tekan Tambah (/data/cages-track/create). Jangan pilih Production Line.
2. Isi kolom lain dengan benar, lalu tekan Simpan.
3. Pilih Production Line, Simpan lagi.
4. Buka record itu, tekan Edit.
5. Coba ubah Production Line pada mode ubah.</t>
        </is>
      </c>
      <c r="K769" s="5" t="inlineStr">
        <is>
          <t>- Langkah 2: ditolak, dengan pesan yang menunjuk kolom Production Line.
- Langkah 3: berhasil.
- Langkah 5: Production Line tidak dapat diubah — ia dipaku saat record dibuat, dan ada keterangan yang menyebutkannya.</t>
        </is>
      </c>
      <c r="L769" s="16" t="inlineStr">
        <is>
          <t>Tinggi</t>
        </is>
      </c>
      <c r="M769" s="5" t="inlineStr"/>
      <c r="N769" s="17" t="n"/>
      <c r="O769" s="17" t="n"/>
      <c r="P769" s="17" t="n"/>
      <c r="Q769" s="17" t="n"/>
      <c r="R769" s="17" t="n"/>
    </row>
    <row r="770" ht="109.6" customHeight="1">
      <c r="A770" s="18" t="n">
        <v>766</v>
      </c>
      <c r="B770" s="18" t="n">
        <v>3</v>
      </c>
      <c r="C770" s="19" t="inlineStr">
        <is>
          <t>WB-FRM-02 / Sterilizer</t>
        </is>
      </c>
      <c r="D770" s="19" t="inlineStr">
        <is>
          <t>WB-FRM-02</t>
        </is>
      </c>
      <c r="E770" s="20" t="inlineStr">
        <is>
          <t>Sterilizer</t>
        </is>
      </c>
      <c r="F770" s="21" t="inlineStr">
        <is>
          <t>Web — Data Stasiun (WB-)</t>
        </is>
      </c>
      <c r="G770" s="20" t="inlineStr">
        <is>
          <t>Production Line wajib pada mode tambah, terkunci pada mode ubah</t>
        </is>
      </c>
      <c r="H770" s="21" t="inlineStr">
        <is>
          <t>SPV-A</t>
        </is>
      </c>
      <c r="I770" s="21" t="inlineStr">
        <is>
          <t>—</t>
        </is>
      </c>
      <c r="J770" s="21" t="inlineStr">
        <is>
          <t>1. Login di web, buka /data/sterilizer (Sterilizer), lalu tekan Tambah (/data/sterilizer/create). Jangan pilih Production Line.
2. Isi kolom lain dengan benar, lalu tekan Simpan.
3. Pilih Production Line, Simpan lagi.
4. Buka record itu, tekan Edit.
5. Coba ubah Production Line pada mode ubah.</t>
        </is>
      </c>
      <c r="K770" s="21" t="inlineStr">
        <is>
          <t>- Langkah 2: ditolak, dengan pesan yang menunjuk kolom Production Line.
- Langkah 3: berhasil.
- Langkah 5: Production Line tidak dapat diubah — ia dipaku saat record dibuat, dan ada keterangan yang menyebutkannya.</t>
        </is>
      </c>
      <c r="L770" s="16" t="inlineStr">
        <is>
          <t>Tinggi</t>
        </is>
      </c>
      <c r="M770" s="21" t="inlineStr"/>
      <c r="N770" s="17" t="n"/>
      <c r="O770" s="17" t="n"/>
      <c r="P770" s="17" t="n"/>
      <c r="Q770" s="17" t="n"/>
      <c r="R770" s="17" t="n"/>
    </row>
    <row r="771" ht="109.6" customHeight="1">
      <c r="A771" s="22" t="n">
        <v>767</v>
      </c>
      <c r="B771" s="22" t="n">
        <v>3</v>
      </c>
      <c r="C771" s="23" t="inlineStr">
        <is>
          <t>WB-FRM-02 / Threshing</t>
        </is>
      </c>
      <c r="D771" s="23" t="inlineStr">
        <is>
          <t>WB-FRM-02</t>
        </is>
      </c>
      <c r="E771" s="24" t="inlineStr">
        <is>
          <t>Threshing</t>
        </is>
      </c>
      <c r="F771" s="5" t="inlineStr">
        <is>
          <t>Web — Data Stasiun (WB-)</t>
        </is>
      </c>
      <c r="G771" s="24" t="inlineStr">
        <is>
          <t>Production Line wajib pada mode tambah, terkunci pada mode ubah</t>
        </is>
      </c>
      <c r="H771" s="5" t="inlineStr">
        <is>
          <t>SPV-A</t>
        </is>
      </c>
      <c r="I771" s="5" t="inlineStr">
        <is>
          <t>—</t>
        </is>
      </c>
      <c r="J771" s="5" t="inlineStr">
        <is>
          <t>1. Login di web, buka /data/threshing (Threshing), lalu tekan Tambah (/data/threshing/create). Jangan pilih Production Line.
2. Isi kolom lain dengan benar, lalu tekan Simpan.
3. Pilih Production Line, Simpan lagi.
4. Buka record itu, tekan Edit.
5. Coba ubah Production Line pada mode ubah.</t>
        </is>
      </c>
      <c r="K771" s="5" t="inlineStr">
        <is>
          <t>- Langkah 2: ditolak, dengan pesan yang menunjuk kolom Production Line.
- Langkah 3: berhasil.
- Langkah 5: Production Line tidak dapat diubah — ia dipaku saat record dibuat, dan ada keterangan yang menyebutkannya.</t>
        </is>
      </c>
      <c r="L771" s="16" t="inlineStr">
        <is>
          <t>Tinggi</t>
        </is>
      </c>
      <c r="M771" s="5" t="inlineStr"/>
      <c r="N771" s="17" t="n"/>
      <c r="O771" s="17" t="n"/>
      <c r="P771" s="17" t="n"/>
      <c r="Q771" s="17" t="n"/>
      <c r="R771" s="17" t="n"/>
    </row>
    <row r="772" ht="109.6" customHeight="1">
      <c r="A772" s="18" t="n">
        <v>768</v>
      </c>
      <c r="B772" s="18" t="n">
        <v>3</v>
      </c>
      <c r="C772" s="19" t="inlineStr">
        <is>
          <t>WB-FRM-02 / Pressing</t>
        </is>
      </c>
      <c r="D772" s="19" t="inlineStr">
        <is>
          <t>WB-FRM-02</t>
        </is>
      </c>
      <c r="E772" s="20" t="inlineStr">
        <is>
          <t>Pressing</t>
        </is>
      </c>
      <c r="F772" s="21" t="inlineStr">
        <is>
          <t>Web — Data Stasiun (WB-)</t>
        </is>
      </c>
      <c r="G772" s="20" t="inlineStr">
        <is>
          <t>Production Line wajib pada mode tambah, terkunci pada mode ubah</t>
        </is>
      </c>
      <c r="H772" s="21" t="inlineStr">
        <is>
          <t>SPV-A</t>
        </is>
      </c>
      <c r="I772" s="21" t="inlineStr">
        <is>
          <t>—</t>
        </is>
      </c>
      <c r="J772" s="21" t="inlineStr">
        <is>
          <t>1. Login di web, buka /data/pressing (Pressing), lalu tekan Tambah (/data/pressing/create). Jangan pilih Production Line.
2. Isi kolom lain dengan benar, lalu tekan Simpan.
3. Pilih Production Line, Simpan lagi.
4. Buka record itu, tekan Edit.
5. Coba ubah Production Line pada mode ubah.</t>
        </is>
      </c>
      <c r="K772" s="21" t="inlineStr">
        <is>
          <t>- Langkah 2: ditolak, dengan pesan yang menunjuk kolom Production Line.
- Langkah 3: berhasil.
- Langkah 5: Production Line tidak dapat diubah — ia dipaku saat record dibuat, dan ada keterangan yang menyebutkannya.</t>
        </is>
      </c>
      <c r="L772" s="16" t="inlineStr">
        <is>
          <t>Tinggi</t>
        </is>
      </c>
      <c r="M772" s="21" t="inlineStr"/>
      <c r="N772" s="17" t="n"/>
      <c r="O772" s="17" t="n"/>
      <c r="P772" s="17" t="n"/>
      <c r="Q772" s="17" t="n"/>
      <c r="R772" s="17" t="n"/>
    </row>
    <row r="773" ht="122.8" customHeight="1">
      <c r="A773" s="22" t="n">
        <v>769</v>
      </c>
      <c r="B773" s="22" t="n">
        <v>3</v>
      </c>
      <c r="C773" s="23" t="inlineStr">
        <is>
          <t>WB-FRM-02 / Clarification</t>
        </is>
      </c>
      <c r="D773" s="23" t="inlineStr">
        <is>
          <t>WB-FRM-02</t>
        </is>
      </c>
      <c r="E773" s="24" t="inlineStr">
        <is>
          <t>Clarification</t>
        </is>
      </c>
      <c r="F773" s="5" t="inlineStr">
        <is>
          <t>Web — Data Stasiun (WB-)</t>
        </is>
      </c>
      <c r="G773" s="24" t="inlineStr">
        <is>
          <t>Production Line wajib pada mode tambah, terkunci pada mode ubah</t>
        </is>
      </c>
      <c r="H773" s="5" t="inlineStr">
        <is>
          <t>SPV-A</t>
        </is>
      </c>
      <c r="I773" s="5" t="inlineStr">
        <is>
          <t>—</t>
        </is>
      </c>
      <c r="J773" s="5" t="inlineStr">
        <is>
          <t>1. Login di web, buka /data/clarification (Clarification), lalu tekan Tambah (/data/clarification/create). Jangan pilih Production Line.
2. Isi kolom lain dengan benar, lalu tekan Simpan.
3. Pilih Production Line, Simpan lagi.
4. Buka record itu, tekan Edit.
5. Coba ubah Production Line pada mode ubah.</t>
        </is>
      </c>
      <c r="K773" s="5" t="inlineStr">
        <is>
          <t>- Langkah 2: ditolak, dengan pesan yang menunjuk kolom Production Line.
- Langkah 3: berhasil.
- Langkah 5: Production Line tidak dapat diubah — ia dipaku saat record dibuat, dan ada keterangan yang menyebutkannya.</t>
        </is>
      </c>
      <c r="L773" s="16" t="inlineStr">
        <is>
          <t>Tinggi</t>
        </is>
      </c>
      <c r="M773" s="5" t="inlineStr"/>
      <c r="N773" s="17" t="n"/>
      <c r="O773" s="17" t="n"/>
      <c r="P773" s="17" t="n"/>
      <c r="Q773" s="17" t="n"/>
      <c r="R773" s="17" t="n"/>
    </row>
    <row r="774" ht="122.8" customHeight="1">
      <c r="A774" s="18" t="n">
        <v>770</v>
      </c>
      <c r="B774" s="18" t="n">
        <v>3</v>
      </c>
      <c r="C774" s="19" t="inlineStr">
        <is>
          <t>WB-FRM-02 / Kernel Plant</t>
        </is>
      </c>
      <c r="D774" s="19" t="inlineStr">
        <is>
          <t>WB-FRM-02</t>
        </is>
      </c>
      <c r="E774" s="20" t="inlineStr">
        <is>
          <t>Kernel Plant</t>
        </is>
      </c>
      <c r="F774" s="21" t="inlineStr">
        <is>
          <t>Web — Data Stasiun (WB-)</t>
        </is>
      </c>
      <c r="G774" s="20" t="inlineStr">
        <is>
          <t>Production Line wajib pada mode tambah, terkunci pada mode ubah</t>
        </is>
      </c>
      <c r="H774" s="21" t="inlineStr">
        <is>
          <t>SPV-A</t>
        </is>
      </c>
      <c r="I774" s="21" t="inlineStr">
        <is>
          <t>—</t>
        </is>
      </c>
      <c r="J774" s="21" t="inlineStr">
        <is>
          <t>1. Login di web, buka /data/kernel-plant (Kernel Plant), lalu tekan Tambah (/data/kernel-plant/create). Jangan pilih Production Line.
2. Isi kolom lain dengan benar, lalu tekan Simpan.
3. Pilih Production Line, Simpan lagi.
4. Buka record itu, tekan Edit.
5. Coba ubah Production Line pada mode ubah.</t>
        </is>
      </c>
      <c r="K774" s="21" t="inlineStr">
        <is>
          <t>- Langkah 2: ditolak, dengan pesan yang menunjuk kolom Production Line.
- Langkah 3: berhasil.
- Langkah 5: Production Line tidak dapat diubah — ia dipaku saat record dibuat, dan ada keterangan yang menyebutkannya.</t>
        </is>
      </c>
      <c r="L774" s="16" t="inlineStr">
        <is>
          <t>Tinggi</t>
        </is>
      </c>
      <c r="M774" s="21" t="inlineStr"/>
      <c r="N774" s="17" t="n"/>
      <c r="O774" s="17" t="n"/>
      <c r="P774" s="17" t="n"/>
      <c r="Q774" s="17" t="n"/>
      <c r="R774" s="17" t="n"/>
    </row>
    <row r="775" ht="109.6" customHeight="1">
      <c r="A775" s="22" t="n">
        <v>771</v>
      </c>
      <c r="B775" s="22" t="n">
        <v>3</v>
      </c>
      <c r="C775" s="23" t="inlineStr">
        <is>
          <t>WB-FRM-02 / Boiler Room</t>
        </is>
      </c>
      <c r="D775" s="23" t="inlineStr">
        <is>
          <t>WB-FRM-02</t>
        </is>
      </c>
      <c r="E775" s="24" t="inlineStr">
        <is>
          <t>Boiler Room</t>
        </is>
      </c>
      <c r="F775" s="5" t="inlineStr">
        <is>
          <t>Web — Data Stasiun (WB-)</t>
        </is>
      </c>
      <c r="G775" s="24" t="inlineStr">
        <is>
          <t>Production Line wajib pada mode tambah, terkunci pada mode ubah</t>
        </is>
      </c>
      <c r="H775" s="5" t="inlineStr">
        <is>
          <t>SPV-A</t>
        </is>
      </c>
      <c r="I775" s="5" t="inlineStr">
        <is>
          <t>—</t>
        </is>
      </c>
      <c r="J775" s="5" t="inlineStr">
        <is>
          <t>1. Login di web, buka /data/boiler-room (Boiler Room), lalu tekan Tambah (/data/boiler-room/create). Jangan pilih Production Line.
2. Isi kolom lain dengan benar, lalu tekan Simpan.
3. Pilih Production Line, Simpan lagi.
4. Buka record itu, tekan Edit.
5. Coba ubah Production Line pada mode ubah.</t>
        </is>
      </c>
      <c r="K775" s="5" t="inlineStr">
        <is>
          <t>- Langkah 2: ditolak, dengan pesan yang menunjuk kolom Production Line.
- Langkah 3: berhasil.
- Langkah 5: Production Line tidak dapat diubah — ia dipaku saat record dibuat, dan ada keterangan yang menyebutkannya.</t>
        </is>
      </c>
      <c r="L775" s="16" t="inlineStr">
        <is>
          <t>Tinggi</t>
        </is>
      </c>
      <c r="M775" s="5" t="inlineStr"/>
      <c r="N775" s="17" t="n"/>
      <c r="O775" s="17" t="n"/>
      <c r="P775" s="17" t="n"/>
      <c r="Q775" s="17" t="n"/>
      <c r="R775" s="17" t="n"/>
    </row>
    <row r="776" ht="122.8" customHeight="1">
      <c r="A776" s="18" t="n">
        <v>772</v>
      </c>
      <c r="B776" s="18" t="n">
        <v>3</v>
      </c>
      <c r="C776" s="19" t="inlineStr">
        <is>
          <t>WB-FRM-02 / Effluent Plant</t>
        </is>
      </c>
      <c r="D776" s="19" t="inlineStr">
        <is>
          <t>WB-FRM-02</t>
        </is>
      </c>
      <c r="E776" s="20" t="inlineStr">
        <is>
          <t>Effluent Plant</t>
        </is>
      </c>
      <c r="F776" s="21" t="inlineStr">
        <is>
          <t>Web — Data Stasiun (WB-)</t>
        </is>
      </c>
      <c r="G776" s="20" t="inlineStr">
        <is>
          <t>Production Line wajib pada mode tambah, terkunci pada mode ubah</t>
        </is>
      </c>
      <c r="H776" s="21" t="inlineStr">
        <is>
          <t>SPV-A</t>
        </is>
      </c>
      <c r="I776" s="21" t="inlineStr">
        <is>
          <t>—</t>
        </is>
      </c>
      <c r="J776" s="21" t="inlineStr">
        <is>
          <t>1. Login di web, buka /data/effluent-plant (Effluent Plant), lalu tekan Tambah (/data/effluent-plant/create). Jangan pilih Production Line.
2. Isi kolom lain dengan benar, lalu tekan Simpan.
3. Pilih Production Line, Simpan lagi.
4. Buka record itu, tekan Edit.
5. Coba ubah Production Line pada mode ubah.</t>
        </is>
      </c>
      <c r="K776" s="21" t="inlineStr">
        <is>
          <t>- Langkah 2: ditolak, dengan pesan yang menunjuk kolom Production Line.
- Langkah 3: berhasil.
- Langkah 5: Production Line tidak dapat diubah — ia dipaku saat record dibuat, dan ada keterangan yang menyebutkannya.</t>
        </is>
      </c>
      <c r="L776" s="16" t="inlineStr">
        <is>
          <t>Tinggi</t>
        </is>
      </c>
      <c r="M776" s="21" t="inlineStr"/>
      <c r="N776" s="17" t="n"/>
      <c r="O776" s="17" t="n"/>
      <c r="P776" s="17" t="n"/>
      <c r="Q776" s="17" t="n"/>
      <c r="R776" s="17" t="n"/>
    </row>
    <row r="777" ht="122.8" customHeight="1">
      <c r="A777" s="11" t="n">
        <v>773</v>
      </c>
      <c r="B777" s="12" t="n">
        <v>1</v>
      </c>
      <c r="C777" s="13" t="inlineStr">
        <is>
          <t>WB-FRM-02 / Depricarping</t>
        </is>
      </c>
      <c r="D777" s="13" t="inlineStr">
        <is>
          <t>WB-FRM-02</t>
        </is>
      </c>
      <c r="E777" s="15" t="inlineStr">
        <is>
          <t>Depricarping</t>
        </is>
      </c>
      <c r="F777" s="14" t="inlineStr">
        <is>
          <t>Web — Data Stasiun (WB-)</t>
        </is>
      </c>
      <c r="G777" s="15" t="inlineStr">
        <is>
          <t>Production Line wajib pada mode tambah, terkunci pada mode ubah</t>
        </is>
      </c>
      <c r="H777" s="14" t="inlineStr">
        <is>
          <t>SPV-A</t>
        </is>
      </c>
      <c r="I777" s="14" t="inlineStr">
        <is>
          <t>—</t>
        </is>
      </c>
      <c r="J777" s="14" t="inlineStr">
        <is>
          <t>1. Login di web, buka /data/depricarping (Depricarping), lalu tekan Tambah (/data/depricarping/create). Jangan pilih Production Line.
2. Isi kolom lain dengan benar, lalu tekan Simpan.
3. Pilih Production Line, Simpan lagi.
4. Buka record itu, tekan Edit.
5. Coba ubah Production Line pada mode ubah.</t>
        </is>
      </c>
      <c r="K777" s="14" t="inlineStr">
        <is>
          <t>- Langkah 2: ditolak, dengan pesan yang menunjuk kolom Production Line.
- Langkah 3: berhasil.
- Langkah 5: Production Line tidak dapat diubah — ia dipaku saat record dibuat, dan ada keterangan yang menyebutkannya.</t>
        </is>
      </c>
      <c r="L777" s="16" t="inlineStr">
        <is>
          <t>Tinggi</t>
        </is>
      </c>
      <c r="M777" s="14" t="inlineStr"/>
      <c r="N777" s="17" t="n"/>
      <c r="O777" s="17" t="n"/>
      <c r="P777" s="17" t="n"/>
      <c r="Q777" s="17" t="n"/>
      <c r="R777" s="17" t="n"/>
    </row>
    <row r="778" ht="109.6" customHeight="1">
      <c r="A778" s="18" t="n">
        <v>774</v>
      </c>
      <c r="B778" s="18" t="n">
        <v>3</v>
      </c>
      <c r="C778" s="19" t="inlineStr">
        <is>
          <t>WB-FRM-02 / Engine Room</t>
        </is>
      </c>
      <c r="D778" s="19" t="inlineStr">
        <is>
          <t>WB-FRM-02</t>
        </is>
      </c>
      <c r="E778" s="20" t="inlineStr">
        <is>
          <t>Engine Room</t>
        </is>
      </c>
      <c r="F778" s="21" t="inlineStr">
        <is>
          <t>Web — Data Stasiun (WB-)</t>
        </is>
      </c>
      <c r="G778" s="20" t="inlineStr">
        <is>
          <t>Production Line wajib pada mode tambah, terkunci pada mode ubah</t>
        </is>
      </c>
      <c r="H778" s="21" t="inlineStr">
        <is>
          <t>SPV-A</t>
        </is>
      </c>
      <c r="I778" s="21" t="inlineStr">
        <is>
          <t>—</t>
        </is>
      </c>
      <c r="J778" s="21" t="inlineStr">
        <is>
          <t>1. Login di web, buka /data/engine-room (Engine Room), lalu tekan Tambah (/data/engine-room/create). Jangan pilih Production Line.
2. Isi kolom lain dengan benar, lalu tekan Simpan.
3. Pilih Production Line, Simpan lagi.
4. Buka record itu, tekan Edit.
5. Coba ubah Production Line pada mode ubah.</t>
        </is>
      </c>
      <c r="K778" s="21" t="inlineStr">
        <is>
          <t>- Langkah 2: ditolak, dengan pesan yang menunjuk kolom Production Line.
- Langkah 3: berhasil.
- Langkah 5: Production Line tidak dapat diubah — ia dipaku saat record dibuat, dan ada keterangan yang menyebutkannya.</t>
        </is>
      </c>
      <c r="L778" s="16" t="inlineStr">
        <is>
          <t>Tinggi</t>
        </is>
      </c>
      <c r="M778" s="21" t="inlineStr"/>
      <c r="N778" s="17" t="n"/>
      <c r="O778" s="17" t="n"/>
      <c r="P778" s="17" t="n"/>
      <c r="Q778" s="17" t="n"/>
      <c r="R778" s="17" t="n"/>
    </row>
    <row r="779" ht="122.8" customHeight="1">
      <c r="A779" s="22" t="n">
        <v>775</v>
      </c>
      <c r="B779" s="22" t="n">
        <v>3</v>
      </c>
      <c r="C779" s="23" t="inlineStr">
        <is>
          <t>WB-FRM-02 / Process Water</t>
        </is>
      </c>
      <c r="D779" s="23" t="inlineStr">
        <is>
          <t>WB-FRM-02</t>
        </is>
      </c>
      <c r="E779" s="24" t="inlineStr">
        <is>
          <t>Process Water</t>
        </is>
      </c>
      <c r="F779" s="5" t="inlineStr">
        <is>
          <t>Web — Data Stasiun (WB-)</t>
        </is>
      </c>
      <c r="G779" s="24" t="inlineStr">
        <is>
          <t>Production Line wajib pada mode tambah, terkunci pada mode ubah</t>
        </is>
      </c>
      <c r="H779" s="5" t="inlineStr">
        <is>
          <t>SPV-A</t>
        </is>
      </c>
      <c r="I779" s="5" t="inlineStr">
        <is>
          <t>—</t>
        </is>
      </c>
      <c r="J779" s="5" t="inlineStr">
        <is>
          <t>1. Login di web, buka /data/process-water (Process Water), lalu tekan Tambah (/data/process-water/create). Jangan pilih Production Line.
2. Isi kolom lain dengan benar, lalu tekan Simpan.
3. Pilih Production Line, Simpan lagi.
4. Buka record itu, tekan Edit.
5. Coba ubah Production Line pada mode ubah.</t>
        </is>
      </c>
      <c r="K779" s="5" t="inlineStr">
        <is>
          <t>- Langkah 2: ditolak, dengan pesan yang menunjuk kolom Production Line.
- Langkah 3: berhasil.
- Langkah 5: Production Line tidak dapat diubah — ia dipaku saat record dibuat, dan ada keterangan yang menyebutkannya.</t>
        </is>
      </c>
      <c r="L779" s="16" t="inlineStr">
        <is>
          <t>Tinggi</t>
        </is>
      </c>
      <c r="M779" s="5" t="inlineStr"/>
      <c r="N779" s="17" t="n"/>
      <c r="O779" s="17" t="n"/>
      <c r="P779" s="17" t="n"/>
      <c r="Q779" s="17" t="n"/>
      <c r="R779" s="17" t="n"/>
    </row>
    <row r="780" ht="122.8" customHeight="1">
      <c r="A780" s="18" t="n">
        <v>776</v>
      </c>
      <c r="B780" s="18" t="n">
        <v>3</v>
      </c>
      <c r="C780" s="19" t="inlineStr">
        <is>
          <t>WB-FRM-02 / Storage Tank</t>
        </is>
      </c>
      <c r="D780" s="19" t="inlineStr">
        <is>
          <t>WB-FRM-02</t>
        </is>
      </c>
      <c r="E780" s="20" t="inlineStr">
        <is>
          <t>Storage Tank</t>
        </is>
      </c>
      <c r="F780" s="21" t="inlineStr">
        <is>
          <t>Web — Data Stasiun (WB-)</t>
        </is>
      </c>
      <c r="G780" s="20" t="inlineStr">
        <is>
          <t>Production Line wajib pada mode tambah, terkunci pada mode ubah</t>
        </is>
      </c>
      <c r="H780" s="21" t="inlineStr">
        <is>
          <t>SPV-A</t>
        </is>
      </c>
      <c r="I780" s="21" t="inlineStr">
        <is>
          <t>—</t>
        </is>
      </c>
      <c r="J780" s="21" t="inlineStr">
        <is>
          <t>1. Login di web, buka /data/storage-tank (Storage Tank), lalu tekan Tambah (/data/storage-tank/create). Jangan pilih Production Line.
2. Isi kolom lain dengan benar, lalu tekan Simpan.
3. Pilih Production Line, Simpan lagi.
4. Buka record itu, tekan Edit.
5. Coba ubah Production Line pada mode ubah.</t>
        </is>
      </c>
      <c r="K780" s="21" t="inlineStr">
        <is>
          <t>- Langkah 2: ditolak, dengan pesan yang menunjuk kolom Production Line.
- Langkah 3: berhasil.
- Langkah 5: Production Line tidak dapat diubah — ia dipaku saat record dibuat, dan ada keterangan yang menyebutkannya.</t>
        </is>
      </c>
      <c r="L780" s="16" t="inlineStr">
        <is>
          <t>Tinggi</t>
        </is>
      </c>
      <c r="M780" s="21" t="inlineStr"/>
      <c r="N780" s="17" t="n"/>
      <c r="O780" s="17" t="n"/>
      <c r="P780" s="17" t="n"/>
      <c r="Q780" s="17" t="n"/>
      <c r="R780" s="17" t="n"/>
    </row>
    <row r="781" ht="122.8" customHeight="1">
      <c r="A781" s="22" t="n">
        <v>777</v>
      </c>
      <c r="B781" s="22" t="n">
        <v>3</v>
      </c>
      <c r="C781" s="23" t="inlineStr">
        <is>
          <t>WB-FRM-02 / Solid Waste Disposal</t>
        </is>
      </c>
      <c r="D781" s="23" t="inlineStr">
        <is>
          <t>WB-FRM-02</t>
        </is>
      </c>
      <c r="E781" s="24" t="inlineStr">
        <is>
          <t>Solid Waste Disposal</t>
        </is>
      </c>
      <c r="F781" s="5" t="inlineStr">
        <is>
          <t>Web — Data Stasiun (WB-)</t>
        </is>
      </c>
      <c r="G781" s="24" t="inlineStr">
        <is>
          <t>Production Line wajib pada mode tambah, terkunci pada mode ubah</t>
        </is>
      </c>
      <c r="H781" s="5" t="inlineStr">
        <is>
          <t>SPV-A</t>
        </is>
      </c>
      <c r="I781" s="5" t="inlineStr">
        <is>
          <t>—</t>
        </is>
      </c>
      <c r="J781" s="5" t="inlineStr">
        <is>
          <t>1. Login di web, buka /data/solid-waste-disposal (Solid Waste Disposal), lalu tekan Tambah (/data/solid-waste-disposal/create). Jangan pilih Production Line.
2. Isi kolom lain dengan benar, lalu tekan Simpan.
3. Pilih Production Line, Simpan lagi.
4. Buka record itu, tekan Edit.
5. Coba ubah Production Line pada mode ubah.</t>
        </is>
      </c>
      <c r="K781" s="5" t="inlineStr">
        <is>
          <t>- Langkah 2: ditolak, dengan pesan yang menunjuk kolom Production Line.
- Langkah 3: berhasil.
- Langkah 5: Production Line tidak dapat diubah — ia dipaku saat record dibuat, dan ada keterangan yang menyebutkannya.</t>
        </is>
      </c>
      <c r="L781" s="16" t="inlineStr">
        <is>
          <t>Tinggi</t>
        </is>
      </c>
      <c r="M781" s="5" t="inlineStr"/>
      <c r="N781" s="17" t="n"/>
      <c r="O781" s="17" t="n"/>
      <c r="P781" s="17" t="n"/>
      <c r="Q781" s="17" t="n"/>
      <c r="R781" s="17" t="n"/>
    </row>
    <row r="782" ht="122.8" customHeight="1">
      <c r="A782" s="18" t="n">
        <v>778</v>
      </c>
      <c r="B782" s="18" t="n">
        <v>3</v>
      </c>
      <c r="C782" s="19" t="inlineStr">
        <is>
          <t>WB-FRM-02 / Kernel Dispatch</t>
        </is>
      </c>
      <c r="D782" s="19" t="inlineStr">
        <is>
          <t>WB-FRM-02</t>
        </is>
      </c>
      <c r="E782" s="20" t="inlineStr">
        <is>
          <t>Kernel Dispatch</t>
        </is>
      </c>
      <c r="F782" s="21" t="inlineStr">
        <is>
          <t>Web — Data Stasiun (WB-)</t>
        </is>
      </c>
      <c r="G782" s="20" t="inlineStr">
        <is>
          <t>Production Line wajib pada mode tambah, terkunci pada mode ubah</t>
        </is>
      </c>
      <c r="H782" s="21" t="inlineStr">
        <is>
          <t>SPV-A</t>
        </is>
      </c>
      <c r="I782" s="21" t="inlineStr">
        <is>
          <t>—</t>
        </is>
      </c>
      <c r="J782" s="21" t="inlineStr">
        <is>
          <t>1. Login di web, buka /data/kernel-dispatch (Kernel Dispatch), lalu tekan Tambah (/data/kernel-dispatch/create). Jangan pilih Production Line.
2. Isi kolom lain dengan benar, lalu tekan Simpan.
3. Pilih Production Line, Simpan lagi.
4. Buka record itu, tekan Edit.
5. Coba ubah Production Line pada mode ubah.</t>
        </is>
      </c>
      <c r="K782" s="21" t="inlineStr">
        <is>
          <t>- Langkah 2: ditolak, dengan pesan yang menunjuk kolom Production Line.
- Langkah 3: berhasil.
- Langkah 5: Production Line tidak dapat diubah — ia dipaku saat record dibuat, dan ada keterangan yang menyebutkannya.</t>
        </is>
      </c>
      <c r="L782" s="16" t="inlineStr">
        <is>
          <t>Tinggi</t>
        </is>
      </c>
      <c r="M782" s="21" t="inlineStr"/>
      <c r="N782" s="17" t="n"/>
      <c r="O782" s="17" t="n"/>
      <c r="P782" s="17" t="n"/>
      <c r="Q782" s="17" t="n"/>
      <c r="R782" s="17" t="n"/>
    </row>
    <row r="783" ht="122.8" customHeight="1">
      <c r="A783" s="22" t="n">
        <v>779</v>
      </c>
      <c r="B783" s="22" t="n">
        <v>3</v>
      </c>
      <c r="C783" s="23" t="inlineStr">
        <is>
          <t>WB-FRM-02 / CPO Dispatch</t>
        </is>
      </c>
      <c r="D783" s="23" t="inlineStr">
        <is>
          <t>WB-FRM-02</t>
        </is>
      </c>
      <c r="E783" s="24" t="inlineStr">
        <is>
          <t>CPO Dispatch</t>
        </is>
      </c>
      <c r="F783" s="5" t="inlineStr">
        <is>
          <t>Web — Data Stasiun (WB-)</t>
        </is>
      </c>
      <c r="G783" s="24" t="inlineStr">
        <is>
          <t>Production Line wajib pada mode tambah, terkunci pada mode ubah</t>
        </is>
      </c>
      <c r="H783" s="5" t="inlineStr">
        <is>
          <t>SPV-A</t>
        </is>
      </c>
      <c r="I783" s="5" t="inlineStr">
        <is>
          <t>—</t>
        </is>
      </c>
      <c r="J783" s="5" t="inlineStr">
        <is>
          <t>1. Login di web, buka /data/cpo-dispatch (CPO Dispatch), lalu tekan Tambah (/data/cpo-dispatch/create). Jangan pilih Production Line.
2. Isi kolom lain dengan benar, lalu tekan Simpan.
3. Pilih Production Line, Simpan lagi.
4. Buka record itu, tekan Edit.
5. Coba ubah Production Line pada mode ubah.</t>
        </is>
      </c>
      <c r="K783" s="5" t="inlineStr">
        <is>
          <t>- Langkah 2: ditolak, dengan pesan yang menunjuk kolom Production Line.
- Langkah 3: berhasil.
- Langkah 5: Production Line tidak dapat diubah — ia dipaku saat record dibuat, dan ada keterangan yang menyebutkannya.</t>
        </is>
      </c>
      <c r="L783" s="16" t="inlineStr">
        <is>
          <t>Tinggi</t>
        </is>
      </c>
      <c r="M783" s="5" t="inlineStr"/>
      <c r="N783" s="17" t="n"/>
      <c r="O783" s="17" t="n"/>
      <c r="P783" s="17" t="n"/>
      <c r="Q783" s="17" t="n"/>
      <c r="R783" s="17" t="n"/>
    </row>
    <row r="784" ht="122.8" customHeight="1">
      <c r="A784" s="18" t="n">
        <v>780</v>
      </c>
      <c r="B784" s="18" t="n">
        <v>3</v>
      </c>
      <c r="C784" s="19" t="inlineStr">
        <is>
          <t>WB-FRM-02 / Process Quality Control</t>
        </is>
      </c>
      <c r="D784" s="19" t="inlineStr">
        <is>
          <t>WB-FRM-02</t>
        </is>
      </c>
      <c r="E784" s="20" t="inlineStr">
        <is>
          <t>Process Quality Control</t>
        </is>
      </c>
      <c r="F784" s="21" t="inlineStr">
        <is>
          <t>Web — Data Stasiun (WB-)</t>
        </is>
      </c>
      <c r="G784" s="20" t="inlineStr">
        <is>
          <t>Production Line wajib pada mode tambah, terkunci pada mode ubah</t>
        </is>
      </c>
      <c r="H784" s="21" t="inlineStr">
        <is>
          <t>SPV-A</t>
        </is>
      </c>
      <c r="I784" s="21" t="inlineStr">
        <is>
          <t>—</t>
        </is>
      </c>
      <c r="J784" s="21" t="inlineStr">
        <is>
          <t>1. Login di web, buka /data/process-quality-control (Process Quality Control), lalu tekan Tambah (/data/process-quality-control/create). Jangan pilih Production Line.
2. Isi kolom lain dengan benar, lalu tekan Simpan.
3. Pilih Production Line, Simpan lagi.
4. Buka record itu, tekan Edit.
5. Coba ubah Production Line pada mode ubah.</t>
        </is>
      </c>
      <c r="K784" s="21" t="inlineStr">
        <is>
          <t>- Langkah 2: ditolak, dengan pesan yang menunjuk kolom Production Line.
- Langkah 3: berhasil.
- Langkah 5: Production Line tidak dapat diubah — ia dipaku saat record dibuat, dan ada keterangan yang menyebutkannya.</t>
        </is>
      </c>
      <c r="L784" s="16" t="inlineStr">
        <is>
          <t>Tinggi</t>
        </is>
      </c>
      <c r="M784" s="21" t="inlineStr"/>
      <c r="N784" s="17" t="n"/>
      <c r="O784" s="17" t="n"/>
      <c r="P784" s="17" t="n"/>
      <c r="Q784" s="17" t="n"/>
      <c r="R784" s="17" t="n"/>
    </row>
    <row r="785" ht="215.2" customHeight="1">
      <c r="A785" s="22" t="n">
        <v>781</v>
      </c>
      <c r="B785" s="22" t="n">
        <v>3</v>
      </c>
      <c r="C785" s="23" t="inlineStr">
        <is>
          <t>WB-FRM-03 / Weighbridge</t>
        </is>
      </c>
      <c r="D785" s="23" t="inlineStr">
        <is>
          <t>WB-FRM-03</t>
        </is>
      </c>
      <c r="E785" s="24" t="inlineStr">
        <is>
          <t>Weighbridge</t>
        </is>
      </c>
      <c r="F785" s="5" t="inlineStr">
        <is>
          <t>Web — Data Stasiun (WB-)</t>
        </is>
      </c>
      <c r="G785" s="24" t="inlineStr">
        <is>
          <t>Kolom wajib dan tanggal divalidasi</t>
        </is>
      </c>
      <c r="H785" s="5" t="inlineStr">
        <is>
          <t>SPV-A</t>
        </is>
      </c>
      <c r="I785" s="5" t="inlineStr">
        <is>
          <t>—</t>
        </is>
      </c>
      <c r="J785" s="5" t="inlineStr">
        <is>
          <t>1. Login di web, buka /data/weighbridge (Weighbridge), lalu tekan Tambah (/data/weighbridge/create).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785"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785" s="16" t="inlineStr">
        <is>
          <t>Tinggi</t>
        </is>
      </c>
      <c r="M785" s="5" t="inlineStr"/>
      <c r="N785" s="17" t="n"/>
      <c r="O785" s="17" t="n"/>
      <c r="P785" s="17" t="n"/>
      <c r="Q785" s="17" t="n"/>
      <c r="R785" s="17" t="n"/>
    </row>
    <row r="786" ht="215.2" customHeight="1">
      <c r="A786" s="18" t="n">
        <v>782</v>
      </c>
      <c r="B786" s="18" t="n">
        <v>3</v>
      </c>
      <c r="C786" s="19" t="inlineStr">
        <is>
          <t>WB-FRM-03 / Grading</t>
        </is>
      </c>
      <c r="D786" s="19" t="inlineStr">
        <is>
          <t>WB-FRM-03</t>
        </is>
      </c>
      <c r="E786" s="20" t="inlineStr">
        <is>
          <t>Grading</t>
        </is>
      </c>
      <c r="F786" s="21" t="inlineStr">
        <is>
          <t>Web — Data Stasiun (WB-)</t>
        </is>
      </c>
      <c r="G786" s="20" t="inlineStr">
        <is>
          <t>Kolom wajib dan tanggal divalidasi</t>
        </is>
      </c>
      <c r="H786" s="21" t="inlineStr">
        <is>
          <t>SPV-A</t>
        </is>
      </c>
      <c r="I786" s="21" t="inlineStr">
        <is>
          <t>—</t>
        </is>
      </c>
      <c r="J786" s="21" t="inlineStr">
        <is>
          <t>1. Login di web, buka /data/grading (Grading), lalu tekan Tambah (/data/grading/create).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786" s="21"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786" s="16" t="inlineStr">
        <is>
          <t>Tinggi</t>
        </is>
      </c>
      <c r="M786" s="21" t="inlineStr"/>
      <c r="N786" s="17" t="n"/>
      <c r="O786" s="17" t="n"/>
      <c r="P786" s="17" t="n"/>
      <c r="Q786" s="17" t="n"/>
      <c r="R786" s="17" t="n"/>
    </row>
    <row r="787" ht="215.2" customHeight="1">
      <c r="A787" s="22" t="n">
        <v>783</v>
      </c>
      <c r="B787" s="22" t="n">
        <v>3</v>
      </c>
      <c r="C787" s="23" t="inlineStr">
        <is>
          <t>WB-FRM-03 / Cages Track</t>
        </is>
      </c>
      <c r="D787" s="23" t="inlineStr">
        <is>
          <t>WB-FRM-03</t>
        </is>
      </c>
      <c r="E787" s="24" t="inlineStr">
        <is>
          <t>Cages Track</t>
        </is>
      </c>
      <c r="F787" s="5" t="inlineStr">
        <is>
          <t>Web — Data Stasiun (WB-)</t>
        </is>
      </c>
      <c r="G787" s="24" t="inlineStr">
        <is>
          <t>Kolom wajib dan tanggal divalidasi</t>
        </is>
      </c>
      <c r="H787" s="5" t="inlineStr">
        <is>
          <t>SPV-A</t>
        </is>
      </c>
      <c r="I787" s="5" t="inlineStr">
        <is>
          <t>—</t>
        </is>
      </c>
      <c r="J787" s="5" t="inlineStr">
        <is>
          <t>1. Login di web, buka /data/cages-track (Cages Track), lalu tekan Tambah (/data/cages-track/create).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787"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787" s="16" t="inlineStr">
        <is>
          <t>Tinggi</t>
        </is>
      </c>
      <c r="M787" s="5" t="inlineStr"/>
      <c r="N787" s="17" t="n"/>
      <c r="O787" s="17" t="n"/>
      <c r="P787" s="17" t="n"/>
      <c r="Q787" s="17" t="n"/>
      <c r="R787" s="17" t="n"/>
    </row>
    <row r="788" ht="215.2" customHeight="1">
      <c r="A788" s="18" t="n">
        <v>784</v>
      </c>
      <c r="B788" s="18" t="n">
        <v>3</v>
      </c>
      <c r="C788" s="19" t="inlineStr">
        <is>
          <t>WB-FRM-03 / Sterilizer</t>
        </is>
      </c>
      <c r="D788" s="19" t="inlineStr">
        <is>
          <t>WB-FRM-03</t>
        </is>
      </c>
      <c r="E788" s="20" t="inlineStr">
        <is>
          <t>Sterilizer</t>
        </is>
      </c>
      <c r="F788" s="21" t="inlineStr">
        <is>
          <t>Web — Data Stasiun (WB-)</t>
        </is>
      </c>
      <c r="G788" s="20" t="inlineStr">
        <is>
          <t>Kolom wajib dan tanggal divalidasi</t>
        </is>
      </c>
      <c r="H788" s="21" t="inlineStr">
        <is>
          <t>SPV-A</t>
        </is>
      </c>
      <c r="I788" s="21" t="inlineStr">
        <is>
          <t>—</t>
        </is>
      </c>
      <c r="J788" s="21" t="inlineStr">
        <is>
          <t>1. Login di web, buka /data/sterilizer (Sterilizer), lalu tekan Tambah (/data/sterilizer/create).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788" s="21"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788" s="16" t="inlineStr">
        <is>
          <t>Tinggi</t>
        </is>
      </c>
      <c r="M788" s="21" t="inlineStr"/>
      <c r="N788" s="17" t="n"/>
      <c r="O788" s="17" t="n"/>
      <c r="P788" s="17" t="n"/>
      <c r="Q788" s="17" t="n"/>
      <c r="R788" s="17" t="n"/>
    </row>
    <row r="789" ht="215.2" customHeight="1">
      <c r="A789" s="22" t="n">
        <v>785</v>
      </c>
      <c r="B789" s="22" t="n">
        <v>3</v>
      </c>
      <c r="C789" s="23" t="inlineStr">
        <is>
          <t>WB-FRM-03 / Threshing</t>
        </is>
      </c>
      <c r="D789" s="23" t="inlineStr">
        <is>
          <t>WB-FRM-03</t>
        </is>
      </c>
      <c r="E789" s="24" t="inlineStr">
        <is>
          <t>Threshing</t>
        </is>
      </c>
      <c r="F789" s="5" t="inlineStr">
        <is>
          <t>Web — Data Stasiun (WB-)</t>
        </is>
      </c>
      <c r="G789" s="24" t="inlineStr">
        <is>
          <t>Kolom wajib dan tanggal divalidasi</t>
        </is>
      </c>
      <c r="H789" s="5" t="inlineStr">
        <is>
          <t>SPV-A</t>
        </is>
      </c>
      <c r="I789" s="5" t="inlineStr">
        <is>
          <t>—</t>
        </is>
      </c>
      <c r="J789" s="5" t="inlineStr">
        <is>
          <t>1. Login di web, buka /data/threshing (Threshing), lalu tekan Tambah (/data/threshing/create).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789"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789" s="16" t="inlineStr">
        <is>
          <t>Tinggi</t>
        </is>
      </c>
      <c r="M789" s="5" t="inlineStr"/>
      <c r="N789" s="17" t="n"/>
      <c r="O789" s="17" t="n"/>
      <c r="P789" s="17" t="n"/>
      <c r="Q789" s="17" t="n"/>
      <c r="R789" s="17" t="n"/>
    </row>
    <row r="790" ht="215.2" customHeight="1">
      <c r="A790" s="18" t="n">
        <v>786</v>
      </c>
      <c r="B790" s="18" t="n">
        <v>3</v>
      </c>
      <c r="C790" s="19" t="inlineStr">
        <is>
          <t>WB-FRM-03 / Pressing</t>
        </is>
      </c>
      <c r="D790" s="19" t="inlineStr">
        <is>
          <t>WB-FRM-03</t>
        </is>
      </c>
      <c r="E790" s="20" t="inlineStr">
        <is>
          <t>Pressing</t>
        </is>
      </c>
      <c r="F790" s="21" t="inlineStr">
        <is>
          <t>Web — Data Stasiun (WB-)</t>
        </is>
      </c>
      <c r="G790" s="20" t="inlineStr">
        <is>
          <t>Kolom wajib dan tanggal divalidasi</t>
        </is>
      </c>
      <c r="H790" s="21" t="inlineStr">
        <is>
          <t>SPV-A</t>
        </is>
      </c>
      <c r="I790" s="21" t="inlineStr">
        <is>
          <t>—</t>
        </is>
      </c>
      <c r="J790" s="21" t="inlineStr">
        <is>
          <t>1. Login di web, buka /data/pressing (Pressing), lalu tekan Tambah (/data/pressing/create).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790" s="21"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790" s="16" t="inlineStr">
        <is>
          <t>Tinggi</t>
        </is>
      </c>
      <c r="M790" s="21" t="inlineStr"/>
      <c r="N790" s="17" t="n"/>
      <c r="O790" s="17" t="n"/>
      <c r="P790" s="17" t="n"/>
      <c r="Q790" s="17" t="n"/>
      <c r="R790" s="17" t="n"/>
    </row>
    <row r="791" ht="215.2" customHeight="1">
      <c r="A791" s="22" t="n">
        <v>787</v>
      </c>
      <c r="B791" s="22" t="n">
        <v>3</v>
      </c>
      <c r="C791" s="23" t="inlineStr">
        <is>
          <t>WB-FRM-03 / Clarification</t>
        </is>
      </c>
      <c r="D791" s="23" t="inlineStr">
        <is>
          <t>WB-FRM-03</t>
        </is>
      </c>
      <c r="E791" s="24" t="inlineStr">
        <is>
          <t>Clarification</t>
        </is>
      </c>
      <c r="F791" s="5" t="inlineStr">
        <is>
          <t>Web — Data Stasiun (WB-)</t>
        </is>
      </c>
      <c r="G791" s="24" t="inlineStr">
        <is>
          <t>Kolom wajib dan tanggal divalidasi</t>
        </is>
      </c>
      <c r="H791" s="5" t="inlineStr">
        <is>
          <t>SPV-A</t>
        </is>
      </c>
      <c r="I791" s="5" t="inlineStr">
        <is>
          <t>—</t>
        </is>
      </c>
      <c r="J791" s="5" t="inlineStr">
        <is>
          <t>1. Login di web, buka /data/clarification (Clarification), lalu tekan Tambah (/data/clarification/create).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791"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791" s="16" t="inlineStr">
        <is>
          <t>Tinggi</t>
        </is>
      </c>
      <c r="M791" s="5" t="inlineStr"/>
      <c r="N791" s="17" t="n"/>
      <c r="O791" s="17" t="n"/>
      <c r="P791" s="17" t="n"/>
      <c r="Q791" s="17" t="n"/>
      <c r="R791" s="17" t="n"/>
    </row>
    <row r="792" ht="215.2" customHeight="1">
      <c r="A792" s="18" t="n">
        <v>788</v>
      </c>
      <c r="B792" s="18" t="n">
        <v>3</v>
      </c>
      <c r="C792" s="19" t="inlineStr">
        <is>
          <t>WB-FRM-03 / Kernel Plant</t>
        </is>
      </c>
      <c r="D792" s="19" t="inlineStr">
        <is>
          <t>WB-FRM-03</t>
        </is>
      </c>
      <c r="E792" s="20" t="inlineStr">
        <is>
          <t>Kernel Plant</t>
        </is>
      </c>
      <c r="F792" s="21" t="inlineStr">
        <is>
          <t>Web — Data Stasiun (WB-)</t>
        </is>
      </c>
      <c r="G792" s="20" t="inlineStr">
        <is>
          <t>Kolom wajib dan tanggal divalidasi</t>
        </is>
      </c>
      <c r="H792" s="21" t="inlineStr">
        <is>
          <t>SPV-A</t>
        </is>
      </c>
      <c r="I792" s="21" t="inlineStr">
        <is>
          <t>—</t>
        </is>
      </c>
      <c r="J792" s="21" t="inlineStr">
        <is>
          <t>1. Login di web, buka /data/kernel-plant (Kernel Plant), lalu tekan Tambah (/data/kernel-plant/create).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792" s="21"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792" s="16" t="inlineStr">
        <is>
          <t>Tinggi</t>
        </is>
      </c>
      <c r="M792" s="21" t="inlineStr"/>
      <c r="N792" s="17" t="n"/>
      <c r="O792" s="17" t="n"/>
      <c r="P792" s="17" t="n"/>
      <c r="Q792" s="17" t="n"/>
      <c r="R792" s="17" t="n"/>
    </row>
    <row r="793" ht="215.2" customHeight="1">
      <c r="A793" s="22" t="n">
        <v>789</v>
      </c>
      <c r="B793" s="22" t="n">
        <v>3</v>
      </c>
      <c r="C793" s="23" t="inlineStr">
        <is>
          <t>WB-FRM-03 / Boiler Room</t>
        </is>
      </c>
      <c r="D793" s="23" t="inlineStr">
        <is>
          <t>WB-FRM-03</t>
        </is>
      </c>
      <c r="E793" s="24" t="inlineStr">
        <is>
          <t>Boiler Room</t>
        </is>
      </c>
      <c r="F793" s="5" t="inlineStr">
        <is>
          <t>Web — Data Stasiun (WB-)</t>
        </is>
      </c>
      <c r="G793" s="24" t="inlineStr">
        <is>
          <t>Kolom wajib dan tanggal divalidasi</t>
        </is>
      </c>
      <c r="H793" s="5" t="inlineStr">
        <is>
          <t>SPV-A</t>
        </is>
      </c>
      <c r="I793" s="5" t="inlineStr">
        <is>
          <t>—</t>
        </is>
      </c>
      <c r="J793" s="5" t="inlineStr">
        <is>
          <t>1. Login di web, buka /data/boiler-room (Boiler Room), lalu tekan Tambah (/data/boiler-room/create).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793"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793" s="16" t="inlineStr">
        <is>
          <t>Tinggi</t>
        </is>
      </c>
      <c r="M793" s="5" t="inlineStr"/>
      <c r="N793" s="17" t="n"/>
      <c r="O793" s="17" t="n"/>
      <c r="P793" s="17" t="n"/>
      <c r="Q793" s="17" t="n"/>
      <c r="R793" s="17" t="n"/>
    </row>
    <row r="794" ht="215.2" customHeight="1">
      <c r="A794" s="18" t="n">
        <v>790</v>
      </c>
      <c r="B794" s="18" t="n">
        <v>3</v>
      </c>
      <c r="C794" s="19" t="inlineStr">
        <is>
          <t>WB-FRM-03 / Effluent Plant</t>
        </is>
      </c>
      <c r="D794" s="19" t="inlineStr">
        <is>
          <t>WB-FRM-03</t>
        </is>
      </c>
      <c r="E794" s="20" t="inlineStr">
        <is>
          <t>Effluent Plant</t>
        </is>
      </c>
      <c r="F794" s="21" t="inlineStr">
        <is>
          <t>Web — Data Stasiun (WB-)</t>
        </is>
      </c>
      <c r="G794" s="20" t="inlineStr">
        <is>
          <t>Kolom wajib dan tanggal divalidasi</t>
        </is>
      </c>
      <c r="H794" s="21" t="inlineStr">
        <is>
          <t>SPV-A</t>
        </is>
      </c>
      <c r="I794" s="21" t="inlineStr">
        <is>
          <t>—</t>
        </is>
      </c>
      <c r="J794" s="21" t="inlineStr">
        <is>
          <t>1. Login di web, buka /data/effluent-plant (Effluent Plant), lalu tekan Tambah (/data/effluent-plant/create).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794" s="21"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794" s="16" t="inlineStr">
        <is>
          <t>Tinggi</t>
        </is>
      </c>
      <c r="M794" s="21" t="inlineStr"/>
      <c r="N794" s="17" t="n"/>
      <c r="O794" s="17" t="n"/>
      <c r="P794" s="17" t="n"/>
      <c r="Q794" s="17" t="n"/>
      <c r="R794" s="17" t="n"/>
    </row>
    <row r="795" ht="215.2" customHeight="1">
      <c r="A795" s="11" t="n">
        <v>791</v>
      </c>
      <c r="B795" s="12" t="n">
        <v>1</v>
      </c>
      <c r="C795" s="13" t="inlineStr">
        <is>
          <t>WB-FRM-03 / Depricarping</t>
        </is>
      </c>
      <c r="D795" s="13" t="inlineStr">
        <is>
          <t>WB-FRM-03</t>
        </is>
      </c>
      <c r="E795" s="15" t="inlineStr">
        <is>
          <t>Depricarping</t>
        </is>
      </c>
      <c r="F795" s="14" t="inlineStr">
        <is>
          <t>Web — Data Stasiun (WB-)</t>
        </is>
      </c>
      <c r="G795" s="15" t="inlineStr">
        <is>
          <t>Kolom wajib dan tanggal divalidasi</t>
        </is>
      </c>
      <c r="H795" s="14" t="inlineStr">
        <is>
          <t>SPV-A</t>
        </is>
      </c>
      <c r="I795" s="14" t="inlineStr">
        <is>
          <t>—</t>
        </is>
      </c>
      <c r="J795" s="14" t="inlineStr">
        <is>
          <t>1. Login di web, buka /data/depricarping (Depricarping), lalu tekan Tambah (/data/depricarping/create).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795" s="14"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795" s="16" t="inlineStr">
        <is>
          <t>Tinggi</t>
        </is>
      </c>
      <c r="M795" s="14" t="inlineStr"/>
      <c r="N795" s="17" t="n"/>
      <c r="O795" s="17" t="n"/>
      <c r="P795" s="17" t="n"/>
      <c r="Q795" s="17" t="n"/>
      <c r="R795" s="17" t="n"/>
    </row>
    <row r="796" ht="215.2" customHeight="1">
      <c r="A796" s="18" t="n">
        <v>792</v>
      </c>
      <c r="B796" s="18" t="n">
        <v>3</v>
      </c>
      <c r="C796" s="19" t="inlineStr">
        <is>
          <t>WB-FRM-03 / Engine Room</t>
        </is>
      </c>
      <c r="D796" s="19" t="inlineStr">
        <is>
          <t>WB-FRM-03</t>
        </is>
      </c>
      <c r="E796" s="20" t="inlineStr">
        <is>
          <t>Engine Room</t>
        </is>
      </c>
      <c r="F796" s="21" t="inlineStr">
        <is>
          <t>Web — Data Stasiun (WB-)</t>
        </is>
      </c>
      <c r="G796" s="20" t="inlineStr">
        <is>
          <t>Kolom wajib dan tanggal divalidasi</t>
        </is>
      </c>
      <c r="H796" s="21" t="inlineStr">
        <is>
          <t>SPV-A</t>
        </is>
      </c>
      <c r="I796" s="21" t="inlineStr">
        <is>
          <t>—</t>
        </is>
      </c>
      <c r="J796" s="21" t="inlineStr">
        <is>
          <t>1. Login di web, buka /data/engine-room (Engine Room), lalu tekan Tambah (/data/engine-room/create).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796" s="21"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796" s="16" t="inlineStr">
        <is>
          <t>Tinggi</t>
        </is>
      </c>
      <c r="M796" s="21" t="inlineStr"/>
      <c r="N796" s="17" t="n"/>
      <c r="O796" s="17" t="n"/>
      <c r="P796" s="17" t="n"/>
      <c r="Q796" s="17" t="n"/>
      <c r="R796" s="17" t="n"/>
    </row>
    <row r="797" ht="215.2" customHeight="1">
      <c r="A797" s="22" t="n">
        <v>793</v>
      </c>
      <c r="B797" s="22" t="n">
        <v>3</v>
      </c>
      <c r="C797" s="23" t="inlineStr">
        <is>
          <t>WB-FRM-03 / Process Water</t>
        </is>
      </c>
      <c r="D797" s="23" t="inlineStr">
        <is>
          <t>WB-FRM-03</t>
        </is>
      </c>
      <c r="E797" s="24" t="inlineStr">
        <is>
          <t>Process Water</t>
        </is>
      </c>
      <c r="F797" s="5" t="inlineStr">
        <is>
          <t>Web — Data Stasiun (WB-)</t>
        </is>
      </c>
      <c r="G797" s="24" t="inlineStr">
        <is>
          <t>Kolom wajib dan tanggal divalidasi</t>
        </is>
      </c>
      <c r="H797" s="5" t="inlineStr">
        <is>
          <t>SPV-A</t>
        </is>
      </c>
      <c r="I797" s="5" t="inlineStr">
        <is>
          <t>—</t>
        </is>
      </c>
      <c r="J797" s="5" t="inlineStr">
        <is>
          <t>1. Login di web, buka /data/process-water (Process Water), lalu tekan Tambah (/data/process-water/create).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797"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797" s="16" t="inlineStr">
        <is>
          <t>Tinggi</t>
        </is>
      </c>
      <c r="M797" s="5" t="inlineStr"/>
      <c r="N797" s="17" t="n"/>
      <c r="O797" s="17" t="n"/>
      <c r="P797" s="17" t="n"/>
      <c r="Q797" s="17" t="n"/>
      <c r="R797" s="17" t="n"/>
    </row>
    <row r="798" ht="215.2" customHeight="1">
      <c r="A798" s="18" t="n">
        <v>794</v>
      </c>
      <c r="B798" s="18" t="n">
        <v>3</v>
      </c>
      <c r="C798" s="19" t="inlineStr">
        <is>
          <t>WB-FRM-03 / Storage Tank</t>
        </is>
      </c>
      <c r="D798" s="19" t="inlineStr">
        <is>
          <t>WB-FRM-03</t>
        </is>
      </c>
      <c r="E798" s="20" t="inlineStr">
        <is>
          <t>Storage Tank</t>
        </is>
      </c>
      <c r="F798" s="21" t="inlineStr">
        <is>
          <t>Web — Data Stasiun (WB-)</t>
        </is>
      </c>
      <c r="G798" s="20" t="inlineStr">
        <is>
          <t>Kolom wajib dan tanggal divalidasi</t>
        </is>
      </c>
      <c r="H798" s="21" t="inlineStr">
        <is>
          <t>SPV-A</t>
        </is>
      </c>
      <c r="I798" s="21" t="inlineStr">
        <is>
          <t>—</t>
        </is>
      </c>
      <c r="J798" s="21" t="inlineStr">
        <is>
          <t>1. Login di web, buka /data/storage-tank (Storage Tank), lalu tekan Tambah (/data/storage-tank/create).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798" s="21"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798" s="16" t="inlineStr">
        <is>
          <t>Tinggi</t>
        </is>
      </c>
      <c r="M798" s="21" t="inlineStr"/>
      <c r="N798" s="17" t="n"/>
      <c r="O798" s="17" t="n"/>
      <c r="P798" s="17" t="n"/>
      <c r="Q798" s="17" t="n"/>
      <c r="R798" s="17" t="n"/>
    </row>
    <row r="799" ht="215.2" customHeight="1">
      <c r="A799" s="22" t="n">
        <v>795</v>
      </c>
      <c r="B799" s="22" t="n">
        <v>3</v>
      </c>
      <c r="C799" s="23" t="inlineStr">
        <is>
          <t>WB-FRM-03 / Solid Waste Disposal</t>
        </is>
      </c>
      <c r="D799" s="23" t="inlineStr">
        <is>
          <t>WB-FRM-03</t>
        </is>
      </c>
      <c r="E799" s="24" t="inlineStr">
        <is>
          <t>Solid Waste Disposal</t>
        </is>
      </c>
      <c r="F799" s="5" t="inlineStr">
        <is>
          <t>Web — Data Stasiun (WB-)</t>
        </is>
      </c>
      <c r="G799" s="24" t="inlineStr">
        <is>
          <t>Kolom wajib dan tanggal divalidasi</t>
        </is>
      </c>
      <c r="H799" s="5" t="inlineStr">
        <is>
          <t>SPV-A</t>
        </is>
      </c>
      <c r="I799" s="5" t="inlineStr">
        <is>
          <t>—</t>
        </is>
      </c>
      <c r="J799" s="5" t="inlineStr">
        <is>
          <t>1. Login di web, buka /data/solid-waste-disposal (Solid Waste Disposal), lalu tekan Tambah (/data/solid-waste-disposal/create).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799"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799" s="16" t="inlineStr">
        <is>
          <t>Tinggi</t>
        </is>
      </c>
      <c r="M799" s="5" t="inlineStr"/>
      <c r="N799" s="17" t="n"/>
      <c r="O799" s="17" t="n"/>
      <c r="P799" s="17" t="n"/>
      <c r="Q799" s="17" t="n"/>
      <c r="R799" s="17" t="n"/>
    </row>
    <row r="800" ht="215.2" customHeight="1">
      <c r="A800" s="18" t="n">
        <v>796</v>
      </c>
      <c r="B800" s="18" t="n">
        <v>3</v>
      </c>
      <c r="C800" s="19" t="inlineStr">
        <is>
          <t>WB-FRM-03 / Kernel Dispatch</t>
        </is>
      </c>
      <c r="D800" s="19" t="inlineStr">
        <is>
          <t>WB-FRM-03</t>
        </is>
      </c>
      <c r="E800" s="20" t="inlineStr">
        <is>
          <t>Kernel Dispatch</t>
        </is>
      </c>
      <c r="F800" s="21" t="inlineStr">
        <is>
          <t>Web — Data Stasiun (WB-)</t>
        </is>
      </c>
      <c r="G800" s="20" t="inlineStr">
        <is>
          <t>Kolom wajib dan tanggal divalidasi</t>
        </is>
      </c>
      <c r="H800" s="21" t="inlineStr">
        <is>
          <t>SPV-A</t>
        </is>
      </c>
      <c r="I800" s="21" t="inlineStr">
        <is>
          <t>—</t>
        </is>
      </c>
      <c r="J800" s="21" t="inlineStr">
        <is>
          <t>1. Login di web, buka /data/kernel-dispatch (Kernel Dispatch), lalu tekan Tambah (/data/kernel-dispatch/create).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00" s="21"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00" s="16" t="inlineStr">
        <is>
          <t>Tinggi</t>
        </is>
      </c>
      <c r="M800" s="21" t="inlineStr"/>
      <c r="N800" s="17" t="n"/>
      <c r="O800" s="17" t="n"/>
      <c r="P800" s="17" t="n"/>
      <c r="Q800" s="17" t="n"/>
      <c r="R800" s="17" t="n"/>
    </row>
    <row r="801" ht="215.2" customHeight="1">
      <c r="A801" s="22" t="n">
        <v>797</v>
      </c>
      <c r="B801" s="22" t="n">
        <v>3</v>
      </c>
      <c r="C801" s="23" t="inlineStr">
        <is>
          <t>WB-FRM-03 / CPO Dispatch</t>
        </is>
      </c>
      <c r="D801" s="23" t="inlineStr">
        <is>
          <t>WB-FRM-03</t>
        </is>
      </c>
      <c r="E801" s="24" t="inlineStr">
        <is>
          <t>CPO Dispatch</t>
        </is>
      </c>
      <c r="F801" s="5" t="inlineStr">
        <is>
          <t>Web — Data Stasiun (WB-)</t>
        </is>
      </c>
      <c r="G801" s="24" t="inlineStr">
        <is>
          <t>Kolom wajib dan tanggal divalidasi</t>
        </is>
      </c>
      <c r="H801" s="5" t="inlineStr">
        <is>
          <t>SPV-A</t>
        </is>
      </c>
      <c r="I801" s="5" t="inlineStr">
        <is>
          <t>—</t>
        </is>
      </c>
      <c r="J801" s="5" t="inlineStr">
        <is>
          <t>1. Login di web, buka /data/cpo-dispatch (CPO Dispatch), lalu tekan Tambah (/data/cpo-dispatch/create).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01"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01" s="16" t="inlineStr">
        <is>
          <t>Tinggi</t>
        </is>
      </c>
      <c r="M801" s="5" t="inlineStr"/>
      <c r="N801" s="17" t="n"/>
      <c r="O801" s="17" t="n"/>
      <c r="P801" s="17" t="n"/>
      <c r="Q801" s="17" t="n"/>
      <c r="R801" s="17" t="n"/>
    </row>
    <row r="802" ht="215.2" customHeight="1">
      <c r="A802" s="18" t="n">
        <v>798</v>
      </c>
      <c r="B802" s="18" t="n">
        <v>3</v>
      </c>
      <c r="C802" s="19" t="inlineStr">
        <is>
          <t>WB-FRM-03 / Process Quality Control</t>
        </is>
      </c>
      <c r="D802" s="19" t="inlineStr">
        <is>
          <t>WB-FRM-03</t>
        </is>
      </c>
      <c r="E802" s="20" t="inlineStr">
        <is>
          <t>Process Quality Control</t>
        </is>
      </c>
      <c r="F802" s="21" t="inlineStr">
        <is>
          <t>Web — Data Stasiun (WB-)</t>
        </is>
      </c>
      <c r="G802" s="20" t="inlineStr">
        <is>
          <t>Kolom wajib dan tanggal divalidasi</t>
        </is>
      </c>
      <c r="H802" s="21" t="inlineStr">
        <is>
          <t>SPV-A</t>
        </is>
      </c>
      <c r="I802" s="21" t="inlineStr">
        <is>
          <t>—</t>
        </is>
      </c>
      <c r="J802" s="21" t="inlineStr">
        <is>
          <t>1. Login di web, buka /data/process-quality-control (Process Quality Control), lalu tekan Tambah (/data/process-quality-control/create).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02" s="21"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02" s="16" t="inlineStr">
        <is>
          <t>Tinggi</t>
        </is>
      </c>
      <c r="M802" s="21" t="inlineStr"/>
      <c r="N802" s="17" t="n"/>
      <c r="O802" s="17" t="n"/>
      <c r="P802" s="17" t="n"/>
      <c r="Q802" s="17" t="n"/>
      <c r="R802" s="17" t="n"/>
    </row>
    <row r="803" ht="360.4" customHeight="1">
      <c r="A803" s="22" t="n">
        <v>799</v>
      </c>
      <c r="B803" s="22" t="n">
        <v>3</v>
      </c>
      <c r="C803" s="23" t="inlineStr">
        <is>
          <t>WB-FRM-04 / Threshing</t>
        </is>
      </c>
      <c r="D803" s="23" t="inlineStr">
        <is>
          <t>WB-FRM-04</t>
        </is>
      </c>
      <c r="E803" s="24" t="inlineStr">
        <is>
          <t>Threshing</t>
        </is>
      </c>
      <c r="F803" s="5" t="inlineStr">
        <is>
          <t>Web — Data Stasiun (WB-)</t>
        </is>
      </c>
      <c r="G803" s="24" t="inlineStr">
        <is>
          <t>Aturan slot waktu sama seperti mobile</t>
        </is>
      </c>
      <c r="H803" s="5" t="inlineStr">
        <is>
          <t>SPV-A</t>
        </is>
      </c>
      <c r="I803" s="5" t="inlineStr">
        <is>
          <t>—</t>
        </is>
      </c>
      <c r="J803" s="5" t="inlineStr">
        <is>
          <t>1. Login di web, buka /data/threshing (Threshing), lalu tekan Tambah (/data/threshing/create) (lewati ketujuh stasiun di luar daftar itu).
2. Jalankan seluruh langkah MB-FORM-03 pada form web ini: coba slot menurun dan slot kembar.
3. Jalankan seluruh langkah MB-FORM-04: baca urutan 24 pilihan slot.</t>
        </is>
      </c>
      <c r="K803" s="5"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03" s="16" t="inlineStr">
        <is>
          <t>Tinggi</t>
        </is>
      </c>
      <c r="M803"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03" s="17" t="n"/>
      <c r="O803" s="17" t="n"/>
      <c r="P803" s="17" t="n"/>
      <c r="Q803" s="17" t="n"/>
      <c r="R803" s="17" t="n"/>
    </row>
    <row r="804" ht="360.4" customHeight="1">
      <c r="A804" s="18" t="n">
        <v>800</v>
      </c>
      <c r="B804" s="18" t="n">
        <v>3</v>
      </c>
      <c r="C804" s="19" t="inlineStr">
        <is>
          <t>WB-FRM-04 / Pressing</t>
        </is>
      </c>
      <c r="D804" s="19" t="inlineStr">
        <is>
          <t>WB-FRM-04</t>
        </is>
      </c>
      <c r="E804" s="20" t="inlineStr">
        <is>
          <t>Pressing</t>
        </is>
      </c>
      <c r="F804" s="21" t="inlineStr">
        <is>
          <t>Web — Data Stasiun (WB-)</t>
        </is>
      </c>
      <c r="G804" s="20" t="inlineStr">
        <is>
          <t>Aturan slot waktu sama seperti mobile</t>
        </is>
      </c>
      <c r="H804" s="21" t="inlineStr">
        <is>
          <t>SPV-A</t>
        </is>
      </c>
      <c r="I804" s="21" t="inlineStr">
        <is>
          <t>—</t>
        </is>
      </c>
      <c r="J804" s="21" t="inlineStr">
        <is>
          <t>1. Login di web, buka /data/pressing (Pressing), lalu tekan Tambah (/data/pressing/create) (lewati ketujuh stasiun di luar daftar itu).
2. Jalankan seluruh langkah MB-FORM-03 pada form web ini: coba slot menurun dan slot kembar.
3. Jalankan seluruh langkah MB-FORM-04: baca urutan 24 pilihan slot.</t>
        </is>
      </c>
      <c r="K804" s="21"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04" s="16" t="inlineStr">
        <is>
          <t>Tinggi</t>
        </is>
      </c>
      <c r="M804" s="21"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04" s="17" t="n"/>
      <c r="O804" s="17" t="n"/>
      <c r="P804" s="17" t="n"/>
      <c r="Q804" s="17" t="n"/>
      <c r="R804" s="17" t="n"/>
    </row>
    <row r="805" ht="360.4" customHeight="1">
      <c r="A805" s="22" t="n">
        <v>801</v>
      </c>
      <c r="B805" s="22" t="n">
        <v>3</v>
      </c>
      <c r="C805" s="23" t="inlineStr">
        <is>
          <t>WB-FRM-04 / Clarification</t>
        </is>
      </c>
      <c r="D805" s="23" t="inlineStr">
        <is>
          <t>WB-FRM-04</t>
        </is>
      </c>
      <c r="E805" s="24" t="inlineStr">
        <is>
          <t>Clarification</t>
        </is>
      </c>
      <c r="F805" s="5" t="inlineStr">
        <is>
          <t>Web — Data Stasiun (WB-)</t>
        </is>
      </c>
      <c r="G805" s="24" t="inlineStr">
        <is>
          <t>Aturan slot waktu sama seperti mobile</t>
        </is>
      </c>
      <c r="H805" s="5" t="inlineStr">
        <is>
          <t>SPV-A</t>
        </is>
      </c>
      <c r="I805" s="5" t="inlineStr">
        <is>
          <t>—</t>
        </is>
      </c>
      <c r="J805" s="5" t="inlineStr">
        <is>
          <t>1. Login di web, buka /data/clarification (Clarification), lalu tekan Tambah (/data/clarification/create) (lewati ketujuh stasiun di luar daftar itu).
2. Jalankan seluruh langkah MB-FORM-03 pada form web ini: coba slot menurun dan slot kembar.
3. Jalankan seluruh langkah MB-FORM-04: baca urutan 24 pilihan slot.</t>
        </is>
      </c>
      <c r="K805" s="5"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05" s="16" t="inlineStr">
        <is>
          <t>Tinggi</t>
        </is>
      </c>
      <c r="M805"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05" s="17" t="n"/>
      <c r="O805" s="17" t="n"/>
      <c r="P805" s="17" t="n"/>
      <c r="Q805" s="17" t="n"/>
      <c r="R805" s="17" t="n"/>
    </row>
    <row r="806" ht="360.4" customHeight="1">
      <c r="A806" s="18" t="n">
        <v>802</v>
      </c>
      <c r="B806" s="18" t="n">
        <v>3</v>
      </c>
      <c r="C806" s="19" t="inlineStr">
        <is>
          <t>WB-FRM-04 / Kernel Plant</t>
        </is>
      </c>
      <c r="D806" s="19" t="inlineStr">
        <is>
          <t>WB-FRM-04</t>
        </is>
      </c>
      <c r="E806" s="20" t="inlineStr">
        <is>
          <t>Kernel Plant</t>
        </is>
      </c>
      <c r="F806" s="21" t="inlineStr">
        <is>
          <t>Web — Data Stasiun (WB-)</t>
        </is>
      </c>
      <c r="G806" s="20" t="inlineStr">
        <is>
          <t>Aturan slot waktu sama seperti mobile</t>
        </is>
      </c>
      <c r="H806" s="21" t="inlineStr">
        <is>
          <t>SPV-A</t>
        </is>
      </c>
      <c r="I806" s="21" t="inlineStr">
        <is>
          <t>—</t>
        </is>
      </c>
      <c r="J806" s="21" t="inlineStr">
        <is>
          <t>1. Login di web, buka /data/kernel-plant (Kernel Plant), lalu tekan Tambah (/data/kernel-plant/create) (lewati ketujuh stasiun di luar daftar itu).
2. Jalankan seluruh langkah MB-FORM-03 pada form web ini: coba slot menurun dan slot kembar.
3. Jalankan seluruh langkah MB-FORM-04: baca urutan 24 pilihan slot.</t>
        </is>
      </c>
      <c r="K806" s="21"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06" s="16" t="inlineStr">
        <is>
          <t>Tinggi</t>
        </is>
      </c>
      <c r="M806" s="21"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06" s="17" t="n"/>
      <c r="O806" s="17" t="n"/>
      <c r="P806" s="17" t="n"/>
      <c r="Q806" s="17" t="n"/>
      <c r="R806" s="17" t="n"/>
    </row>
    <row r="807" ht="360.4" customHeight="1">
      <c r="A807" s="22" t="n">
        <v>803</v>
      </c>
      <c r="B807" s="22" t="n">
        <v>3</v>
      </c>
      <c r="C807" s="23" t="inlineStr">
        <is>
          <t>WB-FRM-04 / Boiler Room</t>
        </is>
      </c>
      <c r="D807" s="23" t="inlineStr">
        <is>
          <t>WB-FRM-04</t>
        </is>
      </c>
      <c r="E807" s="24" t="inlineStr">
        <is>
          <t>Boiler Room</t>
        </is>
      </c>
      <c r="F807" s="5" t="inlineStr">
        <is>
          <t>Web — Data Stasiun (WB-)</t>
        </is>
      </c>
      <c r="G807" s="24" t="inlineStr">
        <is>
          <t>Aturan slot waktu sama seperti mobile</t>
        </is>
      </c>
      <c r="H807" s="5" t="inlineStr">
        <is>
          <t>SPV-A</t>
        </is>
      </c>
      <c r="I807" s="5" t="inlineStr">
        <is>
          <t>—</t>
        </is>
      </c>
      <c r="J807" s="5" t="inlineStr">
        <is>
          <t>1. Login di web, buka /data/boiler-room (Boiler Room), lalu tekan Tambah (/data/boiler-room/create) (lewati ketujuh stasiun di luar daftar itu).
2. Jalankan seluruh langkah MB-FORM-03 pada form web ini: coba slot menurun dan slot kembar.
3. Jalankan seluruh langkah MB-FORM-04: baca urutan 24 pilihan slot.</t>
        </is>
      </c>
      <c r="K807" s="5"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07" s="16" t="inlineStr">
        <is>
          <t>Tinggi</t>
        </is>
      </c>
      <c r="M807"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07" s="17" t="n"/>
      <c r="O807" s="17" t="n"/>
      <c r="P807" s="17" t="n"/>
      <c r="Q807" s="17" t="n"/>
      <c r="R807" s="17" t="n"/>
    </row>
    <row r="808" ht="360.4" customHeight="1">
      <c r="A808" s="18" t="n">
        <v>804</v>
      </c>
      <c r="B808" s="18" t="n">
        <v>3</v>
      </c>
      <c r="C808" s="19" t="inlineStr">
        <is>
          <t>WB-FRM-04 / Effluent Plant</t>
        </is>
      </c>
      <c r="D808" s="19" t="inlineStr">
        <is>
          <t>WB-FRM-04</t>
        </is>
      </c>
      <c r="E808" s="20" t="inlineStr">
        <is>
          <t>Effluent Plant</t>
        </is>
      </c>
      <c r="F808" s="21" t="inlineStr">
        <is>
          <t>Web — Data Stasiun (WB-)</t>
        </is>
      </c>
      <c r="G808" s="20" t="inlineStr">
        <is>
          <t>Aturan slot waktu sama seperti mobile</t>
        </is>
      </c>
      <c r="H808" s="21" t="inlineStr">
        <is>
          <t>SPV-A</t>
        </is>
      </c>
      <c r="I808" s="21" t="inlineStr">
        <is>
          <t>—</t>
        </is>
      </c>
      <c r="J808" s="21" t="inlineStr">
        <is>
          <t>1. Login di web, buka /data/effluent-plant (Effluent Plant), lalu tekan Tambah (/data/effluent-plant/create) (lewati ketujuh stasiun di luar daftar itu).
2. Jalankan seluruh langkah MB-FORM-03 pada form web ini: coba slot menurun dan slot kembar.
3. Jalankan seluruh langkah MB-FORM-04: baca urutan 24 pilihan slot.</t>
        </is>
      </c>
      <c r="K808" s="21"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08" s="16" t="inlineStr">
        <is>
          <t>Tinggi</t>
        </is>
      </c>
      <c r="M808" s="21"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08" s="17" t="n"/>
      <c r="O808" s="17" t="n"/>
      <c r="P808" s="17" t="n"/>
      <c r="Q808" s="17" t="n"/>
      <c r="R808" s="17" t="n"/>
    </row>
    <row r="809" ht="360.4" customHeight="1">
      <c r="A809" s="11" t="n">
        <v>805</v>
      </c>
      <c r="B809" s="12" t="n">
        <v>1</v>
      </c>
      <c r="C809" s="13" t="inlineStr">
        <is>
          <t>WB-FRM-04 / Depricarping</t>
        </is>
      </c>
      <c r="D809" s="13" t="inlineStr">
        <is>
          <t>WB-FRM-04</t>
        </is>
      </c>
      <c r="E809" s="15" t="inlineStr">
        <is>
          <t>Depricarping</t>
        </is>
      </c>
      <c r="F809" s="14" t="inlineStr">
        <is>
          <t>Web — Data Stasiun (WB-)</t>
        </is>
      </c>
      <c r="G809" s="15" t="inlineStr">
        <is>
          <t>Aturan slot waktu sama seperti mobile</t>
        </is>
      </c>
      <c r="H809" s="14" t="inlineStr">
        <is>
          <t>SPV-A</t>
        </is>
      </c>
      <c r="I809" s="14" t="inlineStr">
        <is>
          <t>—</t>
        </is>
      </c>
      <c r="J809" s="14" t="inlineStr">
        <is>
          <t>1. Login di web, buka /data/depricarping (Depricarping), lalu tekan Tambah (/data/depricarping/create) (lewati ketujuh stasiun di luar daftar itu).
2. Jalankan seluruh langkah MB-FORM-03 pada form web ini: coba slot menurun dan slot kembar.
3. Jalankan seluruh langkah MB-FORM-04: baca urutan 24 pilihan slot.</t>
        </is>
      </c>
      <c r="K809" s="14"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09" s="16" t="inlineStr">
        <is>
          <t>Tinggi</t>
        </is>
      </c>
      <c r="M809" s="14"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09" s="17" t="n"/>
      <c r="O809" s="17" t="n"/>
      <c r="P809" s="17" t="n"/>
      <c r="Q809" s="17" t="n"/>
      <c r="R809" s="17" t="n"/>
    </row>
    <row r="810" ht="360.4" customHeight="1">
      <c r="A810" s="18" t="n">
        <v>806</v>
      </c>
      <c r="B810" s="18" t="n">
        <v>3</v>
      </c>
      <c r="C810" s="19" t="inlineStr">
        <is>
          <t>WB-FRM-04 / Engine Room</t>
        </is>
      </c>
      <c r="D810" s="19" t="inlineStr">
        <is>
          <t>WB-FRM-04</t>
        </is>
      </c>
      <c r="E810" s="20" t="inlineStr">
        <is>
          <t>Engine Room</t>
        </is>
      </c>
      <c r="F810" s="21" t="inlineStr">
        <is>
          <t>Web — Data Stasiun (WB-)</t>
        </is>
      </c>
      <c r="G810" s="20" t="inlineStr">
        <is>
          <t>Aturan slot waktu sama seperti mobile</t>
        </is>
      </c>
      <c r="H810" s="21" t="inlineStr">
        <is>
          <t>SPV-A</t>
        </is>
      </c>
      <c r="I810" s="21" t="inlineStr">
        <is>
          <t>—</t>
        </is>
      </c>
      <c r="J810" s="21" t="inlineStr">
        <is>
          <t>1. Login di web, buka /data/engine-room (Engine Room), lalu tekan Tambah (/data/engine-room/create) (lewati ketujuh stasiun di luar daftar itu).
2. Jalankan seluruh langkah MB-FORM-03 pada form web ini: coba slot menurun dan slot kembar.
3. Jalankan seluruh langkah MB-FORM-04: baca urutan 24 pilihan slot.</t>
        </is>
      </c>
      <c r="K810" s="21"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10" s="16" t="inlineStr">
        <is>
          <t>Tinggi</t>
        </is>
      </c>
      <c r="M810" s="21"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10" s="17" t="n"/>
      <c r="O810" s="17" t="n"/>
      <c r="P810" s="17" t="n"/>
      <c r="Q810" s="17" t="n"/>
      <c r="R810" s="17" t="n"/>
    </row>
    <row r="811" ht="360.4" customHeight="1">
      <c r="A811" s="22" t="n">
        <v>807</v>
      </c>
      <c r="B811" s="22" t="n">
        <v>3</v>
      </c>
      <c r="C811" s="23" t="inlineStr">
        <is>
          <t>WB-FRM-04 / Process Water</t>
        </is>
      </c>
      <c r="D811" s="23" t="inlineStr">
        <is>
          <t>WB-FRM-04</t>
        </is>
      </c>
      <c r="E811" s="24" t="inlineStr">
        <is>
          <t>Process Water</t>
        </is>
      </c>
      <c r="F811" s="5" t="inlineStr">
        <is>
          <t>Web — Data Stasiun (WB-)</t>
        </is>
      </c>
      <c r="G811" s="24" t="inlineStr">
        <is>
          <t>Aturan slot waktu sama seperti mobile</t>
        </is>
      </c>
      <c r="H811" s="5" t="inlineStr">
        <is>
          <t>SPV-A</t>
        </is>
      </c>
      <c r="I811" s="5" t="inlineStr">
        <is>
          <t>—</t>
        </is>
      </c>
      <c r="J811" s="5" t="inlineStr">
        <is>
          <t>1. Login di web, buka /data/process-water (Process Water), lalu tekan Tambah (/data/process-water/create) (lewati ketujuh stasiun di luar daftar itu).
2. Jalankan seluruh langkah MB-FORM-03 pada form web ini: coba slot menurun dan slot kembar.
3. Jalankan seluruh langkah MB-FORM-04: baca urutan 24 pilihan slot.</t>
        </is>
      </c>
      <c r="K811" s="5"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11" s="16" t="inlineStr">
        <is>
          <t>Tinggi</t>
        </is>
      </c>
      <c r="M811"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11" s="17" t="n"/>
      <c r="O811" s="17" t="n"/>
      <c r="P811" s="17" t="n"/>
      <c r="Q811" s="17" t="n"/>
      <c r="R811" s="17" t="n"/>
    </row>
    <row r="812" ht="360.4" customHeight="1">
      <c r="A812" s="18" t="n">
        <v>808</v>
      </c>
      <c r="B812" s="18" t="n">
        <v>3</v>
      </c>
      <c r="C812" s="19" t="inlineStr">
        <is>
          <t>WB-FRM-04 / Storage Tank</t>
        </is>
      </c>
      <c r="D812" s="19" t="inlineStr">
        <is>
          <t>WB-FRM-04</t>
        </is>
      </c>
      <c r="E812" s="20" t="inlineStr">
        <is>
          <t>Storage Tank</t>
        </is>
      </c>
      <c r="F812" s="21" t="inlineStr">
        <is>
          <t>Web — Data Stasiun (WB-)</t>
        </is>
      </c>
      <c r="G812" s="20" t="inlineStr">
        <is>
          <t>Aturan slot waktu sama seperti mobile</t>
        </is>
      </c>
      <c r="H812" s="21" t="inlineStr">
        <is>
          <t>SPV-A</t>
        </is>
      </c>
      <c r="I812" s="21" t="inlineStr">
        <is>
          <t>—</t>
        </is>
      </c>
      <c r="J812" s="21" t="inlineStr">
        <is>
          <t>1. Login di web, buka /data/storage-tank (Storage Tank), lalu tekan Tambah (/data/storage-tank/create) (lewati ketujuh stasiun di luar daftar itu).
2. Jalankan seluruh langkah MB-FORM-03 pada form web ini: coba slot menurun dan slot kembar.
3. Jalankan seluruh langkah MB-FORM-04: baca urutan 24 pilihan slot.</t>
        </is>
      </c>
      <c r="K812" s="21"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12" s="16" t="inlineStr">
        <is>
          <t>Tinggi</t>
        </is>
      </c>
      <c r="M812" s="21"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12" s="17" t="n"/>
      <c r="O812" s="17" t="n"/>
      <c r="P812" s="17" t="n"/>
      <c r="Q812" s="17" t="n"/>
      <c r="R812" s="17" t="n"/>
    </row>
    <row r="813" ht="360.4" customHeight="1">
      <c r="A813" s="22" t="n">
        <v>809</v>
      </c>
      <c r="B813" s="22" t="n">
        <v>3</v>
      </c>
      <c r="C813" s="23" t="inlineStr">
        <is>
          <t>WB-FRM-04 / Process Quality Control</t>
        </is>
      </c>
      <c r="D813" s="23" t="inlineStr">
        <is>
          <t>WB-FRM-04</t>
        </is>
      </c>
      <c r="E813" s="24" t="inlineStr">
        <is>
          <t>Process Quality Control</t>
        </is>
      </c>
      <c r="F813" s="5" t="inlineStr">
        <is>
          <t>Web — Data Stasiun (WB-)</t>
        </is>
      </c>
      <c r="G813" s="24" t="inlineStr">
        <is>
          <t>Aturan slot waktu sama seperti mobile</t>
        </is>
      </c>
      <c r="H813" s="5" t="inlineStr">
        <is>
          <t>SPV-A</t>
        </is>
      </c>
      <c r="I813" s="5" t="inlineStr">
        <is>
          <t>—</t>
        </is>
      </c>
      <c r="J813" s="5" t="inlineStr">
        <is>
          <t>1. Login di web, buka /data/process-quality-control (Process Quality Control), lalu tekan Tambah (/data/process-quality-control/create) (lewati ketujuh stasiun di luar daftar itu).
2. Jalankan seluruh langkah MB-FORM-03 pada form web ini: coba slot menurun dan slot kembar.
3. Jalankan seluruh langkah MB-FORM-04: baca urutan 24 pilihan slot.</t>
        </is>
      </c>
      <c r="K813" s="5"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13" s="16" t="inlineStr">
        <is>
          <t>Tinggi</t>
        </is>
      </c>
      <c r="M813"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13" s="17" t="n"/>
      <c r="O813" s="17" t="n"/>
      <c r="P813" s="17" t="n"/>
      <c r="Q813" s="17" t="n"/>
      <c r="R813" s="17" t="n"/>
    </row>
    <row r="814" ht="360.4" customHeight="1">
      <c r="A814" s="18" t="n">
        <v>810</v>
      </c>
      <c r="B814" s="18" t="n">
        <v>3</v>
      </c>
      <c r="C814" s="19" t="inlineStr">
        <is>
          <t>WB-FRM-05 / Threshing</t>
        </is>
      </c>
      <c r="D814" s="19" t="inlineStr">
        <is>
          <t>WB-FRM-05</t>
        </is>
      </c>
      <c r="E814" s="20" t="inlineStr">
        <is>
          <t>Threshing</t>
        </is>
      </c>
      <c r="F814" s="21" t="inlineStr">
        <is>
          <t>Web — Data Stasiun (WB-)</t>
        </is>
      </c>
      <c r="G814" s="20" t="inlineStr">
        <is>
          <t>Melebihi 24 baris ditolak</t>
        </is>
      </c>
      <c r="H814" s="21" t="inlineStr">
        <is>
          <t>SPV-A</t>
        </is>
      </c>
      <c r="I814" s="21" t="inlineStr">
        <is>
          <t>—</t>
        </is>
      </c>
      <c r="J814" s="21" t="inlineStr">
        <is>
          <t>1. Login di web, buka /data/threshing (Threshing), lalu tekan Tambah (/data/threshing/create) (lewati ketujuh stasiun di luar daftar itu).
2. Isi header dengan benar.
3. Tambah baris terus-menerus sampai mencapai 24 baris.
4. Coba tambah baris ke-25.</t>
        </is>
      </c>
      <c r="K814" s="21" t="inlineStr">
        <is>
          <t>- Pada 24 baris, tombol tambah baris tidak lagi bisa dipakai, atau penambahan ditolak dengan pesan.
- Pesannya menyebut batas 24 slot.
- Simpan pada 24 baris tetap berhasil.</t>
        </is>
      </c>
      <c r="L814" s="18" t="inlineStr">
        <is>
          <t>Sedang</t>
        </is>
      </c>
      <c r="M814" s="21"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14" s="17" t="n"/>
      <c r="O814" s="17" t="n"/>
      <c r="P814" s="17" t="n"/>
      <c r="Q814" s="17" t="n"/>
      <c r="R814" s="17" t="n"/>
    </row>
    <row r="815" ht="360.4" customHeight="1">
      <c r="A815" s="22" t="n">
        <v>811</v>
      </c>
      <c r="B815" s="22" t="n">
        <v>3</v>
      </c>
      <c r="C815" s="23" t="inlineStr">
        <is>
          <t>WB-FRM-05 / Pressing</t>
        </is>
      </c>
      <c r="D815" s="23" t="inlineStr">
        <is>
          <t>WB-FRM-05</t>
        </is>
      </c>
      <c r="E815" s="24" t="inlineStr">
        <is>
          <t>Pressing</t>
        </is>
      </c>
      <c r="F815" s="5" t="inlineStr">
        <is>
          <t>Web — Data Stasiun (WB-)</t>
        </is>
      </c>
      <c r="G815" s="24" t="inlineStr">
        <is>
          <t>Melebihi 24 baris ditolak</t>
        </is>
      </c>
      <c r="H815" s="5" t="inlineStr">
        <is>
          <t>SPV-A</t>
        </is>
      </c>
      <c r="I815" s="5" t="inlineStr">
        <is>
          <t>—</t>
        </is>
      </c>
      <c r="J815" s="5" t="inlineStr">
        <is>
          <t>1. Login di web, buka /data/pressing (Pressing), lalu tekan Tambah (/data/pressing/create) (lewati ketujuh stasiun di luar daftar itu).
2. Isi header dengan benar.
3. Tambah baris terus-menerus sampai mencapai 24 baris.
4. Coba tambah baris ke-25.</t>
        </is>
      </c>
      <c r="K815" s="5" t="inlineStr">
        <is>
          <t>- Pada 24 baris, tombol tambah baris tidak lagi bisa dipakai, atau penambahan ditolak dengan pesan.
- Pesannya menyebut batas 24 slot.
- Simpan pada 24 baris tetap berhasil.</t>
        </is>
      </c>
      <c r="L815" s="22" t="inlineStr">
        <is>
          <t>Sedang</t>
        </is>
      </c>
      <c r="M815"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15" s="17" t="n"/>
      <c r="O815" s="17" t="n"/>
      <c r="P815" s="17" t="n"/>
      <c r="Q815" s="17" t="n"/>
      <c r="R815" s="17" t="n"/>
    </row>
    <row r="816" ht="360.4" customHeight="1">
      <c r="A816" s="18" t="n">
        <v>812</v>
      </c>
      <c r="B816" s="18" t="n">
        <v>3</v>
      </c>
      <c r="C816" s="19" t="inlineStr">
        <is>
          <t>WB-FRM-05 / Clarification</t>
        </is>
      </c>
      <c r="D816" s="19" t="inlineStr">
        <is>
          <t>WB-FRM-05</t>
        </is>
      </c>
      <c r="E816" s="20" t="inlineStr">
        <is>
          <t>Clarification</t>
        </is>
      </c>
      <c r="F816" s="21" t="inlineStr">
        <is>
          <t>Web — Data Stasiun (WB-)</t>
        </is>
      </c>
      <c r="G816" s="20" t="inlineStr">
        <is>
          <t>Melebihi 24 baris ditolak</t>
        </is>
      </c>
      <c r="H816" s="21" t="inlineStr">
        <is>
          <t>SPV-A</t>
        </is>
      </c>
      <c r="I816" s="21" t="inlineStr">
        <is>
          <t>—</t>
        </is>
      </c>
      <c r="J816" s="21" t="inlineStr">
        <is>
          <t>1. Login di web, buka /data/clarification (Clarification), lalu tekan Tambah (/data/clarification/create) (lewati ketujuh stasiun di luar daftar itu).
2. Isi header dengan benar.
3. Tambah baris terus-menerus sampai mencapai 24 baris.
4. Coba tambah baris ke-25.</t>
        </is>
      </c>
      <c r="K816" s="21" t="inlineStr">
        <is>
          <t>- Pada 24 baris, tombol tambah baris tidak lagi bisa dipakai, atau penambahan ditolak dengan pesan.
- Pesannya menyebut batas 24 slot.
- Simpan pada 24 baris tetap berhasil.</t>
        </is>
      </c>
      <c r="L816" s="18" t="inlineStr">
        <is>
          <t>Sedang</t>
        </is>
      </c>
      <c r="M816" s="21"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16" s="17" t="n"/>
      <c r="O816" s="17" t="n"/>
      <c r="P816" s="17" t="n"/>
      <c r="Q816" s="17" t="n"/>
      <c r="R816" s="17" t="n"/>
    </row>
    <row r="817" ht="360.4" customHeight="1">
      <c r="A817" s="22" t="n">
        <v>813</v>
      </c>
      <c r="B817" s="22" t="n">
        <v>3</v>
      </c>
      <c r="C817" s="23" t="inlineStr">
        <is>
          <t>WB-FRM-05 / Kernel Plant</t>
        </is>
      </c>
      <c r="D817" s="23" t="inlineStr">
        <is>
          <t>WB-FRM-05</t>
        </is>
      </c>
      <c r="E817" s="24" t="inlineStr">
        <is>
          <t>Kernel Plant</t>
        </is>
      </c>
      <c r="F817" s="5" t="inlineStr">
        <is>
          <t>Web — Data Stasiun (WB-)</t>
        </is>
      </c>
      <c r="G817" s="24" t="inlineStr">
        <is>
          <t>Melebihi 24 baris ditolak</t>
        </is>
      </c>
      <c r="H817" s="5" t="inlineStr">
        <is>
          <t>SPV-A</t>
        </is>
      </c>
      <c r="I817" s="5" t="inlineStr">
        <is>
          <t>—</t>
        </is>
      </c>
      <c r="J817" s="5" t="inlineStr">
        <is>
          <t>1. Login di web, buka /data/kernel-plant (Kernel Plant), lalu tekan Tambah (/data/kernel-plant/create) (lewati ketujuh stasiun di luar daftar itu).
2. Isi header dengan benar.
3. Tambah baris terus-menerus sampai mencapai 24 baris.
4. Coba tambah baris ke-25.</t>
        </is>
      </c>
      <c r="K817" s="5" t="inlineStr">
        <is>
          <t>- Pada 24 baris, tombol tambah baris tidak lagi bisa dipakai, atau penambahan ditolak dengan pesan.
- Pesannya menyebut batas 24 slot.
- Simpan pada 24 baris tetap berhasil.</t>
        </is>
      </c>
      <c r="L817" s="22" t="inlineStr">
        <is>
          <t>Sedang</t>
        </is>
      </c>
      <c r="M817"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17" s="17" t="n"/>
      <c r="O817" s="17" t="n"/>
      <c r="P817" s="17" t="n"/>
      <c r="Q817" s="17" t="n"/>
      <c r="R817" s="17" t="n"/>
    </row>
    <row r="818" ht="360.4" customHeight="1">
      <c r="A818" s="18" t="n">
        <v>814</v>
      </c>
      <c r="B818" s="18" t="n">
        <v>3</v>
      </c>
      <c r="C818" s="19" t="inlineStr">
        <is>
          <t>WB-FRM-05 / Boiler Room</t>
        </is>
      </c>
      <c r="D818" s="19" t="inlineStr">
        <is>
          <t>WB-FRM-05</t>
        </is>
      </c>
      <c r="E818" s="20" t="inlineStr">
        <is>
          <t>Boiler Room</t>
        </is>
      </c>
      <c r="F818" s="21" t="inlineStr">
        <is>
          <t>Web — Data Stasiun (WB-)</t>
        </is>
      </c>
      <c r="G818" s="20" t="inlineStr">
        <is>
          <t>Melebihi 24 baris ditolak</t>
        </is>
      </c>
      <c r="H818" s="21" t="inlineStr">
        <is>
          <t>SPV-A</t>
        </is>
      </c>
      <c r="I818" s="21" t="inlineStr">
        <is>
          <t>—</t>
        </is>
      </c>
      <c r="J818" s="21" t="inlineStr">
        <is>
          <t>1. Login di web, buka /data/boiler-room (Boiler Room), lalu tekan Tambah (/data/boiler-room/create) (lewati ketujuh stasiun di luar daftar itu).
2. Isi header dengan benar.
3. Tambah baris terus-menerus sampai mencapai 24 baris.
4. Coba tambah baris ke-25.</t>
        </is>
      </c>
      <c r="K818" s="21" t="inlineStr">
        <is>
          <t>- Pada 24 baris, tombol tambah baris tidak lagi bisa dipakai, atau penambahan ditolak dengan pesan.
- Pesannya menyebut batas 24 slot.
- Simpan pada 24 baris tetap berhasil.</t>
        </is>
      </c>
      <c r="L818" s="18" t="inlineStr">
        <is>
          <t>Sedang</t>
        </is>
      </c>
      <c r="M818" s="21"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18" s="17" t="n"/>
      <c r="O818" s="17" t="n"/>
      <c r="P818" s="17" t="n"/>
      <c r="Q818" s="17" t="n"/>
      <c r="R818" s="17" t="n"/>
    </row>
    <row r="819" ht="360.4" customHeight="1">
      <c r="A819" s="22" t="n">
        <v>815</v>
      </c>
      <c r="B819" s="22" t="n">
        <v>3</v>
      </c>
      <c r="C819" s="23" t="inlineStr">
        <is>
          <t>WB-FRM-05 / Effluent Plant</t>
        </is>
      </c>
      <c r="D819" s="23" t="inlineStr">
        <is>
          <t>WB-FRM-05</t>
        </is>
      </c>
      <c r="E819" s="24" t="inlineStr">
        <is>
          <t>Effluent Plant</t>
        </is>
      </c>
      <c r="F819" s="5" t="inlineStr">
        <is>
          <t>Web — Data Stasiun (WB-)</t>
        </is>
      </c>
      <c r="G819" s="24" t="inlineStr">
        <is>
          <t>Melebihi 24 baris ditolak</t>
        </is>
      </c>
      <c r="H819" s="5" t="inlineStr">
        <is>
          <t>SPV-A</t>
        </is>
      </c>
      <c r="I819" s="5" t="inlineStr">
        <is>
          <t>—</t>
        </is>
      </c>
      <c r="J819" s="5" t="inlineStr">
        <is>
          <t>1. Login di web, buka /data/effluent-plant (Effluent Plant), lalu tekan Tambah (/data/effluent-plant/create) (lewati ketujuh stasiun di luar daftar itu).
2. Isi header dengan benar.
3. Tambah baris terus-menerus sampai mencapai 24 baris.
4. Coba tambah baris ke-25.</t>
        </is>
      </c>
      <c r="K819" s="5" t="inlineStr">
        <is>
          <t>- Pada 24 baris, tombol tambah baris tidak lagi bisa dipakai, atau penambahan ditolak dengan pesan.
- Pesannya menyebut batas 24 slot.
- Simpan pada 24 baris tetap berhasil.</t>
        </is>
      </c>
      <c r="L819" s="22" t="inlineStr">
        <is>
          <t>Sedang</t>
        </is>
      </c>
      <c r="M819"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19" s="17" t="n"/>
      <c r="O819" s="17" t="n"/>
      <c r="P819" s="17" t="n"/>
      <c r="Q819" s="17" t="n"/>
      <c r="R819" s="17" t="n"/>
    </row>
    <row r="820" ht="360.4" customHeight="1">
      <c r="A820" s="11" t="n">
        <v>816</v>
      </c>
      <c r="B820" s="12" t="n">
        <v>1</v>
      </c>
      <c r="C820" s="13" t="inlineStr">
        <is>
          <t>WB-FRM-05 / Depricarping</t>
        </is>
      </c>
      <c r="D820" s="13" t="inlineStr">
        <is>
          <t>WB-FRM-05</t>
        </is>
      </c>
      <c r="E820" s="15" t="inlineStr">
        <is>
          <t>Depricarping</t>
        </is>
      </c>
      <c r="F820" s="14" t="inlineStr">
        <is>
          <t>Web — Data Stasiun (WB-)</t>
        </is>
      </c>
      <c r="G820" s="15" t="inlineStr">
        <is>
          <t>Melebihi 24 baris ditolak</t>
        </is>
      </c>
      <c r="H820" s="14" t="inlineStr">
        <is>
          <t>SPV-A</t>
        </is>
      </c>
      <c r="I820" s="14" t="inlineStr">
        <is>
          <t>—</t>
        </is>
      </c>
      <c r="J820" s="14" t="inlineStr">
        <is>
          <t>1. Login di web, buka /data/depricarping (Depricarping), lalu tekan Tambah (/data/depricarping/create) (lewati ketujuh stasiun di luar daftar itu).
2. Isi header dengan benar.
3. Tambah baris terus-menerus sampai mencapai 24 baris.
4. Coba tambah baris ke-25.</t>
        </is>
      </c>
      <c r="K820" s="14" t="inlineStr">
        <is>
          <t>- Pada 24 baris, tombol tambah baris tidak lagi bisa dipakai, atau penambahan ditolak dengan pesan.
- Pesannya menyebut batas 24 slot.
- Simpan pada 24 baris tetap berhasil.</t>
        </is>
      </c>
      <c r="L820" s="11" t="inlineStr">
        <is>
          <t>Sedang</t>
        </is>
      </c>
      <c r="M820" s="14"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20" s="17" t="n"/>
      <c r="O820" s="17" t="n"/>
      <c r="P820" s="17" t="n"/>
      <c r="Q820" s="17" t="n"/>
      <c r="R820" s="17" t="n"/>
    </row>
    <row r="821" ht="360.4" customHeight="1">
      <c r="A821" s="22" t="n">
        <v>817</v>
      </c>
      <c r="B821" s="22" t="n">
        <v>3</v>
      </c>
      <c r="C821" s="23" t="inlineStr">
        <is>
          <t>WB-FRM-05 / Engine Room</t>
        </is>
      </c>
      <c r="D821" s="23" t="inlineStr">
        <is>
          <t>WB-FRM-05</t>
        </is>
      </c>
      <c r="E821" s="24" t="inlineStr">
        <is>
          <t>Engine Room</t>
        </is>
      </c>
      <c r="F821" s="5" t="inlineStr">
        <is>
          <t>Web — Data Stasiun (WB-)</t>
        </is>
      </c>
      <c r="G821" s="24" t="inlineStr">
        <is>
          <t>Melebihi 24 baris ditolak</t>
        </is>
      </c>
      <c r="H821" s="5" t="inlineStr">
        <is>
          <t>SPV-A</t>
        </is>
      </c>
      <c r="I821" s="5" t="inlineStr">
        <is>
          <t>—</t>
        </is>
      </c>
      <c r="J821" s="5" t="inlineStr">
        <is>
          <t>1. Login di web, buka /data/engine-room (Engine Room), lalu tekan Tambah (/data/engine-room/create) (lewati ketujuh stasiun di luar daftar itu).
2. Isi header dengan benar.
3. Tambah baris terus-menerus sampai mencapai 24 baris.
4. Coba tambah baris ke-25.</t>
        </is>
      </c>
      <c r="K821" s="5" t="inlineStr">
        <is>
          <t>- Pada 24 baris, tombol tambah baris tidak lagi bisa dipakai, atau penambahan ditolak dengan pesan.
- Pesannya menyebut batas 24 slot.
- Simpan pada 24 baris tetap berhasil.</t>
        </is>
      </c>
      <c r="L821" s="22" t="inlineStr">
        <is>
          <t>Sedang</t>
        </is>
      </c>
      <c r="M821"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21" s="17" t="n"/>
      <c r="O821" s="17" t="n"/>
      <c r="P821" s="17" t="n"/>
      <c r="Q821" s="17" t="n"/>
      <c r="R821" s="17" t="n"/>
    </row>
    <row r="822" ht="360.4" customHeight="1">
      <c r="A822" s="18" t="n">
        <v>818</v>
      </c>
      <c r="B822" s="18" t="n">
        <v>3</v>
      </c>
      <c r="C822" s="19" t="inlineStr">
        <is>
          <t>WB-FRM-05 / Process Water</t>
        </is>
      </c>
      <c r="D822" s="19" t="inlineStr">
        <is>
          <t>WB-FRM-05</t>
        </is>
      </c>
      <c r="E822" s="20" t="inlineStr">
        <is>
          <t>Process Water</t>
        </is>
      </c>
      <c r="F822" s="21" t="inlineStr">
        <is>
          <t>Web — Data Stasiun (WB-)</t>
        </is>
      </c>
      <c r="G822" s="20" t="inlineStr">
        <is>
          <t>Melebihi 24 baris ditolak</t>
        </is>
      </c>
      <c r="H822" s="21" t="inlineStr">
        <is>
          <t>SPV-A</t>
        </is>
      </c>
      <c r="I822" s="21" t="inlineStr">
        <is>
          <t>—</t>
        </is>
      </c>
      <c r="J822" s="21" t="inlineStr">
        <is>
          <t>1. Login di web, buka /data/process-water (Process Water), lalu tekan Tambah (/data/process-water/create) (lewati ketujuh stasiun di luar daftar itu).
2. Isi header dengan benar.
3. Tambah baris terus-menerus sampai mencapai 24 baris.
4. Coba tambah baris ke-25.</t>
        </is>
      </c>
      <c r="K822" s="21" t="inlineStr">
        <is>
          <t>- Pada 24 baris, tombol tambah baris tidak lagi bisa dipakai, atau penambahan ditolak dengan pesan.
- Pesannya menyebut batas 24 slot.
- Simpan pada 24 baris tetap berhasil.</t>
        </is>
      </c>
      <c r="L822" s="18" t="inlineStr">
        <is>
          <t>Sedang</t>
        </is>
      </c>
      <c r="M822" s="21"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22" s="17" t="n"/>
      <c r="O822" s="17" t="n"/>
      <c r="P822" s="17" t="n"/>
      <c r="Q822" s="17" t="n"/>
      <c r="R822" s="17" t="n"/>
    </row>
    <row r="823" ht="360.4" customHeight="1">
      <c r="A823" s="22" t="n">
        <v>819</v>
      </c>
      <c r="B823" s="22" t="n">
        <v>3</v>
      </c>
      <c r="C823" s="23" t="inlineStr">
        <is>
          <t>WB-FRM-05 / Storage Tank</t>
        </is>
      </c>
      <c r="D823" s="23" t="inlineStr">
        <is>
          <t>WB-FRM-05</t>
        </is>
      </c>
      <c r="E823" s="24" t="inlineStr">
        <is>
          <t>Storage Tank</t>
        </is>
      </c>
      <c r="F823" s="5" t="inlineStr">
        <is>
          <t>Web — Data Stasiun (WB-)</t>
        </is>
      </c>
      <c r="G823" s="24" t="inlineStr">
        <is>
          <t>Melebihi 24 baris ditolak</t>
        </is>
      </c>
      <c r="H823" s="5" t="inlineStr">
        <is>
          <t>SPV-A</t>
        </is>
      </c>
      <c r="I823" s="5" t="inlineStr">
        <is>
          <t>—</t>
        </is>
      </c>
      <c r="J823" s="5" t="inlineStr">
        <is>
          <t>1. Login di web, buka /data/storage-tank (Storage Tank), lalu tekan Tambah (/data/storage-tank/create) (lewati ketujuh stasiun di luar daftar itu).
2. Isi header dengan benar.
3. Tambah baris terus-menerus sampai mencapai 24 baris.
4. Coba tambah baris ke-25.</t>
        </is>
      </c>
      <c r="K823" s="5" t="inlineStr">
        <is>
          <t>- Pada 24 baris, tombol tambah baris tidak lagi bisa dipakai, atau penambahan ditolak dengan pesan.
- Pesannya menyebut batas 24 slot.
- Simpan pada 24 baris tetap berhasil.</t>
        </is>
      </c>
      <c r="L823" s="22" t="inlineStr">
        <is>
          <t>Sedang</t>
        </is>
      </c>
      <c r="M823"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23" s="17" t="n"/>
      <c r="O823" s="17" t="n"/>
      <c r="P823" s="17" t="n"/>
      <c r="Q823" s="17" t="n"/>
      <c r="R823" s="17" t="n"/>
    </row>
    <row r="824" ht="360.4" customHeight="1">
      <c r="A824" s="18" t="n">
        <v>820</v>
      </c>
      <c r="B824" s="18" t="n">
        <v>3</v>
      </c>
      <c r="C824" s="19" t="inlineStr">
        <is>
          <t>WB-FRM-05 / Process Quality Control</t>
        </is>
      </c>
      <c r="D824" s="19" t="inlineStr">
        <is>
          <t>WB-FRM-05</t>
        </is>
      </c>
      <c r="E824" s="20" t="inlineStr">
        <is>
          <t>Process Quality Control</t>
        </is>
      </c>
      <c r="F824" s="21" t="inlineStr">
        <is>
          <t>Web — Data Stasiun (WB-)</t>
        </is>
      </c>
      <c r="G824" s="20" t="inlineStr">
        <is>
          <t>Melebihi 24 baris ditolak</t>
        </is>
      </c>
      <c r="H824" s="21" t="inlineStr">
        <is>
          <t>SPV-A</t>
        </is>
      </c>
      <c r="I824" s="21" t="inlineStr">
        <is>
          <t>—</t>
        </is>
      </c>
      <c r="J824" s="21" t="inlineStr">
        <is>
          <t>1. Login di web, buka /data/process-quality-control (Process Quality Control), lalu tekan Tambah (/data/process-quality-control/create) (lewati ketujuh stasiun di luar daftar itu).
2. Isi header dengan benar.
3. Tambah baris terus-menerus sampai mencapai 24 baris.
4. Coba tambah baris ke-25.</t>
        </is>
      </c>
      <c r="K824" s="21" t="inlineStr">
        <is>
          <t>- Pada 24 baris, tombol tambah baris tidak lagi bisa dipakai, atau penambahan ditolak dengan pesan.
- Pesannya menyebut batas 24 slot.
- Simpan pada 24 baris tetap berhasil.</t>
        </is>
      </c>
      <c r="L824" s="18" t="inlineStr">
        <is>
          <t>Sedang</t>
        </is>
      </c>
      <c r="M824" s="21"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24" s="17" t="n"/>
      <c r="O824" s="17" t="n"/>
      <c r="P824" s="17" t="n"/>
      <c r="Q824" s="17" t="n"/>
      <c r="R824" s="17" t="n"/>
    </row>
    <row r="825" ht="96.39999999999999" customHeight="1">
      <c r="A825" s="22" t="n">
        <v>821</v>
      </c>
      <c r="B825" s="22" t="n">
        <v>3</v>
      </c>
      <c r="C825" s="23" t="inlineStr">
        <is>
          <t>WB-FRM-06 / Weighbridge</t>
        </is>
      </c>
      <c r="D825" s="23" t="inlineStr">
        <is>
          <t>WB-FRM-06</t>
        </is>
      </c>
      <c r="E825" s="24" t="inlineStr">
        <is>
          <t>Weighbridge</t>
        </is>
      </c>
      <c r="F825" s="5" t="inlineStr">
        <is>
          <t>Web — Data Stasiun (WB-)</t>
        </is>
      </c>
      <c r="G825" s="24" t="inlineStr">
        <is>
          <t>Minimal satu baris terisi</t>
        </is>
      </c>
      <c r="H825" s="5" t="inlineStr">
        <is>
          <t>SPV-A</t>
        </is>
      </c>
      <c r="I825" s="5" t="inlineStr">
        <is>
          <t>—</t>
        </is>
      </c>
      <c r="J825" s="5" t="inlineStr">
        <is>
          <t>1. Login di web, buka /data/weighbridge (Weighbridge), lalu tekan Tambah (/data/weighbridge/create).
2. Isi header dengan benar.
3. Tambah satu baris, pilih slot waktu, tapi jangan isi satu pun kolom bacaan.
4. Tekan Simpan.</t>
        </is>
      </c>
      <c r="K825" s="5" t="inlineStr">
        <is>
          <t>- Ditolak — record tidak tersimpan.
- Pesannya menyebut bahwa minimal satu baris harus punya slot waktu dan minimal satu kolom bacaan terisi.
- Perilakunya sama dengan MB-FORM-05 di mobile.</t>
        </is>
      </c>
      <c r="L825" s="16" t="inlineStr">
        <is>
          <t>Tinggi</t>
        </is>
      </c>
      <c r="M825" s="5" t="inlineStr"/>
      <c r="N825" s="17" t="n"/>
      <c r="O825" s="17" t="n"/>
      <c r="P825" s="17" t="n"/>
      <c r="Q825" s="17" t="n"/>
      <c r="R825" s="17" t="n"/>
    </row>
    <row r="826" ht="83.19999999999999" customHeight="1">
      <c r="A826" s="18" t="n">
        <v>822</v>
      </c>
      <c r="B826" s="18" t="n">
        <v>3</v>
      </c>
      <c r="C826" s="19" t="inlineStr">
        <is>
          <t>WB-FRM-06 / Grading</t>
        </is>
      </c>
      <c r="D826" s="19" t="inlineStr">
        <is>
          <t>WB-FRM-06</t>
        </is>
      </c>
      <c r="E826" s="20" t="inlineStr">
        <is>
          <t>Grading</t>
        </is>
      </c>
      <c r="F826" s="21" t="inlineStr">
        <is>
          <t>Web — Data Stasiun (WB-)</t>
        </is>
      </c>
      <c r="G826" s="20" t="inlineStr">
        <is>
          <t>Minimal satu baris terisi</t>
        </is>
      </c>
      <c r="H826" s="21" t="inlineStr">
        <is>
          <t>SPV-A</t>
        </is>
      </c>
      <c r="I826" s="21" t="inlineStr">
        <is>
          <t>—</t>
        </is>
      </c>
      <c r="J826" s="21" t="inlineStr">
        <is>
          <t>1. Login di web, buka /data/grading (Grading), lalu tekan Tambah (/data/grading/create).
2. Isi header dengan benar.
3. Tambah satu baris, pilih slot waktu, tapi jangan isi satu pun kolom bacaan.
4. Tekan Simpan.</t>
        </is>
      </c>
      <c r="K826" s="21" t="inlineStr">
        <is>
          <t>- Ditolak — record tidak tersimpan.
- Pesannya menyebut bahwa minimal satu baris harus punya slot waktu dan minimal satu kolom bacaan terisi.
- Perilakunya sama dengan MB-FORM-05 di mobile.</t>
        </is>
      </c>
      <c r="L826" s="16" t="inlineStr">
        <is>
          <t>Tinggi</t>
        </is>
      </c>
      <c r="M826" s="21" t="inlineStr"/>
      <c r="N826" s="17" t="n"/>
      <c r="O826" s="17" t="n"/>
      <c r="P826" s="17" t="n"/>
      <c r="Q826" s="17" t="n"/>
      <c r="R826" s="17" t="n"/>
    </row>
    <row r="827" ht="96.39999999999999" customHeight="1">
      <c r="A827" s="22" t="n">
        <v>823</v>
      </c>
      <c r="B827" s="22" t="n">
        <v>3</v>
      </c>
      <c r="C827" s="23" t="inlineStr">
        <is>
          <t>WB-FRM-06 / Cages Track</t>
        </is>
      </c>
      <c r="D827" s="23" t="inlineStr">
        <is>
          <t>WB-FRM-06</t>
        </is>
      </c>
      <c r="E827" s="24" t="inlineStr">
        <is>
          <t>Cages Track</t>
        </is>
      </c>
      <c r="F827" s="5" t="inlineStr">
        <is>
          <t>Web — Data Stasiun (WB-)</t>
        </is>
      </c>
      <c r="G827" s="24" t="inlineStr">
        <is>
          <t>Minimal satu baris terisi</t>
        </is>
      </c>
      <c r="H827" s="5" t="inlineStr">
        <is>
          <t>SPV-A</t>
        </is>
      </c>
      <c r="I827" s="5" t="inlineStr">
        <is>
          <t>—</t>
        </is>
      </c>
      <c r="J827" s="5" t="inlineStr">
        <is>
          <t>1. Login di web, buka /data/cages-track (Cages Track), lalu tekan Tambah (/data/cages-track/create).
2. Isi header dengan benar.
3. Tambah satu baris, pilih slot waktu, tapi jangan isi satu pun kolom bacaan.
4. Tekan Simpan.</t>
        </is>
      </c>
      <c r="K827" s="5" t="inlineStr">
        <is>
          <t>- Ditolak — record tidak tersimpan.
- Pesannya menyebut bahwa minimal satu baris harus punya slot waktu dan minimal satu kolom bacaan terisi.
- Perilakunya sama dengan MB-FORM-05 di mobile.</t>
        </is>
      </c>
      <c r="L827" s="16" t="inlineStr">
        <is>
          <t>Tinggi</t>
        </is>
      </c>
      <c r="M827" s="5" t="inlineStr"/>
      <c r="N827" s="17" t="n"/>
      <c r="O827" s="17" t="n"/>
      <c r="P827" s="17" t="n"/>
      <c r="Q827" s="17" t="n"/>
      <c r="R827" s="17" t="n"/>
    </row>
    <row r="828" ht="96.39999999999999" customHeight="1">
      <c r="A828" s="18" t="n">
        <v>824</v>
      </c>
      <c r="B828" s="18" t="n">
        <v>3</v>
      </c>
      <c r="C828" s="19" t="inlineStr">
        <is>
          <t>WB-FRM-06 / Sterilizer</t>
        </is>
      </c>
      <c r="D828" s="19" t="inlineStr">
        <is>
          <t>WB-FRM-06</t>
        </is>
      </c>
      <c r="E828" s="20" t="inlineStr">
        <is>
          <t>Sterilizer</t>
        </is>
      </c>
      <c r="F828" s="21" t="inlineStr">
        <is>
          <t>Web — Data Stasiun (WB-)</t>
        </is>
      </c>
      <c r="G828" s="20" t="inlineStr">
        <is>
          <t>Minimal satu baris terisi</t>
        </is>
      </c>
      <c r="H828" s="21" t="inlineStr">
        <is>
          <t>SPV-A</t>
        </is>
      </c>
      <c r="I828" s="21" t="inlineStr">
        <is>
          <t>—</t>
        </is>
      </c>
      <c r="J828" s="21" t="inlineStr">
        <is>
          <t>1. Login di web, buka /data/sterilizer (Sterilizer), lalu tekan Tambah (/data/sterilizer/create).
2. Isi header dengan benar.
3. Tambah satu baris, pilih slot waktu, tapi jangan isi satu pun kolom bacaan.
4. Tekan Simpan.</t>
        </is>
      </c>
      <c r="K828" s="21" t="inlineStr">
        <is>
          <t>- Ditolak — record tidak tersimpan.
- Pesannya menyebut bahwa minimal satu baris harus punya slot waktu dan minimal satu kolom bacaan terisi.
- Perilakunya sama dengan MB-FORM-05 di mobile.</t>
        </is>
      </c>
      <c r="L828" s="16" t="inlineStr">
        <is>
          <t>Tinggi</t>
        </is>
      </c>
      <c r="M828" s="21" t="inlineStr"/>
      <c r="N828" s="17" t="n"/>
      <c r="O828" s="17" t="n"/>
      <c r="P828" s="17" t="n"/>
      <c r="Q828" s="17" t="n"/>
      <c r="R828" s="17" t="n"/>
    </row>
    <row r="829" ht="96.39999999999999" customHeight="1">
      <c r="A829" s="22" t="n">
        <v>825</v>
      </c>
      <c r="B829" s="22" t="n">
        <v>3</v>
      </c>
      <c r="C829" s="23" t="inlineStr">
        <is>
          <t>WB-FRM-06 / Threshing</t>
        </is>
      </c>
      <c r="D829" s="23" t="inlineStr">
        <is>
          <t>WB-FRM-06</t>
        </is>
      </c>
      <c r="E829" s="24" t="inlineStr">
        <is>
          <t>Threshing</t>
        </is>
      </c>
      <c r="F829" s="5" t="inlineStr">
        <is>
          <t>Web — Data Stasiun (WB-)</t>
        </is>
      </c>
      <c r="G829" s="24" t="inlineStr">
        <is>
          <t>Minimal satu baris terisi</t>
        </is>
      </c>
      <c r="H829" s="5" t="inlineStr">
        <is>
          <t>SPV-A</t>
        </is>
      </c>
      <c r="I829" s="5" t="inlineStr">
        <is>
          <t>—</t>
        </is>
      </c>
      <c r="J829" s="5" t="inlineStr">
        <is>
          <t>1. Login di web, buka /data/threshing (Threshing), lalu tekan Tambah (/data/threshing/create).
2. Isi header dengan benar.
3. Tambah satu baris, pilih slot waktu, tapi jangan isi satu pun kolom bacaan.
4. Tekan Simpan.</t>
        </is>
      </c>
      <c r="K829" s="5" t="inlineStr">
        <is>
          <t>- Ditolak — record tidak tersimpan.
- Pesannya menyebut bahwa minimal satu baris harus punya slot waktu dan minimal satu kolom bacaan terisi.
- Perilakunya sama dengan MB-FORM-05 di mobile.</t>
        </is>
      </c>
      <c r="L829" s="16" t="inlineStr">
        <is>
          <t>Tinggi</t>
        </is>
      </c>
      <c r="M829" s="5" t="inlineStr"/>
      <c r="N829" s="17" t="n"/>
      <c r="O829" s="17" t="n"/>
      <c r="P829" s="17" t="n"/>
      <c r="Q829" s="17" t="n"/>
      <c r="R829" s="17" t="n"/>
    </row>
    <row r="830" ht="96.39999999999999" customHeight="1">
      <c r="A830" s="18" t="n">
        <v>826</v>
      </c>
      <c r="B830" s="18" t="n">
        <v>3</v>
      </c>
      <c r="C830" s="19" t="inlineStr">
        <is>
          <t>WB-FRM-06 / Pressing</t>
        </is>
      </c>
      <c r="D830" s="19" t="inlineStr">
        <is>
          <t>WB-FRM-06</t>
        </is>
      </c>
      <c r="E830" s="20" t="inlineStr">
        <is>
          <t>Pressing</t>
        </is>
      </c>
      <c r="F830" s="21" t="inlineStr">
        <is>
          <t>Web — Data Stasiun (WB-)</t>
        </is>
      </c>
      <c r="G830" s="20" t="inlineStr">
        <is>
          <t>Minimal satu baris terisi</t>
        </is>
      </c>
      <c r="H830" s="21" t="inlineStr">
        <is>
          <t>SPV-A</t>
        </is>
      </c>
      <c r="I830" s="21" t="inlineStr">
        <is>
          <t>—</t>
        </is>
      </c>
      <c r="J830" s="21" t="inlineStr">
        <is>
          <t>1. Login di web, buka /data/pressing (Pressing), lalu tekan Tambah (/data/pressing/create).
2. Isi header dengan benar.
3. Tambah satu baris, pilih slot waktu, tapi jangan isi satu pun kolom bacaan.
4. Tekan Simpan.</t>
        </is>
      </c>
      <c r="K830" s="21" t="inlineStr">
        <is>
          <t>- Ditolak — record tidak tersimpan.
- Pesannya menyebut bahwa minimal satu baris harus punya slot waktu dan minimal satu kolom bacaan terisi.
- Perilakunya sama dengan MB-FORM-05 di mobile.</t>
        </is>
      </c>
      <c r="L830" s="16" t="inlineStr">
        <is>
          <t>Tinggi</t>
        </is>
      </c>
      <c r="M830" s="21" t="inlineStr"/>
      <c r="N830" s="17" t="n"/>
      <c r="O830" s="17" t="n"/>
      <c r="P830" s="17" t="n"/>
      <c r="Q830" s="17" t="n"/>
      <c r="R830" s="17" t="n"/>
    </row>
    <row r="831" ht="96.39999999999999" customHeight="1">
      <c r="A831" s="22" t="n">
        <v>827</v>
      </c>
      <c r="B831" s="22" t="n">
        <v>3</v>
      </c>
      <c r="C831" s="23" t="inlineStr">
        <is>
          <t>WB-FRM-06 / Clarification</t>
        </is>
      </c>
      <c r="D831" s="23" t="inlineStr">
        <is>
          <t>WB-FRM-06</t>
        </is>
      </c>
      <c r="E831" s="24" t="inlineStr">
        <is>
          <t>Clarification</t>
        </is>
      </c>
      <c r="F831" s="5" t="inlineStr">
        <is>
          <t>Web — Data Stasiun (WB-)</t>
        </is>
      </c>
      <c r="G831" s="24" t="inlineStr">
        <is>
          <t>Minimal satu baris terisi</t>
        </is>
      </c>
      <c r="H831" s="5" t="inlineStr">
        <is>
          <t>SPV-A</t>
        </is>
      </c>
      <c r="I831" s="5" t="inlineStr">
        <is>
          <t>—</t>
        </is>
      </c>
      <c r="J831" s="5" t="inlineStr">
        <is>
          <t>1. Login di web, buka /data/clarification (Clarification), lalu tekan Tambah (/data/clarification/create).
2. Isi header dengan benar.
3. Tambah satu baris, pilih slot waktu, tapi jangan isi satu pun kolom bacaan.
4. Tekan Simpan.</t>
        </is>
      </c>
      <c r="K831" s="5" t="inlineStr">
        <is>
          <t>- Ditolak — record tidak tersimpan.
- Pesannya menyebut bahwa minimal satu baris harus punya slot waktu dan minimal satu kolom bacaan terisi.
- Perilakunya sama dengan MB-FORM-05 di mobile.</t>
        </is>
      </c>
      <c r="L831" s="16" t="inlineStr">
        <is>
          <t>Tinggi</t>
        </is>
      </c>
      <c r="M831" s="5" t="inlineStr"/>
      <c r="N831" s="17" t="n"/>
      <c r="O831" s="17" t="n"/>
      <c r="P831" s="17" t="n"/>
      <c r="Q831" s="17" t="n"/>
      <c r="R831" s="17" t="n"/>
    </row>
    <row r="832" ht="96.39999999999999" customHeight="1">
      <c r="A832" s="18" t="n">
        <v>828</v>
      </c>
      <c r="B832" s="18" t="n">
        <v>3</v>
      </c>
      <c r="C832" s="19" t="inlineStr">
        <is>
          <t>WB-FRM-06 / Kernel Plant</t>
        </is>
      </c>
      <c r="D832" s="19" t="inlineStr">
        <is>
          <t>WB-FRM-06</t>
        </is>
      </c>
      <c r="E832" s="20" t="inlineStr">
        <is>
          <t>Kernel Plant</t>
        </is>
      </c>
      <c r="F832" s="21" t="inlineStr">
        <is>
          <t>Web — Data Stasiun (WB-)</t>
        </is>
      </c>
      <c r="G832" s="20" t="inlineStr">
        <is>
          <t>Minimal satu baris terisi</t>
        </is>
      </c>
      <c r="H832" s="21" t="inlineStr">
        <is>
          <t>SPV-A</t>
        </is>
      </c>
      <c r="I832" s="21" t="inlineStr">
        <is>
          <t>—</t>
        </is>
      </c>
      <c r="J832" s="21" t="inlineStr">
        <is>
          <t>1. Login di web, buka /data/kernel-plant (Kernel Plant), lalu tekan Tambah (/data/kernel-plant/create).
2. Isi header dengan benar.
3. Tambah satu baris, pilih slot waktu, tapi jangan isi satu pun kolom bacaan.
4. Tekan Simpan.</t>
        </is>
      </c>
      <c r="K832" s="21" t="inlineStr">
        <is>
          <t>- Ditolak — record tidak tersimpan.
- Pesannya menyebut bahwa minimal satu baris harus punya slot waktu dan minimal satu kolom bacaan terisi.
- Perilakunya sama dengan MB-FORM-05 di mobile.</t>
        </is>
      </c>
      <c r="L832" s="16" t="inlineStr">
        <is>
          <t>Tinggi</t>
        </is>
      </c>
      <c r="M832" s="21" t="inlineStr"/>
      <c r="N832" s="17" t="n"/>
      <c r="O832" s="17" t="n"/>
      <c r="P832" s="17" t="n"/>
      <c r="Q832" s="17" t="n"/>
      <c r="R832" s="17" t="n"/>
    </row>
    <row r="833" ht="96.39999999999999" customHeight="1">
      <c r="A833" s="22" t="n">
        <v>829</v>
      </c>
      <c r="B833" s="22" t="n">
        <v>3</v>
      </c>
      <c r="C833" s="23" t="inlineStr">
        <is>
          <t>WB-FRM-06 / Boiler Room</t>
        </is>
      </c>
      <c r="D833" s="23" t="inlineStr">
        <is>
          <t>WB-FRM-06</t>
        </is>
      </c>
      <c r="E833" s="24" t="inlineStr">
        <is>
          <t>Boiler Room</t>
        </is>
      </c>
      <c r="F833" s="5" t="inlineStr">
        <is>
          <t>Web — Data Stasiun (WB-)</t>
        </is>
      </c>
      <c r="G833" s="24" t="inlineStr">
        <is>
          <t>Minimal satu baris terisi</t>
        </is>
      </c>
      <c r="H833" s="5" t="inlineStr">
        <is>
          <t>SPV-A</t>
        </is>
      </c>
      <c r="I833" s="5" t="inlineStr">
        <is>
          <t>—</t>
        </is>
      </c>
      <c r="J833" s="5" t="inlineStr">
        <is>
          <t>1. Login di web, buka /data/boiler-room (Boiler Room), lalu tekan Tambah (/data/boiler-room/create).
2. Isi header dengan benar.
3. Tambah satu baris, pilih slot waktu, tapi jangan isi satu pun kolom bacaan.
4. Tekan Simpan.</t>
        </is>
      </c>
      <c r="K833" s="5" t="inlineStr">
        <is>
          <t>- Ditolak — record tidak tersimpan.
- Pesannya menyebut bahwa minimal satu baris harus punya slot waktu dan minimal satu kolom bacaan terisi.
- Perilakunya sama dengan MB-FORM-05 di mobile.</t>
        </is>
      </c>
      <c r="L833" s="16" t="inlineStr">
        <is>
          <t>Tinggi</t>
        </is>
      </c>
      <c r="M833" s="5" t="inlineStr"/>
      <c r="N833" s="17" t="n"/>
      <c r="O833" s="17" t="n"/>
      <c r="P833" s="17" t="n"/>
      <c r="Q833" s="17" t="n"/>
      <c r="R833" s="17" t="n"/>
    </row>
    <row r="834" ht="96.39999999999999" customHeight="1">
      <c r="A834" s="18" t="n">
        <v>830</v>
      </c>
      <c r="B834" s="18" t="n">
        <v>3</v>
      </c>
      <c r="C834" s="19" t="inlineStr">
        <is>
          <t>WB-FRM-06 / Effluent Plant</t>
        </is>
      </c>
      <c r="D834" s="19" t="inlineStr">
        <is>
          <t>WB-FRM-06</t>
        </is>
      </c>
      <c r="E834" s="20" t="inlineStr">
        <is>
          <t>Effluent Plant</t>
        </is>
      </c>
      <c r="F834" s="21" t="inlineStr">
        <is>
          <t>Web — Data Stasiun (WB-)</t>
        </is>
      </c>
      <c r="G834" s="20" t="inlineStr">
        <is>
          <t>Minimal satu baris terisi</t>
        </is>
      </c>
      <c r="H834" s="21" t="inlineStr">
        <is>
          <t>SPV-A</t>
        </is>
      </c>
      <c r="I834" s="21" t="inlineStr">
        <is>
          <t>—</t>
        </is>
      </c>
      <c r="J834" s="21" t="inlineStr">
        <is>
          <t>1. Login di web, buka /data/effluent-plant (Effluent Plant), lalu tekan Tambah (/data/effluent-plant/create).
2. Isi header dengan benar.
3. Tambah satu baris, pilih slot waktu, tapi jangan isi satu pun kolom bacaan.
4. Tekan Simpan.</t>
        </is>
      </c>
      <c r="K834" s="21" t="inlineStr">
        <is>
          <t>- Ditolak — record tidak tersimpan.
- Pesannya menyebut bahwa minimal satu baris harus punya slot waktu dan minimal satu kolom bacaan terisi.
- Perilakunya sama dengan MB-FORM-05 di mobile.</t>
        </is>
      </c>
      <c r="L834" s="16" t="inlineStr">
        <is>
          <t>Tinggi</t>
        </is>
      </c>
      <c r="M834" s="21" t="inlineStr"/>
      <c r="N834" s="17" t="n"/>
      <c r="O834" s="17" t="n"/>
      <c r="P834" s="17" t="n"/>
      <c r="Q834" s="17" t="n"/>
      <c r="R834" s="17" t="n"/>
    </row>
    <row r="835" ht="96.39999999999999" customHeight="1">
      <c r="A835" s="11" t="n">
        <v>831</v>
      </c>
      <c r="B835" s="12" t="n">
        <v>1</v>
      </c>
      <c r="C835" s="13" t="inlineStr">
        <is>
          <t>WB-FRM-06 / Depricarping</t>
        </is>
      </c>
      <c r="D835" s="13" t="inlineStr">
        <is>
          <t>WB-FRM-06</t>
        </is>
      </c>
      <c r="E835" s="15" t="inlineStr">
        <is>
          <t>Depricarping</t>
        </is>
      </c>
      <c r="F835" s="14" t="inlineStr">
        <is>
          <t>Web — Data Stasiun (WB-)</t>
        </is>
      </c>
      <c r="G835" s="15" t="inlineStr">
        <is>
          <t>Minimal satu baris terisi</t>
        </is>
      </c>
      <c r="H835" s="14" t="inlineStr">
        <is>
          <t>SPV-A</t>
        </is>
      </c>
      <c r="I835" s="14" t="inlineStr">
        <is>
          <t>—</t>
        </is>
      </c>
      <c r="J835" s="14" t="inlineStr">
        <is>
          <t>1. Login di web, buka /data/depricarping (Depricarping), lalu tekan Tambah (/data/depricarping/create).
2. Isi header dengan benar.
3. Tambah satu baris, pilih slot waktu, tapi jangan isi satu pun kolom bacaan.
4. Tekan Simpan.</t>
        </is>
      </c>
      <c r="K835" s="14" t="inlineStr">
        <is>
          <t>- Ditolak — record tidak tersimpan.
- Pesannya menyebut bahwa minimal satu baris harus punya slot waktu dan minimal satu kolom bacaan terisi.
- Perilakunya sama dengan MB-FORM-05 di mobile.</t>
        </is>
      </c>
      <c r="L835" s="16" t="inlineStr">
        <is>
          <t>Tinggi</t>
        </is>
      </c>
      <c r="M835" s="14" t="inlineStr"/>
      <c r="N835" s="17" t="n"/>
      <c r="O835" s="17" t="n"/>
      <c r="P835" s="17" t="n"/>
      <c r="Q835" s="17" t="n"/>
      <c r="R835" s="17" t="n"/>
    </row>
    <row r="836" ht="96.39999999999999" customHeight="1">
      <c r="A836" s="18" t="n">
        <v>832</v>
      </c>
      <c r="B836" s="18" t="n">
        <v>3</v>
      </c>
      <c r="C836" s="19" t="inlineStr">
        <is>
          <t>WB-FRM-06 / Engine Room</t>
        </is>
      </c>
      <c r="D836" s="19" t="inlineStr">
        <is>
          <t>WB-FRM-06</t>
        </is>
      </c>
      <c r="E836" s="20" t="inlineStr">
        <is>
          <t>Engine Room</t>
        </is>
      </c>
      <c r="F836" s="21" t="inlineStr">
        <is>
          <t>Web — Data Stasiun (WB-)</t>
        </is>
      </c>
      <c r="G836" s="20" t="inlineStr">
        <is>
          <t>Minimal satu baris terisi</t>
        </is>
      </c>
      <c r="H836" s="21" t="inlineStr">
        <is>
          <t>SPV-A</t>
        </is>
      </c>
      <c r="I836" s="21" t="inlineStr">
        <is>
          <t>—</t>
        </is>
      </c>
      <c r="J836" s="21" t="inlineStr">
        <is>
          <t>1. Login di web, buka /data/engine-room (Engine Room), lalu tekan Tambah (/data/engine-room/create).
2. Isi header dengan benar.
3. Tambah satu baris, pilih slot waktu, tapi jangan isi satu pun kolom bacaan.
4. Tekan Simpan.</t>
        </is>
      </c>
      <c r="K836" s="21" t="inlineStr">
        <is>
          <t>- Ditolak — record tidak tersimpan.
- Pesannya menyebut bahwa minimal satu baris harus punya slot waktu dan minimal satu kolom bacaan terisi.
- Perilakunya sama dengan MB-FORM-05 di mobile.</t>
        </is>
      </c>
      <c r="L836" s="16" t="inlineStr">
        <is>
          <t>Tinggi</t>
        </is>
      </c>
      <c r="M836" s="21" t="inlineStr"/>
      <c r="N836" s="17" t="n"/>
      <c r="O836" s="17" t="n"/>
      <c r="P836" s="17" t="n"/>
      <c r="Q836" s="17" t="n"/>
      <c r="R836" s="17" t="n"/>
    </row>
    <row r="837" ht="96.39999999999999" customHeight="1">
      <c r="A837" s="22" t="n">
        <v>833</v>
      </c>
      <c r="B837" s="22" t="n">
        <v>3</v>
      </c>
      <c r="C837" s="23" t="inlineStr">
        <is>
          <t>WB-FRM-06 / Process Water</t>
        </is>
      </c>
      <c r="D837" s="23" t="inlineStr">
        <is>
          <t>WB-FRM-06</t>
        </is>
      </c>
      <c r="E837" s="24" t="inlineStr">
        <is>
          <t>Process Water</t>
        </is>
      </c>
      <c r="F837" s="5" t="inlineStr">
        <is>
          <t>Web — Data Stasiun (WB-)</t>
        </is>
      </c>
      <c r="G837" s="24" t="inlineStr">
        <is>
          <t>Minimal satu baris terisi</t>
        </is>
      </c>
      <c r="H837" s="5" t="inlineStr">
        <is>
          <t>SPV-A</t>
        </is>
      </c>
      <c r="I837" s="5" t="inlineStr">
        <is>
          <t>—</t>
        </is>
      </c>
      <c r="J837" s="5" t="inlineStr">
        <is>
          <t>1. Login di web, buka /data/process-water (Process Water), lalu tekan Tambah (/data/process-water/create).
2. Isi header dengan benar.
3. Tambah satu baris, pilih slot waktu, tapi jangan isi satu pun kolom bacaan.
4. Tekan Simpan.</t>
        </is>
      </c>
      <c r="K837" s="5" t="inlineStr">
        <is>
          <t>- Ditolak — record tidak tersimpan.
- Pesannya menyebut bahwa minimal satu baris harus punya slot waktu dan minimal satu kolom bacaan terisi.
- Perilakunya sama dengan MB-FORM-05 di mobile.</t>
        </is>
      </c>
      <c r="L837" s="16" t="inlineStr">
        <is>
          <t>Tinggi</t>
        </is>
      </c>
      <c r="M837" s="5" t="inlineStr"/>
      <c r="N837" s="17" t="n"/>
      <c r="O837" s="17" t="n"/>
      <c r="P837" s="17" t="n"/>
      <c r="Q837" s="17" t="n"/>
      <c r="R837" s="17" t="n"/>
    </row>
    <row r="838" ht="96.39999999999999" customHeight="1">
      <c r="A838" s="18" t="n">
        <v>834</v>
      </c>
      <c r="B838" s="18" t="n">
        <v>3</v>
      </c>
      <c r="C838" s="19" t="inlineStr">
        <is>
          <t>WB-FRM-06 / Storage Tank</t>
        </is>
      </c>
      <c r="D838" s="19" t="inlineStr">
        <is>
          <t>WB-FRM-06</t>
        </is>
      </c>
      <c r="E838" s="20" t="inlineStr">
        <is>
          <t>Storage Tank</t>
        </is>
      </c>
      <c r="F838" s="21" t="inlineStr">
        <is>
          <t>Web — Data Stasiun (WB-)</t>
        </is>
      </c>
      <c r="G838" s="20" t="inlineStr">
        <is>
          <t>Minimal satu baris terisi</t>
        </is>
      </c>
      <c r="H838" s="21" t="inlineStr">
        <is>
          <t>SPV-A</t>
        </is>
      </c>
      <c r="I838" s="21" t="inlineStr">
        <is>
          <t>—</t>
        </is>
      </c>
      <c r="J838" s="21" t="inlineStr">
        <is>
          <t>1. Login di web, buka /data/storage-tank (Storage Tank), lalu tekan Tambah (/data/storage-tank/create).
2. Isi header dengan benar.
3. Tambah satu baris, pilih slot waktu, tapi jangan isi satu pun kolom bacaan.
4. Tekan Simpan.</t>
        </is>
      </c>
      <c r="K838" s="21" t="inlineStr">
        <is>
          <t>- Ditolak — record tidak tersimpan.
- Pesannya menyebut bahwa minimal satu baris harus punya slot waktu dan minimal satu kolom bacaan terisi.
- Perilakunya sama dengan MB-FORM-05 di mobile.</t>
        </is>
      </c>
      <c r="L838" s="16" t="inlineStr">
        <is>
          <t>Tinggi</t>
        </is>
      </c>
      <c r="M838" s="21" t="inlineStr"/>
      <c r="N838" s="17" t="n"/>
      <c r="O838" s="17" t="n"/>
      <c r="P838" s="17" t="n"/>
      <c r="Q838" s="17" t="n"/>
      <c r="R838" s="17" t="n"/>
    </row>
    <row r="839" ht="96.39999999999999" customHeight="1">
      <c r="A839" s="22" t="n">
        <v>835</v>
      </c>
      <c r="B839" s="22" t="n">
        <v>3</v>
      </c>
      <c r="C839" s="23" t="inlineStr">
        <is>
          <t>WB-FRM-06 / Solid Waste Disposal</t>
        </is>
      </c>
      <c r="D839" s="23" t="inlineStr">
        <is>
          <t>WB-FRM-06</t>
        </is>
      </c>
      <c r="E839" s="24" t="inlineStr">
        <is>
          <t>Solid Waste Disposal</t>
        </is>
      </c>
      <c r="F839" s="5" t="inlineStr">
        <is>
          <t>Web — Data Stasiun (WB-)</t>
        </is>
      </c>
      <c r="G839" s="24" t="inlineStr">
        <is>
          <t>Minimal satu baris terisi</t>
        </is>
      </c>
      <c r="H839" s="5" t="inlineStr">
        <is>
          <t>SPV-A</t>
        </is>
      </c>
      <c r="I839" s="5" t="inlineStr">
        <is>
          <t>—</t>
        </is>
      </c>
      <c r="J839" s="5" t="inlineStr">
        <is>
          <t>1. Login di web, buka /data/solid-waste-disposal (Solid Waste Disposal), lalu tekan Tambah (/data/solid-waste-disposal/create).
2. Isi header dengan benar.
3. Tambah satu baris, pilih slot waktu, tapi jangan isi satu pun kolom bacaan.
4. Tekan Simpan.</t>
        </is>
      </c>
      <c r="K839" s="5" t="inlineStr">
        <is>
          <t>- Ditolak — record tidak tersimpan.
- Pesannya menyebut bahwa minimal satu baris harus punya slot waktu dan minimal satu kolom bacaan terisi.
- Perilakunya sama dengan MB-FORM-05 di mobile.</t>
        </is>
      </c>
      <c r="L839" s="16" t="inlineStr">
        <is>
          <t>Tinggi</t>
        </is>
      </c>
      <c r="M839" s="5" t="inlineStr"/>
      <c r="N839" s="17" t="n"/>
      <c r="O839" s="17" t="n"/>
      <c r="P839" s="17" t="n"/>
      <c r="Q839" s="17" t="n"/>
      <c r="R839" s="17" t="n"/>
    </row>
    <row r="840" ht="96.39999999999999" customHeight="1">
      <c r="A840" s="18" t="n">
        <v>836</v>
      </c>
      <c r="B840" s="18" t="n">
        <v>3</v>
      </c>
      <c r="C840" s="19" t="inlineStr">
        <is>
          <t>WB-FRM-06 / Kernel Dispatch</t>
        </is>
      </c>
      <c r="D840" s="19" t="inlineStr">
        <is>
          <t>WB-FRM-06</t>
        </is>
      </c>
      <c r="E840" s="20" t="inlineStr">
        <is>
          <t>Kernel Dispatch</t>
        </is>
      </c>
      <c r="F840" s="21" t="inlineStr">
        <is>
          <t>Web — Data Stasiun (WB-)</t>
        </is>
      </c>
      <c r="G840" s="20" t="inlineStr">
        <is>
          <t>Minimal satu baris terisi</t>
        </is>
      </c>
      <c r="H840" s="21" t="inlineStr">
        <is>
          <t>SPV-A</t>
        </is>
      </c>
      <c r="I840" s="21" t="inlineStr">
        <is>
          <t>—</t>
        </is>
      </c>
      <c r="J840" s="21" t="inlineStr">
        <is>
          <t>1. Login di web, buka /data/kernel-dispatch (Kernel Dispatch), lalu tekan Tambah (/data/kernel-dispatch/create).
2. Isi header dengan benar.
3. Tambah satu baris, pilih slot waktu, tapi jangan isi satu pun kolom bacaan.
4. Tekan Simpan.</t>
        </is>
      </c>
      <c r="K840" s="21" t="inlineStr">
        <is>
          <t>- Ditolak — record tidak tersimpan.
- Pesannya menyebut bahwa minimal satu baris harus punya slot waktu dan minimal satu kolom bacaan terisi.
- Perilakunya sama dengan MB-FORM-05 di mobile.</t>
        </is>
      </c>
      <c r="L840" s="16" t="inlineStr">
        <is>
          <t>Tinggi</t>
        </is>
      </c>
      <c r="M840" s="21" t="inlineStr"/>
      <c r="N840" s="17" t="n"/>
      <c r="O840" s="17" t="n"/>
      <c r="P840" s="17" t="n"/>
      <c r="Q840" s="17" t="n"/>
      <c r="R840" s="17" t="n"/>
    </row>
    <row r="841" ht="96.39999999999999" customHeight="1">
      <c r="A841" s="22" t="n">
        <v>837</v>
      </c>
      <c r="B841" s="22" t="n">
        <v>3</v>
      </c>
      <c r="C841" s="23" t="inlineStr">
        <is>
          <t>WB-FRM-06 / CPO Dispatch</t>
        </is>
      </c>
      <c r="D841" s="23" t="inlineStr">
        <is>
          <t>WB-FRM-06</t>
        </is>
      </c>
      <c r="E841" s="24" t="inlineStr">
        <is>
          <t>CPO Dispatch</t>
        </is>
      </c>
      <c r="F841" s="5" t="inlineStr">
        <is>
          <t>Web — Data Stasiun (WB-)</t>
        </is>
      </c>
      <c r="G841" s="24" t="inlineStr">
        <is>
          <t>Minimal satu baris terisi</t>
        </is>
      </c>
      <c r="H841" s="5" t="inlineStr">
        <is>
          <t>SPV-A</t>
        </is>
      </c>
      <c r="I841" s="5" t="inlineStr">
        <is>
          <t>—</t>
        </is>
      </c>
      <c r="J841" s="5" t="inlineStr">
        <is>
          <t>1. Login di web, buka /data/cpo-dispatch (CPO Dispatch), lalu tekan Tambah (/data/cpo-dispatch/create).
2. Isi header dengan benar.
3. Tambah satu baris, pilih slot waktu, tapi jangan isi satu pun kolom bacaan.
4. Tekan Simpan.</t>
        </is>
      </c>
      <c r="K841" s="5" t="inlineStr">
        <is>
          <t>- Ditolak — record tidak tersimpan.
- Pesannya menyebut bahwa minimal satu baris harus punya slot waktu dan minimal satu kolom bacaan terisi.
- Perilakunya sama dengan MB-FORM-05 di mobile.</t>
        </is>
      </c>
      <c r="L841" s="16" t="inlineStr">
        <is>
          <t>Tinggi</t>
        </is>
      </c>
      <c r="M841" s="5" t="inlineStr"/>
      <c r="N841" s="17" t="n"/>
      <c r="O841" s="17" t="n"/>
      <c r="P841" s="17" t="n"/>
      <c r="Q841" s="17" t="n"/>
      <c r="R841" s="17" t="n"/>
    </row>
    <row r="842" ht="109.6" customHeight="1">
      <c r="A842" s="18" t="n">
        <v>838</v>
      </c>
      <c r="B842" s="18" t="n">
        <v>3</v>
      </c>
      <c r="C842" s="19" t="inlineStr">
        <is>
          <t>WB-FRM-06 / Process Quality Control</t>
        </is>
      </c>
      <c r="D842" s="19" t="inlineStr">
        <is>
          <t>WB-FRM-06</t>
        </is>
      </c>
      <c r="E842" s="20" t="inlineStr">
        <is>
          <t>Process Quality Control</t>
        </is>
      </c>
      <c r="F842" s="21" t="inlineStr">
        <is>
          <t>Web — Data Stasiun (WB-)</t>
        </is>
      </c>
      <c r="G842" s="20" t="inlineStr">
        <is>
          <t>Minimal satu baris terisi</t>
        </is>
      </c>
      <c r="H842" s="21" t="inlineStr">
        <is>
          <t>SPV-A</t>
        </is>
      </c>
      <c r="I842" s="21" t="inlineStr">
        <is>
          <t>—</t>
        </is>
      </c>
      <c r="J842" s="21" t="inlineStr">
        <is>
          <t>1. Login di web, buka /data/process-quality-control (Process Quality Control), lalu tekan Tambah (/data/process-quality-control/create).
2. Isi header dengan benar.
3. Tambah satu baris, pilih slot waktu, tapi jangan isi satu pun kolom bacaan.
4. Tekan Simpan.</t>
        </is>
      </c>
      <c r="K842" s="21" t="inlineStr">
        <is>
          <t>- Ditolak — record tidak tersimpan.
- Pesannya menyebut bahwa minimal satu baris harus punya slot waktu dan minimal satu kolom bacaan terisi.
- Perilakunya sama dengan MB-FORM-05 di mobile.</t>
        </is>
      </c>
      <c r="L842" s="16" t="inlineStr">
        <is>
          <t>Tinggi</t>
        </is>
      </c>
      <c r="M842" s="21" t="inlineStr"/>
      <c r="N842" s="17" t="n"/>
      <c r="O842" s="17" t="n"/>
      <c r="P842" s="17" t="n"/>
      <c r="Q842" s="17" t="n"/>
      <c r="R842" s="17" t="n"/>
    </row>
    <row r="843" ht="109.6" customHeight="1">
      <c r="A843" s="22" t="n">
        <v>839</v>
      </c>
      <c r="B843" s="22" t="n">
        <v>3</v>
      </c>
      <c r="C843" s="23" t="inlineStr">
        <is>
          <t>WB-FRM-07 / Weighbridge</t>
        </is>
      </c>
      <c r="D843" s="23" t="inlineStr">
        <is>
          <t>WB-FRM-07</t>
        </is>
      </c>
      <c r="E843" s="24" t="inlineStr">
        <is>
          <t>Weighbridge</t>
        </is>
      </c>
      <c r="F843" s="5" t="inlineStr">
        <is>
          <t>Web — Data Stasiun (WB-)</t>
        </is>
      </c>
      <c r="G843" s="24" t="inlineStr">
        <is>
          <t>Line tanpa stasiun aktif ditolak</t>
        </is>
      </c>
      <c r="H843" s="5" t="inlineStr">
        <is>
          <t>SPV-A</t>
        </is>
      </c>
      <c r="I843" s="5" t="inlineStr">
        <is>
          <t>—</t>
        </is>
      </c>
      <c r="J843" s="5" t="inlineStr">
        <is>
          <t>1. Sebagai ADM, siapkan satu Production Line yang tidak punya stasiun jenis ini dalam keadaan aktif.
2. Login di web, buka /data/weighbridge (Weighbridge), lalu tekan Tambah (/data/weighbridge/create), pilih Production Line itu.
3. Isi seluruh kolom dengan benar, tekan Simpan.</t>
        </is>
      </c>
      <c r="K843" s="5" t="inlineStr">
        <is>
          <t>- Ditolak dengan pesan yang menyebut bahwa Production Line itu tidak punya stasiun jenis ini yang aktif.
- BUKAN pesan galat teknis.
- Isi form tidak hilang.</t>
        </is>
      </c>
      <c r="L843" s="16" t="inlineStr">
        <is>
          <t>Tinggi</t>
        </is>
      </c>
      <c r="M843" s="5" t="inlineStr"/>
      <c r="N843" s="17" t="n"/>
      <c r="O843" s="17" t="n"/>
      <c r="P843" s="17" t="n"/>
      <c r="Q843" s="17" t="n"/>
      <c r="R843" s="17" t="n"/>
    </row>
    <row r="844" ht="109.6" customHeight="1">
      <c r="A844" s="18" t="n">
        <v>840</v>
      </c>
      <c r="B844" s="18" t="n">
        <v>3</v>
      </c>
      <c r="C844" s="19" t="inlineStr">
        <is>
          <t>WB-FRM-07 / Grading</t>
        </is>
      </c>
      <c r="D844" s="19" t="inlineStr">
        <is>
          <t>WB-FRM-07</t>
        </is>
      </c>
      <c r="E844" s="20" t="inlineStr">
        <is>
          <t>Grading</t>
        </is>
      </c>
      <c r="F844" s="21" t="inlineStr">
        <is>
          <t>Web — Data Stasiun (WB-)</t>
        </is>
      </c>
      <c r="G844" s="20" t="inlineStr">
        <is>
          <t>Line tanpa stasiun aktif ditolak</t>
        </is>
      </c>
      <c r="H844" s="21" t="inlineStr">
        <is>
          <t>SPV-A</t>
        </is>
      </c>
      <c r="I844" s="21" t="inlineStr">
        <is>
          <t>—</t>
        </is>
      </c>
      <c r="J844" s="21" t="inlineStr">
        <is>
          <t>1. Sebagai ADM, siapkan satu Production Line yang tidak punya stasiun jenis ini dalam keadaan aktif.
2. Login di web, buka /data/grading (Grading), lalu tekan Tambah (/data/grading/create), pilih Production Line itu.
3. Isi seluruh kolom dengan benar, tekan Simpan.</t>
        </is>
      </c>
      <c r="K844" s="21" t="inlineStr">
        <is>
          <t>- Ditolak dengan pesan yang menyebut bahwa Production Line itu tidak punya stasiun jenis ini yang aktif.
- BUKAN pesan galat teknis.
- Isi form tidak hilang.</t>
        </is>
      </c>
      <c r="L844" s="16" t="inlineStr">
        <is>
          <t>Tinggi</t>
        </is>
      </c>
      <c r="M844" s="21" t="inlineStr"/>
      <c r="N844" s="17" t="n"/>
      <c r="O844" s="17" t="n"/>
      <c r="P844" s="17" t="n"/>
      <c r="Q844" s="17" t="n"/>
      <c r="R844" s="17" t="n"/>
    </row>
    <row r="845" ht="109.6" customHeight="1">
      <c r="A845" s="22" t="n">
        <v>841</v>
      </c>
      <c r="B845" s="22" t="n">
        <v>3</v>
      </c>
      <c r="C845" s="23" t="inlineStr">
        <is>
          <t>WB-FRM-07 / Cages Track</t>
        </is>
      </c>
      <c r="D845" s="23" t="inlineStr">
        <is>
          <t>WB-FRM-07</t>
        </is>
      </c>
      <c r="E845" s="24" t="inlineStr">
        <is>
          <t>Cages Track</t>
        </is>
      </c>
      <c r="F845" s="5" t="inlineStr">
        <is>
          <t>Web — Data Stasiun (WB-)</t>
        </is>
      </c>
      <c r="G845" s="24" t="inlineStr">
        <is>
          <t>Line tanpa stasiun aktif ditolak</t>
        </is>
      </c>
      <c r="H845" s="5" t="inlineStr">
        <is>
          <t>SPV-A</t>
        </is>
      </c>
      <c r="I845" s="5" t="inlineStr">
        <is>
          <t>—</t>
        </is>
      </c>
      <c r="J845" s="5" t="inlineStr">
        <is>
          <t>1. Sebagai ADM, siapkan satu Production Line yang tidak punya stasiun jenis ini dalam keadaan aktif.
2. Login di web, buka /data/cages-track (Cages Track), lalu tekan Tambah (/data/cages-track/create), pilih Production Line itu.
3. Isi seluruh kolom dengan benar, tekan Simpan.</t>
        </is>
      </c>
      <c r="K845" s="5" t="inlineStr">
        <is>
          <t>- Ditolak dengan pesan yang menyebut bahwa Production Line itu tidak punya stasiun jenis ini yang aktif.
- BUKAN pesan galat teknis.
- Isi form tidak hilang.</t>
        </is>
      </c>
      <c r="L845" s="16" t="inlineStr">
        <is>
          <t>Tinggi</t>
        </is>
      </c>
      <c r="M845" s="5" t="inlineStr"/>
      <c r="N845" s="17" t="n"/>
      <c r="O845" s="17" t="n"/>
      <c r="P845" s="17" t="n"/>
      <c r="Q845" s="17" t="n"/>
      <c r="R845" s="17" t="n"/>
    </row>
    <row r="846" ht="109.6" customHeight="1">
      <c r="A846" s="18" t="n">
        <v>842</v>
      </c>
      <c r="B846" s="18" t="n">
        <v>3</v>
      </c>
      <c r="C846" s="19" t="inlineStr">
        <is>
          <t>WB-FRM-07 / Sterilizer</t>
        </is>
      </c>
      <c r="D846" s="19" t="inlineStr">
        <is>
          <t>WB-FRM-07</t>
        </is>
      </c>
      <c r="E846" s="20" t="inlineStr">
        <is>
          <t>Sterilizer</t>
        </is>
      </c>
      <c r="F846" s="21" t="inlineStr">
        <is>
          <t>Web — Data Stasiun (WB-)</t>
        </is>
      </c>
      <c r="G846" s="20" t="inlineStr">
        <is>
          <t>Line tanpa stasiun aktif ditolak</t>
        </is>
      </c>
      <c r="H846" s="21" t="inlineStr">
        <is>
          <t>SPV-A</t>
        </is>
      </c>
      <c r="I846" s="21" t="inlineStr">
        <is>
          <t>—</t>
        </is>
      </c>
      <c r="J846" s="21" t="inlineStr">
        <is>
          <t>1. Sebagai ADM, siapkan satu Production Line yang tidak punya stasiun jenis ini dalam keadaan aktif.
2. Login di web, buka /data/sterilizer (Sterilizer), lalu tekan Tambah (/data/sterilizer/create), pilih Production Line itu.
3. Isi seluruh kolom dengan benar, tekan Simpan.</t>
        </is>
      </c>
      <c r="K846" s="21" t="inlineStr">
        <is>
          <t>- Ditolak dengan pesan yang menyebut bahwa Production Line itu tidak punya stasiun jenis ini yang aktif.
- BUKAN pesan galat teknis.
- Isi form tidak hilang.</t>
        </is>
      </c>
      <c r="L846" s="16" t="inlineStr">
        <is>
          <t>Tinggi</t>
        </is>
      </c>
      <c r="M846" s="21" t="inlineStr"/>
      <c r="N846" s="17" t="n"/>
      <c r="O846" s="17" t="n"/>
      <c r="P846" s="17" t="n"/>
      <c r="Q846" s="17" t="n"/>
      <c r="R846" s="17" t="n"/>
    </row>
    <row r="847" ht="109.6" customHeight="1">
      <c r="A847" s="22" t="n">
        <v>843</v>
      </c>
      <c r="B847" s="22" t="n">
        <v>3</v>
      </c>
      <c r="C847" s="23" t="inlineStr">
        <is>
          <t>WB-FRM-07 / Threshing</t>
        </is>
      </c>
      <c r="D847" s="23" t="inlineStr">
        <is>
          <t>WB-FRM-07</t>
        </is>
      </c>
      <c r="E847" s="24" t="inlineStr">
        <is>
          <t>Threshing</t>
        </is>
      </c>
      <c r="F847" s="5" t="inlineStr">
        <is>
          <t>Web — Data Stasiun (WB-)</t>
        </is>
      </c>
      <c r="G847" s="24" t="inlineStr">
        <is>
          <t>Line tanpa stasiun aktif ditolak</t>
        </is>
      </c>
      <c r="H847" s="5" t="inlineStr">
        <is>
          <t>SPV-A</t>
        </is>
      </c>
      <c r="I847" s="5" t="inlineStr">
        <is>
          <t>—</t>
        </is>
      </c>
      <c r="J847" s="5" t="inlineStr">
        <is>
          <t>1. Sebagai ADM, siapkan satu Production Line yang tidak punya stasiun jenis ini dalam keadaan aktif.
2. Login di web, buka /data/threshing (Threshing), lalu tekan Tambah (/data/threshing/create), pilih Production Line itu.
3. Isi seluruh kolom dengan benar, tekan Simpan.</t>
        </is>
      </c>
      <c r="K847" s="5" t="inlineStr">
        <is>
          <t>- Ditolak dengan pesan yang menyebut bahwa Production Line itu tidak punya stasiun jenis ini yang aktif.
- BUKAN pesan galat teknis.
- Isi form tidak hilang.</t>
        </is>
      </c>
      <c r="L847" s="16" t="inlineStr">
        <is>
          <t>Tinggi</t>
        </is>
      </c>
      <c r="M847" s="5" t="inlineStr"/>
      <c r="N847" s="17" t="n"/>
      <c r="O847" s="17" t="n"/>
      <c r="P847" s="17" t="n"/>
      <c r="Q847" s="17" t="n"/>
      <c r="R847" s="17" t="n"/>
    </row>
    <row r="848" ht="109.6" customHeight="1">
      <c r="A848" s="18" t="n">
        <v>844</v>
      </c>
      <c r="B848" s="18" t="n">
        <v>3</v>
      </c>
      <c r="C848" s="19" t="inlineStr">
        <is>
          <t>WB-FRM-07 / Pressing</t>
        </is>
      </c>
      <c r="D848" s="19" t="inlineStr">
        <is>
          <t>WB-FRM-07</t>
        </is>
      </c>
      <c r="E848" s="20" t="inlineStr">
        <is>
          <t>Pressing</t>
        </is>
      </c>
      <c r="F848" s="21" t="inlineStr">
        <is>
          <t>Web — Data Stasiun (WB-)</t>
        </is>
      </c>
      <c r="G848" s="20" t="inlineStr">
        <is>
          <t>Line tanpa stasiun aktif ditolak</t>
        </is>
      </c>
      <c r="H848" s="21" t="inlineStr">
        <is>
          <t>SPV-A</t>
        </is>
      </c>
      <c r="I848" s="21" t="inlineStr">
        <is>
          <t>—</t>
        </is>
      </c>
      <c r="J848" s="21" t="inlineStr">
        <is>
          <t>1. Sebagai ADM, siapkan satu Production Line yang tidak punya stasiun jenis ini dalam keadaan aktif.
2. Login di web, buka /data/pressing (Pressing), lalu tekan Tambah (/data/pressing/create), pilih Production Line itu.
3. Isi seluruh kolom dengan benar, tekan Simpan.</t>
        </is>
      </c>
      <c r="K848" s="21" t="inlineStr">
        <is>
          <t>- Ditolak dengan pesan yang menyebut bahwa Production Line itu tidak punya stasiun jenis ini yang aktif.
- BUKAN pesan galat teknis.
- Isi form tidak hilang.</t>
        </is>
      </c>
      <c r="L848" s="16" t="inlineStr">
        <is>
          <t>Tinggi</t>
        </is>
      </c>
      <c r="M848" s="21" t="inlineStr"/>
      <c r="N848" s="17" t="n"/>
      <c r="O848" s="17" t="n"/>
      <c r="P848" s="17" t="n"/>
      <c r="Q848" s="17" t="n"/>
      <c r="R848" s="17" t="n"/>
    </row>
    <row r="849" ht="122.8" customHeight="1">
      <c r="A849" s="22" t="n">
        <v>845</v>
      </c>
      <c r="B849" s="22" t="n">
        <v>3</v>
      </c>
      <c r="C849" s="23" t="inlineStr">
        <is>
          <t>WB-FRM-07 / Clarification</t>
        </is>
      </c>
      <c r="D849" s="23" t="inlineStr">
        <is>
          <t>WB-FRM-07</t>
        </is>
      </c>
      <c r="E849" s="24" t="inlineStr">
        <is>
          <t>Clarification</t>
        </is>
      </c>
      <c r="F849" s="5" t="inlineStr">
        <is>
          <t>Web — Data Stasiun (WB-)</t>
        </is>
      </c>
      <c r="G849" s="24" t="inlineStr">
        <is>
          <t>Line tanpa stasiun aktif ditolak</t>
        </is>
      </c>
      <c r="H849" s="5" t="inlineStr">
        <is>
          <t>SPV-A</t>
        </is>
      </c>
      <c r="I849" s="5" t="inlineStr">
        <is>
          <t>—</t>
        </is>
      </c>
      <c r="J849" s="5" t="inlineStr">
        <is>
          <t>1. Sebagai ADM, siapkan satu Production Line yang tidak punya stasiun jenis ini dalam keadaan aktif.
2. Login di web, buka /data/clarification (Clarification), lalu tekan Tambah (/data/clarification/create), pilih Production Line itu.
3. Isi seluruh kolom dengan benar, tekan Simpan.</t>
        </is>
      </c>
      <c r="K849" s="5" t="inlineStr">
        <is>
          <t>- Ditolak dengan pesan yang menyebut bahwa Production Line itu tidak punya stasiun jenis ini yang aktif.
- BUKAN pesan galat teknis.
- Isi form tidak hilang.</t>
        </is>
      </c>
      <c r="L849" s="16" t="inlineStr">
        <is>
          <t>Tinggi</t>
        </is>
      </c>
      <c r="M849" s="5" t="inlineStr"/>
      <c r="N849" s="17" t="n"/>
      <c r="O849" s="17" t="n"/>
      <c r="P849" s="17" t="n"/>
      <c r="Q849" s="17" t="n"/>
      <c r="R849" s="17" t="n"/>
    </row>
    <row r="850" ht="109.6" customHeight="1">
      <c r="A850" s="18" t="n">
        <v>846</v>
      </c>
      <c r="B850" s="18" t="n">
        <v>3</v>
      </c>
      <c r="C850" s="19" t="inlineStr">
        <is>
          <t>WB-FRM-07 / Kernel Plant</t>
        </is>
      </c>
      <c r="D850" s="19" t="inlineStr">
        <is>
          <t>WB-FRM-07</t>
        </is>
      </c>
      <c r="E850" s="20" t="inlineStr">
        <is>
          <t>Kernel Plant</t>
        </is>
      </c>
      <c r="F850" s="21" t="inlineStr">
        <is>
          <t>Web — Data Stasiun (WB-)</t>
        </is>
      </c>
      <c r="G850" s="20" t="inlineStr">
        <is>
          <t>Line tanpa stasiun aktif ditolak</t>
        </is>
      </c>
      <c r="H850" s="21" t="inlineStr">
        <is>
          <t>SPV-A</t>
        </is>
      </c>
      <c r="I850" s="21" t="inlineStr">
        <is>
          <t>—</t>
        </is>
      </c>
      <c r="J850" s="21" t="inlineStr">
        <is>
          <t>1. Sebagai ADM, siapkan satu Production Line yang tidak punya stasiun jenis ini dalam keadaan aktif.
2. Login di web, buka /data/kernel-plant (Kernel Plant), lalu tekan Tambah (/data/kernel-plant/create), pilih Production Line itu.
3. Isi seluruh kolom dengan benar, tekan Simpan.</t>
        </is>
      </c>
      <c r="K850" s="21" t="inlineStr">
        <is>
          <t>- Ditolak dengan pesan yang menyebut bahwa Production Line itu tidak punya stasiun jenis ini yang aktif.
- BUKAN pesan galat teknis.
- Isi form tidak hilang.</t>
        </is>
      </c>
      <c r="L850" s="16" t="inlineStr">
        <is>
          <t>Tinggi</t>
        </is>
      </c>
      <c r="M850" s="21" t="inlineStr"/>
      <c r="N850" s="17" t="n"/>
      <c r="O850" s="17" t="n"/>
      <c r="P850" s="17" t="n"/>
      <c r="Q850" s="17" t="n"/>
      <c r="R850" s="17" t="n"/>
    </row>
    <row r="851" ht="109.6" customHeight="1">
      <c r="A851" s="22" t="n">
        <v>847</v>
      </c>
      <c r="B851" s="22" t="n">
        <v>3</v>
      </c>
      <c r="C851" s="23" t="inlineStr">
        <is>
          <t>WB-FRM-07 / Boiler Room</t>
        </is>
      </c>
      <c r="D851" s="23" t="inlineStr">
        <is>
          <t>WB-FRM-07</t>
        </is>
      </c>
      <c r="E851" s="24" t="inlineStr">
        <is>
          <t>Boiler Room</t>
        </is>
      </c>
      <c r="F851" s="5" t="inlineStr">
        <is>
          <t>Web — Data Stasiun (WB-)</t>
        </is>
      </c>
      <c r="G851" s="24" t="inlineStr">
        <is>
          <t>Line tanpa stasiun aktif ditolak</t>
        </is>
      </c>
      <c r="H851" s="5" t="inlineStr">
        <is>
          <t>SPV-A</t>
        </is>
      </c>
      <c r="I851" s="5" t="inlineStr">
        <is>
          <t>—</t>
        </is>
      </c>
      <c r="J851" s="5" t="inlineStr">
        <is>
          <t>1. Sebagai ADM, siapkan satu Production Line yang tidak punya stasiun jenis ini dalam keadaan aktif.
2. Login di web, buka /data/boiler-room (Boiler Room), lalu tekan Tambah (/data/boiler-room/create), pilih Production Line itu.
3. Isi seluruh kolom dengan benar, tekan Simpan.</t>
        </is>
      </c>
      <c r="K851" s="5" t="inlineStr">
        <is>
          <t>- Ditolak dengan pesan yang menyebut bahwa Production Line itu tidak punya stasiun jenis ini yang aktif.
- BUKAN pesan galat teknis.
- Isi form tidak hilang.</t>
        </is>
      </c>
      <c r="L851" s="16" t="inlineStr">
        <is>
          <t>Tinggi</t>
        </is>
      </c>
      <c r="M851" s="5" t="inlineStr"/>
      <c r="N851" s="17" t="n"/>
      <c r="O851" s="17" t="n"/>
      <c r="P851" s="17" t="n"/>
      <c r="Q851" s="17" t="n"/>
      <c r="R851" s="17" t="n"/>
    </row>
    <row r="852" ht="122.8" customHeight="1">
      <c r="A852" s="18" t="n">
        <v>848</v>
      </c>
      <c r="B852" s="18" t="n">
        <v>3</v>
      </c>
      <c r="C852" s="19" t="inlineStr">
        <is>
          <t>WB-FRM-07 / Effluent Plant</t>
        </is>
      </c>
      <c r="D852" s="19" t="inlineStr">
        <is>
          <t>WB-FRM-07</t>
        </is>
      </c>
      <c r="E852" s="20" t="inlineStr">
        <is>
          <t>Effluent Plant</t>
        </is>
      </c>
      <c r="F852" s="21" t="inlineStr">
        <is>
          <t>Web — Data Stasiun (WB-)</t>
        </is>
      </c>
      <c r="G852" s="20" t="inlineStr">
        <is>
          <t>Line tanpa stasiun aktif ditolak</t>
        </is>
      </c>
      <c r="H852" s="21" t="inlineStr">
        <is>
          <t>SPV-A</t>
        </is>
      </c>
      <c r="I852" s="21" t="inlineStr">
        <is>
          <t>—</t>
        </is>
      </c>
      <c r="J852" s="21" t="inlineStr">
        <is>
          <t>1. Sebagai ADM, siapkan satu Production Line yang tidak punya stasiun jenis ini dalam keadaan aktif.
2. Login di web, buka /data/effluent-plant (Effluent Plant), lalu tekan Tambah (/data/effluent-plant/create), pilih Production Line itu.
3. Isi seluruh kolom dengan benar, tekan Simpan.</t>
        </is>
      </c>
      <c r="K852" s="21" t="inlineStr">
        <is>
          <t>- Ditolak dengan pesan yang menyebut bahwa Production Line itu tidak punya stasiun jenis ini yang aktif.
- BUKAN pesan galat teknis.
- Isi form tidak hilang.</t>
        </is>
      </c>
      <c r="L852" s="16" t="inlineStr">
        <is>
          <t>Tinggi</t>
        </is>
      </c>
      <c r="M852" s="21" t="inlineStr"/>
      <c r="N852" s="17" t="n"/>
      <c r="O852" s="17" t="n"/>
      <c r="P852" s="17" t="n"/>
      <c r="Q852" s="17" t="n"/>
      <c r="R852" s="17" t="n"/>
    </row>
    <row r="853" ht="109.6" customHeight="1">
      <c r="A853" s="11" t="n">
        <v>849</v>
      </c>
      <c r="B853" s="12" t="n">
        <v>1</v>
      </c>
      <c r="C853" s="13" t="inlineStr">
        <is>
          <t>WB-FRM-07 / Depricarping</t>
        </is>
      </c>
      <c r="D853" s="13" t="inlineStr">
        <is>
          <t>WB-FRM-07</t>
        </is>
      </c>
      <c r="E853" s="15" t="inlineStr">
        <is>
          <t>Depricarping</t>
        </is>
      </c>
      <c r="F853" s="14" t="inlineStr">
        <is>
          <t>Web — Data Stasiun (WB-)</t>
        </is>
      </c>
      <c r="G853" s="15" t="inlineStr">
        <is>
          <t>Line tanpa stasiun aktif ditolak</t>
        </is>
      </c>
      <c r="H853" s="14" t="inlineStr">
        <is>
          <t>SPV-A</t>
        </is>
      </c>
      <c r="I853" s="14" t="inlineStr">
        <is>
          <t>—</t>
        </is>
      </c>
      <c r="J853" s="14" t="inlineStr">
        <is>
          <t>1. Sebagai ADM, siapkan satu Production Line yang tidak punya stasiun jenis ini dalam keadaan aktif.
2. Login di web, buka /data/depricarping (Depricarping), lalu tekan Tambah (/data/depricarping/create), pilih Production Line itu.
3. Isi seluruh kolom dengan benar, tekan Simpan.</t>
        </is>
      </c>
      <c r="K853" s="14" t="inlineStr">
        <is>
          <t>- Ditolak dengan pesan yang menyebut bahwa Production Line itu tidak punya stasiun jenis ini yang aktif.
- BUKAN pesan galat teknis.
- Isi form tidak hilang.</t>
        </is>
      </c>
      <c r="L853" s="16" t="inlineStr">
        <is>
          <t>Tinggi</t>
        </is>
      </c>
      <c r="M853" s="14" t="inlineStr"/>
      <c r="N853" s="17" t="n"/>
      <c r="O853" s="17" t="n"/>
      <c r="P853" s="17" t="n"/>
      <c r="Q853" s="17" t="n"/>
      <c r="R853" s="17" t="n"/>
    </row>
    <row r="854" ht="109.6" customHeight="1">
      <c r="A854" s="18" t="n">
        <v>850</v>
      </c>
      <c r="B854" s="18" t="n">
        <v>3</v>
      </c>
      <c r="C854" s="19" t="inlineStr">
        <is>
          <t>WB-FRM-07 / Engine Room</t>
        </is>
      </c>
      <c r="D854" s="19" t="inlineStr">
        <is>
          <t>WB-FRM-07</t>
        </is>
      </c>
      <c r="E854" s="20" t="inlineStr">
        <is>
          <t>Engine Room</t>
        </is>
      </c>
      <c r="F854" s="21" t="inlineStr">
        <is>
          <t>Web — Data Stasiun (WB-)</t>
        </is>
      </c>
      <c r="G854" s="20" t="inlineStr">
        <is>
          <t>Line tanpa stasiun aktif ditolak</t>
        </is>
      </c>
      <c r="H854" s="21" t="inlineStr">
        <is>
          <t>SPV-A</t>
        </is>
      </c>
      <c r="I854" s="21" t="inlineStr">
        <is>
          <t>—</t>
        </is>
      </c>
      <c r="J854" s="21" t="inlineStr">
        <is>
          <t>1. Sebagai ADM, siapkan satu Production Line yang tidak punya stasiun jenis ini dalam keadaan aktif.
2. Login di web, buka /data/engine-room (Engine Room), lalu tekan Tambah (/data/engine-room/create), pilih Production Line itu.
3. Isi seluruh kolom dengan benar, tekan Simpan.</t>
        </is>
      </c>
      <c r="K854" s="21" t="inlineStr">
        <is>
          <t>- Ditolak dengan pesan yang menyebut bahwa Production Line itu tidak punya stasiun jenis ini yang aktif.
- BUKAN pesan galat teknis.
- Isi form tidak hilang.</t>
        </is>
      </c>
      <c r="L854" s="16" t="inlineStr">
        <is>
          <t>Tinggi</t>
        </is>
      </c>
      <c r="M854" s="21" t="inlineStr"/>
      <c r="N854" s="17" t="n"/>
      <c r="O854" s="17" t="n"/>
      <c r="P854" s="17" t="n"/>
      <c r="Q854" s="17" t="n"/>
      <c r="R854" s="17" t="n"/>
    </row>
    <row r="855" ht="122.8" customHeight="1">
      <c r="A855" s="22" t="n">
        <v>851</v>
      </c>
      <c r="B855" s="22" t="n">
        <v>3</v>
      </c>
      <c r="C855" s="23" t="inlineStr">
        <is>
          <t>WB-FRM-07 / Process Water</t>
        </is>
      </c>
      <c r="D855" s="23" t="inlineStr">
        <is>
          <t>WB-FRM-07</t>
        </is>
      </c>
      <c r="E855" s="24" t="inlineStr">
        <is>
          <t>Process Water</t>
        </is>
      </c>
      <c r="F855" s="5" t="inlineStr">
        <is>
          <t>Web — Data Stasiun (WB-)</t>
        </is>
      </c>
      <c r="G855" s="24" t="inlineStr">
        <is>
          <t>Line tanpa stasiun aktif ditolak</t>
        </is>
      </c>
      <c r="H855" s="5" t="inlineStr">
        <is>
          <t>SPV-A</t>
        </is>
      </c>
      <c r="I855" s="5" t="inlineStr">
        <is>
          <t>—</t>
        </is>
      </c>
      <c r="J855" s="5" t="inlineStr">
        <is>
          <t>1. Sebagai ADM, siapkan satu Production Line yang tidak punya stasiun jenis ini dalam keadaan aktif.
2. Login di web, buka /data/process-water (Process Water), lalu tekan Tambah (/data/process-water/create), pilih Production Line itu.
3. Isi seluruh kolom dengan benar, tekan Simpan.</t>
        </is>
      </c>
      <c r="K855" s="5" t="inlineStr">
        <is>
          <t>- Ditolak dengan pesan yang menyebut bahwa Production Line itu tidak punya stasiun jenis ini yang aktif.
- BUKAN pesan galat teknis.
- Isi form tidak hilang.</t>
        </is>
      </c>
      <c r="L855" s="16" t="inlineStr">
        <is>
          <t>Tinggi</t>
        </is>
      </c>
      <c r="M855" s="5" t="inlineStr"/>
      <c r="N855" s="17" t="n"/>
      <c r="O855" s="17" t="n"/>
      <c r="P855" s="17" t="n"/>
      <c r="Q855" s="17" t="n"/>
      <c r="R855" s="17" t="n"/>
    </row>
    <row r="856" ht="109.6" customHeight="1">
      <c r="A856" s="18" t="n">
        <v>852</v>
      </c>
      <c r="B856" s="18" t="n">
        <v>3</v>
      </c>
      <c r="C856" s="19" t="inlineStr">
        <is>
          <t>WB-FRM-07 / Storage Tank</t>
        </is>
      </c>
      <c r="D856" s="19" t="inlineStr">
        <is>
          <t>WB-FRM-07</t>
        </is>
      </c>
      <c r="E856" s="20" t="inlineStr">
        <is>
          <t>Storage Tank</t>
        </is>
      </c>
      <c r="F856" s="21" t="inlineStr">
        <is>
          <t>Web — Data Stasiun (WB-)</t>
        </is>
      </c>
      <c r="G856" s="20" t="inlineStr">
        <is>
          <t>Line tanpa stasiun aktif ditolak</t>
        </is>
      </c>
      <c r="H856" s="21" t="inlineStr">
        <is>
          <t>SPV-A</t>
        </is>
      </c>
      <c r="I856" s="21" t="inlineStr">
        <is>
          <t>—</t>
        </is>
      </c>
      <c r="J856" s="21" t="inlineStr">
        <is>
          <t>1. Sebagai ADM, siapkan satu Production Line yang tidak punya stasiun jenis ini dalam keadaan aktif.
2. Login di web, buka /data/storage-tank (Storage Tank), lalu tekan Tambah (/data/storage-tank/create), pilih Production Line itu.
3. Isi seluruh kolom dengan benar, tekan Simpan.</t>
        </is>
      </c>
      <c r="K856" s="21" t="inlineStr">
        <is>
          <t>- Ditolak dengan pesan yang menyebut bahwa Production Line itu tidak punya stasiun jenis ini yang aktif.
- BUKAN pesan galat teknis.
- Isi form tidak hilang.</t>
        </is>
      </c>
      <c r="L856" s="16" t="inlineStr">
        <is>
          <t>Tinggi</t>
        </is>
      </c>
      <c r="M856" s="21" t="inlineStr"/>
      <c r="N856" s="17" t="n"/>
      <c r="O856" s="17" t="n"/>
      <c r="P856" s="17" t="n"/>
      <c r="Q856" s="17" t="n"/>
      <c r="R856" s="17" t="n"/>
    </row>
    <row r="857" ht="122.8" customHeight="1">
      <c r="A857" s="22" t="n">
        <v>853</v>
      </c>
      <c r="B857" s="22" t="n">
        <v>3</v>
      </c>
      <c r="C857" s="23" t="inlineStr">
        <is>
          <t>WB-FRM-07 / Solid Waste Disposal</t>
        </is>
      </c>
      <c r="D857" s="23" t="inlineStr">
        <is>
          <t>WB-FRM-07</t>
        </is>
      </c>
      <c r="E857" s="24" t="inlineStr">
        <is>
          <t>Solid Waste Disposal</t>
        </is>
      </c>
      <c r="F857" s="5" t="inlineStr">
        <is>
          <t>Web — Data Stasiun (WB-)</t>
        </is>
      </c>
      <c r="G857" s="24" t="inlineStr">
        <is>
          <t>Line tanpa stasiun aktif ditolak</t>
        </is>
      </c>
      <c r="H857" s="5" t="inlineStr">
        <is>
          <t>SPV-A</t>
        </is>
      </c>
      <c r="I857" s="5" t="inlineStr">
        <is>
          <t>—</t>
        </is>
      </c>
      <c r="J857" s="5" t="inlineStr">
        <is>
          <t>1. Sebagai ADM, siapkan satu Production Line yang tidak punya stasiun jenis ini dalam keadaan aktif.
2. Login di web, buka /data/solid-waste-disposal (Solid Waste Disposal), lalu tekan Tambah (/data/solid-waste-disposal/create), pilih Production Line itu.
3. Isi seluruh kolom dengan benar, tekan Simpan.</t>
        </is>
      </c>
      <c r="K857" s="5" t="inlineStr">
        <is>
          <t>- Ditolak dengan pesan yang menyebut bahwa Production Line itu tidak punya stasiun jenis ini yang aktif.
- BUKAN pesan galat teknis.
- Isi form tidak hilang.</t>
        </is>
      </c>
      <c r="L857" s="16" t="inlineStr">
        <is>
          <t>Tinggi</t>
        </is>
      </c>
      <c r="M857" s="5" t="inlineStr"/>
      <c r="N857" s="17" t="n"/>
      <c r="O857" s="17" t="n"/>
      <c r="P857" s="17" t="n"/>
      <c r="Q857" s="17" t="n"/>
      <c r="R857" s="17" t="n"/>
    </row>
    <row r="858" ht="122.8" customHeight="1">
      <c r="A858" s="18" t="n">
        <v>854</v>
      </c>
      <c r="B858" s="18" t="n">
        <v>3</v>
      </c>
      <c r="C858" s="19" t="inlineStr">
        <is>
          <t>WB-FRM-07 / Kernel Dispatch</t>
        </is>
      </c>
      <c r="D858" s="19" t="inlineStr">
        <is>
          <t>WB-FRM-07</t>
        </is>
      </c>
      <c r="E858" s="20" t="inlineStr">
        <is>
          <t>Kernel Dispatch</t>
        </is>
      </c>
      <c r="F858" s="21" t="inlineStr">
        <is>
          <t>Web — Data Stasiun (WB-)</t>
        </is>
      </c>
      <c r="G858" s="20" t="inlineStr">
        <is>
          <t>Line tanpa stasiun aktif ditolak</t>
        </is>
      </c>
      <c r="H858" s="21" t="inlineStr">
        <is>
          <t>SPV-A</t>
        </is>
      </c>
      <c r="I858" s="21" t="inlineStr">
        <is>
          <t>—</t>
        </is>
      </c>
      <c r="J858" s="21" t="inlineStr">
        <is>
          <t>1. Sebagai ADM, siapkan satu Production Line yang tidak punya stasiun jenis ini dalam keadaan aktif.
2. Login di web, buka /data/kernel-dispatch (Kernel Dispatch), lalu tekan Tambah (/data/kernel-dispatch/create), pilih Production Line itu.
3. Isi seluruh kolom dengan benar, tekan Simpan.</t>
        </is>
      </c>
      <c r="K858" s="21" t="inlineStr">
        <is>
          <t>- Ditolak dengan pesan yang menyebut bahwa Production Line itu tidak punya stasiun jenis ini yang aktif.
- BUKAN pesan galat teknis.
- Isi form tidak hilang.</t>
        </is>
      </c>
      <c r="L858" s="16" t="inlineStr">
        <is>
          <t>Tinggi</t>
        </is>
      </c>
      <c r="M858" s="21" t="inlineStr"/>
      <c r="N858" s="17" t="n"/>
      <c r="O858" s="17" t="n"/>
      <c r="P858" s="17" t="n"/>
      <c r="Q858" s="17" t="n"/>
      <c r="R858" s="17" t="n"/>
    </row>
    <row r="859" ht="109.6" customHeight="1">
      <c r="A859" s="22" t="n">
        <v>855</v>
      </c>
      <c r="B859" s="22" t="n">
        <v>3</v>
      </c>
      <c r="C859" s="23" t="inlineStr">
        <is>
          <t>WB-FRM-07 / CPO Dispatch</t>
        </is>
      </c>
      <c r="D859" s="23" t="inlineStr">
        <is>
          <t>WB-FRM-07</t>
        </is>
      </c>
      <c r="E859" s="24" t="inlineStr">
        <is>
          <t>CPO Dispatch</t>
        </is>
      </c>
      <c r="F859" s="5" t="inlineStr">
        <is>
          <t>Web — Data Stasiun (WB-)</t>
        </is>
      </c>
      <c r="G859" s="24" t="inlineStr">
        <is>
          <t>Line tanpa stasiun aktif ditolak</t>
        </is>
      </c>
      <c r="H859" s="5" t="inlineStr">
        <is>
          <t>SPV-A</t>
        </is>
      </c>
      <c r="I859" s="5" t="inlineStr">
        <is>
          <t>—</t>
        </is>
      </c>
      <c r="J859" s="5" t="inlineStr">
        <is>
          <t>1. Sebagai ADM, siapkan satu Production Line yang tidak punya stasiun jenis ini dalam keadaan aktif.
2. Login di web, buka /data/cpo-dispatch (CPO Dispatch), lalu tekan Tambah (/data/cpo-dispatch/create), pilih Production Line itu.
3. Isi seluruh kolom dengan benar, tekan Simpan.</t>
        </is>
      </c>
      <c r="K859" s="5" t="inlineStr">
        <is>
          <t>- Ditolak dengan pesan yang menyebut bahwa Production Line itu tidak punya stasiun jenis ini yang aktif.
- BUKAN pesan galat teknis.
- Isi form tidak hilang.</t>
        </is>
      </c>
      <c r="L859" s="16" t="inlineStr">
        <is>
          <t>Tinggi</t>
        </is>
      </c>
      <c r="M859" s="5" t="inlineStr"/>
      <c r="N859" s="17" t="n"/>
      <c r="O859" s="17" t="n"/>
      <c r="P859" s="17" t="n"/>
      <c r="Q859" s="17" t="n"/>
      <c r="R859" s="17" t="n"/>
    </row>
    <row r="860" ht="122.8" customHeight="1">
      <c r="A860" s="18" t="n">
        <v>856</v>
      </c>
      <c r="B860" s="18" t="n">
        <v>3</v>
      </c>
      <c r="C860" s="19" t="inlineStr">
        <is>
          <t>WB-FRM-07 / Process Quality Control</t>
        </is>
      </c>
      <c r="D860" s="19" t="inlineStr">
        <is>
          <t>WB-FRM-07</t>
        </is>
      </c>
      <c r="E860" s="20" t="inlineStr">
        <is>
          <t>Process Quality Control</t>
        </is>
      </c>
      <c r="F860" s="21" t="inlineStr">
        <is>
          <t>Web — Data Stasiun (WB-)</t>
        </is>
      </c>
      <c r="G860" s="20" t="inlineStr">
        <is>
          <t>Line tanpa stasiun aktif ditolak</t>
        </is>
      </c>
      <c r="H860" s="21" t="inlineStr">
        <is>
          <t>SPV-A</t>
        </is>
      </c>
      <c r="I860" s="21" t="inlineStr">
        <is>
          <t>—</t>
        </is>
      </c>
      <c r="J860" s="21" t="inlineStr">
        <is>
          <t>1. Sebagai ADM, siapkan satu Production Line yang tidak punya stasiun jenis ini dalam keadaan aktif.
2. Login di web, buka /data/process-quality-control (Process Quality Control), lalu tekan Tambah (/data/process-quality-control/create), pilih Production Line itu.
3. Isi seluruh kolom dengan benar, tekan Simpan.</t>
        </is>
      </c>
      <c r="K860" s="21" t="inlineStr">
        <is>
          <t>- Ditolak dengan pesan yang menyebut bahwa Production Line itu tidak punya stasiun jenis ini yang aktif.
- BUKAN pesan galat teknis.
- Isi form tidak hilang.</t>
        </is>
      </c>
      <c r="L860" s="16" t="inlineStr">
        <is>
          <t>Tinggi</t>
        </is>
      </c>
      <c r="M860" s="21" t="inlineStr"/>
      <c r="N860" s="17" t="n"/>
      <c r="O860" s="17" t="n"/>
      <c r="P860" s="17" t="n"/>
      <c r="Q860" s="17" t="n"/>
      <c r="R860" s="17" t="n"/>
    </row>
    <row r="861" ht="188.8" customHeight="1">
      <c r="A861" s="22" t="n">
        <v>857</v>
      </c>
      <c r="B861" s="22" t="n">
        <v>3</v>
      </c>
      <c r="C861" s="23" t="inlineStr">
        <is>
          <t>WB-FRM-08 / Weighbridge</t>
        </is>
      </c>
      <c r="D861" s="23" t="inlineStr">
        <is>
          <t>WB-FRM-08</t>
        </is>
      </c>
      <c r="E861" s="24" t="inlineStr">
        <is>
          <t>Weighbridge</t>
        </is>
      </c>
      <c r="F861" s="5" t="inlineStr">
        <is>
          <t>Web — Data Stasiun (WB-)</t>
        </is>
      </c>
      <c r="G861" s="24" t="inlineStr">
        <is>
          <t>Pembatasan peran pada verifikasi</t>
        </is>
      </c>
      <c r="H861" s="5" t="inlineStr">
        <is>
          <t>SPV-A, MGR-A, ADM</t>
        </is>
      </c>
      <c r="I861" s="5" t="inlineStr">
        <is>
          <t>—</t>
        </is>
      </c>
      <c r="J861" s="5" t="inlineStr">
        <is>
          <t>1. Login di web, buka satu record Weighbridge, lalu tekan Edit (/data/weighbridge/&lt;id&gt;/edit) untuk satu record Weighbridge sebagai SPV-A.
2. Coba isi Checked By, lalu Simpan.
3. Coba isi Acknowledged By sebagai SPV-A.
4. Logout. Ulangi sebagai MGR-A: coba Acknowledged By, lalu coba Checked By.
5. Logout. Ulangi sebagai ADM: coba keduanya.</t>
        </is>
      </c>
      <c r="K861"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61" s="16" t="inlineStr">
        <is>
          <t>Tinggi</t>
        </is>
      </c>
      <c r="M861" s="5" t="inlineStr"/>
      <c r="N861" s="17" t="n"/>
      <c r="O861" s="17" t="n"/>
      <c r="P861" s="17" t="n"/>
      <c r="Q861" s="17" t="n"/>
      <c r="R861" s="17" t="n"/>
    </row>
    <row r="862" ht="188.8" customHeight="1">
      <c r="A862" s="18" t="n">
        <v>858</v>
      </c>
      <c r="B862" s="18" t="n">
        <v>3</v>
      </c>
      <c r="C862" s="19" t="inlineStr">
        <is>
          <t>WB-FRM-08 / Grading</t>
        </is>
      </c>
      <c r="D862" s="19" t="inlineStr">
        <is>
          <t>WB-FRM-08</t>
        </is>
      </c>
      <c r="E862" s="20" t="inlineStr">
        <is>
          <t>Grading</t>
        </is>
      </c>
      <c r="F862" s="21" t="inlineStr">
        <is>
          <t>Web — Data Stasiun (WB-)</t>
        </is>
      </c>
      <c r="G862" s="20" t="inlineStr">
        <is>
          <t>Pembatasan peran pada verifikasi</t>
        </is>
      </c>
      <c r="H862" s="21" t="inlineStr">
        <is>
          <t>SPV-A, MGR-A, ADM</t>
        </is>
      </c>
      <c r="I862" s="21" t="inlineStr">
        <is>
          <t>—</t>
        </is>
      </c>
      <c r="J862" s="21" t="inlineStr">
        <is>
          <t>1. Login di web, buka satu record Grading, lalu tekan Edit (/data/grading/&lt;id&gt;/edit) untuk satu record Grading sebagai SPV-A.
2. Coba isi Checked By, lalu Simpan.
3. Coba isi Acknowledged By sebagai SPV-A.
4. Logout. Ulangi sebagai MGR-A: coba Acknowledged By, lalu coba Checked By.
5. Logout. Ulangi sebagai ADM: coba keduanya.</t>
        </is>
      </c>
      <c r="K862" s="21"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62" s="16" t="inlineStr">
        <is>
          <t>Tinggi</t>
        </is>
      </c>
      <c r="M862" s="21" t="inlineStr"/>
      <c r="N862" s="17" t="n"/>
      <c r="O862" s="17" t="n"/>
      <c r="P862" s="17" t="n"/>
      <c r="Q862" s="17" t="n"/>
      <c r="R862" s="17" t="n"/>
    </row>
    <row r="863" ht="188.8" customHeight="1">
      <c r="A863" s="22" t="n">
        <v>859</v>
      </c>
      <c r="B863" s="22" t="n">
        <v>3</v>
      </c>
      <c r="C863" s="23" t="inlineStr">
        <is>
          <t>WB-FRM-08 / Cages Track</t>
        </is>
      </c>
      <c r="D863" s="23" t="inlineStr">
        <is>
          <t>WB-FRM-08</t>
        </is>
      </c>
      <c r="E863" s="24" t="inlineStr">
        <is>
          <t>Cages Track</t>
        </is>
      </c>
      <c r="F863" s="5" t="inlineStr">
        <is>
          <t>Web — Data Stasiun (WB-)</t>
        </is>
      </c>
      <c r="G863" s="24" t="inlineStr">
        <is>
          <t>Pembatasan peran pada verifikasi</t>
        </is>
      </c>
      <c r="H863" s="5" t="inlineStr">
        <is>
          <t>SPV-A, MGR-A, ADM</t>
        </is>
      </c>
      <c r="I863" s="5" t="inlineStr">
        <is>
          <t>—</t>
        </is>
      </c>
      <c r="J863" s="5" t="inlineStr">
        <is>
          <t>1. Login di web, buka satu record Cages Track, lalu tekan Edit (/data/cages-track/&lt;id&gt;/edit) untuk satu record Cages Track sebagai SPV-A.
2. Coba isi Checked By, lalu Simpan.
3. Coba isi Acknowledged By sebagai SPV-A.
4. Logout. Ulangi sebagai MGR-A: coba Acknowledged By, lalu coba Checked By.
5. Logout. Ulangi sebagai ADM: coba keduanya.</t>
        </is>
      </c>
      <c r="K863"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63" s="16" t="inlineStr">
        <is>
          <t>Tinggi</t>
        </is>
      </c>
      <c r="M863" s="5" t="inlineStr"/>
      <c r="N863" s="17" t="n"/>
      <c r="O863" s="17" t="n"/>
      <c r="P863" s="17" t="n"/>
      <c r="Q863" s="17" t="n"/>
      <c r="R863" s="17" t="n"/>
    </row>
    <row r="864" ht="188.8" customHeight="1">
      <c r="A864" s="18" t="n">
        <v>860</v>
      </c>
      <c r="B864" s="18" t="n">
        <v>3</v>
      </c>
      <c r="C864" s="19" t="inlineStr">
        <is>
          <t>WB-FRM-08 / Sterilizer</t>
        </is>
      </c>
      <c r="D864" s="19" t="inlineStr">
        <is>
          <t>WB-FRM-08</t>
        </is>
      </c>
      <c r="E864" s="20" t="inlineStr">
        <is>
          <t>Sterilizer</t>
        </is>
      </c>
      <c r="F864" s="21" t="inlineStr">
        <is>
          <t>Web — Data Stasiun (WB-)</t>
        </is>
      </c>
      <c r="G864" s="20" t="inlineStr">
        <is>
          <t>Pembatasan peran pada verifikasi</t>
        </is>
      </c>
      <c r="H864" s="21" t="inlineStr">
        <is>
          <t>SPV-A, MGR-A, ADM</t>
        </is>
      </c>
      <c r="I864" s="21" t="inlineStr">
        <is>
          <t>—</t>
        </is>
      </c>
      <c r="J864" s="21" t="inlineStr">
        <is>
          <t>1. Login di web, buka satu record Sterilizer, lalu tekan Edit (/data/sterilizer/&lt;id&gt;/edit) untuk satu record Sterilizer sebagai SPV-A.
2. Coba isi Checked By, lalu Simpan.
3. Coba isi Acknowledged By sebagai SPV-A.
4. Logout. Ulangi sebagai MGR-A: coba Acknowledged By, lalu coba Checked By.
5. Logout. Ulangi sebagai ADM: coba keduanya.</t>
        </is>
      </c>
      <c r="K864" s="21"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64" s="16" t="inlineStr">
        <is>
          <t>Tinggi</t>
        </is>
      </c>
      <c r="M864" s="21" t="inlineStr"/>
      <c r="N864" s="17" t="n"/>
      <c r="O864" s="17" t="n"/>
      <c r="P864" s="17" t="n"/>
      <c r="Q864" s="17" t="n"/>
      <c r="R864" s="17" t="n"/>
    </row>
    <row r="865" ht="188.8" customHeight="1">
      <c r="A865" s="22" t="n">
        <v>861</v>
      </c>
      <c r="B865" s="22" t="n">
        <v>3</v>
      </c>
      <c r="C865" s="23" t="inlineStr">
        <is>
          <t>WB-FRM-08 / Threshing</t>
        </is>
      </c>
      <c r="D865" s="23" t="inlineStr">
        <is>
          <t>WB-FRM-08</t>
        </is>
      </c>
      <c r="E865" s="24" t="inlineStr">
        <is>
          <t>Threshing</t>
        </is>
      </c>
      <c r="F865" s="5" t="inlineStr">
        <is>
          <t>Web — Data Stasiun (WB-)</t>
        </is>
      </c>
      <c r="G865" s="24" t="inlineStr">
        <is>
          <t>Pembatasan peran pada verifikasi</t>
        </is>
      </c>
      <c r="H865" s="5" t="inlineStr">
        <is>
          <t>SPV-A, MGR-A, ADM</t>
        </is>
      </c>
      <c r="I865" s="5" t="inlineStr">
        <is>
          <t>—</t>
        </is>
      </c>
      <c r="J865" s="5" t="inlineStr">
        <is>
          <t>1. Login di web, buka satu record Threshing, lalu tekan Edit (/data/threshing/&lt;id&gt;/edit) untuk satu record Threshing sebagai SPV-A.
2. Coba isi Checked By, lalu Simpan.
3. Coba isi Acknowledged By sebagai SPV-A.
4. Logout. Ulangi sebagai MGR-A: coba Acknowledged By, lalu coba Checked By.
5. Logout. Ulangi sebagai ADM: coba keduanya.</t>
        </is>
      </c>
      <c r="K865"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65" s="16" t="inlineStr">
        <is>
          <t>Tinggi</t>
        </is>
      </c>
      <c r="M865" s="5" t="inlineStr"/>
      <c r="N865" s="17" t="n"/>
      <c r="O865" s="17" t="n"/>
      <c r="P865" s="17" t="n"/>
      <c r="Q865" s="17" t="n"/>
      <c r="R865" s="17" t="n"/>
    </row>
    <row r="866" ht="188.8" customHeight="1">
      <c r="A866" s="18" t="n">
        <v>862</v>
      </c>
      <c r="B866" s="18" t="n">
        <v>3</v>
      </c>
      <c r="C866" s="19" t="inlineStr">
        <is>
          <t>WB-FRM-08 / Pressing</t>
        </is>
      </c>
      <c r="D866" s="19" t="inlineStr">
        <is>
          <t>WB-FRM-08</t>
        </is>
      </c>
      <c r="E866" s="20" t="inlineStr">
        <is>
          <t>Pressing</t>
        </is>
      </c>
      <c r="F866" s="21" t="inlineStr">
        <is>
          <t>Web — Data Stasiun (WB-)</t>
        </is>
      </c>
      <c r="G866" s="20" t="inlineStr">
        <is>
          <t>Pembatasan peran pada verifikasi</t>
        </is>
      </c>
      <c r="H866" s="21" t="inlineStr">
        <is>
          <t>SPV-A, MGR-A, ADM</t>
        </is>
      </c>
      <c r="I866" s="21" t="inlineStr">
        <is>
          <t>—</t>
        </is>
      </c>
      <c r="J866" s="21" t="inlineStr">
        <is>
          <t>1. Login di web, buka satu record Pressing, lalu tekan Edit (/data/pressing/&lt;id&gt;/edit) untuk satu record Pressing sebagai SPV-A.
2. Coba isi Checked By, lalu Simpan.
3. Coba isi Acknowledged By sebagai SPV-A.
4. Logout. Ulangi sebagai MGR-A: coba Acknowledged By, lalu coba Checked By.
5. Logout. Ulangi sebagai ADM: coba keduanya.</t>
        </is>
      </c>
      <c r="K866" s="21"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66" s="16" t="inlineStr">
        <is>
          <t>Tinggi</t>
        </is>
      </c>
      <c r="M866" s="21" t="inlineStr"/>
      <c r="N866" s="17" t="n"/>
      <c r="O866" s="17" t="n"/>
      <c r="P866" s="17" t="n"/>
      <c r="Q866" s="17" t="n"/>
      <c r="R866" s="17" t="n"/>
    </row>
    <row r="867" ht="188.8" customHeight="1">
      <c r="A867" s="22" t="n">
        <v>863</v>
      </c>
      <c r="B867" s="22" t="n">
        <v>3</v>
      </c>
      <c r="C867" s="23" t="inlineStr">
        <is>
          <t>WB-FRM-08 / Clarification</t>
        </is>
      </c>
      <c r="D867" s="23" t="inlineStr">
        <is>
          <t>WB-FRM-08</t>
        </is>
      </c>
      <c r="E867" s="24" t="inlineStr">
        <is>
          <t>Clarification</t>
        </is>
      </c>
      <c r="F867" s="5" t="inlineStr">
        <is>
          <t>Web — Data Stasiun (WB-)</t>
        </is>
      </c>
      <c r="G867" s="24" t="inlineStr">
        <is>
          <t>Pembatasan peran pada verifikasi</t>
        </is>
      </c>
      <c r="H867" s="5" t="inlineStr">
        <is>
          <t>SPV-A, MGR-A, ADM</t>
        </is>
      </c>
      <c r="I867" s="5" t="inlineStr">
        <is>
          <t>—</t>
        </is>
      </c>
      <c r="J867" s="5" t="inlineStr">
        <is>
          <t>1. Login di web, buka satu record Clarification, lalu tekan Edit (/data/clarification/&lt;id&gt;/edit) untuk satu record Clarification sebagai SPV-A.
2. Coba isi Checked By, lalu Simpan.
3. Coba isi Acknowledged By sebagai SPV-A.
4. Logout. Ulangi sebagai MGR-A: coba Acknowledged By, lalu coba Checked By.
5. Logout. Ulangi sebagai ADM: coba keduanya.</t>
        </is>
      </c>
      <c r="K867"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67" s="16" t="inlineStr">
        <is>
          <t>Tinggi</t>
        </is>
      </c>
      <c r="M867" s="5" t="inlineStr"/>
      <c r="N867" s="17" t="n"/>
      <c r="O867" s="17" t="n"/>
      <c r="P867" s="17" t="n"/>
      <c r="Q867" s="17" t="n"/>
      <c r="R867" s="17" t="n"/>
    </row>
    <row r="868" ht="188.8" customHeight="1">
      <c r="A868" s="18" t="n">
        <v>864</v>
      </c>
      <c r="B868" s="18" t="n">
        <v>3</v>
      </c>
      <c r="C868" s="19" t="inlineStr">
        <is>
          <t>WB-FRM-08 / Kernel Plant</t>
        </is>
      </c>
      <c r="D868" s="19" t="inlineStr">
        <is>
          <t>WB-FRM-08</t>
        </is>
      </c>
      <c r="E868" s="20" t="inlineStr">
        <is>
          <t>Kernel Plant</t>
        </is>
      </c>
      <c r="F868" s="21" t="inlineStr">
        <is>
          <t>Web — Data Stasiun (WB-)</t>
        </is>
      </c>
      <c r="G868" s="20" t="inlineStr">
        <is>
          <t>Pembatasan peran pada verifikasi</t>
        </is>
      </c>
      <c r="H868" s="21" t="inlineStr">
        <is>
          <t>SPV-A, MGR-A, ADM</t>
        </is>
      </c>
      <c r="I868" s="21" t="inlineStr">
        <is>
          <t>—</t>
        </is>
      </c>
      <c r="J868" s="21" t="inlineStr">
        <is>
          <t>1. Login di web, buka satu record Kernel Plant, lalu tekan Edit (/data/kernel-plant/&lt;id&gt;/edit) untuk satu record Kernel Plant sebagai SPV-A.
2. Coba isi Checked By, lalu Simpan.
3. Coba isi Acknowledged By sebagai SPV-A.
4. Logout. Ulangi sebagai MGR-A: coba Acknowledged By, lalu coba Checked By.
5. Logout. Ulangi sebagai ADM: coba keduanya.</t>
        </is>
      </c>
      <c r="K868" s="21"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68" s="16" t="inlineStr">
        <is>
          <t>Tinggi</t>
        </is>
      </c>
      <c r="M868" s="21" t="inlineStr"/>
      <c r="N868" s="17" t="n"/>
      <c r="O868" s="17" t="n"/>
      <c r="P868" s="17" t="n"/>
      <c r="Q868" s="17" t="n"/>
      <c r="R868" s="17" t="n"/>
    </row>
    <row r="869" ht="188.8" customHeight="1">
      <c r="A869" s="22" t="n">
        <v>865</v>
      </c>
      <c r="B869" s="22" t="n">
        <v>3</v>
      </c>
      <c r="C869" s="23" t="inlineStr">
        <is>
          <t>WB-FRM-08 / Boiler Room</t>
        </is>
      </c>
      <c r="D869" s="23" t="inlineStr">
        <is>
          <t>WB-FRM-08</t>
        </is>
      </c>
      <c r="E869" s="24" t="inlineStr">
        <is>
          <t>Boiler Room</t>
        </is>
      </c>
      <c r="F869" s="5" t="inlineStr">
        <is>
          <t>Web — Data Stasiun (WB-)</t>
        </is>
      </c>
      <c r="G869" s="24" t="inlineStr">
        <is>
          <t>Pembatasan peran pada verifikasi</t>
        </is>
      </c>
      <c r="H869" s="5" t="inlineStr">
        <is>
          <t>SPV-A, MGR-A, ADM</t>
        </is>
      </c>
      <c r="I869" s="5" t="inlineStr">
        <is>
          <t>—</t>
        </is>
      </c>
      <c r="J869" s="5" t="inlineStr">
        <is>
          <t>1. Login di web, buka satu record Boiler Room, lalu tekan Edit (/data/boiler-room/&lt;id&gt;/edit) untuk satu record Boiler Room sebagai SPV-A.
2. Coba isi Checked By, lalu Simpan.
3. Coba isi Acknowledged By sebagai SPV-A.
4. Logout. Ulangi sebagai MGR-A: coba Acknowledged By, lalu coba Checked By.
5. Logout. Ulangi sebagai ADM: coba keduanya.</t>
        </is>
      </c>
      <c r="K869"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69" s="16" t="inlineStr">
        <is>
          <t>Tinggi</t>
        </is>
      </c>
      <c r="M869" s="5" t="inlineStr"/>
      <c r="N869" s="17" t="n"/>
      <c r="O869" s="17" t="n"/>
      <c r="P869" s="17" t="n"/>
      <c r="Q869" s="17" t="n"/>
      <c r="R869" s="17" t="n"/>
    </row>
    <row r="870" ht="188.8" customHeight="1">
      <c r="A870" s="18" t="n">
        <v>866</v>
      </c>
      <c r="B870" s="18" t="n">
        <v>3</v>
      </c>
      <c r="C870" s="19" t="inlineStr">
        <is>
          <t>WB-FRM-08 / Effluent Plant</t>
        </is>
      </c>
      <c r="D870" s="19" t="inlineStr">
        <is>
          <t>WB-FRM-08</t>
        </is>
      </c>
      <c r="E870" s="20" t="inlineStr">
        <is>
          <t>Effluent Plant</t>
        </is>
      </c>
      <c r="F870" s="21" t="inlineStr">
        <is>
          <t>Web — Data Stasiun (WB-)</t>
        </is>
      </c>
      <c r="G870" s="20" t="inlineStr">
        <is>
          <t>Pembatasan peran pada verifikasi</t>
        </is>
      </c>
      <c r="H870" s="21" t="inlineStr">
        <is>
          <t>SPV-A, MGR-A, ADM</t>
        </is>
      </c>
      <c r="I870" s="21" t="inlineStr">
        <is>
          <t>—</t>
        </is>
      </c>
      <c r="J870" s="21" t="inlineStr">
        <is>
          <t>1. Login di web, buka satu record Effluent Plant, lalu tekan Edit (/data/effluent-plant/&lt;id&gt;/edit) untuk satu record Effluent Plant sebagai SPV-A.
2. Coba isi Checked By, lalu Simpan.
3. Coba isi Acknowledged By sebagai SPV-A.
4. Logout. Ulangi sebagai MGR-A: coba Acknowledged By, lalu coba Checked By.
5. Logout. Ulangi sebagai ADM: coba keduanya.</t>
        </is>
      </c>
      <c r="K870" s="21"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70" s="16" t="inlineStr">
        <is>
          <t>Tinggi</t>
        </is>
      </c>
      <c r="M870" s="21" t="inlineStr"/>
      <c r="N870" s="17" t="n"/>
      <c r="O870" s="17" t="n"/>
      <c r="P870" s="17" t="n"/>
      <c r="Q870" s="17" t="n"/>
      <c r="R870" s="17" t="n"/>
    </row>
    <row r="871" ht="188.8" customHeight="1">
      <c r="A871" s="11" t="n">
        <v>867</v>
      </c>
      <c r="B871" s="12" t="n">
        <v>1</v>
      </c>
      <c r="C871" s="13" t="inlineStr">
        <is>
          <t>WB-FRM-08 / Depricarping</t>
        </is>
      </c>
      <c r="D871" s="13" t="inlineStr">
        <is>
          <t>WB-FRM-08</t>
        </is>
      </c>
      <c r="E871" s="15" t="inlineStr">
        <is>
          <t>Depricarping</t>
        </is>
      </c>
      <c r="F871" s="14" t="inlineStr">
        <is>
          <t>Web — Data Stasiun (WB-)</t>
        </is>
      </c>
      <c r="G871" s="15" t="inlineStr">
        <is>
          <t>Pembatasan peran pada verifikasi</t>
        </is>
      </c>
      <c r="H871" s="14" t="inlineStr">
        <is>
          <t>SPV-A, MGR-A, ADM</t>
        </is>
      </c>
      <c r="I871" s="14" t="inlineStr">
        <is>
          <t>—</t>
        </is>
      </c>
      <c r="J871" s="14" t="inlineStr">
        <is>
          <t>1. Login di web, buka satu record Depricarping, lalu tekan Edit (/data/depricarping/&lt;id&gt;/edit) untuk satu record Depricarping sebagai SPV-A.
2. Coba isi Checked By, lalu Simpan.
3. Coba isi Acknowledged By sebagai SPV-A.
4. Logout. Ulangi sebagai MGR-A: coba Acknowledged By, lalu coba Checked By.
5. Logout. Ulangi sebagai ADM: coba keduanya.</t>
        </is>
      </c>
      <c r="K871" s="14"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71" s="16" t="inlineStr">
        <is>
          <t>Tinggi</t>
        </is>
      </c>
      <c r="M871" s="14" t="inlineStr"/>
      <c r="N871" s="17" t="n"/>
      <c r="O871" s="17" t="n"/>
      <c r="P871" s="17" t="n"/>
      <c r="Q871" s="17" t="n"/>
      <c r="R871" s="17" t="n"/>
    </row>
    <row r="872" ht="188.8" customHeight="1">
      <c r="A872" s="18" t="n">
        <v>868</v>
      </c>
      <c r="B872" s="18" t="n">
        <v>3</v>
      </c>
      <c r="C872" s="19" t="inlineStr">
        <is>
          <t>WB-FRM-08 / Engine Room</t>
        </is>
      </c>
      <c r="D872" s="19" t="inlineStr">
        <is>
          <t>WB-FRM-08</t>
        </is>
      </c>
      <c r="E872" s="20" t="inlineStr">
        <is>
          <t>Engine Room</t>
        </is>
      </c>
      <c r="F872" s="21" t="inlineStr">
        <is>
          <t>Web — Data Stasiun (WB-)</t>
        </is>
      </c>
      <c r="G872" s="20" t="inlineStr">
        <is>
          <t>Pembatasan peran pada verifikasi</t>
        </is>
      </c>
      <c r="H872" s="21" t="inlineStr">
        <is>
          <t>SPV-A, MGR-A, ADM</t>
        </is>
      </c>
      <c r="I872" s="21" t="inlineStr">
        <is>
          <t>—</t>
        </is>
      </c>
      <c r="J872" s="21" t="inlineStr">
        <is>
          <t>1. Login di web, buka satu record Engine Room, lalu tekan Edit (/data/engine-room/&lt;id&gt;/edit) untuk satu record Engine Room sebagai SPV-A.
2. Coba isi Checked By, lalu Simpan.
3. Coba isi Acknowledged By sebagai SPV-A.
4. Logout. Ulangi sebagai MGR-A: coba Acknowledged By, lalu coba Checked By.
5. Logout. Ulangi sebagai ADM: coba keduanya.</t>
        </is>
      </c>
      <c r="K872" s="21"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72" s="16" t="inlineStr">
        <is>
          <t>Tinggi</t>
        </is>
      </c>
      <c r="M872" s="21" t="inlineStr"/>
      <c r="N872" s="17" t="n"/>
      <c r="O872" s="17" t="n"/>
      <c r="P872" s="17" t="n"/>
      <c r="Q872" s="17" t="n"/>
      <c r="R872" s="17" t="n"/>
    </row>
    <row r="873" ht="188.8" customHeight="1">
      <c r="A873" s="22" t="n">
        <v>869</v>
      </c>
      <c r="B873" s="22" t="n">
        <v>3</v>
      </c>
      <c r="C873" s="23" t="inlineStr">
        <is>
          <t>WB-FRM-08 / Process Water</t>
        </is>
      </c>
      <c r="D873" s="23" t="inlineStr">
        <is>
          <t>WB-FRM-08</t>
        </is>
      </c>
      <c r="E873" s="24" t="inlineStr">
        <is>
          <t>Process Water</t>
        </is>
      </c>
      <c r="F873" s="5" t="inlineStr">
        <is>
          <t>Web — Data Stasiun (WB-)</t>
        </is>
      </c>
      <c r="G873" s="24" t="inlineStr">
        <is>
          <t>Pembatasan peran pada verifikasi</t>
        </is>
      </c>
      <c r="H873" s="5" t="inlineStr">
        <is>
          <t>SPV-A, MGR-A, ADM</t>
        </is>
      </c>
      <c r="I873" s="5" t="inlineStr">
        <is>
          <t>—</t>
        </is>
      </c>
      <c r="J873" s="5" t="inlineStr">
        <is>
          <t>1. Login di web, buka satu record Process Water, lalu tekan Edit (/data/process-water/&lt;id&gt;/edit) untuk satu record Process Water sebagai SPV-A.
2. Coba isi Checked By, lalu Simpan.
3. Coba isi Acknowledged By sebagai SPV-A.
4. Logout. Ulangi sebagai MGR-A: coba Acknowledged By, lalu coba Checked By.
5. Logout. Ulangi sebagai ADM: coba keduanya.</t>
        </is>
      </c>
      <c r="K873"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73" s="16" t="inlineStr">
        <is>
          <t>Tinggi</t>
        </is>
      </c>
      <c r="M873" s="5" t="inlineStr"/>
      <c r="N873" s="17" t="n"/>
      <c r="O873" s="17" t="n"/>
      <c r="P873" s="17" t="n"/>
      <c r="Q873" s="17" t="n"/>
      <c r="R873" s="17" t="n"/>
    </row>
    <row r="874" ht="188.8" customHeight="1">
      <c r="A874" s="18" t="n">
        <v>870</v>
      </c>
      <c r="B874" s="18" t="n">
        <v>3</v>
      </c>
      <c r="C874" s="19" t="inlineStr">
        <is>
          <t>WB-FRM-08 / Storage Tank</t>
        </is>
      </c>
      <c r="D874" s="19" t="inlineStr">
        <is>
          <t>WB-FRM-08</t>
        </is>
      </c>
      <c r="E874" s="20" t="inlineStr">
        <is>
          <t>Storage Tank</t>
        </is>
      </c>
      <c r="F874" s="21" t="inlineStr">
        <is>
          <t>Web — Data Stasiun (WB-)</t>
        </is>
      </c>
      <c r="G874" s="20" t="inlineStr">
        <is>
          <t>Pembatasan peran pada verifikasi</t>
        </is>
      </c>
      <c r="H874" s="21" t="inlineStr">
        <is>
          <t>SPV-A, MGR-A, ADM</t>
        </is>
      </c>
      <c r="I874" s="21" t="inlineStr">
        <is>
          <t>—</t>
        </is>
      </c>
      <c r="J874" s="21" t="inlineStr">
        <is>
          <t>1. Login di web, buka satu record Storage Tank, lalu tekan Edit (/data/storage-tank/&lt;id&gt;/edit) untuk satu record Storage Tank sebagai SPV-A.
2. Coba isi Checked By, lalu Simpan.
3. Coba isi Acknowledged By sebagai SPV-A.
4. Logout. Ulangi sebagai MGR-A: coba Acknowledged By, lalu coba Checked By.
5. Logout. Ulangi sebagai ADM: coba keduanya.</t>
        </is>
      </c>
      <c r="K874" s="21"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74" s="16" t="inlineStr">
        <is>
          <t>Tinggi</t>
        </is>
      </c>
      <c r="M874" s="21" t="inlineStr"/>
      <c r="N874" s="17" t="n"/>
      <c r="O874" s="17" t="n"/>
      <c r="P874" s="17" t="n"/>
      <c r="Q874" s="17" t="n"/>
      <c r="R874" s="17" t="n"/>
    </row>
    <row r="875" ht="188.8" customHeight="1">
      <c r="A875" s="22" t="n">
        <v>871</v>
      </c>
      <c r="B875" s="22" t="n">
        <v>3</v>
      </c>
      <c r="C875" s="23" t="inlineStr">
        <is>
          <t>WB-FRM-08 / Solid Waste Disposal</t>
        </is>
      </c>
      <c r="D875" s="23" t="inlineStr">
        <is>
          <t>WB-FRM-08</t>
        </is>
      </c>
      <c r="E875" s="24" t="inlineStr">
        <is>
          <t>Solid Waste Disposal</t>
        </is>
      </c>
      <c r="F875" s="5" t="inlineStr">
        <is>
          <t>Web — Data Stasiun (WB-)</t>
        </is>
      </c>
      <c r="G875" s="24" t="inlineStr">
        <is>
          <t>Pembatasan peran pada verifikasi</t>
        </is>
      </c>
      <c r="H875" s="5" t="inlineStr">
        <is>
          <t>SPV-A, MGR-A, ADM</t>
        </is>
      </c>
      <c r="I875" s="5" t="inlineStr">
        <is>
          <t>—</t>
        </is>
      </c>
      <c r="J875" s="5" t="inlineStr">
        <is>
          <t>1. Login di web, buka satu record Solid Waste Disposal, lalu tekan Edit (/data/solid-waste-disposal/&lt;id&gt;/edit) untuk satu record Solid Waste Disposal sebagai SPV-A.
2. Coba isi Checked By, lalu Simpan.
3. Coba isi Acknowledged By sebagai SPV-A.
4. Logout. Ulangi sebagai MGR-A: coba Acknowledged By, lalu coba Checked By.
5. Logout. Ulangi sebagai ADM: coba keduanya.</t>
        </is>
      </c>
      <c r="K875"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75" s="16" t="inlineStr">
        <is>
          <t>Tinggi</t>
        </is>
      </c>
      <c r="M875" s="5" t="inlineStr"/>
      <c r="N875" s="17" t="n"/>
      <c r="O875" s="17" t="n"/>
      <c r="P875" s="17" t="n"/>
      <c r="Q875" s="17" t="n"/>
      <c r="R875" s="17" t="n"/>
    </row>
    <row r="876" ht="188.8" customHeight="1">
      <c r="A876" s="18" t="n">
        <v>872</v>
      </c>
      <c r="B876" s="18" t="n">
        <v>3</v>
      </c>
      <c r="C876" s="19" t="inlineStr">
        <is>
          <t>WB-FRM-08 / Kernel Dispatch</t>
        </is>
      </c>
      <c r="D876" s="19" t="inlineStr">
        <is>
          <t>WB-FRM-08</t>
        </is>
      </c>
      <c r="E876" s="20" t="inlineStr">
        <is>
          <t>Kernel Dispatch</t>
        </is>
      </c>
      <c r="F876" s="21" t="inlineStr">
        <is>
          <t>Web — Data Stasiun (WB-)</t>
        </is>
      </c>
      <c r="G876" s="20" t="inlineStr">
        <is>
          <t>Pembatasan peran pada verifikasi</t>
        </is>
      </c>
      <c r="H876" s="21" t="inlineStr">
        <is>
          <t>SPV-A, MGR-A, ADM</t>
        </is>
      </c>
      <c r="I876" s="21" t="inlineStr">
        <is>
          <t>—</t>
        </is>
      </c>
      <c r="J876" s="21" t="inlineStr">
        <is>
          <t>1. Login di web, buka satu record Kernel Dispatch, lalu tekan Edit (/data/kernel-dispatch/&lt;id&gt;/edit) untuk satu record Kernel Dispatch sebagai SPV-A.
2. Coba isi Checked By, lalu Simpan.
3. Coba isi Acknowledged By sebagai SPV-A.
4. Logout. Ulangi sebagai MGR-A: coba Acknowledged By, lalu coba Checked By.
5. Logout. Ulangi sebagai ADM: coba keduanya.</t>
        </is>
      </c>
      <c r="K876" s="21"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76" s="16" t="inlineStr">
        <is>
          <t>Tinggi</t>
        </is>
      </c>
      <c r="M876" s="21" t="inlineStr"/>
      <c r="N876" s="17" t="n"/>
      <c r="O876" s="17" t="n"/>
      <c r="P876" s="17" t="n"/>
      <c r="Q876" s="17" t="n"/>
      <c r="R876" s="17" t="n"/>
    </row>
    <row r="877" ht="188.8" customHeight="1">
      <c r="A877" s="22" t="n">
        <v>873</v>
      </c>
      <c r="B877" s="22" t="n">
        <v>3</v>
      </c>
      <c r="C877" s="23" t="inlineStr">
        <is>
          <t>WB-FRM-08 / CPO Dispatch</t>
        </is>
      </c>
      <c r="D877" s="23" t="inlineStr">
        <is>
          <t>WB-FRM-08</t>
        </is>
      </c>
      <c r="E877" s="24" t="inlineStr">
        <is>
          <t>CPO Dispatch</t>
        </is>
      </c>
      <c r="F877" s="5" t="inlineStr">
        <is>
          <t>Web — Data Stasiun (WB-)</t>
        </is>
      </c>
      <c r="G877" s="24" t="inlineStr">
        <is>
          <t>Pembatasan peran pada verifikasi</t>
        </is>
      </c>
      <c r="H877" s="5" t="inlineStr">
        <is>
          <t>SPV-A, MGR-A, ADM</t>
        </is>
      </c>
      <c r="I877" s="5" t="inlineStr">
        <is>
          <t>—</t>
        </is>
      </c>
      <c r="J877" s="5" t="inlineStr">
        <is>
          <t>1. Login di web, buka satu record CPO Dispatch, lalu tekan Edit (/data/cpo-dispatch/&lt;id&gt;/edit) untuk satu record CPO Dispatch sebagai SPV-A.
2. Coba isi Checked By, lalu Simpan.
3. Coba isi Acknowledged By sebagai SPV-A.
4. Logout. Ulangi sebagai MGR-A: coba Acknowledged By, lalu coba Checked By.
5. Logout. Ulangi sebagai ADM: coba keduanya.</t>
        </is>
      </c>
      <c r="K877"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77" s="16" t="inlineStr">
        <is>
          <t>Tinggi</t>
        </is>
      </c>
      <c r="M877" s="5" t="inlineStr"/>
      <c r="N877" s="17" t="n"/>
      <c r="O877" s="17" t="n"/>
      <c r="P877" s="17" t="n"/>
      <c r="Q877" s="17" t="n"/>
      <c r="R877" s="17" t="n"/>
    </row>
    <row r="878" ht="188.8" customHeight="1">
      <c r="A878" s="18" t="n">
        <v>874</v>
      </c>
      <c r="B878" s="18" t="n">
        <v>3</v>
      </c>
      <c r="C878" s="19" t="inlineStr">
        <is>
          <t>WB-FRM-08 / Process Quality Control</t>
        </is>
      </c>
      <c r="D878" s="19" t="inlineStr">
        <is>
          <t>WB-FRM-08</t>
        </is>
      </c>
      <c r="E878" s="20" t="inlineStr">
        <is>
          <t>Process Quality Control</t>
        </is>
      </c>
      <c r="F878" s="21" t="inlineStr">
        <is>
          <t>Web — Data Stasiun (WB-)</t>
        </is>
      </c>
      <c r="G878" s="20" t="inlineStr">
        <is>
          <t>Pembatasan peran pada verifikasi</t>
        </is>
      </c>
      <c r="H878" s="21" t="inlineStr">
        <is>
          <t>SPV-A, MGR-A, ADM</t>
        </is>
      </c>
      <c r="I878" s="21" t="inlineStr">
        <is>
          <t>—</t>
        </is>
      </c>
      <c r="J878" s="21" t="inlineStr">
        <is>
          <t>1. Login di web, buka satu record Process Quality Control, lalu tekan Edit (/data/process-quality-control/&lt;id&gt;/edit) untuk satu record Process Quality Control sebagai SPV-A.
2. Coba isi Checked By, lalu Simpan.
3. Coba isi Acknowledged By sebagai SPV-A.
4. Logout. Ulangi sebagai MGR-A: coba Acknowledged By, lalu coba Checked By.
5. Logout. Ulangi sebagai ADM: coba keduanya.</t>
        </is>
      </c>
      <c r="K878" s="21"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878" s="16" t="inlineStr">
        <is>
          <t>Tinggi</t>
        </is>
      </c>
      <c r="M878" s="21" t="inlineStr"/>
      <c r="N878" s="17" t="n"/>
      <c r="O878" s="17" t="n"/>
      <c r="P878" s="17" t="n"/>
      <c r="Q878" s="17" t="n"/>
      <c r="R878" s="17" t="n"/>
    </row>
    <row r="879" ht="122.8" customHeight="1">
      <c r="A879" s="22" t="n">
        <v>875</v>
      </c>
      <c r="B879" s="22" t="n">
        <v>3</v>
      </c>
      <c r="C879" s="23" t="inlineStr">
        <is>
          <t>WB-FRM-09 / Weighbridge</t>
        </is>
      </c>
      <c r="D879" s="23" t="inlineStr">
        <is>
          <t>WB-FRM-09</t>
        </is>
      </c>
      <c r="E879" s="24" t="inlineStr">
        <is>
          <t>Weighbridge</t>
        </is>
      </c>
      <c r="F879" s="5" t="inlineStr">
        <is>
          <t>Web — Data Stasiun (WB-)</t>
        </is>
      </c>
      <c r="G879" s="24" t="inlineStr">
        <is>
          <t>Batal tidak menyimpan apa pun</t>
        </is>
      </c>
      <c r="H879" s="5" t="inlineStr">
        <is>
          <t>SPV-A</t>
        </is>
      </c>
      <c r="I879" s="5" t="inlineStr">
        <is>
          <t>—</t>
        </is>
      </c>
      <c r="J879" s="5" t="inlineStr">
        <is>
          <t>1. Login di web, buka satu record Weighbridge, lalu tekan Edit (/data/weighbridge/&lt;id&gt;/edit) untuk satu record Weighbridge. Catat nilai aslinya.
2. Ubah beberapa nilai: identitas, satu nilai pada grid, dan catatan.
3. Tekan Batal.
4. Buka Detail record itu dan bandingkan dengan catatan langkah 1.</t>
        </is>
      </c>
      <c r="K879" s="5" t="inlineStr">
        <is>
          <t>- Kembali ke layar sebelumnya.
- Seluruh nilai record tidak berubah — tidak satu pun suntingan tersimpan.
- Bila ada dialog konfirmasi saat Batal, isinya menyebut bahwa perubahan akan dibuang.</t>
        </is>
      </c>
      <c r="L879" s="22" t="inlineStr">
        <is>
          <t>Sedang</t>
        </is>
      </c>
      <c r="M879" s="5" t="inlineStr"/>
      <c r="N879" s="17" t="n"/>
      <c r="O879" s="17" t="n"/>
      <c r="P879" s="17" t="n"/>
      <c r="Q879" s="17" t="n"/>
      <c r="R879" s="17" t="n"/>
    </row>
    <row r="880" ht="109.6" customHeight="1">
      <c r="A880" s="18" t="n">
        <v>876</v>
      </c>
      <c r="B880" s="18" t="n">
        <v>3</v>
      </c>
      <c r="C880" s="19" t="inlineStr">
        <is>
          <t>WB-FRM-09 / Grading</t>
        </is>
      </c>
      <c r="D880" s="19" t="inlineStr">
        <is>
          <t>WB-FRM-09</t>
        </is>
      </c>
      <c r="E880" s="20" t="inlineStr">
        <is>
          <t>Grading</t>
        </is>
      </c>
      <c r="F880" s="21" t="inlineStr">
        <is>
          <t>Web — Data Stasiun (WB-)</t>
        </is>
      </c>
      <c r="G880" s="20" t="inlineStr">
        <is>
          <t>Batal tidak menyimpan apa pun</t>
        </is>
      </c>
      <c r="H880" s="21" t="inlineStr">
        <is>
          <t>SPV-A</t>
        </is>
      </c>
      <c r="I880" s="21" t="inlineStr">
        <is>
          <t>—</t>
        </is>
      </c>
      <c r="J880" s="21" t="inlineStr">
        <is>
          <t>1. Login di web, buka satu record Grading, lalu tekan Edit (/data/grading/&lt;id&gt;/edit) untuk satu record Grading. Catat nilai aslinya.
2. Ubah beberapa nilai: identitas, satu nilai pada grid, dan catatan.
3. Tekan Batal.
4. Buka Detail record itu dan bandingkan dengan catatan langkah 1.</t>
        </is>
      </c>
      <c r="K880" s="21" t="inlineStr">
        <is>
          <t>- Kembali ke layar sebelumnya.
- Seluruh nilai record tidak berubah — tidak satu pun suntingan tersimpan.
- Bila ada dialog konfirmasi saat Batal, isinya menyebut bahwa perubahan akan dibuang.</t>
        </is>
      </c>
      <c r="L880" s="18" t="inlineStr">
        <is>
          <t>Sedang</t>
        </is>
      </c>
      <c r="M880" s="21" t="inlineStr"/>
      <c r="N880" s="17" t="n"/>
      <c r="O880" s="17" t="n"/>
      <c r="P880" s="17" t="n"/>
      <c r="Q880" s="17" t="n"/>
      <c r="R880" s="17" t="n"/>
    </row>
    <row r="881" ht="122.8" customHeight="1">
      <c r="A881" s="22" t="n">
        <v>877</v>
      </c>
      <c r="B881" s="22" t="n">
        <v>3</v>
      </c>
      <c r="C881" s="23" t="inlineStr">
        <is>
          <t>WB-FRM-09 / Cages Track</t>
        </is>
      </c>
      <c r="D881" s="23" t="inlineStr">
        <is>
          <t>WB-FRM-09</t>
        </is>
      </c>
      <c r="E881" s="24" t="inlineStr">
        <is>
          <t>Cages Track</t>
        </is>
      </c>
      <c r="F881" s="5" t="inlineStr">
        <is>
          <t>Web — Data Stasiun (WB-)</t>
        </is>
      </c>
      <c r="G881" s="24" t="inlineStr">
        <is>
          <t>Batal tidak menyimpan apa pun</t>
        </is>
      </c>
      <c r="H881" s="5" t="inlineStr">
        <is>
          <t>SPV-A</t>
        </is>
      </c>
      <c r="I881" s="5" t="inlineStr">
        <is>
          <t>—</t>
        </is>
      </c>
      <c r="J881" s="5" t="inlineStr">
        <is>
          <t>1. Login di web, buka satu record Cages Track, lalu tekan Edit (/data/cages-track/&lt;id&gt;/edit) untuk satu record Cages Track. Catat nilai aslinya.
2. Ubah beberapa nilai: identitas, satu nilai pada grid, dan catatan.
3. Tekan Batal.
4. Buka Detail record itu dan bandingkan dengan catatan langkah 1.</t>
        </is>
      </c>
      <c r="K881" s="5" t="inlineStr">
        <is>
          <t>- Kembali ke layar sebelumnya.
- Seluruh nilai record tidak berubah — tidak satu pun suntingan tersimpan.
- Bila ada dialog konfirmasi saat Batal, isinya menyebut bahwa perubahan akan dibuang.</t>
        </is>
      </c>
      <c r="L881" s="22" t="inlineStr">
        <is>
          <t>Sedang</t>
        </is>
      </c>
      <c r="M881" s="5" t="inlineStr"/>
      <c r="N881" s="17" t="n"/>
      <c r="O881" s="17" t="n"/>
      <c r="P881" s="17" t="n"/>
      <c r="Q881" s="17" t="n"/>
      <c r="R881" s="17" t="n"/>
    </row>
    <row r="882" ht="122.8" customHeight="1">
      <c r="A882" s="18" t="n">
        <v>878</v>
      </c>
      <c r="B882" s="18" t="n">
        <v>3</v>
      </c>
      <c r="C882" s="19" t="inlineStr">
        <is>
          <t>WB-FRM-09 / Sterilizer</t>
        </is>
      </c>
      <c r="D882" s="19" t="inlineStr">
        <is>
          <t>WB-FRM-09</t>
        </is>
      </c>
      <c r="E882" s="20" t="inlineStr">
        <is>
          <t>Sterilizer</t>
        </is>
      </c>
      <c r="F882" s="21" t="inlineStr">
        <is>
          <t>Web — Data Stasiun (WB-)</t>
        </is>
      </c>
      <c r="G882" s="20" t="inlineStr">
        <is>
          <t>Batal tidak menyimpan apa pun</t>
        </is>
      </c>
      <c r="H882" s="21" t="inlineStr">
        <is>
          <t>SPV-A</t>
        </is>
      </c>
      <c r="I882" s="21" t="inlineStr">
        <is>
          <t>—</t>
        </is>
      </c>
      <c r="J882" s="21" t="inlineStr">
        <is>
          <t>1. Login di web, buka satu record Sterilizer, lalu tekan Edit (/data/sterilizer/&lt;id&gt;/edit) untuk satu record Sterilizer. Catat nilai aslinya.
2. Ubah beberapa nilai: identitas, satu nilai pada grid, dan catatan.
3. Tekan Batal.
4. Buka Detail record itu dan bandingkan dengan catatan langkah 1.</t>
        </is>
      </c>
      <c r="K882" s="21" t="inlineStr">
        <is>
          <t>- Kembali ke layar sebelumnya.
- Seluruh nilai record tidak berubah — tidak satu pun suntingan tersimpan.
- Bila ada dialog konfirmasi saat Batal, isinya menyebut bahwa perubahan akan dibuang.</t>
        </is>
      </c>
      <c r="L882" s="18" t="inlineStr">
        <is>
          <t>Sedang</t>
        </is>
      </c>
      <c r="M882" s="21" t="inlineStr"/>
      <c r="N882" s="17" t="n"/>
      <c r="O882" s="17" t="n"/>
      <c r="P882" s="17" t="n"/>
      <c r="Q882" s="17" t="n"/>
      <c r="R882" s="17" t="n"/>
    </row>
    <row r="883" ht="122.8" customHeight="1">
      <c r="A883" s="22" t="n">
        <v>879</v>
      </c>
      <c r="B883" s="22" t="n">
        <v>3</v>
      </c>
      <c r="C883" s="23" t="inlineStr">
        <is>
          <t>WB-FRM-09 / Threshing</t>
        </is>
      </c>
      <c r="D883" s="23" t="inlineStr">
        <is>
          <t>WB-FRM-09</t>
        </is>
      </c>
      <c r="E883" s="24" t="inlineStr">
        <is>
          <t>Threshing</t>
        </is>
      </c>
      <c r="F883" s="5" t="inlineStr">
        <is>
          <t>Web — Data Stasiun (WB-)</t>
        </is>
      </c>
      <c r="G883" s="24" t="inlineStr">
        <is>
          <t>Batal tidak menyimpan apa pun</t>
        </is>
      </c>
      <c r="H883" s="5" t="inlineStr">
        <is>
          <t>SPV-A</t>
        </is>
      </c>
      <c r="I883" s="5" t="inlineStr">
        <is>
          <t>—</t>
        </is>
      </c>
      <c r="J883" s="5" t="inlineStr">
        <is>
          <t>1. Login di web, buka satu record Threshing, lalu tekan Edit (/data/threshing/&lt;id&gt;/edit) untuk satu record Threshing. Catat nilai aslinya.
2. Ubah beberapa nilai: identitas, satu nilai pada grid, dan catatan.
3. Tekan Batal.
4. Buka Detail record itu dan bandingkan dengan catatan langkah 1.</t>
        </is>
      </c>
      <c r="K883" s="5" t="inlineStr">
        <is>
          <t>- Kembali ke layar sebelumnya.
- Seluruh nilai record tidak berubah — tidak satu pun suntingan tersimpan.
- Bila ada dialog konfirmasi saat Batal, isinya menyebut bahwa perubahan akan dibuang.</t>
        </is>
      </c>
      <c r="L883" s="22" t="inlineStr">
        <is>
          <t>Sedang</t>
        </is>
      </c>
      <c r="M883" s="5" t="inlineStr"/>
      <c r="N883" s="17" t="n"/>
      <c r="O883" s="17" t="n"/>
      <c r="P883" s="17" t="n"/>
      <c r="Q883" s="17" t="n"/>
      <c r="R883" s="17" t="n"/>
    </row>
    <row r="884" ht="122.8" customHeight="1">
      <c r="A884" s="18" t="n">
        <v>880</v>
      </c>
      <c r="B884" s="18" t="n">
        <v>3</v>
      </c>
      <c r="C884" s="19" t="inlineStr">
        <is>
          <t>WB-FRM-09 / Pressing</t>
        </is>
      </c>
      <c r="D884" s="19" t="inlineStr">
        <is>
          <t>WB-FRM-09</t>
        </is>
      </c>
      <c r="E884" s="20" t="inlineStr">
        <is>
          <t>Pressing</t>
        </is>
      </c>
      <c r="F884" s="21" t="inlineStr">
        <is>
          <t>Web — Data Stasiun (WB-)</t>
        </is>
      </c>
      <c r="G884" s="20" t="inlineStr">
        <is>
          <t>Batal tidak menyimpan apa pun</t>
        </is>
      </c>
      <c r="H884" s="21" t="inlineStr">
        <is>
          <t>SPV-A</t>
        </is>
      </c>
      <c r="I884" s="21" t="inlineStr">
        <is>
          <t>—</t>
        </is>
      </c>
      <c r="J884" s="21" t="inlineStr">
        <is>
          <t>1. Login di web, buka satu record Pressing, lalu tekan Edit (/data/pressing/&lt;id&gt;/edit) untuk satu record Pressing. Catat nilai aslinya.
2. Ubah beberapa nilai: identitas, satu nilai pada grid, dan catatan.
3. Tekan Batal.
4. Buka Detail record itu dan bandingkan dengan catatan langkah 1.</t>
        </is>
      </c>
      <c r="K884" s="21" t="inlineStr">
        <is>
          <t>- Kembali ke layar sebelumnya.
- Seluruh nilai record tidak berubah — tidak satu pun suntingan tersimpan.
- Bila ada dialog konfirmasi saat Batal, isinya menyebut bahwa perubahan akan dibuang.</t>
        </is>
      </c>
      <c r="L884" s="18" t="inlineStr">
        <is>
          <t>Sedang</t>
        </is>
      </c>
      <c r="M884" s="21" t="inlineStr"/>
      <c r="N884" s="17" t="n"/>
      <c r="O884" s="17" t="n"/>
      <c r="P884" s="17" t="n"/>
      <c r="Q884" s="17" t="n"/>
      <c r="R884" s="17" t="n"/>
    </row>
    <row r="885" ht="122.8" customHeight="1">
      <c r="A885" s="22" t="n">
        <v>881</v>
      </c>
      <c r="B885" s="22" t="n">
        <v>3</v>
      </c>
      <c r="C885" s="23" t="inlineStr">
        <is>
          <t>WB-FRM-09 / Clarification</t>
        </is>
      </c>
      <c r="D885" s="23" t="inlineStr">
        <is>
          <t>WB-FRM-09</t>
        </is>
      </c>
      <c r="E885" s="24" t="inlineStr">
        <is>
          <t>Clarification</t>
        </is>
      </c>
      <c r="F885" s="5" t="inlineStr">
        <is>
          <t>Web — Data Stasiun (WB-)</t>
        </is>
      </c>
      <c r="G885" s="24" t="inlineStr">
        <is>
          <t>Batal tidak menyimpan apa pun</t>
        </is>
      </c>
      <c r="H885" s="5" t="inlineStr">
        <is>
          <t>SPV-A</t>
        </is>
      </c>
      <c r="I885" s="5" t="inlineStr">
        <is>
          <t>—</t>
        </is>
      </c>
      <c r="J885" s="5" t="inlineStr">
        <is>
          <t>1. Login di web, buka satu record Clarification, lalu tekan Edit (/data/clarification/&lt;id&gt;/edit) untuk satu record Clarification. Catat nilai aslinya.
2. Ubah beberapa nilai: identitas, satu nilai pada grid, dan catatan.
3. Tekan Batal.
4. Buka Detail record itu dan bandingkan dengan catatan langkah 1.</t>
        </is>
      </c>
      <c r="K885" s="5" t="inlineStr">
        <is>
          <t>- Kembali ke layar sebelumnya.
- Seluruh nilai record tidak berubah — tidak satu pun suntingan tersimpan.
- Bila ada dialog konfirmasi saat Batal, isinya menyebut bahwa perubahan akan dibuang.</t>
        </is>
      </c>
      <c r="L885" s="22" t="inlineStr">
        <is>
          <t>Sedang</t>
        </is>
      </c>
      <c r="M885" s="5" t="inlineStr"/>
      <c r="N885" s="17" t="n"/>
      <c r="O885" s="17" t="n"/>
      <c r="P885" s="17" t="n"/>
      <c r="Q885" s="17" t="n"/>
      <c r="R885" s="17" t="n"/>
    </row>
    <row r="886" ht="122.8" customHeight="1">
      <c r="A886" s="18" t="n">
        <v>882</v>
      </c>
      <c r="B886" s="18" t="n">
        <v>3</v>
      </c>
      <c r="C886" s="19" t="inlineStr">
        <is>
          <t>WB-FRM-09 / Kernel Plant</t>
        </is>
      </c>
      <c r="D886" s="19" t="inlineStr">
        <is>
          <t>WB-FRM-09</t>
        </is>
      </c>
      <c r="E886" s="20" t="inlineStr">
        <is>
          <t>Kernel Plant</t>
        </is>
      </c>
      <c r="F886" s="21" t="inlineStr">
        <is>
          <t>Web — Data Stasiun (WB-)</t>
        </is>
      </c>
      <c r="G886" s="20" t="inlineStr">
        <is>
          <t>Batal tidak menyimpan apa pun</t>
        </is>
      </c>
      <c r="H886" s="21" t="inlineStr">
        <is>
          <t>SPV-A</t>
        </is>
      </c>
      <c r="I886" s="21" t="inlineStr">
        <is>
          <t>—</t>
        </is>
      </c>
      <c r="J886" s="21" t="inlineStr">
        <is>
          <t>1. Login di web, buka satu record Kernel Plant, lalu tekan Edit (/data/kernel-plant/&lt;id&gt;/edit) untuk satu record Kernel Plant. Catat nilai aslinya.
2. Ubah beberapa nilai: identitas, satu nilai pada grid, dan catatan.
3. Tekan Batal.
4. Buka Detail record itu dan bandingkan dengan catatan langkah 1.</t>
        </is>
      </c>
      <c r="K886" s="21" t="inlineStr">
        <is>
          <t>- Kembali ke layar sebelumnya.
- Seluruh nilai record tidak berubah — tidak satu pun suntingan tersimpan.
- Bila ada dialog konfirmasi saat Batal, isinya menyebut bahwa perubahan akan dibuang.</t>
        </is>
      </c>
      <c r="L886" s="18" t="inlineStr">
        <is>
          <t>Sedang</t>
        </is>
      </c>
      <c r="M886" s="21" t="inlineStr"/>
      <c r="N886" s="17" t="n"/>
      <c r="O886" s="17" t="n"/>
      <c r="P886" s="17" t="n"/>
      <c r="Q886" s="17" t="n"/>
      <c r="R886" s="17" t="n"/>
    </row>
    <row r="887" ht="122.8" customHeight="1">
      <c r="A887" s="22" t="n">
        <v>883</v>
      </c>
      <c r="B887" s="22" t="n">
        <v>3</v>
      </c>
      <c r="C887" s="23" t="inlineStr">
        <is>
          <t>WB-FRM-09 / Boiler Room</t>
        </is>
      </c>
      <c r="D887" s="23" t="inlineStr">
        <is>
          <t>WB-FRM-09</t>
        </is>
      </c>
      <c r="E887" s="24" t="inlineStr">
        <is>
          <t>Boiler Room</t>
        </is>
      </c>
      <c r="F887" s="5" t="inlineStr">
        <is>
          <t>Web — Data Stasiun (WB-)</t>
        </is>
      </c>
      <c r="G887" s="24" t="inlineStr">
        <is>
          <t>Batal tidak menyimpan apa pun</t>
        </is>
      </c>
      <c r="H887" s="5" t="inlineStr">
        <is>
          <t>SPV-A</t>
        </is>
      </c>
      <c r="I887" s="5" t="inlineStr">
        <is>
          <t>—</t>
        </is>
      </c>
      <c r="J887" s="5" t="inlineStr">
        <is>
          <t>1. Login di web, buka satu record Boiler Room, lalu tekan Edit (/data/boiler-room/&lt;id&gt;/edit) untuk satu record Boiler Room. Catat nilai aslinya.
2. Ubah beberapa nilai: identitas, satu nilai pada grid, dan catatan.
3. Tekan Batal.
4. Buka Detail record itu dan bandingkan dengan catatan langkah 1.</t>
        </is>
      </c>
      <c r="K887" s="5" t="inlineStr">
        <is>
          <t>- Kembali ke layar sebelumnya.
- Seluruh nilai record tidak berubah — tidak satu pun suntingan tersimpan.
- Bila ada dialog konfirmasi saat Batal, isinya menyebut bahwa perubahan akan dibuang.</t>
        </is>
      </c>
      <c r="L887" s="22" t="inlineStr">
        <is>
          <t>Sedang</t>
        </is>
      </c>
      <c r="M887" s="5" t="inlineStr"/>
      <c r="N887" s="17" t="n"/>
      <c r="O887" s="17" t="n"/>
      <c r="P887" s="17" t="n"/>
      <c r="Q887" s="17" t="n"/>
      <c r="R887" s="17" t="n"/>
    </row>
    <row r="888" ht="122.8" customHeight="1">
      <c r="A888" s="18" t="n">
        <v>884</v>
      </c>
      <c r="B888" s="18" t="n">
        <v>3</v>
      </c>
      <c r="C888" s="19" t="inlineStr">
        <is>
          <t>WB-FRM-09 / Effluent Plant</t>
        </is>
      </c>
      <c r="D888" s="19" t="inlineStr">
        <is>
          <t>WB-FRM-09</t>
        </is>
      </c>
      <c r="E888" s="20" t="inlineStr">
        <is>
          <t>Effluent Plant</t>
        </is>
      </c>
      <c r="F888" s="21" t="inlineStr">
        <is>
          <t>Web — Data Stasiun (WB-)</t>
        </is>
      </c>
      <c r="G888" s="20" t="inlineStr">
        <is>
          <t>Batal tidak menyimpan apa pun</t>
        </is>
      </c>
      <c r="H888" s="21" t="inlineStr">
        <is>
          <t>SPV-A</t>
        </is>
      </c>
      <c r="I888" s="21" t="inlineStr">
        <is>
          <t>—</t>
        </is>
      </c>
      <c r="J888" s="21" t="inlineStr">
        <is>
          <t>1. Login di web, buka satu record Effluent Plant, lalu tekan Edit (/data/effluent-plant/&lt;id&gt;/edit) untuk satu record Effluent Plant. Catat nilai aslinya.
2. Ubah beberapa nilai: identitas, satu nilai pada grid, dan catatan.
3. Tekan Batal.
4. Buka Detail record itu dan bandingkan dengan catatan langkah 1.</t>
        </is>
      </c>
      <c r="K888" s="21" t="inlineStr">
        <is>
          <t>- Kembali ke layar sebelumnya.
- Seluruh nilai record tidak berubah — tidak satu pun suntingan tersimpan.
- Bila ada dialog konfirmasi saat Batal, isinya menyebut bahwa perubahan akan dibuang.</t>
        </is>
      </c>
      <c r="L888" s="18" t="inlineStr">
        <is>
          <t>Sedang</t>
        </is>
      </c>
      <c r="M888" s="21" t="inlineStr"/>
      <c r="N888" s="17" t="n"/>
      <c r="O888" s="17" t="n"/>
      <c r="P888" s="17" t="n"/>
      <c r="Q888" s="17" t="n"/>
      <c r="R888" s="17" t="n"/>
    </row>
    <row r="889" ht="122.8" customHeight="1">
      <c r="A889" s="11" t="n">
        <v>885</v>
      </c>
      <c r="B889" s="12" t="n">
        <v>1</v>
      </c>
      <c r="C889" s="13" t="inlineStr">
        <is>
          <t>WB-FRM-09 / Depricarping</t>
        </is>
      </c>
      <c r="D889" s="13" t="inlineStr">
        <is>
          <t>WB-FRM-09</t>
        </is>
      </c>
      <c r="E889" s="15" t="inlineStr">
        <is>
          <t>Depricarping</t>
        </is>
      </c>
      <c r="F889" s="14" t="inlineStr">
        <is>
          <t>Web — Data Stasiun (WB-)</t>
        </is>
      </c>
      <c r="G889" s="15" t="inlineStr">
        <is>
          <t>Batal tidak menyimpan apa pun</t>
        </is>
      </c>
      <c r="H889" s="14" t="inlineStr">
        <is>
          <t>SPV-A</t>
        </is>
      </c>
      <c r="I889" s="14" t="inlineStr">
        <is>
          <t>—</t>
        </is>
      </c>
      <c r="J889" s="14" t="inlineStr">
        <is>
          <t>1. Login di web, buka satu record Depricarping, lalu tekan Edit (/data/depricarping/&lt;id&gt;/edit) untuk satu record Depricarping. Catat nilai aslinya.
2. Ubah beberapa nilai: identitas, satu nilai pada grid, dan catatan.
3. Tekan Batal.
4. Buka Detail record itu dan bandingkan dengan catatan langkah 1.</t>
        </is>
      </c>
      <c r="K889" s="14" t="inlineStr">
        <is>
          <t>- Kembali ke layar sebelumnya.
- Seluruh nilai record tidak berubah — tidak satu pun suntingan tersimpan.
- Bila ada dialog konfirmasi saat Batal, isinya menyebut bahwa perubahan akan dibuang.</t>
        </is>
      </c>
      <c r="L889" s="11" t="inlineStr">
        <is>
          <t>Sedang</t>
        </is>
      </c>
      <c r="M889" s="14" t="inlineStr"/>
      <c r="N889" s="17" t="n"/>
      <c r="O889" s="17" t="n"/>
      <c r="P889" s="17" t="n"/>
      <c r="Q889" s="17" t="n"/>
      <c r="R889" s="17" t="n"/>
    </row>
    <row r="890" ht="122.8" customHeight="1">
      <c r="A890" s="18" t="n">
        <v>886</v>
      </c>
      <c r="B890" s="18" t="n">
        <v>3</v>
      </c>
      <c r="C890" s="19" t="inlineStr">
        <is>
          <t>WB-FRM-09 / Engine Room</t>
        </is>
      </c>
      <c r="D890" s="19" t="inlineStr">
        <is>
          <t>WB-FRM-09</t>
        </is>
      </c>
      <c r="E890" s="20" t="inlineStr">
        <is>
          <t>Engine Room</t>
        </is>
      </c>
      <c r="F890" s="21" t="inlineStr">
        <is>
          <t>Web — Data Stasiun (WB-)</t>
        </is>
      </c>
      <c r="G890" s="20" t="inlineStr">
        <is>
          <t>Batal tidak menyimpan apa pun</t>
        </is>
      </c>
      <c r="H890" s="21" t="inlineStr">
        <is>
          <t>SPV-A</t>
        </is>
      </c>
      <c r="I890" s="21" t="inlineStr">
        <is>
          <t>—</t>
        </is>
      </c>
      <c r="J890" s="21" t="inlineStr">
        <is>
          <t>1. Login di web, buka satu record Engine Room, lalu tekan Edit (/data/engine-room/&lt;id&gt;/edit) untuk satu record Engine Room. Catat nilai aslinya.
2. Ubah beberapa nilai: identitas, satu nilai pada grid, dan catatan.
3. Tekan Batal.
4. Buka Detail record itu dan bandingkan dengan catatan langkah 1.</t>
        </is>
      </c>
      <c r="K890" s="21" t="inlineStr">
        <is>
          <t>- Kembali ke layar sebelumnya.
- Seluruh nilai record tidak berubah — tidak satu pun suntingan tersimpan.
- Bila ada dialog konfirmasi saat Batal, isinya menyebut bahwa perubahan akan dibuang.</t>
        </is>
      </c>
      <c r="L890" s="18" t="inlineStr">
        <is>
          <t>Sedang</t>
        </is>
      </c>
      <c r="M890" s="21" t="inlineStr"/>
      <c r="N890" s="17" t="n"/>
      <c r="O890" s="17" t="n"/>
      <c r="P890" s="17" t="n"/>
      <c r="Q890" s="17" t="n"/>
      <c r="R890" s="17" t="n"/>
    </row>
    <row r="891" ht="122.8" customHeight="1">
      <c r="A891" s="22" t="n">
        <v>887</v>
      </c>
      <c r="B891" s="22" t="n">
        <v>3</v>
      </c>
      <c r="C891" s="23" t="inlineStr">
        <is>
          <t>WB-FRM-09 / Process Water</t>
        </is>
      </c>
      <c r="D891" s="23" t="inlineStr">
        <is>
          <t>WB-FRM-09</t>
        </is>
      </c>
      <c r="E891" s="24" t="inlineStr">
        <is>
          <t>Process Water</t>
        </is>
      </c>
      <c r="F891" s="5" t="inlineStr">
        <is>
          <t>Web — Data Stasiun (WB-)</t>
        </is>
      </c>
      <c r="G891" s="24" t="inlineStr">
        <is>
          <t>Batal tidak menyimpan apa pun</t>
        </is>
      </c>
      <c r="H891" s="5" t="inlineStr">
        <is>
          <t>SPV-A</t>
        </is>
      </c>
      <c r="I891" s="5" t="inlineStr">
        <is>
          <t>—</t>
        </is>
      </c>
      <c r="J891" s="5" t="inlineStr">
        <is>
          <t>1. Login di web, buka satu record Process Water, lalu tekan Edit (/data/process-water/&lt;id&gt;/edit) untuk satu record Process Water. Catat nilai aslinya.
2. Ubah beberapa nilai: identitas, satu nilai pada grid, dan catatan.
3. Tekan Batal.
4. Buka Detail record itu dan bandingkan dengan catatan langkah 1.</t>
        </is>
      </c>
      <c r="K891" s="5" t="inlineStr">
        <is>
          <t>- Kembali ke layar sebelumnya.
- Seluruh nilai record tidak berubah — tidak satu pun suntingan tersimpan.
- Bila ada dialog konfirmasi saat Batal, isinya menyebut bahwa perubahan akan dibuang.</t>
        </is>
      </c>
      <c r="L891" s="22" t="inlineStr">
        <is>
          <t>Sedang</t>
        </is>
      </c>
      <c r="M891" s="5" t="inlineStr"/>
      <c r="N891" s="17" t="n"/>
      <c r="O891" s="17" t="n"/>
      <c r="P891" s="17" t="n"/>
      <c r="Q891" s="17" t="n"/>
      <c r="R891" s="17" t="n"/>
    </row>
    <row r="892" ht="122.8" customHeight="1">
      <c r="A892" s="18" t="n">
        <v>888</v>
      </c>
      <c r="B892" s="18" t="n">
        <v>3</v>
      </c>
      <c r="C892" s="19" t="inlineStr">
        <is>
          <t>WB-FRM-09 / Storage Tank</t>
        </is>
      </c>
      <c r="D892" s="19" t="inlineStr">
        <is>
          <t>WB-FRM-09</t>
        </is>
      </c>
      <c r="E892" s="20" t="inlineStr">
        <is>
          <t>Storage Tank</t>
        </is>
      </c>
      <c r="F892" s="21" t="inlineStr">
        <is>
          <t>Web — Data Stasiun (WB-)</t>
        </is>
      </c>
      <c r="G892" s="20" t="inlineStr">
        <is>
          <t>Batal tidak menyimpan apa pun</t>
        </is>
      </c>
      <c r="H892" s="21" t="inlineStr">
        <is>
          <t>SPV-A</t>
        </is>
      </c>
      <c r="I892" s="21" t="inlineStr">
        <is>
          <t>—</t>
        </is>
      </c>
      <c r="J892" s="21" t="inlineStr">
        <is>
          <t>1. Login di web, buka satu record Storage Tank, lalu tekan Edit (/data/storage-tank/&lt;id&gt;/edit) untuk satu record Storage Tank. Catat nilai aslinya.
2. Ubah beberapa nilai: identitas, satu nilai pada grid, dan catatan.
3. Tekan Batal.
4. Buka Detail record itu dan bandingkan dengan catatan langkah 1.</t>
        </is>
      </c>
      <c r="K892" s="21" t="inlineStr">
        <is>
          <t>- Kembali ke layar sebelumnya.
- Seluruh nilai record tidak berubah — tidak satu pun suntingan tersimpan.
- Bila ada dialog konfirmasi saat Batal, isinya menyebut bahwa perubahan akan dibuang.</t>
        </is>
      </c>
      <c r="L892" s="18" t="inlineStr">
        <is>
          <t>Sedang</t>
        </is>
      </c>
      <c r="M892" s="21" t="inlineStr"/>
      <c r="N892" s="17" t="n"/>
      <c r="O892" s="17" t="n"/>
      <c r="P892" s="17" t="n"/>
      <c r="Q892" s="17" t="n"/>
      <c r="R892" s="17" t="n"/>
    </row>
    <row r="893" ht="122.8" customHeight="1">
      <c r="A893" s="22" t="n">
        <v>889</v>
      </c>
      <c r="B893" s="22" t="n">
        <v>3</v>
      </c>
      <c r="C893" s="23" t="inlineStr">
        <is>
          <t>WB-FRM-09 / Solid Waste Disposal</t>
        </is>
      </c>
      <c r="D893" s="23" t="inlineStr">
        <is>
          <t>WB-FRM-09</t>
        </is>
      </c>
      <c r="E893" s="24" t="inlineStr">
        <is>
          <t>Solid Waste Disposal</t>
        </is>
      </c>
      <c r="F893" s="5" t="inlineStr">
        <is>
          <t>Web — Data Stasiun (WB-)</t>
        </is>
      </c>
      <c r="G893" s="24" t="inlineStr">
        <is>
          <t>Batal tidak menyimpan apa pun</t>
        </is>
      </c>
      <c r="H893" s="5" t="inlineStr">
        <is>
          <t>SPV-A</t>
        </is>
      </c>
      <c r="I893" s="5" t="inlineStr">
        <is>
          <t>—</t>
        </is>
      </c>
      <c r="J893" s="5" t="inlineStr">
        <is>
          <t>1. Login di web, buka satu record Solid Waste Disposal, lalu tekan Edit (/data/solid-waste-disposal/&lt;id&gt;/edit) untuk satu record Solid Waste Disposal. Catat nilai aslinya.
2. Ubah beberapa nilai: identitas, satu nilai pada grid, dan catatan.
3. Tekan Batal.
4. Buka Detail record itu dan bandingkan dengan catatan langkah 1.</t>
        </is>
      </c>
      <c r="K893" s="5" t="inlineStr">
        <is>
          <t>- Kembali ke layar sebelumnya.
- Seluruh nilai record tidak berubah — tidak satu pun suntingan tersimpan.
- Bila ada dialog konfirmasi saat Batal, isinya menyebut bahwa perubahan akan dibuang.</t>
        </is>
      </c>
      <c r="L893" s="22" t="inlineStr">
        <is>
          <t>Sedang</t>
        </is>
      </c>
      <c r="M893" s="5" t="inlineStr"/>
      <c r="N893" s="17" t="n"/>
      <c r="O893" s="17" t="n"/>
      <c r="P893" s="17" t="n"/>
      <c r="Q893" s="17" t="n"/>
      <c r="R893" s="17" t="n"/>
    </row>
    <row r="894" ht="122.8" customHeight="1">
      <c r="A894" s="18" t="n">
        <v>890</v>
      </c>
      <c r="B894" s="18" t="n">
        <v>3</v>
      </c>
      <c r="C894" s="19" t="inlineStr">
        <is>
          <t>WB-FRM-09 / Kernel Dispatch</t>
        </is>
      </c>
      <c r="D894" s="19" t="inlineStr">
        <is>
          <t>WB-FRM-09</t>
        </is>
      </c>
      <c r="E894" s="20" t="inlineStr">
        <is>
          <t>Kernel Dispatch</t>
        </is>
      </c>
      <c r="F894" s="21" t="inlineStr">
        <is>
          <t>Web — Data Stasiun (WB-)</t>
        </is>
      </c>
      <c r="G894" s="20" t="inlineStr">
        <is>
          <t>Batal tidak menyimpan apa pun</t>
        </is>
      </c>
      <c r="H894" s="21" t="inlineStr">
        <is>
          <t>SPV-A</t>
        </is>
      </c>
      <c r="I894" s="21" t="inlineStr">
        <is>
          <t>—</t>
        </is>
      </c>
      <c r="J894" s="21" t="inlineStr">
        <is>
          <t>1. Login di web, buka satu record Kernel Dispatch, lalu tekan Edit (/data/kernel-dispatch/&lt;id&gt;/edit) untuk satu record Kernel Dispatch. Catat nilai aslinya.
2. Ubah beberapa nilai: identitas, satu nilai pada grid, dan catatan.
3. Tekan Batal.
4. Buka Detail record itu dan bandingkan dengan catatan langkah 1.</t>
        </is>
      </c>
      <c r="K894" s="21" t="inlineStr">
        <is>
          <t>- Kembali ke layar sebelumnya.
- Seluruh nilai record tidak berubah — tidak satu pun suntingan tersimpan.
- Bila ada dialog konfirmasi saat Batal, isinya menyebut bahwa perubahan akan dibuang.</t>
        </is>
      </c>
      <c r="L894" s="18" t="inlineStr">
        <is>
          <t>Sedang</t>
        </is>
      </c>
      <c r="M894" s="21" t="inlineStr"/>
      <c r="N894" s="17" t="n"/>
      <c r="O894" s="17" t="n"/>
      <c r="P894" s="17" t="n"/>
      <c r="Q894" s="17" t="n"/>
      <c r="R894" s="17" t="n"/>
    </row>
    <row r="895" ht="122.8" customHeight="1">
      <c r="A895" s="22" t="n">
        <v>891</v>
      </c>
      <c r="B895" s="22" t="n">
        <v>3</v>
      </c>
      <c r="C895" s="23" t="inlineStr">
        <is>
          <t>WB-FRM-09 / CPO Dispatch</t>
        </is>
      </c>
      <c r="D895" s="23" t="inlineStr">
        <is>
          <t>WB-FRM-09</t>
        </is>
      </c>
      <c r="E895" s="24" t="inlineStr">
        <is>
          <t>CPO Dispatch</t>
        </is>
      </c>
      <c r="F895" s="5" t="inlineStr">
        <is>
          <t>Web — Data Stasiun (WB-)</t>
        </is>
      </c>
      <c r="G895" s="24" t="inlineStr">
        <is>
          <t>Batal tidak menyimpan apa pun</t>
        </is>
      </c>
      <c r="H895" s="5" t="inlineStr">
        <is>
          <t>SPV-A</t>
        </is>
      </c>
      <c r="I895" s="5" t="inlineStr">
        <is>
          <t>—</t>
        </is>
      </c>
      <c r="J895" s="5" t="inlineStr">
        <is>
          <t>1. Login di web, buka satu record CPO Dispatch, lalu tekan Edit (/data/cpo-dispatch/&lt;id&gt;/edit) untuk satu record CPO Dispatch. Catat nilai aslinya.
2. Ubah beberapa nilai: identitas, satu nilai pada grid, dan catatan.
3. Tekan Batal.
4. Buka Detail record itu dan bandingkan dengan catatan langkah 1.</t>
        </is>
      </c>
      <c r="K895" s="5" t="inlineStr">
        <is>
          <t>- Kembali ke layar sebelumnya.
- Seluruh nilai record tidak berubah — tidak satu pun suntingan tersimpan.
- Bila ada dialog konfirmasi saat Batal, isinya menyebut bahwa perubahan akan dibuang.</t>
        </is>
      </c>
      <c r="L895" s="22" t="inlineStr">
        <is>
          <t>Sedang</t>
        </is>
      </c>
      <c r="M895" s="5" t="inlineStr"/>
      <c r="N895" s="17" t="n"/>
      <c r="O895" s="17" t="n"/>
      <c r="P895" s="17" t="n"/>
      <c r="Q895" s="17" t="n"/>
      <c r="R895" s="17" t="n"/>
    </row>
    <row r="896" ht="136" customHeight="1">
      <c r="A896" s="18" t="n">
        <v>892</v>
      </c>
      <c r="B896" s="18" t="n">
        <v>3</v>
      </c>
      <c r="C896" s="19" t="inlineStr">
        <is>
          <t>WB-FRM-09 / Process Quality Control</t>
        </is>
      </c>
      <c r="D896" s="19" t="inlineStr">
        <is>
          <t>WB-FRM-09</t>
        </is>
      </c>
      <c r="E896" s="20" t="inlineStr">
        <is>
          <t>Process Quality Control</t>
        </is>
      </c>
      <c r="F896" s="21" t="inlineStr">
        <is>
          <t>Web — Data Stasiun (WB-)</t>
        </is>
      </c>
      <c r="G896" s="20" t="inlineStr">
        <is>
          <t>Batal tidak menyimpan apa pun</t>
        </is>
      </c>
      <c r="H896" s="21" t="inlineStr">
        <is>
          <t>SPV-A</t>
        </is>
      </c>
      <c r="I896" s="21" t="inlineStr">
        <is>
          <t>—</t>
        </is>
      </c>
      <c r="J896" s="21" t="inlineStr">
        <is>
          <t>1. Login di web, buka satu record Process Quality Control, lalu tekan Edit (/data/process-quality-control/&lt;id&gt;/edit) untuk satu record Process Quality Control. Catat nilai aslinya.
2. Ubah beberapa nilai: identitas, satu nilai pada grid, dan catatan.
3. Tekan Batal.
4. Buka Detail record itu dan bandingkan dengan catatan langkah 1.</t>
        </is>
      </c>
      <c r="K896" s="21" t="inlineStr">
        <is>
          <t>- Kembali ke layar sebelumnya.
- Seluruh nilai record tidak berubah — tidak satu pun suntingan tersimpan.
- Bila ada dialog konfirmasi saat Batal, isinya menyebut bahwa perubahan akan dibuang.</t>
        </is>
      </c>
      <c r="L896" s="18" t="inlineStr">
        <is>
          <t>Sedang</t>
        </is>
      </c>
      <c r="M896" s="21" t="inlineStr"/>
      <c r="N896" s="17" t="n"/>
      <c r="O896" s="17" t="n"/>
      <c r="P896" s="17" t="n"/>
      <c r="Q896" s="17" t="n"/>
      <c r="R896" s="17" t="n"/>
    </row>
    <row r="897" ht="136" customHeight="1">
      <c r="A897" s="22" t="n">
        <v>893</v>
      </c>
      <c r="B897" s="22" t="n">
        <v>3</v>
      </c>
      <c r="C897" s="23" t="inlineStr">
        <is>
          <t>WB-FRM-10 / Weighbridge</t>
        </is>
      </c>
      <c r="D897" s="23" t="inlineStr">
        <is>
          <t>WB-FRM-10</t>
        </is>
      </c>
      <c r="E897" s="24" t="inlineStr">
        <is>
          <t>Weighbridge</t>
        </is>
      </c>
      <c r="F897" s="5" t="inlineStr">
        <is>
          <t>Web — Data Stasiun (WB-)</t>
        </is>
      </c>
      <c r="G897" s="24" t="inlineStr">
        <is>
          <t>Ubah record berhasil dan terlihat di Detail</t>
        </is>
      </c>
      <c r="H897" s="5" t="inlineStr">
        <is>
          <t>SPV-A</t>
        </is>
      </c>
      <c r="I897" s="5" t="inlineStr">
        <is>
          <t>—</t>
        </is>
      </c>
      <c r="J897" s="5" t="inlineStr">
        <is>
          <t>1. Login di web, buka satu record Weighbridge, lalu tekan Edit (/data/weighbridge/&lt;id&gt;/edit) untuk satu record Weighbridge.
2. Ubah kolom identitas, ubah satu nilai pada grid, dan isi catatan.
3. Tekan Simpan.
4. Buka Detail record itu dan bandingkan ketiga perubahan.
5. Buka Data Browser dan periksa baris record itu.</t>
        </is>
      </c>
      <c r="K897" s="5" t="inlineStr">
        <is>
          <t>- Simpan berhasil.
- Ketiga perubahan terlihat di Detail.
- Baris di Data Browser juga menunjukkan identitas yang baru.</t>
        </is>
      </c>
      <c r="L897" s="16" t="inlineStr">
        <is>
          <t>Tinggi</t>
        </is>
      </c>
      <c r="M897" s="5" t="inlineStr"/>
      <c r="N897" s="17" t="n"/>
      <c r="O897" s="17" t="n"/>
      <c r="P897" s="17" t="n"/>
      <c r="Q897" s="17" t="n"/>
      <c r="R897" s="17" t="n"/>
    </row>
    <row r="898" ht="136" customHeight="1">
      <c r="A898" s="18" t="n">
        <v>894</v>
      </c>
      <c r="B898" s="18" t="n">
        <v>3</v>
      </c>
      <c r="C898" s="19" t="inlineStr">
        <is>
          <t>WB-FRM-10 / Grading</t>
        </is>
      </c>
      <c r="D898" s="19" t="inlineStr">
        <is>
          <t>WB-FRM-10</t>
        </is>
      </c>
      <c r="E898" s="20" t="inlineStr">
        <is>
          <t>Grading</t>
        </is>
      </c>
      <c r="F898" s="21" t="inlineStr">
        <is>
          <t>Web — Data Stasiun (WB-)</t>
        </is>
      </c>
      <c r="G898" s="20" t="inlineStr">
        <is>
          <t>Ubah record berhasil dan terlihat di Detail</t>
        </is>
      </c>
      <c r="H898" s="21" t="inlineStr">
        <is>
          <t>SPV-A</t>
        </is>
      </c>
      <c r="I898" s="21" t="inlineStr">
        <is>
          <t>—</t>
        </is>
      </c>
      <c r="J898" s="21" t="inlineStr">
        <is>
          <t>1. Login di web, buka satu record Grading, lalu tekan Edit (/data/grading/&lt;id&gt;/edit) untuk satu record Grading.
2. Ubah kolom identitas, ubah satu nilai pada grid, dan isi catatan.
3. Tekan Simpan.
4. Buka Detail record itu dan bandingkan ketiga perubahan.
5. Buka Data Browser dan periksa baris record itu.</t>
        </is>
      </c>
      <c r="K898" s="21" t="inlineStr">
        <is>
          <t>- Simpan berhasil.
- Ketiga perubahan terlihat di Detail.
- Baris di Data Browser juga menunjukkan identitas yang baru.</t>
        </is>
      </c>
      <c r="L898" s="16" t="inlineStr">
        <is>
          <t>Tinggi</t>
        </is>
      </c>
      <c r="M898" s="21" t="inlineStr"/>
      <c r="N898" s="17" t="n"/>
      <c r="O898" s="17" t="n"/>
      <c r="P898" s="17" t="n"/>
      <c r="Q898" s="17" t="n"/>
      <c r="R898" s="17" t="n"/>
    </row>
    <row r="899" ht="136" customHeight="1">
      <c r="A899" s="22" t="n">
        <v>895</v>
      </c>
      <c r="B899" s="22" t="n">
        <v>3</v>
      </c>
      <c r="C899" s="23" t="inlineStr">
        <is>
          <t>WB-FRM-10 / Cages Track</t>
        </is>
      </c>
      <c r="D899" s="23" t="inlineStr">
        <is>
          <t>WB-FRM-10</t>
        </is>
      </c>
      <c r="E899" s="24" t="inlineStr">
        <is>
          <t>Cages Track</t>
        </is>
      </c>
      <c r="F899" s="5" t="inlineStr">
        <is>
          <t>Web — Data Stasiun (WB-)</t>
        </is>
      </c>
      <c r="G899" s="24" t="inlineStr">
        <is>
          <t>Ubah record berhasil dan terlihat di Detail</t>
        </is>
      </c>
      <c r="H899" s="5" t="inlineStr">
        <is>
          <t>SPV-A</t>
        </is>
      </c>
      <c r="I899" s="5" t="inlineStr">
        <is>
          <t>—</t>
        </is>
      </c>
      <c r="J899" s="5" t="inlineStr">
        <is>
          <t>1. Login di web, buka satu record Cages Track, lalu tekan Edit (/data/cages-track/&lt;id&gt;/edit) untuk satu record Cages Track.
2. Ubah kolom identitas, ubah satu nilai pada grid, dan isi catatan.
3. Tekan Simpan.
4. Buka Detail record itu dan bandingkan ketiga perubahan.
5. Buka Data Browser dan periksa baris record itu.</t>
        </is>
      </c>
      <c r="K899" s="5" t="inlineStr">
        <is>
          <t>- Simpan berhasil.
- Ketiga perubahan terlihat di Detail.
- Baris di Data Browser juga menunjukkan identitas yang baru.</t>
        </is>
      </c>
      <c r="L899" s="16" t="inlineStr">
        <is>
          <t>Tinggi</t>
        </is>
      </c>
      <c r="M899" s="5" t="inlineStr"/>
      <c r="N899" s="17" t="n"/>
      <c r="O899" s="17" t="n"/>
      <c r="P899" s="17" t="n"/>
      <c r="Q899" s="17" t="n"/>
      <c r="R899" s="17" t="n"/>
    </row>
    <row r="900" ht="136" customHeight="1">
      <c r="A900" s="18" t="n">
        <v>896</v>
      </c>
      <c r="B900" s="18" t="n">
        <v>3</v>
      </c>
      <c r="C900" s="19" t="inlineStr">
        <is>
          <t>WB-FRM-10 / Sterilizer</t>
        </is>
      </c>
      <c r="D900" s="19" t="inlineStr">
        <is>
          <t>WB-FRM-10</t>
        </is>
      </c>
      <c r="E900" s="20" t="inlineStr">
        <is>
          <t>Sterilizer</t>
        </is>
      </c>
      <c r="F900" s="21" t="inlineStr">
        <is>
          <t>Web — Data Stasiun (WB-)</t>
        </is>
      </c>
      <c r="G900" s="20" t="inlineStr">
        <is>
          <t>Ubah record berhasil dan terlihat di Detail</t>
        </is>
      </c>
      <c r="H900" s="21" t="inlineStr">
        <is>
          <t>SPV-A</t>
        </is>
      </c>
      <c r="I900" s="21" t="inlineStr">
        <is>
          <t>—</t>
        </is>
      </c>
      <c r="J900" s="21" t="inlineStr">
        <is>
          <t>1. Login di web, buka satu record Sterilizer, lalu tekan Edit (/data/sterilizer/&lt;id&gt;/edit) untuk satu record Sterilizer.
2. Ubah kolom identitas, ubah satu nilai pada grid, dan isi catatan.
3. Tekan Simpan.
4. Buka Detail record itu dan bandingkan ketiga perubahan.
5. Buka Data Browser dan periksa baris record itu.</t>
        </is>
      </c>
      <c r="K900" s="21" t="inlineStr">
        <is>
          <t>- Simpan berhasil.
- Ketiga perubahan terlihat di Detail.
- Baris di Data Browser juga menunjukkan identitas yang baru.</t>
        </is>
      </c>
      <c r="L900" s="16" t="inlineStr">
        <is>
          <t>Tinggi</t>
        </is>
      </c>
      <c r="M900" s="21" t="inlineStr"/>
      <c r="N900" s="17" t="n"/>
      <c r="O900" s="17" t="n"/>
      <c r="P900" s="17" t="n"/>
      <c r="Q900" s="17" t="n"/>
      <c r="R900" s="17" t="n"/>
    </row>
    <row r="901" ht="136" customHeight="1">
      <c r="A901" s="22" t="n">
        <v>897</v>
      </c>
      <c r="B901" s="22" t="n">
        <v>3</v>
      </c>
      <c r="C901" s="23" t="inlineStr">
        <is>
          <t>WB-FRM-10 / Threshing</t>
        </is>
      </c>
      <c r="D901" s="23" t="inlineStr">
        <is>
          <t>WB-FRM-10</t>
        </is>
      </c>
      <c r="E901" s="24" t="inlineStr">
        <is>
          <t>Threshing</t>
        </is>
      </c>
      <c r="F901" s="5" t="inlineStr">
        <is>
          <t>Web — Data Stasiun (WB-)</t>
        </is>
      </c>
      <c r="G901" s="24" t="inlineStr">
        <is>
          <t>Ubah record berhasil dan terlihat di Detail</t>
        </is>
      </c>
      <c r="H901" s="5" t="inlineStr">
        <is>
          <t>SPV-A</t>
        </is>
      </c>
      <c r="I901" s="5" t="inlineStr">
        <is>
          <t>—</t>
        </is>
      </c>
      <c r="J901" s="5" t="inlineStr">
        <is>
          <t>1. Login di web, buka satu record Threshing, lalu tekan Edit (/data/threshing/&lt;id&gt;/edit) untuk satu record Threshing.
2. Ubah kolom identitas, ubah satu nilai pada grid, dan isi catatan.
3. Tekan Simpan.
4. Buka Detail record itu dan bandingkan ketiga perubahan.
5. Buka Data Browser dan periksa baris record itu.</t>
        </is>
      </c>
      <c r="K901" s="5" t="inlineStr">
        <is>
          <t>- Simpan berhasil.
- Ketiga perubahan terlihat di Detail.
- Baris di Data Browser juga menunjukkan identitas yang baru.</t>
        </is>
      </c>
      <c r="L901" s="16" t="inlineStr">
        <is>
          <t>Tinggi</t>
        </is>
      </c>
      <c r="M901" s="5" t="inlineStr"/>
      <c r="N901" s="17" t="n"/>
      <c r="O901" s="17" t="n"/>
      <c r="P901" s="17" t="n"/>
      <c r="Q901" s="17" t="n"/>
      <c r="R901" s="17" t="n"/>
    </row>
    <row r="902" ht="136" customHeight="1">
      <c r="A902" s="18" t="n">
        <v>898</v>
      </c>
      <c r="B902" s="18" t="n">
        <v>3</v>
      </c>
      <c r="C902" s="19" t="inlineStr">
        <is>
          <t>WB-FRM-10 / Pressing</t>
        </is>
      </c>
      <c r="D902" s="19" t="inlineStr">
        <is>
          <t>WB-FRM-10</t>
        </is>
      </c>
      <c r="E902" s="20" t="inlineStr">
        <is>
          <t>Pressing</t>
        </is>
      </c>
      <c r="F902" s="21" t="inlineStr">
        <is>
          <t>Web — Data Stasiun (WB-)</t>
        </is>
      </c>
      <c r="G902" s="20" t="inlineStr">
        <is>
          <t>Ubah record berhasil dan terlihat di Detail</t>
        </is>
      </c>
      <c r="H902" s="21" t="inlineStr">
        <is>
          <t>SPV-A</t>
        </is>
      </c>
      <c r="I902" s="21" t="inlineStr">
        <is>
          <t>—</t>
        </is>
      </c>
      <c r="J902" s="21" t="inlineStr">
        <is>
          <t>1. Login di web, buka satu record Pressing, lalu tekan Edit (/data/pressing/&lt;id&gt;/edit) untuk satu record Pressing.
2. Ubah kolom identitas, ubah satu nilai pada grid, dan isi catatan.
3. Tekan Simpan.
4. Buka Detail record itu dan bandingkan ketiga perubahan.
5. Buka Data Browser dan periksa baris record itu.</t>
        </is>
      </c>
      <c r="K902" s="21" t="inlineStr">
        <is>
          <t>- Simpan berhasil.
- Ketiga perubahan terlihat di Detail.
- Baris di Data Browser juga menunjukkan identitas yang baru.</t>
        </is>
      </c>
      <c r="L902" s="16" t="inlineStr">
        <is>
          <t>Tinggi</t>
        </is>
      </c>
      <c r="M902" s="21" t="inlineStr"/>
      <c r="N902" s="17" t="n"/>
      <c r="O902" s="17" t="n"/>
      <c r="P902" s="17" t="n"/>
      <c r="Q902" s="17" t="n"/>
      <c r="R902" s="17" t="n"/>
    </row>
    <row r="903" ht="136" customHeight="1">
      <c r="A903" s="22" t="n">
        <v>899</v>
      </c>
      <c r="B903" s="22" t="n">
        <v>3</v>
      </c>
      <c r="C903" s="23" t="inlineStr">
        <is>
          <t>WB-FRM-10 / Clarification</t>
        </is>
      </c>
      <c r="D903" s="23" t="inlineStr">
        <is>
          <t>WB-FRM-10</t>
        </is>
      </c>
      <c r="E903" s="24" t="inlineStr">
        <is>
          <t>Clarification</t>
        </is>
      </c>
      <c r="F903" s="5" t="inlineStr">
        <is>
          <t>Web — Data Stasiun (WB-)</t>
        </is>
      </c>
      <c r="G903" s="24" t="inlineStr">
        <is>
          <t>Ubah record berhasil dan terlihat di Detail</t>
        </is>
      </c>
      <c r="H903" s="5" t="inlineStr">
        <is>
          <t>SPV-A</t>
        </is>
      </c>
      <c r="I903" s="5" t="inlineStr">
        <is>
          <t>—</t>
        </is>
      </c>
      <c r="J903" s="5" t="inlineStr">
        <is>
          <t>1. Login di web, buka satu record Clarification, lalu tekan Edit (/data/clarification/&lt;id&gt;/edit) untuk satu record Clarification.
2. Ubah kolom identitas, ubah satu nilai pada grid, dan isi catatan.
3. Tekan Simpan.
4. Buka Detail record itu dan bandingkan ketiga perubahan.
5. Buka Data Browser dan periksa baris record itu.</t>
        </is>
      </c>
      <c r="K903" s="5" t="inlineStr">
        <is>
          <t>- Simpan berhasil.
- Ketiga perubahan terlihat di Detail.
- Baris di Data Browser juga menunjukkan identitas yang baru.</t>
        </is>
      </c>
      <c r="L903" s="16" t="inlineStr">
        <is>
          <t>Tinggi</t>
        </is>
      </c>
      <c r="M903" s="5" t="inlineStr"/>
      <c r="N903" s="17" t="n"/>
      <c r="O903" s="17" t="n"/>
      <c r="P903" s="17" t="n"/>
      <c r="Q903" s="17" t="n"/>
      <c r="R903" s="17" t="n"/>
    </row>
    <row r="904" ht="136" customHeight="1">
      <c r="A904" s="18" t="n">
        <v>900</v>
      </c>
      <c r="B904" s="18" t="n">
        <v>3</v>
      </c>
      <c r="C904" s="19" t="inlineStr">
        <is>
          <t>WB-FRM-10 / Kernel Plant</t>
        </is>
      </c>
      <c r="D904" s="19" t="inlineStr">
        <is>
          <t>WB-FRM-10</t>
        </is>
      </c>
      <c r="E904" s="20" t="inlineStr">
        <is>
          <t>Kernel Plant</t>
        </is>
      </c>
      <c r="F904" s="21" t="inlineStr">
        <is>
          <t>Web — Data Stasiun (WB-)</t>
        </is>
      </c>
      <c r="G904" s="20" t="inlineStr">
        <is>
          <t>Ubah record berhasil dan terlihat di Detail</t>
        </is>
      </c>
      <c r="H904" s="21" t="inlineStr">
        <is>
          <t>SPV-A</t>
        </is>
      </c>
      <c r="I904" s="21" t="inlineStr">
        <is>
          <t>—</t>
        </is>
      </c>
      <c r="J904" s="21" t="inlineStr">
        <is>
          <t>1. Login di web, buka satu record Kernel Plant, lalu tekan Edit (/data/kernel-plant/&lt;id&gt;/edit) untuk satu record Kernel Plant.
2. Ubah kolom identitas, ubah satu nilai pada grid, dan isi catatan.
3. Tekan Simpan.
4. Buka Detail record itu dan bandingkan ketiga perubahan.
5. Buka Data Browser dan periksa baris record itu.</t>
        </is>
      </c>
      <c r="K904" s="21" t="inlineStr">
        <is>
          <t>- Simpan berhasil.
- Ketiga perubahan terlihat di Detail.
- Baris di Data Browser juga menunjukkan identitas yang baru.</t>
        </is>
      </c>
      <c r="L904" s="16" t="inlineStr">
        <is>
          <t>Tinggi</t>
        </is>
      </c>
      <c r="M904" s="21" t="inlineStr"/>
      <c r="N904" s="17" t="n"/>
      <c r="O904" s="17" t="n"/>
      <c r="P904" s="17" t="n"/>
      <c r="Q904" s="17" t="n"/>
      <c r="R904" s="17" t="n"/>
    </row>
    <row r="905" ht="136" customHeight="1">
      <c r="A905" s="22" t="n">
        <v>901</v>
      </c>
      <c r="B905" s="22" t="n">
        <v>3</v>
      </c>
      <c r="C905" s="23" t="inlineStr">
        <is>
          <t>WB-FRM-10 / Boiler Room</t>
        </is>
      </c>
      <c r="D905" s="23" t="inlineStr">
        <is>
          <t>WB-FRM-10</t>
        </is>
      </c>
      <c r="E905" s="24" t="inlineStr">
        <is>
          <t>Boiler Room</t>
        </is>
      </c>
      <c r="F905" s="5" t="inlineStr">
        <is>
          <t>Web — Data Stasiun (WB-)</t>
        </is>
      </c>
      <c r="G905" s="24" t="inlineStr">
        <is>
          <t>Ubah record berhasil dan terlihat di Detail</t>
        </is>
      </c>
      <c r="H905" s="5" t="inlineStr">
        <is>
          <t>SPV-A</t>
        </is>
      </c>
      <c r="I905" s="5" t="inlineStr">
        <is>
          <t>—</t>
        </is>
      </c>
      <c r="J905" s="5" t="inlineStr">
        <is>
          <t>1. Login di web, buka satu record Boiler Room, lalu tekan Edit (/data/boiler-room/&lt;id&gt;/edit) untuk satu record Boiler Room.
2. Ubah kolom identitas, ubah satu nilai pada grid, dan isi catatan.
3. Tekan Simpan.
4. Buka Detail record itu dan bandingkan ketiga perubahan.
5. Buka Data Browser dan periksa baris record itu.</t>
        </is>
      </c>
      <c r="K905" s="5" t="inlineStr">
        <is>
          <t>- Simpan berhasil.
- Ketiga perubahan terlihat di Detail.
- Baris di Data Browser juga menunjukkan identitas yang baru.</t>
        </is>
      </c>
      <c r="L905" s="16" t="inlineStr">
        <is>
          <t>Tinggi</t>
        </is>
      </c>
      <c r="M905" s="5" t="inlineStr"/>
      <c r="N905" s="17" t="n"/>
      <c r="O905" s="17" t="n"/>
      <c r="P905" s="17" t="n"/>
      <c r="Q905" s="17" t="n"/>
      <c r="R905" s="17" t="n"/>
    </row>
    <row r="906" ht="136" customHeight="1">
      <c r="A906" s="18" t="n">
        <v>902</v>
      </c>
      <c r="B906" s="18" t="n">
        <v>3</v>
      </c>
      <c r="C906" s="19" t="inlineStr">
        <is>
          <t>WB-FRM-10 / Effluent Plant</t>
        </is>
      </c>
      <c r="D906" s="19" t="inlineStr">
        <is>
          <t>WB-FRM-10</t>
        </is>
      </c>
      <c r="E906" s="20" t="inlineStr">
        <is>
          <t>Effluent Plant</t>
        </is>
      </c>
      <c r="F906" s="21" t="inlineStr">
        <is>
          <t>Web — Data Stasiun (WB-)</t>
        </is>
      </c>
      <c r="G906" s="20" t="inlineStr">
        <is>
          <t>Ubah record berhasil dan terlihat di Detail</t>
        </is>
      </c>
      <c r="H906" s="21" t="inlineStr">
        <is>
          <t>SPV-A</t>
        </is>
      </c>
      <c r="I906" s="21" t="inlineStr">
        <is>
          <t>—</t>
        </is>
      </c>
      <c r="J906" s="21" t="inlineStr">
        <is>
          <t>1. Login di web, buka satu record Effluent Plant, lalu tekan Edit (/data/effluent-plant/&lt;id&gt;/edit) untuk satu record Effluent Plant.
2. Ubah kolom identitas, ubah satu nilai pada grid, dan isi catatan.
3. Tekan Simpan.
4. Buka Detail record itu dan bandingkan ketiga perubahan.
5. Buka Data Browser dan periksa baris record itu.</t>
        </is>
      </c>
      <c r="K906" s="21" t="inlineStr">
        <is>
          <t>- Simpan berhasil.
- Ketiga perubahan terlihat di Detail.
- Baris di Data Browser juga menunjukkan identitas yang baru.</t>
        </is>
      </c>
      <c r="L906" s="16" t="inlineStr">
        <is>
          <t>Tinggi</t>
        </is>
      </c>
      <c r="M906" s="21" t="inlineStr"/>
      <c r="N906" s="17" t="n"/>
      <c r="O906" s="17" t="n"/>
      <c r="P906" s="17" t="n"/>
      <c r="Q906" s="17" t="n"/>
      <c r="R906" s="17" t="n"/>
    </row>
    <row r="907" ht="136" customHeight="1">
      <c r="A907" s="11" t="n">
        <v>903</v>
      </c>
      <c r="B907" s="12" t="n">
        <v>1</v>
      </c>
      <c r="C907" s="13" t="inlineStr">
        <is>
          <t>WB-FRM-10 / Depricarping</t>
        </is>
      </c>
      <c r="D907" s="13" t="inlineStr">
        <is>
          <t>WB-FRM-10</t>
        </is>
      </c>
      <c r="E907" s="15" t="inlineStr">
        <is>
          <t>Depricarping</t>
        </is>
      </c>
      <c r="F907" s="14" t="inlineStr">
        <is>
          <t>Web — Data Stasiun (WB-)</t>
        </is>
      </c>
      <c r="G907" s="15" t="inlineStr">
        <is>
          <t>Ubah record berhasil dan terlihat di Detail</t>
        </is>
      </c>
      <c r="H907" s="14" t="inlineStr">
        <is>
          <t>SPV-A</t>
        </is>
      </c>
      <c r="I907" s="14" t="inlineStr">
        <is>
          <t>—</t>
        </is>
      </c>
      <c r="J907" s="14" t="inlineStr">
        <is>
          <t>1. Login di web, buka satu record Depricarping, lalu tekan Edit (/data/depricarping/&lt;id&gt;/edit) untuk satu record Depricarping.
2. Ubah kolom identitas, ubah satu nilai pada grid, dan isi catatan.
3. Tekan Simpan.
4. Buka Detail record itu dan bandingkan ketiga perubahan.
5. Buka Data Browser dan periksa baris record itu.</t>
        </is>
      </c>
      <c r="K907" s="14" t="inlineStr">
        <is>
          <t>- Simpan berhasil.
- Ketiga perubahan terlihat di Detail.
- Baris di Data Browser juga menunjukkan identitas yang baru.</t>
        </is>
      </c>
      <c r="L907" s="16" t="inlineStr">
        <is>
          <t>Tinggi</t>
        </is>
      </c>
      <c r="M907" s="14" t="inlineStr"/>
      <c r="N907" s="17" t="n"/>
      <c r="O907" s="17" t="n"/>
      <c r="P907" s="17" t="n"/>
      <c r="Q907" s="17" t="n"/>
      <c r="R907" s="17" t="n"/>
    </row>
    <row r="908" ht="136" customHeight="1">
      <c r="A908" s="18" t="n">
        <v>904</v>
      </c>
      <c r="B908" s="18" t="n">
        <v>3</v>
      </c>
      <c r="C908" s="19" t="inlineStr">
        <is>
          <t>WB-FRM-10 / Engine Room</t>
        </is>
      </c>
      <c r="D908" s="19" t="inlineStr">
        <is>
          <t>WB-FRM-10</t>
        </is>
      </c>
      <c r="E908" s="20" t="inlineStr">
        <is>
          <t>Engine Room</t>
        </is>
      </c>
      <c r="F908" s="21" t="inlineStr">
        <is>
          <t>Web — Data Stasiun (WB-)</t>
        </is>
      </c>
      <c r="G908" s="20" t="inlineStr">
        <is>
          <t>Ubah record berhasil dan terlihat di Detail</t>
        </is>
      </c>
      <c r="H908" s="21" t="inlineStr">
        <is>
          <t>SPV-A</t>
        </is>
      </c>
      <c r="I908" s="21" t="inlineStr">
        <is>
          <t>—</t>
        </is>
      </c>
      <c r="J908" s="21" t="inlineStr">
        <is>
          <t>1. Login di web, buka satu record Engine Room, lalu tekan Edit (/data/engine-room/&lt;id&gt;/edit) untuk satu record Engine Room.
2. Ubah kolom identitas, ubah satu nilai pada grid, dan isi catatan.
3. Tekan Simpan.
4. Buka Detail record itu dan bandingkan ketiga perubahan.
5. Buka Data Browser dan periksa baris record itu.</t>
        </is>
      </c>
      <c r="K908" s="21" t="inlineStr">
        <is>
          <t>- Simpan berhasil.
- Ketiga perubahan terlihat di Detail.
- Baris di Data Browser juga menunjukkan identitas yang baru.</t>
        </is>
      </c>
      <c r="L908" s="16" t="inlineStr">
        <is>
          <t>Tinggi</t>
        </is>
      </c>
      <c r="M908" s="21" t="inlineStr"/>
      <c r="N908" s="17" t="n"/>
      <c r="O908" s="17" t="n"/>
      <c r="P908" s="17" t="n"/>
      <c r="Q908" s="17" t="n"/>
      <c r="R908" s="17" t="n"/>
    </row>
    <row r="909" ht="136" customHeight="1">
      <c r="A909" s="22" t="n">
        <v>905</v>
      </c>
      <c r="B909" s="22" t="n">
        <v>3</v>
      </c>
      <c r="C909" s="23" t="inlineStr">
        <is>
          <t>WB-FRM-10 / Process Water</t>
        </is>
      </c>
      <c r="D909" s="23" t="inlineStr">
        <is>
          <t>WB-FRM-10</t>
        </is>
      </c>
      <c r="E909" s="24" t="inlineStr">
        <is>
          <t>Process Water</t>
        </is>
      </c>
      <c r="F909" s="5" t="inlineStr">
        <is>
          <t>Web — Data Stasiun (WB-)</t>
        </is>
      </c>
      <c r="G909" s="24" t="inlineStr">
        <is>
          <t>Ubah record berhasil dan terlihat di Detail</t>
        </is>
      </c>
      <c r="H909" s="5" t="inlineStr">
        <is>
          <t>SPV-A</t>
        </is>
      </c>
      <c r="I909" s="5" t="inlineStr">
        <is>
          <t>—</t>
        </is>
      </c>
      <c r="J909" s="5" t="inlineStr">
        <is>
          <t>1. Login di web, buka satu record Process Water, lalu tekan Edit (/data/process-water/&lt;id&gt;/edit) untuk satu record Process Water.
2. Ubah kolom identitas, ubah satu nilai pada grid, dan isi catatan.
3. Tekan Simpan.
4. Buka Detail record itu dan bandingkan ketiga perubahan.
5. Buka Data Browser dan periksa baris record itu.</t>
        </is>
      </c>
      <c r="K909" s="5" t="inlineStr">
        <is>
          <t>- Simpan berhasil.
- Ketiga perubahan terlihat di Detail.
- Baris di Data Browser juga menunjukkan identitas yang baru.</t>
        </is>
      </c>
      <c r="L909" s="16" t="inlineStr">
        <is>
          <t>Tinggi</t>
        </is>
      </c>
      <c r="M909" s="5" t="inlineStr"/>
      <c r="N909" s="17" t="n"/>
      <c r="O909" s="17" t="n"/>
      <c r="P909" s="17" t="n"/>
      <c r="Q909" s="17" t="n"/>
      <c r="R909" s="17" t="n"/>
    </row>
    <row r="910" ht="136" customHeight="1">
      <c r="A910" s="18" t="n">
        <v>906</v>
      </c>
      <c r="B910" s="18" t="n">
        <v>3</v>
      </c>
      <c r="C910" s="19" t="inlineStr">
        <is>
          <t>WB-FRM-10 / Storage Tank</t>
        </is>
      </c>
      <c r="D910" s="19" t="inlineStr">
        <is>
          <t>WB-FRM-10</t>
        </is>
      </c>
      <c r="E910" s="20" t="inlineStr">
        <is>
          <t>Storage Tank</t>
        </is>
      </c>
      <c r="F910" s="21" t="inlineStr">
        <is>
          <t>Web — Data Stasiun (WB-)</t>
        </is>
      </c>
      <c r="G910" s="20" t="inlineStr">
        <is>
          <t>Ubah record berhasil dan terlihat di Detail</t>
        </is>
      </c>
      <c r="H910" s="21" t="inlineStr">
        <is>
          <t>SPV-A</t>
        </is>
      </c>
      <c r="I910" s="21" t="inlineStr">
        <is>
          <t>—</t>
        </is>
      </c>
      <c r="J910" s="21" t="inlineStr">
        <is>
          <t>1. Login di web, buka satu record Storage Tank, lalu tekan Edit (/data/storage-tank/&lt;id&gt;/edit) untuk satu record Storage Tank.
2. Ubah kolom identitas, ubah satu nilai pada grid, dan isi catatan.
3. Tekan Simpan.
4. Buka Detail record itu dan bandingkan ketiga perubahan.
5. Buka Data Browser dan periksa baris record itu.</t>
        </is>
      </c>
      <c r="K910" s="21" t="inlineStr">
        <is>
          <t>- Simpan berhasil.
- Ketiga perubahan terlihat di Detail.
- Baris di Data Browser juga menunjukkan identitas yang baru.</t>
        </is>
      </c>
      <c r="L910" s="16" t="inlineStr">
        <is>
          <t>Tinggi</t>
        </is>
      </c>
      <c r="M910" s="21" t="inlineStr"/>
      <c r="N910" s="17" t="n"/>
      <c r="O910" s="17" t="n"/>
      <c r="P910" s="17" t="n"/>
      <c r="Q910" s="17" t="n"/>
      <c r="R910" s="17" t="n"/>
    </row>
    <row r="911" ht="149.2" customHeight="1">
      <c r="A911" s="22" t="n">
        <v>907</v>
      </c>
      <c r="B911" s="22" t="n">
        <v>3</v>
      </c>
      <c r="C911" s="23" t="inlineStr">
        <is>
          <t>WB-FRM-10 / Solid Waste Disposal</t>
        </is>
      </c>
      <c r="D911" s="23" t="inlineStr">
        <is>
          <t>WB-FRM-10</t>
        </is>
      </c>
      <c r="E911" s="24" t="inlineStr">
        <is>
          <t>Solid Waste Disposal</t>
        </is>
      </c>
      <c r="F911" s="5" t="inlineStr">
        <is>
          <t>Web — Data Stasiun (WB-)</t>
        </is>
      </c>
      <c r="G911" s="24" t="inlineStr">
        <is>
          <t>Ubah record berhasil dan terlihat di Detail</t>
        </is>
      </c>
      <c r="H911" s="5" t="inlineStr">
        <is>
          <t>SPV-A</t>
        </is>
      </c>
      <c r="I911" s="5" t="inlineStr">
        <is>
          <t>—</t>
        </is>
      </c>
      <c r="J911" s="5" t="inlineStr">
        <is>
          <t>1. Login di web, buka satu record Solid Waste Disposal, lalu tekan Edit (/data/solid-waste-disposal/&lt;id&gt;/edit) untuk satu record Solid Waste Disposal.
2. Ubah kolom identitas, ubah satu nilai pada grid, dan isi catatan.
3. Tekan Simpan.
4. Buka Detail record itu dan bandingkan ketiga perubahan.
5. Buka Data Browser dan periksa baris record itu.</t>
        </is>
      </c>
      <c r="K911" s="5" t="inlineStr">
        <is>
          <t>- Simpan berhasil.
- Ketiga perubahan terlihat di Detail.
- Baris di Data Browser juga menunjukkan identitas yang baru.</t>
        </is>
      </c>
      <c r="L911" s="16" t="inlineStr">
        <is>
          <t>Tinggi</t>
        </is>
      </c>
      <c r="M911" s="5" t="inlineStr"/>
      <c r="N911" s="17" t="n"/>
      <c r="O911" s="17" t="n"/>
      <c r="P911" s="17" t="n"/>
      <c r="Q911" s="17" t="n"/>
      <c r="R911" s="17" t="n"/>
    </row>
    <row r="912" ht="149.2" customHeight="1">
      <c r="A912" s="18" t="n">
        <v>908</v>
      </c>
      <c r="B912" s="18" t="n">
        <v>3</v>
      </c>
      <c r="C912" s="19" t="inlineStr">
        <is>
          <t>WB-FRM-10 / Kernel Dispatch</t>
        </is>
      </c>
      <c r="D912" s="19" t="inlineStr">
        <is>
          <t>WB-FRM-10</t>
        </is>
      </c>
      <c r="E912" s="20" t="inlineStr">
        <is>
          <t>Kernel Dispatch</t>
        </is>
      </c>
      <c r="F912" s="21" t="inlineStr">
        <is>
          <t>Web — Data Stasiun (WB-)</t>
        </is>
      </c>
      <c r="G912" s="20" t="inlineStr">
        <is>
          <t>Ubah record berhasil dan terlihat di Detail</t>
        </is>
      </c>
      <c r="H912" s="21" t="inlineStr">
        <is>
          <t>SPV-A</t>
        </is>
      </c>
      <c r="I912" s="21" t="inlineStr">
        <is>
          <t>—</t>
        </is>
      </c>
      <c r="J912" s="21" t="inlineStr">
        <is>
          <t>1. Login di web, buka satu record Kernel Dispatch, lalu tekan Edit (/data/kernel-dispatch/&lt;id&gt;/edit) untuk satu record Kernel Dispatch.
2. Ubah kolom identitas, ubah satu nilai pada grid, dan isi catatan.
3. Tekan Simpan.
4. Buka Detail record itu dan bandingkan ketiga perubahan.
5. Buka Data Browser dan periksa baris record itu.</t>
        </is>
      </c>
      <c r="K912" s="21" t="inlineStr">
        <is>
          <t>- Simpan berhasil.
- Ketiga perubahan terlihat di Detail.
- Baris di Data Browser juga menunjukkan identitas yang baru.</t>
        </is>
      </c>
      <c r="L912" s="16" t="inlineStr">
        <is>
          <t>Tinggi</t>
        </is>
      </c>
      <c r="M912" s="21" t="inlineStr"/>
      <c r="N912" s="17" t="n"/>
      <c r="O912" s="17" t="n"/>
      <c r="P912" s="17" t="n"/>
      <c r="Q912" s="17" t="n"/>
      <c r="R912" s="17" t="n"/>
    </row>
    <row r="913" ht="136" customHeight="1">
      <c r="A913" s="22" t="n">
        <v>909</v>
      </c>
      <c r="B913" s="22" t="n">
        <v>3</v>
      </c>
      <c r="C913" s="23" t="inlineStr">
        <is>
          <t>WB-FRM-10 / CPO Dispatch</t>
        </is>
      </c>
      <c r="D913" s="23" t="inlineStr">
        <is>
          <t>WB-FRM-10</t>
        </is>
      </c>
      <c r="E913" s="24" t="inlineStr">
        <is>
          <t>CPO Dispatch</t>
        </is>
      </c>
      <c r="F913" s="5" t="inlineStr">
        <is>
          <t>Web — Data Stasiun (WB-)</t>
        </is>
      </c>
      <c r="G913" s="24" t="inlineStr">
        <is>
          <t>Ubah record berhasil dan terlihat di Detail</t>
        </is>
      </c>
      <c r="H913" s="5" t="inlineStr">
        <is>
          <t>SPV-A</t>
        </is>
      </c>
      <c r="I913" s="5" t="inlineStr">
        <is>
          <t>—</t>
        </is>
      </c>
      <c r="J913" s="5" t="inlineStr">
        <is>
          <t>1. Login di web, buka satu record CPO Dispatch, lalu tekan Edit (/data/cpo-dispatch/&lt;id&gt;/edit) untuk satu record CPO Dispatch.
2. Ubah kolom identitas, ubah satu nilai pada grid, dan isi catatan.
3. Tekan Simpan.
4. Buka Detail record itu dan bandingkan ketiga perubahan.
5. Buka Data Browser dan periksa baris record itu.</t>
        </is>
      </c>
      <c r="K913" s="5" t="inlineStr">
        <is>
          <t>- Simpan berhasil.
- Ketiga perubahan terlihat di Detail.
- Baris di Data Browser juga menunjukkan identitas yang baru.</t>
        </is>
      </c>
      <c r="L913" s="16" t="inlineStr">
        <is>
          <t>Tinggi</t>
        </is>
      </c>
      <c r="M913" s="5" t="inlineStr"/>
      <c r="N913" s="17" t="n"/>
      <c r="O913" s="17" t="n"/>
      <c r="P913" s="17" t="n"/>
      <c r="Q913" s="17" t="n"/>
      <c r="R913" s="17" t="n"/>
    </row>
    <row r="914" ht="149.2" customHeight="1">
      <c r="A914" s="18" t="n">
        <v>910</v>
      </c>
      <c r="B914" s="18" t="n">
        <v>3</v>
      </c>
      <c r="C914" s="19" t="inlineStr">
        <is>
          <t>WB-FRM-10 / Process Quality Control</t>
        </is>
      </c>
      <c r="D914" s="19" t="inlineStr">
        <is>
          <t>WB-FRM-10</t>
        </is>
      </c>
      <c r="E914" s="20" t="inlineStr">
        <is>
          <t>Process Quality Control</t>
        </is>
      </c>
      <c r="F914" s="21" t="inlineStr">
        <is>
          <t>Web — Data Stasiun (WB-)</t>
        </is>
      </c>
      <c r="G914" s="20" t="inlineStr">
        <is>
          <t>Ubah record berhasil dan terlihat di Detail</t>
        </is>
      </c>
      <c r="H914" s="21" t="inlineStr">
        <is>
          <t>SPV-A</t>
        </is>
      </c>
      <c r="I914" s="21" t="inlineStr">
        <is>
          <t>—</t>
        </is>
      </c>
      <c r="J914" s="21" t="inlineStr">
        <is>
          <t>1. Login di web, buka satu record Process Quality Control, lalu tekan Edit (/data/process-quality-control/&lt;id&gt;/edit) untuk satu record Process Quality Control.
2. Ubah kolom identitas, ubah satu nilai pada grid, dan isi catatan.
3. Tekan Simpan.
4. Buka Detail record itu dan bandingkan ketiga perubahan.
5. Buka Data Browser dan periksa baris record itu.</t>
        </is>
      </c>
      <c r="K914" s="21" t="inlineStr">
        <is>
          <t>- Simpan berhasil.
- Ketiga perubahan terlihat di Detail.
- Baris di Data Browser juga menunjukkan identitas yang baru.</t>
        </is>
      </c>
      <c r="L914" s="16" t="inlineStr">
        <is>
          <t>Tinggi</t>
        </is>
      </c>
      <c r="M914" s="21" t="inlineStr"/>
      <c r="N914" s="17" t="n"/>
      <c r="O914" s="17" t="n"/>
      <c r="P914" s="17" t="n"/>
      <c r="Q914" s="17" t="n"/>
      <c r="R914" s="17" t="n"/>
    </row>
    <row r="915" ht="136" customHeight="1">
      <c r="A915" s="22" t="n">
        <v>911</v>
      </c>
      <c r="B915" s="22" t="n">
        <v>3</v>
      </c>
      <c r="C915" s="23" t="inlineStr">
        <is>
          <t>WB-FRM-11 / Weighbridge</t>
        </is>
      </c>
      <c r="D915" s="23" t="inlineStr">
        <is>
          <t>WB-FRM-11</t>
        </is>
      </c>
      <c r="E915" s="24" t="inlineStr">
        <is>
          <t>Weighbridge</t>
        </is>
      </c>
      <c r="F915" s="5" t="inlineStr">
        <is>
          <t>Web — Data Stasiun (WB-)</t>
        </is>
      </c>
      <c r="G915" s="24" t="inlineStr">
        <is>
          <t>Hapus baris mengurangi "Jumlah Baris Terisi"</t>
        </is>
      </c>
      <c r="H915" s="5" t="inlineStr">
        <is>
          <t>SPV-A</t>
        </is>
      </c>
      <c r="I915" s="5" t="inlineStr">
        <is>
          <t>record dengan 3 baris terisi</t>
        </is>
      </c>
      <c r="J915" s="5" t="inlineStr">
        <is>
          <t>1. Siapkan satu record dengan 3 baris terisi.
2. Login di web, lalu sidebar &gt; Data &gt; Weighbridge (/data/weighbridge). Catat kolom Jumlah Baris Terisi pada record itu.
3. Buka Detail → Edit.
4. Hapus satu baris dari grid, lalu tekan Simpan.
5. Kembali ke Data Browser dan baca kolom Jumlah Baris Terisi lagi.</t>
        </is>
      </c>
      <c r="K915" s="5" t="inlineStr">
        <is>
          <t>- Angkanya turun dari 3 menjadi 2 — penyebutnya tetap 24.
- Detail record juga hanya menampilkan 2 baris.
- Baris yang dihapus tidak kembali setelah muat ulang.</t>
        </is>
      </c>
      <c r="L915" s="22" t="inlineStr">
        <is>
          <t>Sedang</t>
        </is>
      </c>
      <c r="M915" s="5" t="inlineStr"/>
      <c r="N915" s="17" t="n"/>
      <c r="O915" s="17" t="n"/>
      <c r="P915" s="17" t="n"/>
      <c r="Q915" s="17" t="n"/>
      <c r="R915" s="17" t="n"/>
    </row>
    <row r="916" ht="136" customHeight="1">
      <c r="A916" s="18" t="n">
        <v>912</v>
      </c>
      <c r="B916" s="18" t="n">
        <v>3</v>
      </c>
      <c r="C916" s="19" t="inlineStr">
        <is>
          <t>WB-FRM-11 / Grading</t>
        </is>
      </c>
      <c r="D916" s="19" t="inlineStr">
        <is>
          <t>WB-FRM-11</t>
        </is>
      </c>
      <c r="E916" s="20" t="inlineStr">
        <is>
          <t>Grading</t>
        </is>
      </c>
      <c r="F916" s="21" t="inlineStr">
        <is>
          <t>Web — Data Stasiun (WB-)</t>
        </is>
      </c>
      <c r="G916" s="20" t="inlineStr">
        <is>
          <t>Hapus baris mengurangi "Jumlah Baris Terisi"</t>
        </is>
      </c>
      <c r="H916" s="21" t="inlineStr">
        <is>
          <t>SPV-A</t>
        </is>
      </c>
      <c r="I916" s="21" t="inlineStr">
        <is>
          <t>record dengan 3 baris terisi</t>
        </is>
      </c>
      <c r="J916" s="21" t="inlineStr">
        <is>
          <t>1. Siapkan satu record dengan 3 baris terisi.
2. Login di web, lalu sidebar &gt; Data &gt; Grading (/data/grading). Catat kolom Jumlah Baris Terisi pada record itu.
3. Buka Detail → Edit.
4. Hapus satu baris dari grid, lalu tekan Simpan.
5. Kembali ke Data Browser dan baca kolom Jumlah Baris Terisi lagi.</t>
        </is>
      </c>
      <c r="K916" s="21" t="inlineStr">
        <is>
          <t>- Angkanya turun dari 3 menjadi 2 — penyebutnya tetap 24.
- Detail record juga hanya menampilkan 2 baris.
- Baris yang dihapus tidak kembali setelah muat ulang.</t>
        </is>
      </c>
      <c r="L916" s="18" t="inlineStr">
        <is>
          <t>Sedang</t>
        </is>
      </c>
      <c r="M916" s="21" t="inlineStr"/>
      <c r="N916" s="17" t="n"/>
      <c r="O916" s="17" t="n"/>
      <c r="P916" s="17" t="n"/>
      <c r="Q916" s="17" t="n"/>
      <c r="R916" s="17" t="n"/>
    </row>
    <row r="917" ht="136" customHeight="1">
      <c r="A917" s="22" t="n">
        <v>913</v>
      </c>
      <c r="B917" s="22" t="n">
        <v>3</v>
      </c>
      <c r="C917" s="23" t="inlineStr">
        <is>
          <t>WB-FRM-11 / Cages Track</t>
        </is>
      </c>
      <c r="D917" s="23" t="inlineStr">
        <is>
          <t>WB-FRM-11</t>
        </is>
      </c>
      <c r="E917" s="24" t="inlineStr">
        <is>
          <t>Cages Track</t>
        </is>
      </c>
      <c r="F917" s="5" t="inlineStr">
        <is>
          <t>Web — Data Stasiun (WB-)</t>
        </is>
      </c>
      <c r="G917" s="24" t="inlineStr">
        <is>
          <t>Hapus baris mengurangi "Jumlah Baris Terisi"</t>
        </is>
      </c>
      <c r="H917" s="5" t="inlineStr">
        <is>
          <t>SPV-A</t>
        </is>
      </c>
      <c r="I917" s="5" t="inlineStr">
        <is>
          <t>record dengan 3 baris terisi</t>
        </is>
      </c>
      <c r="J917" s="5" t="inlineStr">
        <is>
          <t>1. Siapkan satu record dengan 3 baris terisi.
2. Login di web, lalu sidebar &gt; Data &gt; Cages Track (/data/cages-track). Catat kolom Jumlah Baris Terisi pada record itu.
3. Buka Detail → Edit.
4. Hapus satu baris dari grid, lalu tekan Simpan.
5. Kembali ke Data Browser dan baca kolom Jumlah Baris Terisi lagi.</t>
        </is>
      </c>
      <c r="K917" s="5" t="inlineStr">
        <is>
          <t>- Angkanya turun dari 3 menjadi 2 — penyebutnya tetap 24.
- Detail record juga hanya menampilkan 2 baris.
- Baris yang dihapus tidak kembali setelah muat ulang.</t>
        </is>
      </c>
      <c r="L917" s="22" t="inlineStr">
        <is>
          <t>Sedang</t>
        </is>
      </c>
      <c r="M917" s="5" t="inlineStr"/>
      <c r="N917" s="17" t="n"/>
      <c r="O917" s="17" t="n"/>
      <c r="P917" s="17" t="n"/>
      <c r="Q917" s="17" t="n"/>
      <c r="R917" s="17" t="n"/>
    </row>
    <row r="918" ht="136" customHeight="1">
      <c r="A918" s="18" t="n">
        <v>914</v>
      </c>
      <c r="B918" s="18" t="n">
        <v>3</v>
      </c>
      <c r="C918" s="19" t="inlineStr">
        <is>
          <t>WB-FRM-11 / Sterilizer</t>
        </is>
      </c>
      <c r="D918" s="19" t="inlineStr">
        <is>
          <t>WB-FRM-11</t>
        </is>
      </c>
      <c r="E918" s="20" t="inlineStr">
        <is>
          <t>Sterilizer</t>
        </is>
      </c>
      <c r="F918" s="21" t="inlineStr">
        <is>
          <t>Web — Data Stasiun (WB-)</t>
        </is>
      </c>
      <c r="G918" s="20" t="inlineStr">
        <is>
          <t>Hapus baris mengurangi "Jumlah Baris Terisi"</t>
        </is>
      </c>
      <c r="H918" s="21" t="inlineStr">
        <is>
          <t>SPV-A</t>
        </is>
      </c>
      <c r="I918" s="21" t="inlineStr">
        <is>
          <t>record dengan 3 baris terisi</t>
        </is>
      </c>
      <c r="J918" s="21" t="inlineStr">
        <is>
          <t>1. Siapkan satu record dengan 3 baris terisi.
2. Login di web, lalu sidebar &gt; Data &gt; Sterilizer (/data/sterilizer). Catat kolom Jumlah Baris Terisi pada record itu.
3. Buka Detail → Edit.
4. Hapus satu baris dari grid, lalu tekan Simpan.
5. Kembali ke Data Browser dan baca kolom Jumlah Baris Terisi lagi.</t>
        </is>
      </c>
      <c r="K918" s="21" t="inlineStr">
        <is>
          <t>- Angkanya turun dari 3 menjadi 2 — penyebutnya tetap 24.
- Detail record juga hanya menampilkan 2 baris.
- Baris yang dihapus tidak kembali setelah muat ulang.</t>
        </is>
      </c>
      <c r="L918" s="18" t="inlineStr">
        <is>
          <t>Sedang</t>
        </is>
      </c>
      <c r="M918" s="21" t="inlineStr"/>
      <c r="N918" s="17" t="n"/>
      <c r="O918" s="17" t="n"/>
      <c r="P918" s="17" t="n"/>
      <c r="Q918" s="17" t="n"/>
      <c r="R918" s="17" t="n"/>
    </row>
    <row r="919" ht="136" customHeight="1">
      <c r="A919" s="22" t="n">
        <v>915</v>
      </c>
      <c r="B919" s="22" t="n">
        <v>3</v>
      </c>
      <c r="C919" s="23" t="inlineStr">
        <is>
          <t>WB-FRM-11 / Threshing</t>
        </is>
      </c>
      <c r="D919" s="23" t="inlineStr">
        <is>
          <t>WB-FRM-11</t>
        </is>
      </c>
      <c r="E919" s="24" t="inlineStr">
        <is>
          <t>Threshing</t>
        </is>
      </c>
      <c r="F919" s="5" t="inlineStr">
        <is>
          <t>Web — Data Stasiun (WB-)</t>
        </is>
      </c>
      <c r="G919" s="24" t="inlineStr">
        <is>
          <t>Hapus baris mengurangi "Jumlah Baris Terisi"</t>
        </is>
      </c>
      <c r="H919" s="5" t="inlineStr">
        <is>
          <t>SPV-A</t>
        </is>
      </c>
      <c r="I919" s="5" t="inlineStr">
        <is>
          <t>record dengan 3 baris terisi</t>
        </is>
      </c>
      <c r="J919" s="5" t="inlineStr">
        <is>
          <t>1. Siapkan satu record dengan 3 baris terisi.
2. Login di web, lalu sidebar &gt; Data &gt; Threshing (/data/threshing). Catat kolom Jumlah Baris Terisi pada record itu.
3. Buka Detail → Edit.
4. Hapus satu baris dari grid, lalu tekan Simpan.
5. Kembali ke Data Browser dan baca kolom Jumlah Baris Terisi lagi.</t>
        </is>
      </c>
      <c r="K919" s="5" t="inlineStr">
        <is>
          <t>- Angkanya turun dari 3 menjadi 2 — penyebutnya tetap 24.
- Detail record juga hanya menampilkan 2 baris.
- Baris yang dihapus tidak kembali setelah muat ulang.</t>
        </is>
      </c>
      <c r="L919" s="22" t="inlineStr">
        <is>
          <t>Sedang</t>
        </is>
      </c>
      <c r="M919" s="5" t="inlineStr"/>
      <c r="N919" s="17" t="n"/>
      <c r="O919" s="17" t="n"/>
      <c r="P919" s="17" t="n"/>
      <c r="Q919" s="17" t="n"/>
      <c r="R919" s="17" t="n"/>
    </row>
    <row r="920" ht="136" customHeight="1">
      <c r="A920" s="18" t="n">
        <v>916</v>
      </c>
      <c r="B920" s="18" t="n">
        <v>3</v>
      </c>
      <c r="C920" s="19" t="inlineStr">
        <is>
          <t>WB-FRM-11 / Pressing</t>
        </is>
      </c>
      <c r="D920" s="19" t="inlineStr">
        <is>
          <t>WB-FRM-11</t>
        </is>
      </c>
      <c r="E920" s="20" t="inlineStr">
        <is>
          <t>Pressing</t>
        </is>
      </c>
      <c r="F920" s="21" t="inlineStr">
        <is>
          <t>Web — Data Stasiun (WB-)</t>
        </is>
      </c>
      <c r="G920" s="20" t="inlineStr">
        <is>
          <t>Hapus baris mengurangi "Jumlah Baris Terisi"</t>
        </is>
      </c>
      <c r="H920" s="21" t="inlineStr">
        <is>
          <t>SPV-A</t>
        </is>
      </c>
      <c r="I920" s="21" t="inlineStr">
        <is>
          <t>record dengan 3 baris terisi</t>
        </is>
      </c>
      <c r="J920" s="21" t="inlineStr">
        <is>
          <t>1. Siapkan satu record dengan 3 baris terisi.
2. Login di web, lalu sidebar &gt; Data &gt; Pressing (/data/pressing). Catat kolom Jumlah Baris Terisi pada record itu.
3. Buka Detail → Edit.
4. Hapus satu baris dari grid, lalu tekan Simpan.
5. Kembali ke Data Browser dan baca kolom Jumlah Baris Terisi lagi.</t>
        </is>
      </c>
      <c r="K920" s="21" t="inlineStr">
        <is>
          <t>- Angkanya turun dari 3 menjadi 2 — penyebutnya tetap 24.
- Detail record juga hanya menampilkan 2 baris.
- Baris yang dihapus tidak kembali setelah muat ulang.</t>
        </is>
      </c>
      <c r="L920" s="18" t="inlineStr">
        <is>
          <t>Sedang</t>
        </is>
      </c>
      <c r="M920" s="21" t="inlineStr"/>
      <c r="N920" s="17" t="n"/>
      <c r="O920" s="17" t="n"/>
      <c r="P920" s="17" t="n"/>
      <c r="Q920" s="17" t="n"/>
      <c r="R920" s="17" t="n"/>
    </row>
    <row r="921" ht="136" customHeight="1">
      <c r="A921" s="22" t="n">
        <v>917</v>
      </c>
      <c r="B921" s="22" t="n">
        <v>3</v>
      </c>
      <c r="C921" s="23" t="inlineStr">
        <is>
          <t>WB-FRM-11 / Clarification</t>
        </is>
      </c>
      <c r="D921" s="23" t="inlineStr">
        <is>
          <t>WB-FRM-11</t>
        </is>
      </c>
      <c r="E921" s="24" t="inlineStr">
        <is>
          <t>Clarification</t>
        </is>
      </c>
      <c r="F921" s="5" t="inlineStr">
        <is>
          <t>Web — Data Stasiun (WB-)</t>
        </is>
      </c>
      <c r="G921" s="24" t="inlineStr">
        <is>
          <t>Hapus baris mengurangi "Jumlah Baris Terisi"</t>
        </is>
      </c>
      <c r="H921" s="5" t="inlineStr">
        <is>
          <t>SPV-A</t>
        </is>
      </c>
      <c r="I921" s="5" t="inlineStr">
        <is>
          <t>record dengan 3 baris terisi</t>
        </is>
      </c>
      <c r="J921" s="5" t="inlineStr">
        <is>
          <t>1. Siapkan satu record dengan 3 baris terisi.
2. Login di web, lalu sidebar &gt; Data &gt; Clarification (/data/clarification). Catat kolom Jumlah Baris Terisi pada record itu.
3. Buka Detail → Edit.
4. Hapus satu baris dari grid, lalu tekan Simpan.
5. Kembali ke Data Browser dan baca kolom Jumlah Baris Terisi lagi.</t>
        </is>
      </c>
      <c r="K921" s="5" t="inlineStr">
        <is>
          <t>- Angkanya turun dari 3 menjadi 2 — penyebutnya tetap 24.
- Detail record juga hanya menampilkan 2 baris.
- Baris yang dihapus tidak kembali setelah muat ulang.</t>
        </is>
      </c>
      <c r="L921" s="22" t="inlineStr">
        <is>
          <t>Sedang</t>
        </is>
      </c>
      <c r="M921" s="5" t="inlineStr"/>
      <c r="N921" s="17" t="n"/>
      <c r="O921" s="17" t="n"/>
      <c r="P921" s="17" t="n"/>
      <c r="Q921" s="17" t="n"/>
      <c r="R921" s="17" t="n"/>
    </row>
    <row r="922" ht="136" customHeight="1">
      <c r="A922" s="18" t="n">
        <v>918</v>
      </c>
      <c r="B922" s="18" t="n">
        <v>3</v>
      </c>
      <c r="C922" s="19" t="inlineStr">
        <is>
          <t>WB-FRM-11 / Kernel Plant</t>
        </is>
      </c>
      <c r="D922" s="19" t="inlineStr">
        <is>
          <t>WB-FRM-11</t>
        </is>
      </c>
      <c r="E922" s="20" t="inlineStr">
        <is>
          <t>Kernel Plant</t>
        </is>
      </c>
      <c r="F922" s="21" t="inlineStr">
        <is>
          <t>Web — Data Stasiun (WB-)</t>
        </is>
      </c>
      <c r="G922" s="20" t="inlineStr">
        <is>
          <t>Hapus baris mengurangi "Jumlah Baris Terisi"</t>
        </is>
      </c>
      <c r="H922" s="21" t="inlineStr">
        <is>
          <t>SPV-A</t>
        </is>
      </c>
      <c r="I922" s="21" t="inlineStr">
        <is>
          <t>record dengan 3 baris terisi</t>
        </is>
      </c>
      <c r="J922" s="21" t="inlineStr">
        <is>
          <t>1. Siapkan satu record dengan 3 baris terisi.
2. Login di web, lalu sidebar &gt; Data &gt; Kernel Plant (/data/kernel-plant). Catat kolom Jumlah Baris Terisi pada record itu.
3. Buka Detail → Edit.
4. Hapus satu baris dari grid, lalu tekan Simpan.
5. Kembali ke Data Browser dan baca kolom Jumlah Baris Terisi lagi.</t>
        </is>
      </c>
      <c r="K922" s="21" t="inlineStr">
        <is>
          <t>- Angkanya turun dari 3 menjadi 2 — penyebutnya tetap 24.
- Detail record juga hanya menampilkan 2 baris.
- Baris yang dihapus tidak kembali setelah muat ulang.</t>
        </is>
      </c>
      <c r="L922" s="18" t="inlineStr">
        <is>
          <t>Sedang</t>
        </is>
      </c>
      <c r="M922" s="21" t="inlineStr"/>
      <c r="N922" s="17" t="n"/>
      <c r="O922" s="17" t="n"/>
      <c r="P922" s="17" t="n"/>
      <c r="Q922" s="17" t="n"/>
      <c r="R922" s="17" t="n"/>
    </row>
    <row r="923" ht="136" customHeight="1">
      <c r="A923" s="22" t="n">
        <v>919</v>
      </c>
      <c r="B923" s="22" t="n">
        <v>3</v>
      </c>
      <c r="C923" s="23" t="inlineStr">
        <is>
          <t>WB-FRM-11 / Boiler Room</t>
        </is>
      </c>
      <c r="D923" s="23" t="inlineStr">
        <is>
          <t>WB-FRM-11</t>
        </is>
      </c>
      <c r="E923" s="24" t="inlineStr">
        <is>
          <t>Boiler Room</t>
        </is>
      </c>
      <c r="F923" s="5" t="inlineStr">
        <is>
          <t>Web — Data Stasiun (WB-)</t>
        </is>
      </c>
      <c r="G923" s="24" t="inlineStr">
        <is>
          <t>Hapus baris mengurangi "Jumlah Baris Terisi"</t>
        </is>
      </c>
      <c r="H923" s="5" t="inlineStr">
        <is>
          <t>SPV-A</t>
        </is>
      </c>
      <c r="I923" s="5" t="inlineStr">
        <is>
          <t>record dengan 3 baris terisi</t>
        </is>
      </c>
      <c r="J923" s="5" t="inlineStr">
        <is>
          <t>1. Siapkan satu record dengan 3 baris terisi.
2. Login di web, lalu sidebar &gt; Data &gt; Boiler Room (/data/boiler-room). Catat kolom Jumlah Baris Terisi pada record itu.
3. Buka Detail → Edit.
4. Hapus satu baris dari grid, lalu tekan Simpan.
5. Kembali ke Data Browser dan baca kolom Jumlah Baris Terisi lagi.</t>
        </is>
      </c>
      <c r="K923" s="5" t="inlineStr">
        <is>
          <t>- Angkanya turun dari 3 menjadi 2 — penyebutnya tetap 24.
- Detail record juga hanya menampilkan 2 baris.
- Baris yang dihapus tidak kembali setelah muat ulang.</t>
        </is>
      </c>
      <c r="L923" s="22" t="inlineStr">
        <is>
          <t>Sedang</t>
        </is>
      </c>
      <c r="M923" s="5" t="inlineStr"/>
      <c r="N923" s="17" t="n"/>
      <c r="O923" s="17" t="n"/>
      <c r="P923" s="17" t="n"/>
      <c r="Q923" s="17" t="n"/>
      <c r="R923" s="17" t="n"/>
    </row>
    <row r="924" ht="136" customHeight="1">
      <c r="A924" s="18" t="n">
        <v>920</v>
      </c>
      <c r="B924" s="18" t="n">
        <v>3</v>
      </c>
      <c r="C924" s="19" t="inlineStr">
        <is>
          <t>WB-FRM-11 / Effluent Plant</t>
        </is>
      </c>
      <c r="D924" s="19" t="inlineStr">
        <is>
          <t>WB-FRM-11</t>
        </is>
      </c>
      <c r="E924" s="20" t="inlineStr">
        <is>
          <t>Effluent Plant</t>
        </is>
      </c>
      <c r="F924" s="21" t="inlineStr">
        <is>
          <t>Web — Data Stasiun (WB-)</t>
        </is>
      </c>
      <c r="G924" s="20" t="inlineStr">
        <is>
          <t>Hapus baris mengurangi "Jumlah Baris Terisi"</t>
        </is>
      </c>
      <c r="H924" s="21" t="inlineStr">
        <is>
          <t>SPV-A</t>
        </is>
      </c>
      <c r="I924" s="21" t="inlineStr">
        <is>
          <t>record dengan 3 baris terisi</t>
        </is>
      </c>
      <c r="J924" s="21" t="inlineStr">
        <is>
          <t>1. Siapkan satu record dengan 3 baris terisi.
2. Login di web, lalu sidebar &gt; Data &gt; Effluent Plant (/data/effluent-plant). Catat kolom Jumlah Baris Terisi pada record itu.
3. Buka Detail → Edit.
4. Hapus satu baris dari grid, lalu tekan Simpan.
5. Kembali ke Data Browser dan baca kolom Jumlah Baris Terisi lagi.</t>
        </is>
      </c>
      <c r="K924" s="21" t="inlineStr">
        <is>
          <t>- Angkanya turun dari 3 menjadi 2 — penyebutnya tetap 24.
- Detail record juga hanya menampilkan 2 baris.
- Baris yang dihapus tidak kembali setelah muat ulang.</t>
        </is>
      </c>
      <c r="L924" s="18" t="inlineStr">
        <is>
          <t>Sedang</t>
        </is>
      </c>
      <c r="M924" s="21" t="inlineStr"/>
      <c r="N924" s="17" t="n"/>
      <c r="O924" s="17" t="n"/>
      <c r="P924" s="17" t="n"/>
      <c r="Q924" s="17" t="n"/>
      <c r="R924" s="17" t="n"/>
    </row>
    <row r="925" ht="136" customHeight="1">
      <c r="A925" s="11" t="n">
        <v>921</v>
      </c>
      <c r="B925" s="12" t="n">
        <v>1</v>
      </c>
      <c r="C925" s="13" t="inlineStr">
        <is>
          <t>WB-FRM-11 / Depricarping</t>
        </is>
      </c>
      <c r="D925" s="13" t="inlineStr">
        <is>
          <t>WB-FRM-11</t>
        </is>
      </c>
      <c r="E925" s="15" t="inlineStr">
        <is>
          <t>Depricarping</t>
        </is>
      </c>
      <c r="F925" s="14" t="inlineStr">
        <is>
          <t>Web — Data Stasiun (WB-)</t>
        </is>
      </c>
      <c r="G925" s="15" t="inlineStr">
        <is>
          <t>Hapus baris mengurangi "Jumlah Baris Terisi"</t>
        </is>
      </c>
      <c r="H925" s="14" t="inlineStr">
        <is>
          <t>SPV-A</t>
        </is>
      </c>
      <c r="I925" s="14" t="inlineStr">
        <is>
          <t>record dengan 3 baris terisi</t>
        </is>
      </c>
      <c r="J925" s="14" t="inlineStr">
        <is>
          <t>1. Siapkan satu record dengan 3 baris terisi.
2. Login di web, lalu sidebar &gt; Data &gt; Depricarping (/data/depricarping). Catat kolom Jumlah Baris Terisi pada record itu.
3. Buka Detail → Edit.
4. Hapus satu baris dari grid, lalu tekan Simpan.
5. Kembali ke Data Browser dan baca kolom Jumlah Baris Terisi lagi.</t>
        </is>
      </c>
      <c r="K925" s="14" t="inlineStr">
        <is>
          <t>- Angkanya turun dari 3 menjadi 2 — penyebutnya tetap 24.
- Detail record juga hanya menampilkan 2 baris.
- Baris yang dihapus tidak kembali setelah muat ulang.</t>
        </is>
      </c>
      <c r="L925" s="11" t="inlineStr">
        <is>
          <t>Sedang</t>
        </is>
      </c>
      <c r="M925" s="14" t="inlineStr"/>
      <c r="N925" s="17" t="n"/>
      <c r="O925" s="17" t="n"/>
      <c r="P925" s="17" t="n"/>
      <c r="Q925" s="17" t="n"/>
      <c r="R925" s="17" t="n"/>
    </row>
    <row r="926" ht="136" customHeight="1">
      <c r="A926" s="18" t="n">
        <v>922</v>
      </c>
      <c r="B926" s="18" t="n">
        <v>3</v>
      </c>
      <c r="C926" s="19" t="inlineStr">
        <is>
          <t>WB-FRM-11 / Engine Room</t>
        </is>
      </c>
      <c r="D926" s="19" t="inlineStr">
        <is>
          <t>WB-FRM-11</t>
        </is>
      </c>
      <c r="E926" s="20" t="inlineStr">
        <is>
          <t>Engine Room</t>
        </is>
      </c>
      <c r="F926" s="21" t="inlineStr">
        <is>
          <t>Web — Data Stasiun (WB-)</t>
        </is>
      </c>
      <c r="G926" s="20" t="inlineStr">
        <is>
          <t>Hapus baris mengurangi "Jumlah Baris Terisi"</t>
        </is>
      </c>
      <c r="H926" s="21" t="inlineStr">
        <is>
          <t>SPV-A</t>
        </is>
      </c>
      <c r="I926" s="21" t="inlineStr">
        <is>
          <t>record dengan 3 baris terisi</t>
        </is>
      </c>
      <c r="J926" s="21" t="inlineStr">
        <is>
          <t>1. Siapkan satu record dengan 3 baris terisi.
2. Login di web, lalu sidebar &gt; Data &gt; Engine Room (/data/engine-room). Catat kolom Jumlah Baris Terisi pada record itu.
3. Buka Detail → Edit.
4. Hapus satu baris dari grid, lalu tekan Simpan.
5. Kembali ke Data Browser dan baca kolom Jumlah Baris Terisi lagi.</t>
        </is>
      </c>
      <c r="K926" s="21" t="inlineStr">
        <is>
          <t>- Angkanya turun dari 3 menjadi 2 — penyebutnya tetap 24.
- Detail record juga hanya menampilkan 2 baris.
- Baris yang dihapus tidak kembali setelah muat ulang.</t>
        </is>
      </c>
      <c r="L926" s="18" t="inlineStr">
        <is>
          <t>Sedang</t>
        </is>
      </c>
      <c r="M926" s="21" t="inlineStr"/>
      <c r="N926" s="17" t="n"/>
      <c r="O926" s="17" t="n"/>
      <c r="P926" s="17" t="n"/>
      <c r="Q926" s="17" t="n"/>
      <c r="R926" s="17" t="n"/>
    </row>
    <row r="927" ht="136" customHeight="1">
      <c r="A927" s="22" t="n">
        <v>923</v>
      </c>
      <c r="B927" s="22" t="n">
        <v>3</v>
      </c>
      <c r="C927" s="23" t="inlineStr">
        <is>
          <t>WB-FRM-11 / Process Water</t>
        </is>
      </c>
      <c r="D927" s="23" t="inlineStr">
        <is>
          <t>WB-FRM-11</t>
        </is>
      </c>
      <c r="E927" s="24" t="inlineStr">
        <is>
          <t>Process Water</t>
        </is>
      </c>
      <c r="F927" s="5" t="inlineStr">
        <is>
          <t>Web — Data Stasiun (WB-)</t>
        </is>
      </c>
      <c r="G927" s="24" t="inlineStr">
        <is>
          <t>Hapus baris mengurangi "Jumlah Baris Terisi"</t>
        </is>
      </c>
      <c r="H927" s="5" t="inlineStr">
        <is>
          <t>SPV-A</t>
        </is>
      </c>
      <c r="I927" s="5" t="inlineStr">
        <is>
          <t>record dengan 3 baris terisi</t>
        </is>
      </c>
      <c r="J927" s="5" t="inlineStr">
        <is>
          <t>1. Siapkan satu record dengan 3 baris terisi.
2. Login di web, lalu sidebar &gt; Data &gt; Process Water (/data/process-water). Catat kolom Jumlah Baris Terisi pada record itu.
3. Buka Detail → Edit.
4. Hapus satu baris dari grid, lalu tekan Simpan.
5. Kembali ke Data Browser dan baca kolom Jumlah Baris Terisi lagi.</t>
        </is>
      </c>
      <c r="K927" s="5" t="inlineStr">
        <is>
          <t>- Angkanya turun dari 3 menjadi 2 — penyebutnya tetap 24.
- Detail record juga hanya menampilkan 2 baris.
- Baris yang dihapus tidak kembali setelah muat ulang.</t>
        </is>
      </c>
      <c r="L927" s="22" t="inlineStr">
        <is>
          <t>Sedang</t>
        </is>
      </c>
      <c r="M927" s="5" t="inlineStr"/>
      <c r="N927" s="17" t="n"/>
      <c r="O927" s="17" t="n"/>
      <c r="P927" s="17" t="n"/>
      <c r="Q927" s="17" t="n"/>
      <c r="R927" s="17" t="n"/>
    </row>
    <row r="928" ht="136" customHeight="1">
      <c r="A928" s="18" t="n">
        <v>924</v>
      </c>
      <c r="B928" s="18" t="n">
        <v>3</v>
      </c>
      <c r="C928" s="19" t="inlineStr">
        <is>
          <t>WB-FRM-11 / Storage Tank</t>
        </is>
      </c>
      <c r="D928" s="19" t="inlineStr">
        <is>
          <t>WB-FRM-11</t>
        </is>
      </c>
      <c r="E928" s="20" t="inlineStr">
        <is>
          <t>Storage Tank</t>
        </is>
      </c>
      <c r="F928" s="21" t="inlineStr">
        <is>
          <t>Web — Data Stasiun (WB-)</t>
        </is>
      </c>
      <c r="G928" s="20" t="inlineStr">
        <is>
          <t>Hapus baris mengurangi "Jumlah Baris Terisi"</t>
        </is>
      </c>
      <c r="H928" s="21" t="inlineStr">
        <is>
          <t>SPV-A</t>
        </is>
      </c>
      <c r="I928" s="21" t="inlineStr">
        <is>
          <t>record dengan 3 baris terisi</t>
        </is>
      </c>
      <c r="J928" s="21" t="inlineStr">
        <is>
          <t>1. Siapkan satu record dengan 3 baris terisi.
2. Login di web, lalu sidebar &gt; Data &gt; Storage Tank (/data/storage-tank). Catat kolom Jumlah Baris Terisi pada record itu.
3. Buka Detail → Edit.
4. Hapus satu baris dari grid, lalu tekan Simpan.
5. Kembali ke Data Browser dan baca kolom Jumlah Baris Terisi lagi.</t>
        </is>
      </c>
      <c r="K928" s="21" t="inlineStr">
        <is>
          <t>- Angkanya turun dari 3 menjadi 2 — penyebutnya tetap 24.
- Detail record juga hanya menampilkan 2 baris.
- Baris yang dihapus tidak kembali setelah muat ulang.</t>
        </is>
      </c>
      <c r="L928" s="18" t="inlineStr">
        <is>
          <t>Sedang</t>
        </is>
      </c>
      <c r="M928" s="21" t="inlineStr"/>
      <c r="N928" s="17" t="n"/>
      <c r="O928" s="17" t="n"/>
      <c r="P928" s="17" t="n"/>
      <c r="Q928" s="17" t="n"/>
      <c r="R928" s="17" t="n"/>
    </row>
    <row r="929" ht="149.2" customHeight="1">
      <c r="A929" s="22" t="n">
        <v>925</v>
      </c>
      <c r="B929" s="22" t="n">
        <v>3</v>
      </c>
      <c r="C929" s="23" t="inlineStr">
        <is>
          <t>WB-FRM-11 / Solid Waste Disposal</t>
        </is>
      </c>
      <c r="D929" s="23" t="inlineStr">
        <is>
          <t>WB-FRM-11</t>
        </is>
      </c>
      <c r="E929" s="24" t="inlineStr">
        <is>
          <t>Solid Waste Disposal</t>
        </is>
      </c>
      <c r="F929" s="5" t="inlineStr">
        <is>
          <t>Web — Data Stasiun (WB-)</t>
        </is>
      </c>
      <c r="G929" s="24" t="inlineStr">
        <is>
          <t>Hapus baris mengurangi "Jumlah Baris Terisi"</t>
        </is>
      </c>
      <c r="H929" s="5" t="inlineStr">
        <is>
          <t>SPV-A</t>
        </is>
      </c>
      <c r="I929" s="5" t="inlineStr">
        <is>
          <t>record dengan 3 baris terisi</t>
        </is>
      </c>
      <c r="J929" s="5" t="inlineStr">
        <is>
          <t>1. Siapkan satu record dengan 3 baris terisi.
2. Login di web, lalu sidebar &gt; Data &gt; Solid Waste Disposal (/data/solid-waste-disposal). Catat kolom Jumlah Baris Terisi pada record itu.
3. Buka Detail → Edit.
4. Hapus satu baris dari grid, lalu tekan Simpan.
5. Kembali ke Data Browser dan baca kolom Jumlah Baris Terisi lagi.</t>
        </is>
      </c>
      <c r="K929" s="5" t="inlineStr">
        <is>
          <t>- Angkanya turun dari 3 menjadi 2 — penyebutnya tetap 24.
- Detail record juga hanya menampilkan 2 baris.
- Baris yang dihapus tidak kembali setelah muat ulang.</t>
        </is>
      </c>
      <c r="L929" s="22" t="inlineStr">
        <is>
          <t>Sedang</t>
        </is>
      </c>
      <c r="M929" s="5" t="inlineStr"/>
      <c r="N929" s="17" t="n"/>
      <c r="O929" s="17" t="n"/>
      <c r="P929" s="17" t="n"/>
      <c r="Q929" s="17" t="n"/>
      <c r="R929" s="17" t="n"/>
    </row>
    <row r="930" ht="136" customHeight="1">
      <c r="A930" s="18" t="n">
        <v>926</v>
      </c>
      <c r="B930" s="18" t="n">
        <v>3</v>
      </c>
      <c r="C930" s="19" t="inlineStr">
        <is>
          <t>WB-FRM-11 / Kernel Dispatch</t>
        </is>
      </c>
      <c r="D930" s="19" t="inlineStr">
        <is>
          <t>WB-FRM-11</t>
        </is>
      </c>
      <c r="E930" s="20" t="inlineStr">
        <is>
          <t>Kernel Dispatch</t>
        </is>
      </c>
      <c r="F930" s="21" t="inlineStr">
        <is>
          <t>Web — Data Stasiun (WB-)</t>
        </is>
      </c>
      <c r="G930" s="20" t="inlineStr">
        <is>
          <t>Hapus baris mengurangi "Jumlah Baris Terisi"</t>
        </is>
      </c>
      <c r="H930" s="21" t="inlineStr">
        <is>
          <t>SPV-A</t>
        </is>
      </c>
      <c r="I930" s="21" t="inlineStr">
        <is>
          <t>record dengan 3 baris terisi</t>
        </is>
      </c>
      <c r="J930" s="21" t="inlineStr">
        <is>
          <t>1. Siapkan satu record dengan 3 baris terisi.
2. Login di web, lalu sidebar &gt; Data &gt; Kernel Dispatch (/data/kernel-dispatch). Catat kolom Jumlah Baris Terisi pada record itu.
3. Buka Detail → Edit.
4. Hapus satu baris dari grid, lalu tekan Simpan.
5. Kembali ke Data Browser dan baca kolom Jumlah Baris Terisi lagi.</t>
        </is>
      </c>
      <c r="K930" s="21" t="inlineStr">
        <is>
          <t>- Angkanya turun dari 3 menjadi 2 — penyebutnya tetap 24.
- Detail record juga hanya menampilkan 2 baris.
- Baris yang dihapus tidak kembali setelah muat ulang.</t>
        </is>
      </c>
      <c r="L930" s="18" t="inlineStr">
        <is>
          <t>Sedang</t>
        </is>
      </c>
      <c r="M930" s="21" t="inlineStr"/>
      <c r="N930" s="17" t="n"/>
      <c r="O930" s="17" t="n"/>
      <c r="P930" s="17" t="n"/>
      <c r="Q930" s="17" t="n"/>
      <c r="R930" s="17" t="n"/>
    </row>
    <row r="931" ht="136" customHeight="1">
      <c r="A931" s="22" t="n">
        <v>927</v>
      </c>
      <c r="B931" s="22" t="n">
        <v>3</v>
      </c>
      <c r="C931" s="23" t="inlineStr">
        <is>
          <t>WB-FRM-11 / CPO Dispatch</t>
        </is>
      </c>
      <c r="D931" s="23" t="inlineStr">
        <is>
          <t>WB-FRM-11</t>
        </is>
      </c>
      <c r="E931" s="24" t="inlineStr">
        <is>
          <t>CPO Dispatch</t>
        </is>
      </c>
      <c r="F931" s="5" t="inlineStr">
        <is>
          <t>Web — Data Stasiun (WB-)</t>
        </is>
      </c>
      <c r="G931" s="24" t="inlineStr">
        <is>
          <t>Hapus baris mengurangi "Jumlah Baris Terisi"</t>
        </is>
      </c>
      <c r="H931" s="5" t="inlineStr">
        <is>
          <t>SPV-A</t>
        </is>
      </c>
      <c r="I931" s="5" t="inlineStr">
        <is>
          <t>record dengan 3 baris terisi</t>
        </is>
      </c>
      <c r="J931" s="5" t="inlineStr">
        <is>
          <t>1. Siapkan satu record dengan 3 baris terisi.
2. Login di web, lalu sidebar &gt; Data &gt; CPO Dispatch (/data/cpo-dispatch). Catat kolom Jumlah Baris Terisi pada record itu.
3. Buka Detail → Edit.
4. Hapus satu baris dari grid, lalu tekan Simpan.
5. Kembali ke Data Browser dan baca kolom Jumlah Baris Terisi lagi.</t>
        </is>
      </c>
      <c r="K931" s="5" t="inlineStr">
        <is>
          <t>- Angkanya turun dari 3 menjadi 2 — penyebutnya tetap 24.
- Detail record juga hanya menampilkan 2 baris.
- Baris yang dihapus tidak kembali setelah muat ulang.</t>
        </is>
      </c>
      <c r="L931" s="22" t="inlineStr">
        <is>
          <t>Sedang</t>
        </is>
      </c>
      <c r="M931" s="5" t="inlineStr"/>
      <c r="N931" s="17" t="n"/>
      <c r="O931" s="17" t="n"/>
      <c r="P931" s="17" t="n"/>
      <c r="Q931" s="17" t="n"/>
      <c r="R931" s="17" t="n"/>
    </row>
    <row r="932" ht="149.2" customHeight="1">
      <c r="A932" s="18" t="n">
        <v>928</v>
      </c>
      <c r="B932" s="18" t="n">
        <v>3</v>
      </c>
      <c r="C932" s="19" t="inlineStr">
        <is>
          <t>WB-FRM-11 / Process Quality Control</t>
        </is>
      </c>
      <c r="D932" s="19" t="inlineStr">
        <is>
          <t>WB-FRM-11</t>
        </is>
      </c>
      <c r="E932" s="20" t="inlineStr">
        <is>
          <t>Process Quality Control</t>
        </is>
      </c>
      <c r="F932" s="21" t="inlineStr">
        <is>
          <t>Web — Data Stasiun (WB-)</t>
        </is>
      </c>
      <c r="G932" s="20" t="inlineStr">
        <is>
          <t>Hapus baris mengurangi "Jumlah Baris Terisi"</t>
        </is>
      </c>
      <c r="H932" s="21" t="inlineStr">
        <is>
          <t>SPV-A</t>
        </is>
      </c>
      <c r="I932" s="21" t="inlineStr">
        <is>
          <t>record dengan 3 baris terisi</t>
        </is>
      </c>
      <c r="J932" s="21" t="inlineStr">
        <is>
          <t>1. Siapkan satu record dengan 3 baris terisi.
2. Login di web, lalu sidebar &gt; Data &gt; Process Quality Control (/data/process-quality-control). Catat kolom Jumlah Baris Terisi pada record itu.
3. Buka Detail → Edit.
4. Hapus satu baris dari grid, lalu tekan Simpan.
5. Kembali ke Data Browser dan baca kolom Jumlah Baris Terisi lagi.</t>
        </is>
      </c>
      <c r="K932" s="21" t="inlineStr">
        <is>
          <t>- Angkanya turun dari 3 menjadi 2 — penyebutnya tetap 24.
- Detail record juga hanya menampilkan 2 baris.
- Baris yang dihapus tidak kembali setelah muat ulang.</t>
        </is>
      </c>
      <c r="L932" s="18" t="inlineStr">
        <is>
          <t>Sedang</t>
        </is>
      </c>
      <c r="M932" s="21" t="inlineStr"/>
      <c r="N932" s="17" t="n"/>
      <c r="O932" s="17" t="n"/>
      <c r="P932" s="17" t="n"/>
      <c r="Q932" s="17" t="n"/>
      <c r="R932" s="17" t="n"/>
    </row>
    <row r="933" ht="162.4" customHeight="1">
      <c r="A933" s="25" t="n">
        <v>929</v>
      </c>
      <c r="B933" s="26" t="n">
        <v>2</v>
      </c>
      <c r="C933" s="27" t="inlineStr">
        <is>
          <t>LP-W-01 / Weighbridge</t>
        </is>
      </c>
      <c r="D933" s="27" t="inlineStr">
        <is>
          <t>LP-W-01</t>
        </is>
      </c>
      <c r="E933" s="28" t="inlineStr">
        <is>
          <t>Weighbridge</t>
        </is>
      </c>
      <c r="F933" s="29" t="inlineStr">
        <is>
          <t>Laporan Periode Stasiun (LP-)</t>
        </is>
      </c>
      <c r="G933" s="28" t="inlineStr">
        <is>
          <t>Laporan tampil lengkap setelah periode dan line dipilih</t>
        </is>
      </c>
      <c r="H933" s="29" t="inlineStr">
        <is>
          <t>SPV-A</t>
        </is>
      </c>
      <c r="I933" s="29" t="inlineStr">
        <is>
          <t>periode dengan data terisi pada satu line</t>
        </is>
      </c>
      <c r="J933" s="29" t="inlineStr">
        <is>
          <t>1. Siapkan satu periode untuk stasiun ini dengan data terisi pada satu Production Line.
2. Login di web (buka /login, isi username dan password akun pada kolom Peran, tekan Login) sebagai SPV-A, sidebar → Laporan Stasiun, tekan tile Weighbridge.
3. Sebelum memilih apa pun, baca isi layar.
4. Pilih Periode. Baca layar lagi.
5. Pilih Production Line.
6. Catat bagian-bagian yang muncul: cakupan, kartu parameter, rekap harian, rekap per unit, dan tombol ekspor.</t>
        </is>
      </c>
      <c r="K933" s="29"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33" s="16" t="inlineStr">
        <is>
          <t>Tinggi</t>
        </is>
      </c>
      <c r="M933" s="29" t="inlineStr"/>
      <c r="N933" s="17" t="n"/>
      <c r="O933" s="17" t="n"/>
      <c r="P933" s="17" t="n"/>
      <c r="Q933" s="17" t="n"/>
      <c r="R933" s="17" t="n"/>
    </row>
    <row r="934" ht="162.4" customHeight="1">
      <c r="A934" s="25" t="n">
        <v>930</v>
      </c>
      <c r="B934" s="26" t="n">
        <v>2</v>
      </c>
      <c r="C934" s="27" t="inlineStr">
        <is>
          <t>LP-W-01 / Grading</t>
        </is>
      </c>
      <c r="D934" s="27" t="inlineStr">
        <is>
          <t>LP-W-01</t>
        </is>
      </c>
      <c r="E934" s="28" t="inlineStr">
        <is>
          <t>Grading</t>
        </is>
      </c>
      <c r="F934" s="29" t="inlineStr">
        <is>
          <t>Laporan Periode Stasiun (LP-)</t>
        </is>
      </c>
      <c r="G934" s="28" t="inlineStr">
        <is>
          <t>Laporan tampil lengkap setelah periode dan line dipilih</t>
        </is>
      </c>
      <c r="H934" s="29" t="inlineStr">
        <is>
          <t>SPV-A</t>
        </is>
      </c>
      <c r="I934" s="29" t="inlineStr">
        <is>
          <t>periode dengan data terisi pada satu line</t>
        </is>
      </c>
      <c r="J934" s="29" t="inlineStr">
        <is>
          <t>1. Siapkan satu periode untuk stasiun ini dengan data terisi pada satu Production Line.
2. Login di web (buka /login, isi username dan password akun pada kolom Peran, tekan Login) sebagai SPV-A, sidebar → Laporan Stasiun, tekan tile Grading.
3. Sebelum memilih apa pun, baca isi layar.
4. Pilih Periode. Baca layar lagi.
5. Pilih Production Line.
6. Catat bagian-bagian yang muncul: cakupan, kartu parameter, rekap harian, rekap per unit, dan tombol ekspor.</t>
        </is>
      </c>
      <c r="K934" s="29"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34" s="16" t="inlineStr">
        <is>
          <t>Tinggi</t>
        </is>
      </c>
      <c r="M934" s="29" t="inlineStr"/>
      <c r="N934" s="17" t="n"/>
      <c r="O934" s="17" t="n"/>
      <c r="P934" s="17" t="n"/>
      <c r="Q934" s="17" t="n"/>
      <c r="R934" s="17" t="n"/>
    </row>
    <row r="935" ht="162.4" customHeight="1">
      <c r="A935" s="25" t="n">
        <v>931</v>
      </c>
      <c r="B935" s="26" t="n">
        <v>2</v>
      </c>
      <c r="C935" s="27" t="inlineStr">
        <is>
          <t>LP-W-01 / Cages Track</t>
        </is>
      </c>
      <c r="D935" s="27" t="inlineStr">
        <is>
          <t>LP-W-01</t>
        </is>
      </c>
      <c r="E935" s="28" t="inlineStr">
        <is>
          <t>Cages Track</t>
        </is>
      </c>
      <c r="F935" s="29" t="inlineStr">
        <is>
          <t>Laporan Periode Stasiun (LP-)</t>
        </is>
      </c>
      <c r="G935" s="28" t="inlineStr">
        <is>
          <t>Laporan tampil lengkap setelah periode dan line dipilih</t>
        </is>
      </c>
      <c r="H935" s="29" t="inlineStr">
        <is>
          <t>SPV-A</t>
        </is>
      </c>
      <c r="I935" s="29" t="inlineStr">
        <is>
          <t>periode dengan data terisi pada satu line</t>
        </is>
      </c>
      <c r="J935" s="29" t="inlineStr">
        <is>
          <t>1. Siapkan satu periode untuk stasiun ini dengan data terisi pada satu Production Line.
2. Login di web (buka /login, isi username dan password akun pada kolom Peran, tekan Login) sebagai SPV-A, sidebar → Laporan Stasiun, tekan tile Cages Track.
3. Sebelum memilih apa pun, baca isi layar.
4. Pilih Periode. Baca layar lagi.
5. Pilih Production Line.
6. Catat bagian-bagian yang muncul: cakupan, kartu parameter, rekap harian, rekap per unit, dan tombol ekspor.</t>
        </is>
      </c>
      <c r="K935" s="29"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35" s="16" t="inlineStr">
        <is>
          <t>Tinggi</t>
        </is>
      </c>
      <c r="M935" s="29" t="inlineStr"/>
      <c r="N935" s="17" t="n"/>
      <c r="O935" s="17" t="n"/>
      <c r="P935" s="17" t="n"/>
      <c r="Q935" s="17" t="n"/>
      <c r="R935" s="17" t="n"/>
    </row>
    <row r="936" ht="162.4" customHeight="1">
      <c r="A936" s="25" t="n">
        <v>932</v>
      </c>
      <c r="B936" s="26" t="n">
        <v>2</v>
      </c>
      <c r="C936" s="27" t="inlineStr">
        <is>
          <t>LP-W-01 / Sterilizer</t>
        </is>
      </c>
      <c r="D936" s="27" t="inlineStr">
        <is>
          <t>LP-W-01</t>
        </is>
      </c>
      <c r="E936" s="28" t="inlineStr">
        <is>
          <t>Sterilizer</t>
        </is>
      </c>
      <c r="F936" s="29" t="inlineStr">
        <is>
          <t>Laporan Periode Stasiun (LP-)</t>
        </is>
      </c>
      <c r="G936" s="28" t="inlineStr">
        <is>
          <t>Laporan tampil lengkap setelah periode dan line dipilih</t>
        </is>
      </c>
      <c r="H936" s="29" t="inlineStr">
        <is>
          <t>SPV-A</t>
        </is>
      </c>
      <c r="I936" s="29" t="inlineStr">
        <is>
          <t>periode dengan data terisi pada satu line</t>
        </is>
      </c>
      <c r="J936" s="29" t="inlineStr">
        <is>
          <t>1. Siapkan satu periode untuk stasiun ini dengan data terisi pada satu Production Line.
2. Login di web (buka /login, isi username dan password akun pada kolom Peran, tekan Login) sebagai SPV-A, sidebar → Laporan Stasiun, tekan tile Sterilizer.
3. Sebelum memilih apa pun, baca isi layar.
4. Pilih Periode. Baca layar lagi.
5. Pilih Production Line.
6. Catat bagian-bagian yang muncul: cakupan, kartu parameter, rekap harian, rekap per unit, dan tombol ekspor.</t>
        </is>
      </c>
      <c r="K936" s="29"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36" s="16" t="inlineStr">
        <is>
          <t>Tinggi</t>
        </is>
      </c>
      <c r="M936" s="29" t="inlineStr"/>
      <c r="N936" s="17" t="n"/>
      <c r="O936" s="17" t="n"/>
      <c r="P936" s="17" t="n"/>
      <c r="Q936" s="17" t="n"/>
      <c r="R936" s="17" t="n"/>
    </row>
    <row r="937" ht="162.4" customHeight="1">
      <c r="A937" s="25" t="n">
        <v>933</v>
      </c>
      <c r="B937" s="26" t="n">
        <v>2</v>
      </c>
      <c r="C937" s="27" t="inlineStr">
        <is>
          <t>LP-W-01 / Threshing</t>
        </is>
      </c>
      <c r="D937" s="27" t="inlineStr">
        <is>
          <t>LP-W-01</t>
        </is>
      </c>
      <c r="E937" s="28" t="inlineStr">
        <is>
          <t>Threshing</t>
        </is>
      </c>
      <c r="F937" s="29" t="inlineStr">
        <is>
          <t>Laporan Periode Stasiun (LP-)</t>
        </is>
      </c>
      <c r="G937" s="28" t="inlineStr">
        <is>
          <t>Laporan tampil lengkap setelah periode dan line dipilih</t>
        </is>
      </c>
      <c r="H937" s="29" t="inlineStr">
        <is>
          <t>SPV-A</t>
        </is>
      </c>
      <c r="I937" s="29" t="inlineStr">
        <is>
          <t>periode dengan data terisi pada satu line</t>
        </is>
      </c>
      <c r="J937" s="29" t="inlineStr">
        <is>
          <t>1. Siapkan satu periode untuk stasiun ini dengan data terisi pada satu Production Line.
2. Login di web (buka /login, isi username dan password akun pada kolom Peran, tekan Login) sebagai SPV-A, sidebar → Laporan Stasiun, tekan tile Threshing.
3. Sebelum memilih apa pun, baca isi layar.
4. Pilih Periode. Baca layar lagi.
5. Pilih Production Line.
6. Catat bagian-bagian yang muncul: cakupan, kartu parameter, rekap harian, rekap per unit, dan tombol ekspor.</t>
        </is>
      </c>
      <c r="K937" s="29"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37" s="16" t="inlineStr">
        <is>
          <t>Tinggi</t>
        </is>
      </c>
      <c r="M937" s="29" t="inlineStr"/>
      <c r="N937" s="17" t="n"/>
      <c r="O937" s="17" t="n"/>
      <c r="P937" s="17" t="n"/>
      <c r="Q937" s="17" t="n"/>
      <c r="R937" s="17" t="n"/>
    </row>
    <row r="938" ht="162.4" customHeight="1">
      <c r="A938" s="25" t="n">
        <v>934</v>
      </c>
      <c r="B938" s="26" t="n">
        <v>2</v>
      </c>
      <c r="C938" s="27" t="inlineStr">
        <is>
          <t>LP-W-01 / Pressing</t>
        </is>
      </c>
      <c r="D938" s="27" t="inlineStr">
        <is>
          <t>LP-W-01</t>
        </is>
      </c>
      <c r="E938" s="28" t="inlineStr">
        <is>
          <t>Pressing</t>
        </is>
      </c>
      <c r="F938" s="29" t="inlineStr">
        <is>
          <t>Laporan Periode Stasiun (LP-)</t>
        </is>
      </c>
      <c r="G938" s="28" t="inlineStr">
        <is>
          <t>Laporan tampil lengkap setelah periode dan line dipilih</t>
        </is>
      </c>
      <c r="H938" s="29" t="inlineStr">
        <is>
          <t>SPV-A</t>
        </is>
      </c>
      <c r="I938" s="29" t="inlineStr">
        <is>
          <t>periode dengan data terisi pada satu line</t>
        </is>
      </c>
      <c r="J938" s="29" t="inlineStr">
        <is>
          <t>1. Siapkan satu periode untuk stasiun ini dengan data terisi pada satu Production Line.
2. Login di web (buka /login, isi username dan password akun pada kolom Peran, tekan Login) sebagai SPV-A, sidebar → Laporan Stasiun, tekan tile Pressing.
3. Sebelum memilih apa pun, baca isi layar.
4. Pilih Periode. Baca layar lagi.
5. Pilih Production Line.
6. Catat bagian-bagian yang muncul: cakupan, kartu parameter, rekap harian, rekap per unit, dan tombol ekspor.</t>
        </is>
      </c>
      <c r="K938" s="29"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38" s="16" t="inlineStr">
        <is>
          <t>Tinggi</t>
        </is>
      </c>
      <c r="M938" s="29" t="inlineStr"/>
      <c r="N938" s="17" t="n"/>
      <c r="O938" s="17" t="n"/>
      <c r="P938" s="17" t="n"/>
      <c r="Q938" s="17" t="n"/>
      <c r="R938" s="17" t="n"/>
    </row>
    <row r="939" ht="162.4" customHeight="1">
      <c r="A939" s="25" t="n">
        <v>935</v>
      </c>
      <c r="B939" s="26" t="n">
        <v>2</v>
      </c>
      <c r="C939" s="27" t="inlineStr">
        <is>
          <t>LP-W-01 / Clarification</t>
        </is>
      </c>
      <c r="D939" s="27" t="inlineStr">
        <is>
          <t>LP-W-01</t>
        </is>
      </c>
      <c r="E939" s="28" t="inlineStr">
        <is>
          <t>Clarification</t>
        </is>
      </c>
      <c r="F939" s="29" t="inlineStr">
        <is>
          <t>Laporan Periode Stasiun (LP-)</t>
        </is>
      </c>
      <c r="G939" s="28" t="inlineStr">
        <is>
          <t>Laporan tampil lengkap setelah periode dan line dipilih</t>
        </is>
      </c>
      <c r="H939" s="29" t="inlineStr">
        <is>
          <t>SPV-A</t>
        </is>
      </c>
      <c r="I939" s="29" t="inlineStr">
        <is>
          <t>periode dengan data terisi pada satu line</t>
        </is>
      </c>
      <c r="J939" s="29" t="inlineStr">
        <is>
          <t>1. Siapkan satu periode untuk stasiun ini dengan data terisi pada satu Production Line.
2. Login di web (buka /login, isi username dan password akun pada kolom Peran, tekan Login) sebagai SPV-A, sidebar → Laporan Stasiun, tekan tile Clarification.
3. Sebelum memilih apa pun, baca isi layar.
4. Pilih Periode. Baca layar lagi.
5. Pilih Production Line.
6. Catat bagian-bagian yang muncul: cakupan, kartu parameter, rekap harian, rekap per unit, dan tombol ekspor.</t>
        </is>
      </c>
      <c r="K939" s="29"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39" s="16" t="inlineStr">
        <is>
          <t>Tinggi</t>
        </is>
      </c>
      <c r="M939" s="29" t="inlineStr"/>
      <c r="N939" s="17" t="n"/>
      <c r="O939" s="17" t="n"/>
      <c r="P939" s="17" t="n"/>
      <c r="Q939" s="17" t="n"/>
      <c r="R939" s="17" t="n"/>
    </row>
    <row r="940" ht="162.4" customHeight="1">
      <c r="A940" s="11" t="n">
        <v>936</v>
      </c>
      <c r="B940" s="12" t="n">
        <v>1</v>
      </c>
      <c r="C940" s="13" t="inlineStr">
        <is>
          <t>LP-W-01 / Kernel Plant</t>
        </is>
      </c>
      <c r="D940" s="13" t="inlineStr">
        <is>
          <t>LP-W-01</t>
        </is>
      </c>
      <c r="E940" s="15" t="inlineStr">
        <is>
          <t>Kernel Plant</t>
        </is>
      </c>
      <c r="F940" s="14" t="inlineStr">
        <is>
          <t>Laporan Periode Stasiun (LP-)</t>
        </is>
      </c>
      <c r="G940" s="15" t="inlineStr">
        <is>
          <t>Laporan tampil lengkap setelah periode dan line dipilih</t>
        </is>
      </c>
      <c r="H940" s="14" t="inlineStr">
        <is>
          <t>SPV-A</t>
        </is>
      </c>
      <c r="I940" s="14" t="inlineStr">
        <is>
          <t>periode dengan data terisi pada satu line</t>
        </is>
      </c>
      <c r="J940" s="14" t="inlineStr">
        <is>
          <t>1. Siapkan satu periode untuk stasiun ini dengan data terisi pada satu Production Line.
2. Login di web (buka /login, isi username dan password akun pada kolom Peran, tekan Login) sebagai SPV-A, sidebar → Laporan Stasiun, tekan tile Kernel Plant.
3. Sebelum memilih apa pun, baca isi layar.
4. Pilih Periode. Baca layar lagi.
5. Pilih Production Line.
6. Catat bagian-bagian yang muncul: cakupan, kartu parameter, rekap harian, rekap per unit, dan tombol ekspor.</t>
        </is>
      </c>
      <c r="K940" s="14"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40" s="16" t="inlineStr">
        <is>
          <t>Tinggi</t>
        </is>
      </c>
      <c r="M940" s="14" t="inlineStr"/>
      <c r="N940" s="17" t="n"/>
      <c r="O940" s="17" t="n"/>
      <c r="P940" s="17" t="n"/>
      <c r="Q940" s="17" t="n"/>
      <c r="R940" s="17" t="n"/>
    </row>
    <row r="941" ht="162.4" customHeight="1">
      <c r="A941" s="25" t="n">
        <v>937</v>
      </c>
      <c r="B941" s="26" t="n">
        <v>2</v>
      </c>
      <c r="C941" s="27" t="inlineStr">
        <is>
          <t>LP-W-01 / Boiler Room</t>
        </is>
      </c>
      <c r="D941" s="27" t="inlineStr">
        <is>
          <t>LP-W-01</t>
        </is>
      </c>
      <c r="E941" s="28" t="inlineStr">
        <is>
          <t>Boiler Room</t>
        </is>
      </c>
      <c r="F941" s="29" t="inlineStr">
        <is>
          <t>Laporan Periode Stasiun (LP-)</t>
        </is>
      </c>
      <c r="G941" s="28" t="inlineStr">
        <is>
          <t>Laporan tampil lengkap setelah periode dan line dipilih</t>
        </is>
      </c>
      <c r="H941" s="29" t="inlineStr">
        <is>
          <t>SPV-A</t>
        </is>
      </c>
      <c r="I941" s="29" t="inlineStr">
        <is>
          <t>periode dengan data terisi pada satu line</t>
        </is>
      </c>
      <c r="J941" s="29" t="inlineStr">
        <is>
          <t>1. Siapkan satu periode untuk stasiun ini dengan data terisi pada satu Production Line.
2. Login di web (buka /login, isi username dan password akun pada kolom Peran, tekan Login) sebagai SPV-A, sidebar → Laporan Stasiun, tekan tile Boiler Room.
3. Sebelum memilih apa pun, baca isi layar.
4. Pilih Periode. Baca layar lagi.
5. Pilih Production Line.
6. Catat bagian-bagian yang muncul: cakupan, kartu parameter, rekap harian, rekap per unit, dan tombol ekspor.</t>
        </is>
      </c>
      <c r="K941" s="29"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41" s="16" t="inlineStr">
        <is>
          <t>Tinggi</t>
        </is>
      </c>
      <c r="M941" s="29" t="inlineStr"/>
      <c r="N941" s="17" t="n"/>
      <c r="O941" s="17" t="n"/>
      <c r="P941" s="17" t="n"/>
      <c r="Q941" s="17" t="n"/>
      <c r="R941" s="17" t="n"/>
    </row>
    <row r="942" ht="162.4" customHeight="1">
      <c r="A942" s="25" t="n">
        <v>938</v>
      </c>
      <c r="B942" s="26" t="n">
        <v>2</v>
      </c>
      <c r="C942" s="27" t="inlineStr">
        <is>
          <t>LP-W-01 / Depricarping</t>
        </is>
      </c>
      <c r="D942" s="27" t="inlineStr">
        <is>
          <t>LP-W-01</t>
        </is>
      </c>
      <c r="E942" s="28" t="inlineStr">
        <is>
          <t>Depricarping</t>
        </is>
      </c>
      <c r="F942" s="29" t="inlineStr">
        <is>
          <t>Laporan Periode Stasiun (LP-)</t>
        </is>
      </c>
      <c r="G942" s="28" t="inlineStr">
        <is>
          <t>Laporan tampil lengkap setelah periode dan line dipilih</t>
        </is>
      </c>
      <c r="H942" s="29" t="inlineStr">
        <is>
          <t>SPV-A</t>
        </is>
      </c>
      <c r="I942" s="29" t="inlineStr">
        <is>
          <t>periode dengan data terisi pada satu line</t>
        </is>
      </c>
      <c r="J942" s="29" t="inlineStr">
        <is>
          <t>1. Siapkan satu periode untuk stasiun ini dengan data terisi pada satu Production Line.
2. Login di web (buka /login, isi username dan password akun pada kolom Peran, tekan Login) sebagai SPV-A, sidebar → Laporan Stasiun, tekan tile Depricarping.
3. Sebelum memilih apa pun, baca isi layar.
4. Pilih Periode. Baca layar lagi.
5. Pilih Production Line.
6. Catat bagian-bagian yang muncul: cakupan, kartu parameter, rekap harian, rekap per unit, dan tombol ekspor.</t>
        </is>
      </c>
      <c r="K942" s="29"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42" s="16" t="inlineStr">
        <is>
          <t>Tinggi</t>
        </is>
      </c>
      <c r="M942" s="29" t="inlineStr"/>
      <c r="N942" s="17" t="n"/>
      <c r="O942" s="17" t="n"/>
      <c r="P942" s="17" t="n"/>
      <c r="Q942" s="17" t="n"/>
      <c r="R942" s="17" t="n"/>
    </row>
    <row r="943" ht="162.4" customHeight="1">
      <c r="A943" s="25" t="n">
        <v>939</v>
      </c>
      <c r="B943" s="26" t="n">
        <v>2</v>
      </c>
      <c r="C943" s="27" t="inlineStr">
        <is>
          <t>LP-W-01 / Storage Tank</t>
        </is>
      </c>
      <c r="D943" s="27" t="inlineStr">
        <is>
          <t>LP-W-01</t>
        </is>
      </c>
      <c r="E943" s="28" t="inlineStr">
        <is>
          <t>Storage Tank</t>
        </is>
      </c>
      <c r="F943" s="29" t="inlineStr">
        <is>
          <t>Laporan Periode Stasiun (LP-)</t>
        </is>
      </c>
      <c r="G943" s="28" t="inlineStr">
        <is>
          <t>Laporan tampil lengkap setelah periode dan line dipilih</t>
        </is>
      </c>
      <c r="H943" s="29" t="inlineStr">
        <is>
          <t>SPV-A</t>
        </is>
      </c>
      <c r="I943" s="29" t="inlineStr">
        <is>
          <t>periode dengan data terisi pada satu line</t>
        </is>
      </c>
      <c r="J943" s="29" t="inlineStr">
        <is>
          <t>1. Siapkan satu periode untuk stasiun ini dengan data terisi pada satu Production Line.
2. Login di web (buka /login, isi username dan password akun pada kolom Peran, tekan Login) sebagai SPV-A, sidebar → Laporan Stasiun, tekan tile Storage Tank.
3. Sebelum memilih apa pun, baca isi layar.
4. Pilih Periode. Baca layar lagi.
5. Pilih Production Line.
6. Catat bagian-bagian yang muncul: cakupan, kartu parameter, rekap harian, rekap per unit, dan tombol ekspor.</t>
        </is>
      </c>
      <c r="K943" s="29"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43" s="16" t="inlineStr">
        <is>
          <t>Tinggi</t>
        </is>
      </c>
      <c r="M943" s="29" t="inlineStr"/>
      <c r="N943" s="17" t="n"/>
      <c r="O943" s="17" t="n"/>
      <c r="P943" s="17" t="n"/>
      <c r="Q943" s="17" t="n"/>
      <c r="R943" s="17" t="n"/>
    </row>
    <row r="944" ht="122.8" customHeight="1">
      <c r="A944" s="18" t="n">
        <v>940</v>
      </c>
      <c r="B944" s="18" t="n">
        <v>3</v>
      </c>
      <c r="C944" s="19" t="inlineStr">
        <is>
          <t>LP-W-02 / Weighbridge</t>
        </is>
      </c>
      <c r="D944" s="19" t="inlineStr">
        <is>
          <t>LP-W-02</t>
        </is>
      </c>
      <c r="E944" s="20" t="inlineStr">
        <is>
          <t>Weighbridge</t>
        </is>
      </c>
      <c r="F944" s="21" t="inlineStr">
        <is>
          <t>Laporan Periode Stasiun (LP-)</t>
        </is>
      </c>
      <c r="G944" s="20" t="inlineStr">
        <is>
          <t>Cakupan pencatatan berada DI ATAS semua angka lain</t>
        </is>
      </c>
      <c r="H944" s="21" t="inlineStr">
        <is>
          <t>SPV-A</t>
        </is>
      </c>
      <c r="I944" s="21" t="inlineStr">
        <is>
          <t>—</t>
        </is>
      </c>
      <c r="J944" s="21" t="inlineStr">
        <is>
          <t>1. Login di web, sidebar &gt; Laporan Stasiun (/reports), tekan tile Weighbridge (/reports/weighbridge), lalu pilih Periode dan Production Line, pilih periode dan line yang punya data.
2. Gulir ke paling atas.
3. Catat urutan bagian dari atas ke bawah.
4. Tentukan posisi bagian Cakupan Pencatatan relatif terhadap kartu parameter.</t>
        </is>
      </c>
      <c r="K944" s="21" t="inlineStr">
        <is>
          <t>- Bagian Cakupan Pencatatan berada di atas seluruh kartu parameter.
- Pembaca melihat seberapa lengkap datanya sebelum melihat angka rata-ratanya.
- Kalau cakupan ada di bawah, itu temuan: angka rata-rata dari 2 slot terbaca sama meyakinkan dengan dari 400 slot.</t>
        </is>
      </c>
      <c r="L944" s="16" t="inlineStr">
        <is>
          <t>Tinggi</t>
        </is>
      </c>
      <c r="M944" s="21" t="inlineStr">
        <is>
          <t>periode yang baru terisi seperlima pun menghasilkan rata-rata yang terlihat rapi. Pembaca harus melihat seberapa lengkap datanya sebelum mempercayai angkanya — itu sebabnya urutan ini diuji.</t>
        </is>
      </c>
      <c r="N944" s="17" t="n"/>
      <c r="O944" s="17" t="n"/>
      <c r="P944" s="17" t="n"/>
      <c r="Q944" s="17" t="n"/>
      <c r="R944" s="17" t="n"/>
    </row>
    <row r="945" ht="109.6" customHeight="1">
      <c r="A945" s="22" t="n">
        <v>941</v>
      </c>
      <c r="B945" s="22" t="n">
        <v>3</v>
      </c>
      <c r="C945" s="23" t="inlineStr">
        <is>
          <t>LP-W-02 / Grading</t>
        </is>
      </c>
      <c r="D945" s="23" t="inlineStr">
        <is>
          <t>LP-W-02</t>
        </is>
      </c>
      <c r="E945" s="24" t="inlineStr">
        <is>
          <t>Grading</t>
        </is>
      </c>
      <c r="F945" s="5" t="inlineStr">
        <is>
          <t>Laporan Periode Stasiun (LP-)</t>
        </is>
      </c>
      <c r="G945" s="24" t="inlineStr">
        <is>
          <t>Cakupan pencatatan berada DI ATAS semua angka lain</t>
        </is>
      </c>
      <c r="H945" s="5" t="inlineStr">
        <is>
          <t>SPV-A</t>
        </is>
      </c>
      <c r="I945" s="5" t="inlineStr">
        <is>
          <t>—</t>
        </is>
      </c>
      <c r="J945" s="5" t="inlineStr">
        <is>
          <t>1. Login di web, sidebar &gt; Laporan Stasiun (/reports), tekan tile Grading (/reports/grading), lalu pilih Periode dan Production Line, pilih periode dan line yang punya data.
2. Gulir ke paling atas.
3. Catat urutan bagian dari atas ke bawah.
4. Tentukan posisi bagian Cakupan Pencatatan relatif terhadap kartu parameter.</t>
        </is>
      </c>
      <c r="K945" s="5" t="inlineStr">
        <is>
          <t>- Bagian Cakupan Pencatatan berada di atas seluruh kartu parameter.
- Pembaca melihat seberapa lengkap datanya sebelum melihat angka rata-ratanya.
- Kalau cakupan ada di bawah, itu temuan: angka rata-rata dari 2 slot terbaca sama meyakinkan dengan dari 400 slot.</t>
        </is>
      </c>
      <c r="L945" s="16" t="inlineStr">
        <is>
          <t>Tinggi</t>
        </is>
      </c>
      <c r="M945" s="5" t="inlineStr">
        <is>
          <t>periode yang baru terisi seperlima pun menghasilkan rata-rata yang terlihat rapi. Pembaca harus melihat seberapa lengkap datanya sebelum mempercayai angkanya — itu sebabnya urutan ini diuji.</t>
        </is>
      </c>
      <c r="N945" s="17" t="n"/>
      <c r="O945" s="17" t="n"/>
      <c r="P945" s="17" t="n"/>
      <c r="Q945" s="17" t="n"/>
      <c r="R945" s="17" t="n"/>
    </row>
    <row r="946" ht="122.8" customHeight="1">
      <c r="A946" s="18" t="n">
        <v>942</v>
      </c>
      <c r="B946" s="18" t="n">
        <v>3</v>
      </c>
      <c r="C946" s="19" t="inlineStr">
        <is>
          <t>LP-W-02 / Cages Track</t>
        </is>
      </c>
      <c r="D946" s="19" t="inlineStr">
        <is>
          <t>LP-W-02</t>
        </is>
      </c>
      <c r="E946" s="20" t="inlineStr">
        <is>
          <t>Cages Track</t>
        </is>
      </c>
      <c r="F946" s="21" t="inlineStr">
        <is>
          <t>Laporan Periode Stasiun (LP-)</t>
        </is>
      </c>
      <c r="G946" s="20" t="inlineStr">
        <is>
          <t>Cakupan pencatatan berada DI ATAS semua angka lain</t>
        </is>
      </c>
      <c r="H946" s="21" t="inlineStr">
        <is>
          <t>SPV-A</t>
        </is>
      </c>
      <c r="I946" s="21" t="inlineStr">
        <is>
          <t>—</t>
        </is>
      </c>
      <c r="J946" s="21" t="inlineStr">
        <is>
          <t>1. Login di web, sidebar &gt; Laporan Stasiun (/reports), tekan tile Cages Track (/reports/cages-track), lalu pilih Periode dan Production Line, pilih periode dan line yang punya data.
2. Gulir ke paling atas.
3. Catat urutan bagian dari atas ke bawah.
4. Tentukan posisi bagian Cakupan Pencatatan relatif terhadap kartu parameter.</t>
        </is>
      </c>
      <c r="K946" s="21" t="inlineStr">
        <is>
          <t>- Bagian Cakupan Pencatatan berada di atas seluruh kartu parameter.
- Pembaca melihat seberapa lengkap datanya sebelum melihat angka rata-ratanya.
- Kalau cakupan ada di bawah, itu temuan: angka rata-rata dari 2 slot terbaca sama meyakinkan dengan dari 400 slot.</t>
        </is>
      </c>
      <c r="L946" s="16" t="inlineStr">
        <is>
          <t>Tinggi</t>
        </is>
      </c>
      <c r="M946" s="21" t="inlineStr">
        <is>
          <t>periode yang baru terisi seperlima pun menghasilkan rata-rata yang terlihat rapi. Pembaca harus melihat seberapa lengkap datanya sebelum mempercayai angkanya — itu sebabnya urutan ini diuji.</t>
        </is>
      </c>
      <c r="N946" s="17" t="n"/>
      <c r="O946" s="17" t="n"/>
      <c r="P946" s="17" t="n"/>
      <c r="Q946" s="17" t="n"/>
      <c r="R946" s="17" t="n"/>
    </row>
    <row r="947" ht="122.8" customHeight="1">
      <c r="A947" s="22" t="n">
        <v>943</v>
      </c>
      <c r="B947" s="22" t="n">
        <v>3</v>
      </c>
      <c r="C947" s="23" t="inlineStr">
        <is>
          <t>LP-W-02 / Sterilizer</t>
        </is>
      </c>
      <c r="D947" s="23" t="inlineStr">
        <is>
          <t>LP-W-02</t>
        </is>
      </c>
      <c r="E947" s="24" t="inlineStr">
        <is>
          <t>Sterilizer</t>
        </is>
      </c>
      <c r="F947" s="5" t="inlineStr">
        <is>
          <t>Laporan Periode Stasiun (LP-)</t>
        </is>
      </c>
      <c r="G947" s="24" t="inlineStr">
        <is>
          <t>Cakupan pencatatan berada DI ATAS semua angka lain</t>
        </is>
      </c>
      <c r="H947" s="5" t="inlineStr">
        <is>
          <t>SPV-A</t>
        </is>
      </c>
      <c r="I947" s="5" t="inlineStr">
        <is>
          <t>—</t>
        </is>
      </c>
      <c r="J947" s="5" t="inlineStr">
        <is>
          <t>1. Login di web, sidebar &gt; Laporan Stasiun (/reports), tekan tile Sterilizer (/reports/sterilizer), lalu pilih Periode dan Production Line, pilih periode dan line yang punya data.
2. Gulir ke paling atas.
3. Catat urutan bagian dari atas ke bawah.
4. Tentukan posisi bagian Cakupan Pencatatan relatif terhadap kartu parameter.</t>
        </is>
      </c>
      <c r="K947" s="5" t="inlineStr">
        <is>
          <t>- Bagian Cakupan Pencatatan berada di atas seluruh kartu parameter.
- Pembaca melihat seberapa lengkap datanya sebelum melihat angka rata-ratanya.
- Kalau cakupan ada di bawah, itu temuan: angka rata-rata dari 2 slot terbaca sama meyakinkan dengan dari 400 slot.</t>
        </is>
      </c>
      <c r="L947" s="16" t="inlineStr">
        <is>
          <t>Tinggi</t>
        </is>
      </c>
      <c r="M947" s="5" t="inlineStr">
        <is>
          <t>periode yang baru terisi seperlima pun menghasilkan rata-rata yang terlihat rapi. Pembaca harus melihat seberapa lengkap datanya sebelum mempercayai angkanya — itu sebabnya urutan ini diuji.</t>
        </is>
      </c>
      <c r="N947" s="17" t="n"/>
      <c r="O947" s="17" t="n"/>
      <c r="P947" s="17" t="n"/>
      <c r="Q947" s="17" t="n"/>
      <c r="R947" s="17" t="n"/>
    </row>
    <row r="948" ht="122.8" customHeight="1">
      <c r="A948" s="18" t="n">
        <v>944</v>
      </c>
      <c r="B948" s="18" t="n">
        <v>3</v>
      </c>
      <c r="C948" s="19" t="inlineStr">
        <is>
          <t>LP-W-02 / Threshing</t>
        </is>
      </c>
      <c r="D948" s="19" t="inlineStr">
        <is>
          <t>LP-W-02</t>
        </is>
      </c>
      <c r="E948" s="20" t="inlineStr">
        <is>
          <t>Threshing</t>
        </is>
      </c>
      <c r="F948" s="21" t="inlineStr">
        <is>
          <t>Laporan Periode Stasiun (LP-)</t>
        </is>
      </c>
      <c r="G948" s="20" t="inlineStr">
        <is>
          <t>Cakupan pencatatan berada DI ATAS semua angka lain</t>
        </is>
      </c>
      <c r="H948" s="21" t="inlineStr">
        <is>
          <t>SPV-A</t>
        </is>
      </c>
      <c r="I948" s="21" t="inlineStr">
        <is>
          <t>—</t>
        </is>
      </c>
      <c r="J948" s="21" t="inlineStr">
        <is>
          <t>1. Login di web, sidebar &gt; Laporan Stasiun (/reports), tekan tile Threshing (/reports/threshing), lalu pilih Periode dan Production Line, pilih periode dan line yang punya data.
2. Gulir ke paling atas.
3. Catat urutan bagian dari atas ke bawah.
4. Tentukan posisi bagian Cakupan Pencatatan relatif terhadap kartu parameter.</t>
        </is>
      </c>
      <c r="K948" s="21" t="inlineStr">
        <is>
          <t>- Bagian Cakupan Pencatatan berada di atas seluruh kartu parameter.
- Pembaca melihat seberapa lengkap datanya sebelum melihat angka rata-ratanya.
- Kalau cakupan ada di bawah, itu temuan: angka rata-rata dari 2 slot terbaca sama meyakinkan dengan dari 400 slot.</t>
        </is>
      </c>
      <c r="L948" s="16" t="inlineStr">
        <is>
          <t>Tinggi</t>
        </is>
      </c>
      <c r="M948" s="21" t="inlineStr">
        <is>
          <t>periode yang baru terisi seperlima pun menghasilkan rata-rata yang terlihat rapi. Pembaca harus melihat seberapa lengkap datanya sebelum mempercayai angkanya — itu sebabnya urutan ini diuji.</t>
        </is>
      </c>
      <c r="N948" s="17" t="n"/>
      <c r="O948" s="17" t="n"/>
      <c r="P948" s="17" t="n"/>
      <c r="Q948" s="17" t="n"/>
      <c r="R948" s="17" t="n"/>
    </row>
    <row r="949" ht="109.6" customHeight="1">
      <c r="A949" s="22" t="n">
        <v>945</v>
      </c>
      <c r="B949" s="22" t="n">
        <v>3</v>
      </c>
      <c r="C949" s="23" t="inlineStr">
        <is>
          <t>LP-W-02 / Pressing</t>
        </is>
      </c>
      <c r="D949" s="23" t="inlineStr">
        <is>
          <t>LP-W-02</t>
        </is>
      </c>
      <c r="E949" s="24" t="inlineStr">
        <is>
          <t>Pressing</t>
        </is>
      </c>
      <c r="F949" s="5" t="inlineStr">
        <is>
          <t>Laporan Periode Stasiun (LP-)</t>
        </is>
      </c>
      <c r="G949" s="24" t="inlineStr">
        <is>
          <t>Cakupan pencatatan berada DI ATAS semua angka lain</t>
        </is>
      </c>
      <c r="H949" s="5" t="inlineStr">
        <is>
          <t>SPV-A</t>
        </is>
      </c>
      <c r="I949" s="5" t="inlineStr">
        <is>
          <t>—</t>
        </is>
      </c>
      <c r="J949" s="5" t="inlineStr">
        <is>
          <t>1. Login di web, sidebar &gt; Laporan Stasiun (/reports), tekan tile Pressing (/reports/pressing), lalu pilih Periode dan Production Line, pilih periode dan line yang punya data.
2. Gulir ke paling atas.
3. Catat urutan bagian dari atas ke bawah.
4. Tentukan posisi bagian Cakupan Pencatatan relatif terhadap kartu parameter.</t>
        </is>
      </c>
      <c r="K949" s="5" t="inlineStr">
        <is>
          <t>- Bagian Cakupan Pencatatan berada di atas seluruh kartu parameter.
- Pembaca melihat seberapa lengkap datanya sebelum melihat angka rata-ratanya.
- Kalau cakupan ada di bawah, itu temuan: angka rata-rata dari 2 slot terbaca sama meyakinkan dengan dari 400 slot.</t>
        </is>
      </c>
      <c r="L949" s="16" t="inlineStr">
        <is>
          <t>Tinggi</t>
        </is>
      </c>
      <c r="M949" s="5" t="inlineStr">
        <is>
          <t>periode yang baru terisi seperlima pun menghasilkan rata-rata yang terlihat rapi. Pembaca harus melihat seberapa lengkap datanya sebelum mempercayai angkanya — itu sebabnya urutan ini diuji.</t>
        </is>
      </c>
      <c r="N949" s="17" t="n"/>
      <c r="O949" s="17" t="n"/>
      <c r="P949" s="17" t="n"/>
      <c r="Q949" s="17" t="n"/>
      <c r="R949" s="17" t="n"/>
    </row>
    <row r="950" ht="122.8" customHeight="1">
      <c r="A950" s="18" t="n">
        <v>946</v>
      </c>
      <c r="B950" s="18" t="n">
        <v>3</v>
      </c>
      <c r="C950" s="19" t="inlineStr">
        <is>
          <t>LP-W-02 / Clarification</t>
        </is>
      </c>
      <c r="D950" s="19" t="inlineStr">
        <is>
          <t>LP-W-02</t>
        </is>
      </c>
      <c r="E950" s="20" t="inlineStr">
        <is>
          <t>Clarification</t>
        </is>
      </c>
      <c r="F950" s="21" t="inlineStr">
        <is>
          <t>Laporan Periode Stasiun (LP-)</t>
        </is>
      </c>
      <c r="G950" s="20" t="inlineStr">
        <is>
          <t>Cakupan pencatatan berada DI ATAS semua angka lain</t>
        </is>
      </c>
      <c r="H950" s="21" t="inlineStr">
        <is>
          <t>SPV-A</t>
        </is>
      </c>
      <c r="I950" s="21" t="inlineStr">
        <is>
          <t>—</t>
        </is>
      </c>
      <c r="J950" s="21" t="inlineStr">
        <is>
          <t>1. Login di web, sidebar &gt; Laporan Stasiun (/reports), tekan tile Clarification (/reports/clarification), lalu pilih Periode dan Production Line, pilih periode dan line yang punya data.
2. Gulir ke paling atas.
3. Catat urutan bagian dari atas ke bawah.
4. Tentukan posisi bagian Cakupan Pencatatan relatif terhadap kartu parameter.</t>
        </is>
      </c>
      <c r="K950" s="21" t="inlineStr">
        <is>
          <t>- Bagian Cakupan Pencatatan berada di atas seluruh kartu parameter.
- Pembaca melihat seberapa lengkap datanya sebelum melihat angka rata-ratanya.
- Kalau cakupan ada di bawah, itu temuan: angka rata-rata dari 2 slot terbaca sama meyakinkan dengan dari 400 slot.</t>
        </is>
      </c>
      <c r="L950" s="16" t="inlineStr">
        <is>
          <t>Tinggi</t>
        </is>
      </c>
      <c r="M950" s="21" t="inlineStr">
        <is>
          <t>periode yang baru terisi seperlima pun menghasilkan rata-rata yang terlihat rapi. Pembaca harus melihat seberapa lengkap datanya sebelum mempercayai angkanya — itu sebabnya urutan ini diuji.</t>
        </is>
      </c>
      <c r="N950" s="17" t="n"/>
      <c r="O950" s="17" t="n"/>
      <c r="P950" s="17" t="n"/>
      <c r="Q950" s="17" t="n"/>
      <c r="R950" s="17" t="n"/>
    </row>
    <row r="951" ht="122.8" customHeight="1">
      <c r="A951" s="11" t="n">
        <v>947</v>
      </c>
      <c r="B951" s="12" t="n">
        <v>1</v>
      </c>
      <c r="C951" s="13" t="inlineStr">
        <is>
          <t>LP-W-02 / Kernel Plant</t>
        </is>
      </c>
      <c r="D951" s="13" t="inlineStr">
        <is>
          <t>LP-W-02</t>
        </is>
      </c>
      <c r="E951" s="15" t="inlineStr">
        <is>
          <t>Kernel Plant</t>
        </is>
      </c>
      <c r="F951" s="14" t="inlineStr">
        <is>
          <t>Laporan Periode Stasiun (LP-)</t>
        </is>
      </c>
      <c r="G951" s="15" t="inlineStr">
        <is>
          <t>Cakupan pencatatan berada DI ATAS semua angka lain</t>
        </is>
      </c>
      <c r="H951" s="14" t="inlineStr">
        <is>
          <t>SPV-A</t>
        </is>
      </c>
      <c r="I951" s="14" t="inlineStr">
        <is>
          <t>—</t>
        </is>
      </c>
      <c r="J951" s="14" t="inlineStr">
        <is>
          <t>1. Login di web, sidebar &gt; Laporan Stasiun (/reports), tekan tile Kernel Plant (/reports/kernel-plant), lalu pilih Periode dan Production Line, pilih periode dan line yang punya data.
2. Gulir ke paling atas.
3. Catat urutan bagian dari atas ke bawah.
4. Tentukan posisi bagian Cakupan Pencatatan relatif terhadap kartu parameter.</t>
        </is>
      </c>
      <c r="K951" s="14" t="inlineStr">
        <is>
          <t>- Bagian Cakupan Pencatatan berada di atas seluruh kartu parameter.
- Pembaca melihat seberapa lengkap datanya sebelum melihat angka rata-ratanya.
- Kalau cakupan ada di bawah, itu temuan: angka rata-rata dari 2 slot terbaca sama meyakinkan dengan dari 400 slot.</t>
        </is>
      </c>
      <c r="L951" s="16" t="inlineStr">
        <is>
          <t>Tinggi</t>
        </is>
      </c>
      <c r="M951" s="14" t="inlineStr">
        <is>
          <t>periode yang baru terisi seperlima pun menghasilkan rata-rata yang terlihat rapi. Pembaca harus melihat seberapa lengkap datanya sebelum mempercayai angkanya — itu sebabnya urutan ini diuji.</t>
        </is>
      </c>
      <c r="N951" s="17" t="n"/>
      <c r="O951" s="17" t="n"/>
      <c r="P951" s="17" t="n"/>
      <c r="Q951" s="17" t="n"/>
      <c r="R951" s="17" t="n"/>
    </row>
    <row r="952" ht="122.8" customHeight="1">
      <c r="A952" s="18" t="n">
        <v>948</v>
      </c>
      <c r="B952" s="18" t="n">
        <v>3</v>
      </c>
      <c r="C952" s="19" t="inlineStr">
        <is>
          <t>LP-W-02 / Boiler Room</t>
        </is>
      </c>
      <c r="D952" s="19" t="inlineStr">
        <is>
          <t>LP-W-02</t>
        </is>
      </c>
      <c r="E952" s="20" t="inlineStr">
        <is>
          <t>Boiler Room</t>
        </is>
      </c>
      <c r="F952" s="21" t="inlineStr">
        <is>
          <t>Laporan Periode Stasiun (LP-)</t>
        </is>
      </c>
      <c r="G952" s="20" t="inlineStr">
        <is>
          <t>Cakupan pencatatan berada DI ATAS semua angka lain</t>
        </is>
      </c>
      <c r="H952" s="21" t="inlineStr">
        <is>
          <t>SPV-A</t>
        </is>
      </c>
      <c r="I952" s="21" t="inlineStr">
        <is>
          <t>—</t>
        </is>
      </c>
      <c r="J952" s="21" t="inlineStr">
        <is>
          <t>1. Login di web, sidebar &gt; Laporan Stasiun (/reports), tekan tile Boiler Room (/reports/boiler-room), lalu pilih Periode dan Production Line, pilih periode dan line yang punya data.
2. Gulir ke paling atas.
3. Catat urutan bagian dari atas ke bawah.
4. Tentukan posisi bagian Cakupan Pencatatan relatif terhadap kartu parameter.</t>
        </is>
      </c>
      <c r="K952" s="21" t="inlineStr">
        <is>
          <t>- Bagian Cakupan Pencatatan berada di atas seluruh kartu parameter.
- Pembaca melihat seberapa lengkap datanya sebelum melihat angka rata-ratanya.
- Kalau cakupan ada di bawah, itu temuan: angka rata-rata dari 2 slot terbaca sama meyakinkan dengan dari 400 slot.</t>
        </is>
      </c>
      <c r="L952" s="16" t="inlineStr">
        <is>
          <t>Tinggi</t>
        </is>
      </c>
      <c r="M952" s="21" t="inlineStr">
        <is>
          <t>periode yang baru terisi seperlima pun menghasilkan rata-rata yang terlihat rapi. Pembaca harus melihat seberapa lengkap datanya sebelum mempercayai angkanya — itu sebabnya urutan ini diuji.</t>
        </is>
      </c>
      <c r="N952" s="17" t="n"/>
      <c r="O952" s="17" t="n"/>
      <c r="P952" s="17" t="n"/>
      <c r="Q952" s="17" t="n"/>
      <c r="R952" s="17" t="n"/>
    </row>
    <row r="953" ht="122.8" customHeight="1">
      <c r="A953" s="22" t="n">
        <v>949</v>
      </c>
      <c r="B953" s="22" t="n">
        <v>3</v>
      </c>
      <c r="C953" s="23" t="inlineStr">
        <is>
          <t>LP-W-02 / Depricarping</t>
        </is>
      </c>
      <c r="D953" s="23" t="inlineStr">
        <is>
          <t>LP-W-02</t>
        </is>
      </c>
      <c r="E953" s="24" t="inlineStr">
        <is>
          <t>Depricarping</t>
        </is>
      </c>
      <c r="F953" s="5" t="inlineStr">
        <is>
          <t>Laporan Periode Stasiun (LP-)</t>
        </is>
      </c>
      <c r="G953" s="24" t="inlineStr">
        <is>
          <t>Cakupan pencatatan berada DI ATAS semua angka lain</t>
        </is>
      </c>
      <c r="H953" s="5" t="inlineStr">
        <is>
          <t>SPV-A</t>
        </is>
      </c>
      <c r="I953" s="5" t="inlineStr">
        <is>
          <t>—</t>
        </is>
      </c>
      <c r="J953" s="5" t="inlineStr">
        <is>
          <t>1. Login di web, sidebar &gt; Laporan Stasiun (/reports), tekan tile Depricarping (/reports/depricarping), lalu pilih Periode dan Production Line, pilih periode dan line yang punya data.
2. Gulir ke paling atas.
3. Catat urutan bagian dari atas ke bawah.
4. Tentukan posisi bagian Cakupan Pencatatan relatif terhadap kartu parameter.</t>
        </is>
      </c>
      <c r="K953" s="5" t="inlineStr">
        <is>
          <t>- Bagian Cakupan Pencatatan berada di atas seluruh kartu parameter.
- Pembaca melihat seberapa lengkap datanya sebelum melihat angka rata-ratanya.
- Kalau cakupan ada di bawah, itu temuan: angka rata-rata dari 2 slot terbaca sama meyakinkan dengan dari 400 slot.</t>
        </is>
      </c>
      <c r="L953" s="16" t="inlineStr">
        <is>
          <t>Tinggi</t>
        </is>
      </c>
      <c r="M953" s="5" t="inlineStr">
        <is>
          <t>periode yang baru terisi seperlima pun menghasilkan rata-rata yang terlihat rapi. Pembaca harus melihat seberapa lengkap datanya sebelum mempercayai angkanya — itu sebabnya urutan ini diuji.</t>
        </is>
      </c>
      <c r="N953" s="17" t="n"/>
      <c r="O953" s="17" t="n"/>
      <c r="P953" s="17" t="n"/>
      <c r="Q953" s="17" t="n"/>
      <c r="R953" s="17" t="n"/>
    </row>
    <row r="954" ht="122.8" customHeight="1">
      <c r="A954" s="18" t="n">
        <v>950</v>
      </c>
      <c r="B954" s="18" t="n">
        <v>3</v>
      </c>
      <c r="C954" s="19" t="inlineStr">
        <is>
          <t>LP-W-02 / Storage Tank</t>
        </is>
      </c>
      <c r="D954" s="19" t="inlineStr">
        <is>
          <t>LP-W-02</t>
        </is>
      </c>
      <c r="E954" s="20" t="inlineStr">
        <is>
          <t>Storage Tank</t>
        </is>
      </c>
      <c r="F954" s="21" t="inlineStr">
        <is>
          <t>Laporan Periode Stasiun (LP-)</t>
        </is>
      </c>
      <c r="G954" s="20" t="inlineStr">
        <is>
          <t>Cakupan pencatatan berada DI ATAS semua angka lain</t>
        </is>
      </c>
      <c r="H954" s="21" t="inlineStr">
        <is>
          <t>SPV-A</t>
        </is>
      </c>
      <c r="I954" s="21" t="inlineStr">
        <is>
          <t>—</t>
        </is>
      </c>
      <c r="J954" s="21" t="inlineStr">
        <is>
          <t>1. Login di web, sidebar &gt; Laporan Stasiun (/reports), tekan tile Storage Tank (/reports/storage-tank), lalu pilih Periode dan Production Line, pilih periode dan line yang punya data.
2. Gulir ke paling atas.
3. Catat urutan bagian dari atas ke bawah.
4. Tentukan posisi bagian Cakupan Pencatatan relatif terhadap kartu parameter.</t>
        </is>
      </c>
      <c r="K954" s="21" t="inlineStr">
        <is>
          <t>- Bagian Cakupan Pencatatan berada di atas seluruh kartu parameter.
- Pembaca melihat seberapa lengkap datanya sebelum melihat angka rata-ratanya.
- Kalau cakupan ada di bawah, itu temuan: angka rata-rata dari 2 slot terbaca sama meyakinkan dengan dari 400 slot.</t>
        </is>
      </c>
      <c r="L954" s="16" t="inlineStr">
        <is>
          <t>Tinggi</t>
        </is>
      </c>
      <c r="M954" s="21" t="inlineStr">
        <is>
          <t>periode yang baru terisi seperlima pun menghasilkan rata-rata yang terlihat rapi. Pembaca harus melihat seberapa lengkap datanya sebelum mempercayai angkanya — itu sebabnya urutan ini diuji.</t>
        </is>
      </c>
      <c r="N954" s="17" t="n"/>
      <c r="O954" s="17" t="n"/>
      <c r="P954" s="17" t="n"/>
      <c r="Q954" s="17" t="n"/>
      <c r="R954" s="17" t="n"/>
    </row>
    <row r="955" ht="162.4" customHeight="1">
      <c r="A955" s="22" t="n">
        <v>951</v>
      </c>
      <c r="B955" s="22" t="n">
        <v>3</v>
      </c>
      <c r="C955" s="23" t="inlineStr">
        <is>
          <t>LP-W-03 / Weighbridge</t>
        </is>
      </c>
      <c r="D955" s="23" t="inlineStr">
        <is>
          <t>LP-W-03</t>
        </is>
      </c>
      <c r="E955" s="24" t="inlineStr">
        <is>
          <t>Weighbridge</t>
        </is>
      </c>
      <c r="F955" s="5" t="inlineStr">
        <is>
          <t>Laporan Periode Stasiun (LP-)</t>
        </is>
      </c>
      <c r="G955" s="24" t="inlineStr">
        <is>
          <t>Setiap parameter mencetak penyebutnya sendiri</t>
        </is>
      </c>
      <c r="H955" s="5" t="inlineStr">
        <is>
          <t>SPV-A</t>
        </is>
      </c>
      <c r="I955" s="5" t="inlineStr">
        <is>
          <t>periode yang kolom-kolomnya terisi tidak sama banyak (mis. satu kolom 6 slot, kolom lain 2 slot)</t>
        </is>
      </c>
      <c r="J955" s="5" t="inlineStr">
        <is>
          <t>1. Siapkan satu periode yang kolom-kolomnya terisi tidak sama banyak — mis. satu kolom terisi pada 6 slot, kolom lain hanya 2 slot.
2. Login di web, sidebar &gt; Laporan Stasiun (/reports), tekan tile Weighbridge (/reports/weighbridge), lalu pilih Periode dan Production Line dengan periode itu.
3. Baca setiap kartu parameter dan catat penyebut yang tertulis pada masing-masing.
4. Bandingkan penyebut antar kartu.
5. Catat juga angka slot terisi pada bagian Cakupan.</t>
        </is>
      </c>
      <c r="K955" s="5"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955" s="16" t="inlineStr">
        <is>
          <t>Tinggi</t>
        </is>
      </c>
      <c r="M955" s="5" t="inlineStr"/>
      <c r="N955" s="17" t="n"/>
      <c r="O955" s="17" t="n"/>
      <c r="P955" s="17" t="n"/>
      <c r="Q955" s="17" t="n"/>
      <c r="R955" s="17" t="n"/>
    </row>
    <row r="956" ht="162.4" customHeight="1">
      <c r="A956" s="18" t="n">
        <v>952</v>
      </c>
      <c r="B956" s="18" t="n">
        <v>3</v>
      </c>
      <c r="C956" s="19" t="inlineStr">
        <is>
          <t>LP-W-03 / Grading</t>
        </is>
      </c>
      <c r="D956" s="19" t="inlineStr">
        <is>
          <t>LP-W-03</t>
        </is>
      </c>
      <c r="E956" s="20" t="inlineStr">
        <is>
          <t>Grading</t>
        </is>
      </c>
      <c r="F956" s="21" t="inlineStr">
        <is>
          <t>Laporan Periode Stasiun (LP-)</t>
        </is>
      </c>
      <c r="G956" s="20" t="inlineStr">
        <is>
          <t>Setiap parameter mencetak penyebutnya sendiri</t>
        </is>
      </c>
      <c r="H956" s="21" t="inlineStr">
        <is>
          <t>SPV-A</t>
        </is>
      </c>
      <c r="I956" s="21" t="inlineStr">
        <is>
          <t>periode yang kolom-kolomnya terisi tidak sama banyak (mis. satu kolom 6 slot, kolom lain 2 slot)</t>
        </is>
      </c>
      <c r="J956" s="21" t="inlineStr">
        <is>
          <t>1. Siapkan satu periode yang kolom-kolomnya terisi tidak sama banyak — mis. satu kolom terisi pada 6 slot, kolom lain hanya 2 slot.
2. Login di web, sidebar &gt; Laporan Stasiun (/reports), tekan tile Grading (/reports/grading), lalu pilih Periode dan Production Line dengan periode itu.
3. Baca setiap kartu parameter dan catat penyebut yang tertulis pada masing-masing.
4. Bandingkan penyebut antar kartu.
5. Catat juga angka slot terisi pada bagian Cakupan.</t>
        </is>
      </c>
      <c r="K956" s="21"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956" s="16" t="inlineStr">
        <is>
          <t>Tinggi</t>
        </is>
      </c>
      <c r="M956" s="21" t="inlineStr"/>
      <c r="N956" s="17" t="n"/>
      <c r="O956" s="17" t="n"/>
      <c r="P956" s="17" t="n"/>
      <c r="Q956" s="17" t="n"/>
      <c r="R956" s="17" t="n"/>
    </row>
    <row r="957" ht="162.4" customHeight="1">
      <c r="A957" s="22" t="n">
        <v>953</v>
      </c>
      <c r="B957" s="22" t="n">
        <v>3</v>
      </c>
      <c r="C957" s="23" t="inlineStr">
        <is>
          <t>LP-W-03 / Cages Track</t>
        </is>
      </c>
      <c r="D957" s="23" t="inlineStr">
        <is>
          <t>LP-W-03</t>
        </is>
      </c>
      <c r="E957" s="24" t="inlineStr">
        <is>
          <t>Cages Track</t>
        </is>
      </c>
      <c r="F957" s="5" t="inlineStr">
        <is>
          <t>Laporan Periode Stasiun (LP-)</t>
        </is>
      </c>
      <c r="G957" s="24" t="inlineStr">
        <is>
          <t>Setiap parameter mencetak penyebutnya sendiri</t>
        </is>
      </c>
      <c r="H957" s="5" t="inlineStr">
        <is>
          <t>SPV-A</t>
        </is>
      </c>
      <c r="I957" s="5" t="inlineStr">
        <is>
          <t>periode yang kolom-kolomnya terisi tidak sama banyak (mis. satu kolom 6 slot, kolom lain 2 slot)</t>
        </is>
      </c>
      <c r="J957" s="5" t="inlineStr">
        <is>
          <t>1. Siapkan satu periode yang kolom-kolomnya terisi tidak sama banyak — mis. satu kolom terisi pada 6 slot, kolom lain hanya 2 slot.
2. Login di web, sidebar &gt; Laporan Stasiun (/reports), tekan tile Cages Track (/reports/cages-track), lalu pilih Periode dan Production Line dengan periode itu.
3. Baca setiap kartu parameter dan catat penyebut yang tertulis pada masing-masing.
4. Bandingkan penyebut antar kartu.
5. Catat juga angka slot terisi pada bagian Cakupan.</t>
        </is>
      </c>
      <c r="K957" s="5"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957" s="16" t="inlineStr">
        <is>
          <t>Tinggi</t>
        </is>
      </c>
      <c r="M957" s="5" t="inlineStr"/>
      <c r="N957" s="17" t="n"/>
      <c r="O957" s="17" t="n"/>
      <c r="P957" s="17" t="n"/>
      <c r="Q957" s="17" t="n"/>
      <c r="R957" s="17" t="n"/>
    </row>
    <row r="958" ht="162.4" customHeight="1">
      <c r="A958" s="18" t="n">
        <v>954</v>
      </c>
      <c r="B958" s="18" t="n">
        <v>3</v>
      </c>
      <c r="C958" s="19" t="inlineStr">
        <is>
          <t>LP-W-03 / Sterilizer</t>
        </is>
      </c>
      <c r="D958" s="19" t="inlineStr">
        <is>
          <t>LP-W-03</t>
        </is>
      </c>
      <c r="E958" s="20" t="inlineStr">
        <is>
          <t>Sterilizer</t>
        </is>
      </c>
      <c r="F958" s="21" t="inlineStr">
        <is>
          <t>Laporan Periode Stasiun (LP-)</t>
        </is>
      </c>
      <c r="G958" s="20" t="inlineStr">
        <is>
          <t>Setiap parameter mencetak penyebutnya sendiri</t>
        </is>
      </c>
      <c r="H958" s="21" t="inlineStr">
        <is>
          <t>SPV-A</t>
        </is>
      </c>
      <c r="I958" s="21" t="inlineStr">
        <is>
          <t>periode yang kolom-kolomnya terisi tidak sama banyak (mis. satu kolom 6 slot, kolom lain 2 slot)</t>
        </is>
      </c>
      <c r="J958" s="21" t="inlineStr">
        <is>
          <t>1. Siapkan satu periode yang kolom-kolomnya terisi tidak sama banyak — mis. satu kolom terisi pada 6 slot, kolom lain hanya 2 slot.
2. Login di web, sidebar &gt; Laporan Stasiun (/reports), tekan tile Sterilizer (/reports/sterilizer), lalu pilih Periode dan Production Line dengan periode itu.
3. Baca setiap kartu parameter dan catat penyebut yang tertulis pada masing-masing.
4. Bandingkan penyebut antar kartu.
5. Catat juga angka slot terisi pada bagian Cakupan.</t>
        </is>
      </c>
      <c r="K958" s="21"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958" s="16" t="inlineStr">
        <is>
          <t>Tinggi</t>
        </is>
      </c>
      <c r="M958" s="21" t="inlineStr"/>
      <c r="N958" s="17" t="n"/>
      <c r="O958" s="17" t="n"/>
      <c r="P958" s="17" t="n"/>
      <c r="Q958" s="17" t="n"/>
      <c r="R958" s="17" t="n"/>
    </row>
    <row r="959" ht="162.4" customHeight="1">
      <c r="A959" s="22" t="n">
        <v>955</v>
      </c>
      <c r="B959" s="22" t="n">
        <v>3</v>
      </c>
      <c r="C959" s="23" t="inlineStr">
        <is>
          <t>LP-W-03 / Threshing</t>
        </is>
      </c>
      <c r="D959" s="23" t="inlineStr">
        <is>
          <t>LP-W-03</t>
        </is>
      </c>
      <c r="E959" s="24" t="inlineStr">
        <is>
          <t>Threshing</t>
        </is>
      </c>
      <c r="F959" s="5" t="inlineStr">
        <is>
          <t>Laporan Periode Stasiun (LP-)</t>
        </is>
      </c>
      <c r="G959" s="24" t="inlineStr">
        <is>
          <t>Setiap parameter mencetak penyebutnya sendiri</t>
        </is>
      </c>
      <c r="H959" s="5" t="inlineStr">
        <is>
          <t>SPV-A</t>
        </is>
      </c>
      <c r="I959" s="5" t="inlineStr">
        <is>
          <t>periode yang kolom-kolomnya terisi tidak sama banyak (mis. satu kolom 6 slot, kolom lain 2 slot)</t>
        </is>
      </c>
      <c r="J959" s="5" t="inlineStr">
        <is>
          <t>1. Siapkan satu periode yang kolom-kolomnya terisi tidak sama banyak — mis. satu kolom terisi pada 6 slot, kolom lain hanya 2 slot.
2. Login di web, sidebar &gt; Laporan Stasiun (/reports), tekan tile Threshing (/reports/threshing), lalu pilih Periode dan Production Line dengan periode itu.
3. Baca setiap kartu parameter dan catat penyebut yang tertulis pada masing-masing.
4. Bandingkan penyebut antar kartu.
5. Catat juga angka slot terisi pada bagian Cakupan.</t>
        </is>
      </c>
      <c r="K959" s="5"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959" s="16" t="inlineStr">
        <is>
          <t>Tinggi</t>
        </is>
      </c>
      <c r="M959" s="5" t="inlineStr"/>
      <c r="N959" s="17" t="n"/>
      <c r="O959" s="17" t="n"/>
      <c r="P959" s="17" t="n"/>
      <c r="Q959" s="17" t="n"/>
      <c r="R959" s="17" t="n"/>
    </row>
    <row r="960" ht="162.4" customHeight="1">
      <c r="A960" s="18" t="n">
        <v>956</v>
      </c>
      <c r="B960" s="18" t="n">
        <v>3</v>
      </c>
      <c r="C960" s="19" t="inlineStr">
        <is>
          <t>LP-W-03 / Pressing</t>
        </is>
      </c>
      <c r="D960" s="19" t="inlineStr">
        <is>
          <t>LP-W-03</t>
        </is>
      </c>
      <c r="E960" s="20" t="inlineStr">
        <is>
          <t>Pressing</t>
        </is>
      </c>
      <c r="F960" s="21" t="inlineStr">
        <is>
          <t>Laporan Periode Stasiun (LP-)</t>
        </is>
      </c>
      <c r="G960" s="20" t="inlineStr">
        <is>
          <t>Setiap parameter mencetak penyebutnya sendiri</t>
        </is>
      </c>
      <c r="H960" s="21" t="inlineStr">
        <is>
          <t>SPV-A</t>
        </is>
      </c>
      <c r="I960" s="21" t="inlineStr">
        <is>
          <t>periode yang kolom-kolomnya terisi tidak sama banyak (mis. satu kolom 6 slot, kolom lain 2 slot)</t>
        </is>
      </c>
      <c r="J960" s="21" t="inlineStr">
        <is>
          <t>1. Siapkan satu periode yang kolom-kolomnya terisi tidak sama banyak — mis. satu kolom terisi pada 6 slot, kolom lain hanya 2 slot.
2. Login di web, sidebar &gt; Laporan Stasiun (/reports), tekan tile Pressing (/reports/pressing), lalu pilih Periode dan Production Line dengan periode itu.
3. Baca setiap kartu parameter dan catat penyebut yang tertulis pada masing-masing.
4. Bandingkan penyebut antar kartu.
5. Catat juga angka slot terisi pada bagian Cakupan.</t>
        </is>
      </c>
      <c r="K960" s="21"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960" s="16" t="inlineStr">
        <is>
          <t>Tinggi</t>
        </is>
      </c>
      <c r="M960" s="21" t="inlineStr"/>
      <c r="N960" s="17" t="n"/>
      <c r="O960" s="17" t="n"/>
      <c r="P960" s="17" t="n"/>
      <c r="Q960" s="17" t="n"/>
      <c r="R960" s="17" t="n"/>
    </row>
    <row r="961" ht="162.4" customHeight="1">
      <c r="A961" s="22" t="n">
        <v>957</v>
      </c>
      <c r="B961" s="22" t="n">
        <v>3</v>
      </c>
      <c r="C961" s="23" t="inlineStr">
        <is>
          <t>LP-W-03 / Clarification</t>
        </is>
      </c>
      <c r="D961" s="23" t="inlineStr">
        <is>
          <t>LP-W-03</t>
        </is>
      </c>
      <c r="E961" s="24" t="inlineStr">
        <is>
          <t>Clarification</t>
        </is>
      </c>
      <c r="F961" s="5" t="inlineStr">
        <is>
          <t>Laporan Periode Stasiun (LP-)</t>
        </is>
      </c>
      <c r="G961" s="24" t="inlineStr">
        <is>
          <t>Setiap parameter mencetak penyebutnya sendiri</t>
        </is>
      </c>
      <c r="H961" s="5" t="inlineStr">
        <is>
          <t>SPV-A</t>
        </is>
      </c>
      <c r="I961" s="5" t="inlineStr">
        <is>
          <t>periode yang kolom-kolomnya terisi tidak sama banyak (mis. satu kolom 6 slot, kolom lain 2 slot)</t>
        </is>
      </c>
      <c r="J961" s="5" t="inlineStr">
        <is>
          <t>1. Siapkan satu periode yang kolom-kolomnya terisi tidak sama banyak — mis. satu kolom terisi pada 6 slot, kolom lain hanya 2 slot.
2. Login di web, sidebar &gt; Laporan Stasiun (/reports), tekan tile Clarification (/reports/clarification), lalu pilih Periode dan Production Line dengan periode itu.
3. Baca setiap kartu parameter dan catat penyebut yang tertulis pada masing-masing.
4. Bandingkan penyebut antar kartu.
5. Catat juga angka slot terisi pada bagian Cakupan.</t>
        </is>
      </c>
      <c r="K961" s="5"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961" s="16" t="inlineStr">
        <is>
          <t>Tinggi</t>
        </is>
      </c>
      <c r="M961" s="5" t="inlineStr"/>
      <c r="N961" s="17" t="n"/>
      <c r="O961" s="17" t="n"/>
      <c r="P961" s="17" t="n"/>
      <c r="Q961" s="17" t="n"/>
      <c r="R961" s="17" t="n"/>
    </row>
    <row r="962" ht="162.4" customHeight="1">
      <c r="A962" s="11" t="n">
        <v>958</v>
      </c>
      <c r="B962" s="12" t="n">
        <v>1</v>
      </c>
      <c r="C962" s="13" t="inlineStr">
        <is>
          <t>LP-W-03 / Kernel Plant</t>
        </is>
      </c>
      <c r="D962" s="13" t="inlineStr">
        <is>
          <t>LP-W-03</t>
        </is>
      </c>
      <c r="E962" s="15" t="inlineStr">
        <is>
          <t>Kernel Plant</t>
        </is>
      </c>
      <c r="F962" s="14" t="inlineStr">
        <is>
          <t>Laporan Periode Stasiun (LP-)</t>
        </is>
      </c>
      <c r="G962" s="15" t="inlineStr">
        <is>
          <t>Setiap parameter mencetak penyebutnya sendiri</t>
        </is>
      </c>
      <c r="H962" s="14" t="inlineStr">
        <is>
          <t>SPV-A</t>
        </is>
      </c>
      <c r="I962" s="14" t="inlineStr">
        <is>
          <t>periode yang kolom-kolomnya terisi tidak sama banyak (mis. satu kolom 6 slot, kolom lain 2 slot)</t>
        </is>
      </c>
      <c r="J962" s="14" t="inlineStr">
        <is>
          <t>1. Siapkan satu periode yang kolom-kolomnya terisi tidak sama banyak — mis. satu kolom terisi pada 6 slot, kolom lain hanya 2 slot.
2. Login di web, sidebar &gt; Laporan Stasiun (/reports), tekan tile Kernel Plant (/reports/kernel-plant), lalu pilih Periode dan Production Line dengan periode itu.
3. Baca setiap kartu parameter dan catat penyebut yang tertulis pada masing-masing.
4. Bandingkan penyebut antar kartu.
5. Catat juga angka slot terisi pada bagian Cakupan.</t>
        </is>
      </c>
      <c r="K962" s="14"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962" s="16" t="inlineStr">
        <is>
          <t>Tinggi</t>
        </is>
      </c>
      <c r="M962" s="14" t="inlineStr"/>
      <c r="N962" s="17" t="n"/>
      <c r="O962" s="17" t="n"/>
      <c r="P962" s="17" t="n"/>
      <c r="Q962" s="17" t="n"/>
      <c r="R962" s="17" t="n"/>
    </row>
    <row r="963" ht="162.4" customHeight="1">
      <c r="A963" s="22" t="n">
        <v>959</v>
      </c>
      <c r="B963" s="22" t="n">
        <v>3</v>
      </c>
      <c r="C963" s="23" t="inlineStr">
        <is>
          <t>LP-W-03 / Boiler Room</t>
        </is>
      </c>
      <c r="D963" s="23" t="inlineStr">
        <is>
          <t>LP-W-03</t>
        </is>
      </c>
      <c r="E963" s="24" t="inlineStr">
        <is>
          <t>Boiler Room</t>
        </is>
      </c>
      <c r="F963" s="5" t="inlineStr">
        <is>
          <t>Laporan Periode Stasiun (LP-)</t>
        </is>
      </c>
      <c r="G963" s="24" t="inlineStr">
        <is>
          <t>Setiap parameter mencetak penyebutnya sendiri</t>
        </is>
      </c>
      <c r="H963" s="5" t="inlineStr">
        <is>
          <t>SPV-A</t>
        </is>
      </c>
      <c r="I963" s="5" t="inlineStr">
        <is>
          <t>periode yang kolom-kolomnya terisi tidak sama banyak (mis. satu kolom 6 slot, kolom lain 2 slot)</t>
        </is>
      </c>
      <c r="J963" s="5" t="inlineStr">
        <is>
          <t>1. Siapkan satu periode yang kolom-kolomnya terisi tidak sama banyak — mis. satu kolom terisi pada 6 slot, kolom lain hanya 2 slot.
2. Login di web, sidebar &gt; Laporan Stasiun (/reports), tekan tile Boiler Room (/reports/boiler-room), lalu pilih Periode dan Production Line dengan periode itu.
3. Baca setiap kartu parameter dan catat penyebut yang tertulis pada masing-masing.
4. Bandingkan penyebut antar kartu.
5. Catat juga angka slot terisi pada bagian Cakupan.</t>
        </is>
      </c>
      <c r="K963" s="5"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963" s="16" t="inlineStr">
        <is>
          <t>Tinggi</t>
        </is>
      </c>
      <c r="M963" s="5" t="inlineStr"/>
      <c r="N963" s="17" t="n"/>
      <c r="O963" s="17" t="n"/>
      <c r="P963" s="17" t="n"/>
      <c r="Q963" s="17" t="n"/>
      <c r="R963" s="17" t="n"/>
    </row>
    <row r="964" ht="162.4" customHeight="1">
      <c r="A964" s="18" t="n">
        <v>960</v>
      </c>
      <c r="B964" s="18" t="n">
        <v>3</v>
      </c>
      <c r="C964" s="19" t="inlineStr">
        <is>
          <t>LP-W-03 / Depricarping</t>
        </is>
      </c>
      <c r="D964" s="19" t="inlineStr">
        <is>
          <t>LP-W-03</t>
        </is>
      </c>
      <c r="E964" s="20" t="inlineStr">
        <is>
          <t>Depricarping</t>
        </is>
      </c>
      <c r="F964" s="21" t="inlineStr">
        <is>
          <t>Laporan Periode Stasiun (LP-)</t>
        </is>
      </c>
      <c r="G964" s="20" t="inlineStr">
        <is>
          <t>Setiap parameter mencetak penyebutnya sendiri</t>
        </is>
      </c>
      <c r="H964" s="21" t="inlineStr">
        <is>
          <t>SPV-A</t>
        </is>
      </c>
      <c r="I964" s="21" t="inlineStr">
        <is>
          <t>periode yang kolom-kolomnya terisi tidak sama banyak (mis. satu kolom 6 slot, kolom lain 2 slot)</t>
        </is>
      </c>
      <c r="J964" s="21" t="inlineStr">
        <is>
          <t>1. Siapkan satu periode yang kolom-kolomnya terisi tidak sama banyak — mis. satu kolom terisi pada 6 slot, kolom lain hanya 2 slot.
2. Login di web, sidebar &gt; Laporan Stasiun (/reports), tekan tile Depricarping (/reports/depricarping), lalu pilih Periode dan Production Line dengan periode itu.
3. Baca setiap kartu parameter dan catat penyebut yang tertulis pada masing-masing.
4. Bandingkan penyebut antar kartu.
5. Catat juga angka slot terisi pada bagian Cakupan.</t>
        </is>
      </c>
      <c r="K964" s="21"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964" s="16" t="inlineStr">
        <is>
          <t>Tinggi</t>
        </is>
      </c>
      <c r="M964" s="21" t="inlineStr"/>
      <c r="N964" s="17" t="n"/>
      <c r="O964" s="17" t="n"/>
      <c r="P964" s="17" t="n"/>
      <c r="Q964" s="17" t="n"/>
      <c r="R964" s="17" t="n"/>
    </row>
    <row r="965" ht="162.4" customHeight="1">
      <c r="A965" s="22" t="n">
        <v>961</v>
      </c>
      <c r="B965" s="22" t="n">
        <v>3</v>
      </c>
      <c r="C965" s="23" t="inlineStr">
        <is>
          <t>LP-W-03 / Storage Tank</t>
        </is>
      </c>
      <c r="D965" s="23" t="inlineStr">
        <is>
          <t>LP-W-03</t>
        </is>
      </c>
      <c r="E965" s="24" t="inlineStr">
        <is>
          <t>Storage Tank</t>
        </is>
      </c>
      <c r="F965" s="5" t="inlineStr">
        <is>
          <t>Laporan Periode Stasiun (LP-)</t>
        </is>
      </c>
      <c r="G965" s="24" t="inlineStr">
        <is>
          <t>Setiap parameter mencetak penyebutnya sendiri</t>
        </is>
      </c>
      <c r="H965" s="5" t="inlineStr">
        <is>
          <t>SPV-A</t>
        </is>
      </c>
      <c r="I965" s="5" t="inlineStr">
        <is>
          <t>periode yang kolom-kolomnya terisi tidak sama banyak (mis. satu kolom 6 slot, kolom lain 2 slot)</t>
        </is>
      </c>
      <c r="J965" s="5" t="inlineStr">
        <is>
          <t>1. Siapkan satu periode yang kolom-kolomnya terisi tidak sama banyak — mis. satu kolom terisi pada 6 slot, kolom lain hanya 2 slot.
2. Login di web, sidebar &gt; Laporan Stasiun (/reports), tekan tile Storage Tank (/reports/storage-tank), lalu pilih Periode dan Production Line dengan periode itu.
3. Baca setiap kartu parameter dan catat penyebut yang tertulis pada masing-masing.
4. Bandingkan penyebut antar kartu.
5. Catat juga angka slot terisi pada bagian Cakupan.</t>
        </is>
      </c>
      <c r="K965" s="5"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965" s="16" t="inlineStr">
        <is>
          <t>Tinggi</t>
        </is>
      </c>
      <c r="M965" s="5" t="inlineStr"/>
      <c r="N965" s="17" t="n"/>
      <c r="O965" s="17" t="n"/>
      <c r="P965" s="17" t="n"/>
      <c r="Q965" s="17" t="n"/>
      <c r="R965" s="17" t="n"/>
    </row>
    <row r="966" ht="149.2" customHeight="1">
      <c r="A966" s="18" t="n">
        <v>962</v>
      </c>
      <c r="B966" s="18" t="n">
        <v>3</v>
      </c>
      <c r="C966" s="19" t="inlineStr">
        <is>
          <t>LP-W-04 / Weighbridge</t>
        </is>
      </c>
      <c r="D966" s="19" t="inlineStr">
        <is>
          <t>LP-W-04</t>
        </is>
      </c>
      <c r="E966" s="20" t="inlineStr">
        <is>
          <t>Weighbridge</t>
        </is>
      </c>
      <c r="F966" s="21" t="inlineStr">
        <is>
          <t>Laporan Periode Stasiun (LP-)</t>
        </is>
      </c>
      <c r="G966" s="20" t="inlineStr">
        <is>
          <t>Semua baris parameter tetap tampil, termasuk yang tak pernah diukur</t>
        </is>
      </c>
      <c r="H966" s="21" t="inlineStr">
        <is>
          <t>SPV-A</t>
        </is>
      </c>
      <c r="I966" s="21" t="inlineStr">
        <is>
          <t>satu kolom yang tidak pernah diisi sepanjang periode</t>
        </is>
      </c>
      <c r="J966" s="21" t="inlineStr">
        <is>
          <t>1. Siapkan periode di mana satu kolom bacaan tidak pernah diisi sepanjang periode.
2. Login di web, sidebar &gt; Laporan Stasiun (/reports), tekan tile Weighbridge (/reports/weighbridge), lalu pilih Periode dan Production Line dengan periode itu.
3. Hitung jumlah kartu parameter dan bandingkan dengan jumlah kolom bacaan stasiun itu (matriks 4.2).
4. Cari kartu milik kolom yang tidak pernah diisi, dan baca isinya.</t>
        </is>
      </c>
      <c r="K966" s="21"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966" s="16" t="inlineStr">
        <is>
          <t>Tinggi</t>
        </is>
      </c>
      <c r="M966" s="21" t="inlineStr">
        <is>
          <t>baris yang hilang terbaca "parameter ini tidak ada", padahal yang benar "tidak ada yang mengukurnya".</t>
        </is>
      </c>
      <c r="N966" s="17" t="n"/>
      <c r="O966" s="17" t="n"/>
      <c r="P966" s="17" t="n"/>
      <c r="Q966" s="17" t="n"/>
      <c r="R966" s="17" t="n"/>
    </row>
    <row r="967" ht="149.2" customHeight="1">
      <c r="A967" s="22" t="n">
        <v>963</v>
      </c>
      <c r="B967" s="22" t="n">
        <v>3</v>
      </c>
      <c r="C967" s="23" t="inlineStr">
        <is>
          <t>LP-W-04 / Grading</t>
        </is>
      </c>
      <c r="D967" s="23" t="inlineStr">
        <is>
          <t>LP-W-04</t>
        </is>
      </c>
      <c r="E967" s="24" t="inlineStr">
        <is>
          <t>Grading</t>
        </is>
      </c>
      <c r="F967" s="5" t="inlineStr">
        <is>
          <t>Laporan Periode Stasiun (LP-)</t>
        </is>
      </c>
      <c r="G967" s="24" t="inlineStr">
        <is>
          <t>Semua baris parameter tetap tampil, termasuk yang tak pernah diukur</t>
        </is>
      </c>
      <c r="H967" s="5" t="inlineStr">
        <is>
          <t>SPV-A</t>
        </is>
      </c>
      <c r="I967" s="5" t="inlineStr">
        <is>
          <t>satu kolom yang tidak pernah diisi sepanjang periode</t>
        </is>
      </c>
      <c r="J967" s="5" t="inlineStr">
        <is>
          <t>1. Siapkan periode di mana satu kolom bacaan tidak pernah diisi sepanjang periode.
2. Login di web, sidebar &gt; Laporan Stasiun (/reports), tekan tile Grading (/reports/grading), lalu pilih Periode dan Production Line dengan periode itu.
3. Hitung jumlah kartu parameter dan bandingkan dengan jumlah kolom bacaan stasiun itu (matriks 4.2).
4. Cari kartu milik kolom yang tidak pernah diisi, dan baca isinya.</t>
        </is>
      </c>
      <c r="K967" s="5"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967" s="16" t="inlineStr">
        <is>
          <t>Tinggi</t>
        </is>
      </c>
      <c r="M967" s="5" t="inlineStr">
        <is>
          <t>baris yang hilang terbaca "parameter ini tidak ada", padahal yang benar "tidak ada yang mengukurnya".</t>
        </is>
      </c>
      <c r="N967" s="17" t="n"/>
      <c r="O967" s="17" t="n"/>
      <c r="P967" s="17" t="n"/>
      <c r="Q967" s="17" t="n"/>
      <c r="R967" s="17" t="n"/>
    </row>
    <row r="968" ht="149.2" customHeight="1">
      <c r="A968" s="18" t="n">
        <v>964</v>
      </c>
      <c r="B968" s="18" t="n">
        <v>3</v>
      </c>
      <c r="C968" s="19" t="inlineStr">
        <is>
          <t>LP-W-04 / Cages Track</t>
        </is>
      </c>
      <c r="D968" s="19" t="inlineStr">
        <is>
          <t>LP-W-04</t>
        </is>
      </c>
      <c r="E968" s="20" t="inlineStr">
        <is>
          <t>Cages Track</t>
        </is>
      </c>
      <c r="F968" s="21" t="inlineStr">
        <is>
          <t>Laporan Periode Stasiun (LP-)</t>
        </is>
      </c>
      <c r="G968" s="20" t="inlineStr">
        <is>
          <t>Semua baris parameter tetap tampil, termasuk yang tak pernah diukur</t>
        </is>
      </c>
      <c r="H968" s="21" t="inlineStr">
        <is>
          <t>SPV-A</t>
        </is>
      </c>
      <c r="I968" s="21" t="inlineStr">
        <is>
          <t>satu kolom yang tidak pernah diisi sepanjang periode</t>
        </is>
      </c>
      <c r="J968" s="21" t="inlineStr">
        <is>
          <t>1. Siapkan periode di mana satu kolom bacaan tidak pernah diisi sepanjang periode.
2. Login di web, sidebar &gt; Laporan Stasiun (/reports), tekan tile Cages Track (/reports/cages-track), lalu pilih Periode dan Production Line dengan periode itu.
3. Hitung jumlah kartu parameter dan bandingkan dengan jumlah kolom bacaan stasiun itu (matriks 4.2).
4. Cari kartu milik kolom yang tidak pernah diisi, dan baca isinya.</t>
        </is>
      </c>
      <c r="K968" s="21"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968" s="16" t="inlineStr">
        <is>
          <t>Tinggi</t>
        </is>
      </c>
      <c r="M968" s="21" t="inlineStr">
        <is>
          <t>baris yang hilang terbaca "parameter ini tidak ada", padahal yang benar "tidak ada yang mengukurnya".</t>
        </is>
      </c>
      <c r="N968" s="17" t="n"/>
      <c r="O968" s="17" t="n"/>
      <c r="P968" s="17" t="n"/>
      <c r="Q968" s="17" t="n"/>
      <c r="R968" s="17" t="n"/>
    </row>
    <row r="969" ht="149.2" customHeight="1">
      <c r="A969" s="22" t="n">
        <v>965</v>
      </c>
      <c r="B969" s="22" t="n">
        <v>3</v>
      </c>
      <c r="C969" s="23" t="inlineStr">
        <is>
          <t>LP-W-04 / Sterilizer</t>
        </is>
      </c>
      <c r="D969" s="23" t="inlineStr">
        <is>
          <t>LP-W-04</t>
        </is>
      </c>
      <c r="E969" s="24" t="inlineStr">
        <is>
          <t>Sterilizer</t>
        </is>
      </c>
      <c r="F969" s="5" t="inlineStr">
        <is>
          <t>Laporan Periode Stasiun (LP-)</t>
        </is>
      </c>
      <c r="G969" s="24" t="inlineStr">
        <is>
          <t>Semua baris parameter tetap tampil, termasuk yang tak pernah diukur</t>
        </is>
      </c>
      <c r="H969" s="5" t="inlineStr">
        <is>
          <t>SPV-A</t>
        </is>
      </c>
      <c r="I969" s="5" t="inlineStr">
        <is>
          <t>satu kolom yang tidak pernah diisi sepanjang periode</t>
        </is>
      </c>
      <c r="J969" s="5" t="inlineStr">
        <is>
          <t>1. Siapkan periode di mana satu kolom bacaan tidak pernah diisi sepanjang periode.
2. Login di web, sidebar &gt; Laporan Stasiun (/reports), tekan tile Sterilizer (/reports/sterilizer), lalu pilih Periode dan Production Line dengan periode itu.
3. Hitung jumlah kartu parameter dan bandingkan dengan jumlah kolom bacaan stasiun itu (matriks 4.2).
4. Cari kartu milik kolom yang tidak pernah diisi, dan baca isinya.</t>
        </is>
      </c>
      <c r="K969" s="5"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969" s="16" t="inlineStr">
        <is>
          <t>Tinggi</t>
        </is>
      </c>
      <c r="M969" s="5" t="inlineStr">
        <is>
          <t>baris yang hilang terbaca "parameter ini tidak ada", padahal yang benar "tidak ada yang mengukurnya".</t>
        </is>
      </c>
      <c r="N969" s="17" t="n"/>
      <c r="O969" s="17" t="n"/>
      <c r="P969" s="17" t="n"/>
      <c r="Q969" s="17" t="n"/>
      <c r="R969" s="17" t="n"/>
    </row>
    <row r="970" ht="149.2" customHeight="1">
      <c r="A970" s="18" t="n">
        <v>966</v>
      </c>
      <c r="B970" s="18" t="n">
        <v>3</v>
      </c>
      <c r="C970" s="19" t="inlineStr">
        <is>
          <t>LP-W-04 / Threshing</t>
        </is>
      </c>
      <c r="D970" s="19" t="inlineStr">
        <is>
          <t>LP-W-04</t>
        </is>
      </c>
      <c r="E970" s="20" t="inlineStr">
        <is>
          <t>Threshing</t>
        </is>
      </c>
      <c r="F970" s="21" t="inlineStr">
        <is>
          <t>Laporan Periode Stasiun (LP-)</t>
        </is>
      </c>
      <c r="G970" s="20" t="inlineStr">
        <is>
          <t>Semua baris parameter tetap tampil, termasuk yang tak pernah diukur</t>
        </is>
      </c>
      <c r="H970" s="21" t="inlineStr">
        <is>
          <t>SPV-A</t>
        </is>
      </c>
      <c r="I970" s="21" t="inlineStr">
        <is>
          <t>satu kolom yang tidak pernah diisi sepanjang periode</t>
        </is>
      </c>
      <c r="J970" s="21" t="inlineStr">
        <is>
          <t>1. Siapkan periode di mana satu kolom bacaan tidak pernah diisi sepanjang periode.
2. Login di web, sidebar &gt; Laporan Stasiun (/reports), tekan tile Threshing (/reports/threshing), lalu pilih Periode dan Production Line dengan periode itu.
3. Hitung jumlah kartu parameter dan bandingkan dengan jumlah kolom bacaan stasiun itu (matriks 4.2).
4. Cari kartu milik kolom yang tidak pernah diisi, dan baca isinya.</t>
        </is>
      </c>
      <c r="K970" s="21"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970" s="16" t="inlineStr">
        <is>
          <t>Tinggi</t>
        </is>
      </c>
      <c r="M970" s="21" t="inlineStr">
        <is>
          <t>baris yang hilang terbaca "parameter ini tidak ada", padahal yang benar "tidak ada yang mengukurnya".</t>
        </is>
      </c>
      <c r="N970" s="17" t="n"/>
      <c r="O970" s="17" t="n"/>
      <c r="P970" s="17" t="n"/>
      <c r="Q970" s="17" t="n"/>
      <c r="R970" s="17" t="n"/>
    </row>
    <row r="971" ht="149.2" customHeight="1">
      <c r="A971" s="22" t="n">
        <v>967</v>
      </c>
      <c r="B971" s="22" t="n">
        <v>3</v>
      </c>
      <c r="C971" s="23" t="inlineStr">
        <is>
          <t>LP-W-04 / Pressing</t>
        </is>
      </c>
      <c r="D971" s="23" t="inlineStr">
        <is>
          <t>LP-W-04</t>
        </is>
      </c>
      <c r="E971" s="24" t="inlineStr">
        <is>
          <t>Pressing</t>
        </is>
      </c>
      <c r="F971" s="5" t="inlineStr">
        <is>
          <t>Laporan Periode Stasiun (LP-)</t>
        </is>
      </c>
      <c r="G971" s="24" t="inlineStr">
        <is>
          <t>Semua baris parameter tetap tampil, termasuk yang tak pernah diukur</t>
        </is>
      </c>
      <c r="H971" s="5" t="inlineStr">
        <is>
          <t>SPV-A</t>
        </is>
      </c>
      <c r="I971" s="5" t="inlineStr">
        <is>
          <t>satu kolom yang tidak pernah diisi sepanjang periode</t>
        </is>
      </c>
      <c r="J971" s="5" t="inlineStr">
        <is>
          <t>1. Siapkan periode di mana satu kolom bacaan tidak pernah diisi sepanjang periode.
2. Login di web, sidebar &gt; Laporan Stasiun (/reports), tekan tile Pressing (/reports/pressing), lalu pilih Periode dan Production Line dengan periode itu.
3. Hitung jumlah kartu parameter dan bandingkan dengan jumlah kolom bacaan stasiun itu (matriks 4.2).
4. Cari kartu milik kolom yang tidak pernah diisi, dan baca isinya.</t>
        </is>
      </c>
      <c r="K971" s="5"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971" s="16" t="inlineStr">
        <is>
          <t>Tinggi</t>
        </is>
      </c>
      <c r="M971" s="5" t="inlineStr">
        <is>
          <t>baris yang hilang terbaca "parameter ini tidak ada", padahal yang benar "tidak ada yang mengukurnya".</t>
        </is>
      </c>
      <c r="N971" s="17" t="n"/>
      <c r="O971" s="17" t="n"/>
      <c r="P971" s="17" t="n"/>
      <c r="Q971" s="17" t="n"/>
      <c r="R971" s="17" t="n"/>
    </row>
    <row r="972" ht="149.2" customHeight="1">
      <c r="A972" s="18" t="n">
        <v>968</v>
      </c>
      <c r="B972" s="18" t="n">
        <v>3</v>
      </c>
      <c r="C972" s="19" t="inlineStr">
        <is>
          <t>LP-W-04 / Clarification</t>
        </is>
      </c>
      <c r="D972" s="19" t="inlineStr">
        <is>
          <t>LP-W-04</t>
        </is>
      </c>
      <c r="E972" s="20" t="inlineStr">
        <is>
          <t>Clarification</t>
        </is>
      </c>
      <c r="F972" s="21" t="inlineStr">
        <is>
          <t>Laporan Periode Stasiun (LP-)</t>
        </is>
      </c>
      <c r="G972" s="20" t="inlineStr">
        <is>
          <t>Semua baris parameter tetap tampil, termasuk yang tak pernah diukur</t>
        </is>
      </c>
      <c r="H972" s="21" t="inlineStr">
        <is>
          <t>SPV-A</t>
        </is>
      </c>
      <c r="I972" s="21" t="inlineStr">
        <is>
          <t>satu kolom yang tidak pernah diisi sepanjang periode</t>
        </is>
      </c>
      <c r="J972" s="21" t="inlineStr">
        <is>
          <t>1. Siapkan periode di mana satu kolom bacaan tidak pernah diisi sepanjang periode.
2. Login di web, sidebar &gt; Laporan Stasiun (/reports), tekan tile Clarification (/reports/clarification), lalu pilih Periode dan Production Line dengan periode itu.
3. Hitung jumlah kartu parameter dan bandingkan dengan jumlah kolom bacaan stasiun itu (matriks 4.2).
4. Cari kartu milik kolom yang tidak pernah diisi, dan baca isinya.</t>
        </is>
      </c>
      <c r="K972" s="21"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972" s="16" t="inlineStr">
        <is>
          <t>Tinggi</t>
        </is>
      </c>
      <c r="M972" s="21" t="inlineStr">
        <is>
          <t>baris yang hilang terbaca "parameter ini tidak ada", padahal yang benar "tidak ada yang mengukurnya".</t>
        </is>
      </c>
      <c r="N972" s="17" t="n"/>
      <c r="O972" s="17" t="n"/>
      <c r="P972" s="17" t="n"/>
      <c r="Q972" s="17" t="n"/>
      <c r="R972" s="17" t="n"/>
    </row>
    <row r="973" ht="149.2" customHeight="1">
      <c r="A973" s="11" t="n">
        <v>969</v>
      </c>
      <c r="B973" s="12" t="n">
        <v>1</v>
      </c>
      <c r="C973" s="13" t="inlineStr">
        <is>
          <t>LP-W-04 / Kernel Plant</t>
        </is>
      </c>
      <c r="D973" s="13" t="inlineStr">
        <is>
          <t>LP-W-04</t>
        </is>
      </c>
      <c r="E973" s="15" t="inlineStr">
        <is>
          <t>Kernel Plant</t>
        </is>
      </c>
      <c r="F973" s="14" t="inlineStr">
        <is>
          <t>Laporan Periode Stasiun (LP-)</t>
        </is>
      </c>
      <c r="G973" s="15" t="inlineStr">
        <is>
          <t>Semua baris parameter tetap tampil, termasuk yang tak pernah diukur</t>
        </is>
      </c>
      <c r="H973" s="14" t="inlineStr">
        <is>
          <t>SPV-A</t>
        </is>
      </c>
      <c r="I973" s="14" t="inlineStr">
        <is>
          <t>satu kolom yang tidak pernah diisi sepanjang periode</t>
        </is>
      </c>
      <c r="J973" s="14" t="inlineStr">
        <is>
          <t>1. Siapkan periode di mana satu kolom bacaan tidak pernah diisi sepanjang periode.
2. Login di web, sidebar &gt; Laporan Stasiun (/reports), tekan tile Kernel Plant (/reports/kernel-plant), lalu pilih Periode dan Production Line dengan periode itu.
3. Hitung jumlah kartu parameter dan bandingkan dengan jumlah kolom bacaan stasiun itu (matriks 4.2).
4. Cari kartu milik kolom yang tidak pernah diisi, dan baca isinya.</t>
        </is>
      </c>
      <c r="K973" s="14"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973" s="16" t="inlineStr">
        <is>
          <t>Tinggi</t>
        </is>
      </c>
      <c r="M973" s="14" t="inlineStr">
        <is>
          <t>baris yang hilang terbaca "parameter ini tidak ada", padahal yang benar "tidak ada yang mengukurnya".</t>
        </is>
      </c>
      <c r="N973" s="17" t="n"/>
      <c r="O973" s="17" t="n"/>
      <c r="P973" s="17" t="n"/>
      <c r="Q973" s="17" t="n"/>
      <c r="R973" s="17" t="n"/>
    </row>
    <row r="974" ht="149.2" customHeight="1">
      <c r="A974" s="18" t="n">
        <v>970</v>
      </c>
      <c r="B974" s="18" t="n">
        <v>3</v>
      </c>
      <c r="C974" s="19" t="inlineStr">
        <is>
          <t>LP-W-04 / Boiler Room</t>
        </is>
      </c>
      <c r="D974" s="19" t="inlineStr">
        <is>
          <t>LP-W-04</t>
        </is>
      </c>
      <c r="E974" s="20" t="inlineStr">
        <is>
          <t>Boiler Room</t>
        </is>
      </c>
      <c r="F974" s="21" t="inlineStr">
        <is>
          <t>Laporan Periode Stasiun (LP-)</t>
        </is>
      </c>
      <c r="G974" s="20" t="inlineStr">
        <is>
          <t>Semua baris parameter tetap tampil, termasuk yang tak pernah diukur</t>
        </is>
      </c>
      <c r="H974" s="21" t="inlineStr">
        <is>
          <t>SPV-A</t>
        </is>
      </c>
      <c r="I974" s="21" t="inlineStr">
        <is>
          <t>satu kolom yang tidak pernah diisi sepanjang periode</t>
        </is>
      </c>
      <c r="J974" s="21" t="inlineStr">
        <is>
          <t>1. Siapkan periode di mana satu kolom bacaan tidak pernah diisi sepanjang periode.
2. Login di web, sidebar &gt; Laporan Stasiun (/reports), tekan tile Boiler Room (/reports/boiler-room), lalu pilih Periode dan Production Line dengan periode itu.
3. Hitung jumlah kartu parameter dan bandingkan dengan jumlah kolom bacaan stasiun itu (matriks 4.2).
4. Cari kartu milik kolom yang tidak pernah diisi, dan baca isinya.</t>
        </is>
      </c>
      <c r="K974" s="21"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974" s="16" t="inlineStr">
        <is>
          <t>Tinggi</t>
        </is>
      </c>
      <c r="M974" s="21" t="inlineStr">
        <is>
          <t>baris yang hilang terbaca "parameter ini tidak ada", padahal yang benar "tidak ada yang mengukurnya".</t>
        </is>
      </c>
      <c r="N974" s="17" t="n"/>
      <c r="O974" s="17" t="n"/>
      <c r="P974" s="17" t="n"/>
      <c r="Q974" s="17" t="n"/>
      <c r="R974" s="17" t="n"/>
    </row>
    <row r="975" ht="149.2" customHeight="1">
      <c r="A975" s="22" t="n">
        <v>971</v>
      </c>
      <c r="B975" s="22" t="n">
        <v>3</v>
      </c>
      <c r="C975" s="23" t="inlineStr">
        <is>
          <t>LP-W-04 / Depricarping</t>
        </is>
      </c>
      <c r="D975" s="23" t="inlineStr">
        <is>
          <t>LP-W-04</t>
        </is>
      </c>
      <c r="E975" s="24" t="inlineStr">
        <is>
          <t>Depricarping</t>
        </is>
      </c>
      <c r="F975" s="5" t="inlineStr">
        <is>
          <t>Laporan Periode Stasiun (LP-)</t>
        </is>
      </c>
      <c r="G975" s="24" t="inlineStr">
        <is>
          <t>Semua baris parameter tetap tampil, termasuk yang tak pernah diukur</t>
        </is>
      </c>
      <c r="H975" s="5" t="inlineStr">
        <is>
          <t>SPV-A</t>
        </is>
      </c>
      <c r="I975" s="5" t="inlineStr">
        <is>
          <t>satu kolom yang tidak pernah diisi sepanjang periode</t>
        </is>
      </c>
      <c r="J975" s="5" t="inlineStr">
        <is>
          <t>1. Siapkan periode di mana satu kolom bacaan tidak pernah diisi sepanjang periode.
2. Login di web, sidebar &gt; Laporan Stasiun (/reports), tekan tile Depricarping (/reports/depricarping), lalu pilih Periode dan Production Line dengan periode itu.
3. Hitung jumlah kartu parameter dan bandingkan dengan jumlah kolom bacaan stasiun itu (matriks 4.2).
4. Cari kartu milik kolom yang tidak pernah diisi, dan baca isinya.</t>
        </is>
      </c>
      <c r="K975" s="5"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975" s="16" t="inlineStr">
        <is>
          <t>Tinggi</t>
        </is>
      </c>
      <c r="M975" s="5" t="inlineStr">
        <is>
          <t>baris yang hilang terbaca "parameter ini tidak ada", padahal yang benar "tidak ada yang mengukurnya".</t>
        </is>
      </c>
      <c r="N975" s="17" t="n"/>
      <c r="O975" s="17" t="n"/>
      <c r="P975" s="17" t="n"/>
      <c r="Q975" s="17" t="n"/>
      <c r="R975" s="17" t="n"/>
    </row>
    <row r="976" ht="149.2" customHeight="1">
      <c r="A976" s="18" t="n">
        <v>972</v>
      </c>
      <c r="B976" s="18" t="n">
        <v>3</v>
      </c>
      <c r="C976" s="19" t="inlineStr">
        <is>
          <t>LP-W-04 / Storage Tank</t>
        </is>
      </c>
      <c r="D976" s="19" t="inlineStr">
        <is>
          <t>LP-W-04</t>
        </is>
      </c>
      <c r="E976" s="20" t="inlineStr">
        <is>
          <t>Storage Tank</t>
        </is>
      </c>
      <c r="F976" s="21" t="inlineStr">
        <is>
          <t>Laporan Periode Stasiun (LP-)</t>
        </is>
      </c>
      <c r="G976" s="20" t="inlineStr">
        <is>
          <t>Semua baris parameter tetap tampil, termasuk yang tak pernah diukur</t>
        </is>
      </c>
      <c r="H976" s="21" t="inlineStr">
        <is>
          <t>SPV-A</t>
        </is>
      </c>
      <c r="I976" s="21" t="inlineStr">
        <is>
          <t>satu kolom yang tidak pernah diisi sepanjang periode</t>
        </is>
      </c>
      <c r="J976" s="21" t="inlineStr">
        <is>
          <t>1. Siapkan periode di mana satu kolom bacaan tidak pernah diisi sepanjang periode.
2. Login di web, sidebar &gt; Laporan Stasiun (/reports), tekan tile Storage Tank (/reports/storage-tank), lalu pilih Periode dan Production Line dengan periode itu.
3. Hitung jumlah kartu parameter dan bandingkan dengan jumlah kolom bacaan stasiun itu (matriks 4.2).
4. Cari kartu milik kolom yang tidak pernah diisi, dan baca isinya.</t>
        </is>
      </c>
      <c r="K976" s="21"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976" s="16" t="inlineStr">
        <is>
          <t>Tinggi</t>
        </is>
      </c>
      <c r="M976" s="21" t="inlineStr">
        <is>
          <t>baris yang hilang terbaca "parameter ini tidak ada", padahal yang benar "tidak ada yang mengukurnya".</t>
        </is>
      </c>
      <c r="N976" s="17" t="n"/>
      <c r="O976" s="17" t="n"/>
      <c r="P976" s="17" t="n"/>
      <c r="Q976" s="17" t="n"/>
      <c r="R976" s="17" t="n"/>
    </row>
    <row r="977" ht="149.2" customHeight="1">
      <c r="A977" s="22" t="n">
        <v>973</v>
      </c>
      <c r="B977" s="22" t="n">
        <v>3</v>
      </c>
      <c r="C977" s="23" t="inlineStr">
        <is>
          <t>LP-W-05 / Weighbridge</t>
        </is>
      </c>
      <c r="D977" s="23" t="inlineStr">
        <is>
          <t>LP-W-05</t>
        </is>
      </c>
      <c r="E977" s="24" t="inlineStr">
        <is>
          <t>Weighbridge</t>
        </is>
      </c>
      <c r="F977" s="5" t="inlineStr">
        <is>
          <t>Laporan Periode Stasiun (LP-)</t>
        </is>
      </c>
      <c r="G977" s="24" t="inlineStr">
        <is>
          <t>Persen cakupan: tanda pisah vs 0,0%</t>
        </is>
      </c>
      <c r="H977" s="5" t="inlineStr">
        <is>
          <t>SPV-A</t>
        </is>
      </c>
      <c r="I977" s="5" t="inlineStr">
        <is>
          <t>dua keadaan — (a) periode tanpa satu record pun, (b) periode yang punya record tapi seluruh kolomnya kosong</t>
        </is>
      </c>
      <c r="J977" s="5" t="inlineStr">
        <is>
          <t>1. Siapkan dua periode: (a) periode tanpa satu record pun, dan (b) periode yang punya record tapi seluruh kolom bacaannya kosong.
2. Login di web, sidebar &gt; Laporan Stasiun (/reports), tekan tile Weighbridge (/reports/weighbridge), lalu pilih Periode dan Production Line dengan periode (a). Baca persen cakupannya.
3. Ganti ke periode (b). Baca persen cakupannya.
4. Bandingkan keduanya.</t>
        </is>
      </c>
      <c r="K977" s="5"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977" s="16" t="inlineStr">
        <is>
          <t>Tinggi</t>
        </is>
      </c>
      <c r="M977" s="5" t="inlineStr">
        <is>
          <t>keduanya benar dan berbeda. (a) penyebutnya tak terbentuk — tak ada unit untuk dihitung. (b) penyebutnya ada, dan nol dari sekian slot memang terisi. Kalau keduanya terlihat sama, itu bug.</t>
        </is>
      </c>
      <c r="N977" s="17" t="n"/>
      <c r="O977" s="17" t="n"/>
      <c r="P977" s="17" t="n"/>
      <c r="Q977" s="17" t="n"/>
      <c r="R977" s="17" t="n"/>
    </row>
    <row r="978" ht="136" customHeight="1">
      <c r="A978" s="18" t="n">
        <v>974</v>
      </c>
      <c r="B978" s="18" t="n">
        <v>3</v>
      </c>
      <c r="C978" s="19" t="inlineStr">
        <is>
          <t>LP-W-05 / Grading</t>
        </is>
      </c>
      <c r="D978" s="19" t="inlineStr">
        <is>
          <t>LP-W-05</t>
        </is>
      </c>
      <c r="E978" s="20" t="inlineStr">
        <is>
          <t>Grading</t>
        </is>
      </c>
      <c r="F978" s="21" t="inlineStr">
        <is>
          <t>Laporan Periode Stasiun (LP-)</t>
        </is>
      </c>
      <c r="G978" s="20" t="inlineStr">
        <is>
          <t>Persen cakupan: tanda pisah vs 0,0%</t>
        </is>
      </c>
      <c r="H978" s="21" t="inlineStr">
        <is>
          <t>SPV-A</t>
        </is>
      </c>
      <c r="I978" s="21" t="inlineStr">
        <is>
          <t>dua keadaan — (a) periode tanpa satu record pun, (b) periode yang punya record tapi seluruh kolomnya kosong</t>
        </is>
      </c>
      <c r="J978" s="21" t="inlineStr">
        <is>
          <t>1. Siapkan dua periode: (a) periode tanpa satu record pun, dan (b) periode yang punya record tapi seluruh kolom bacaannya kosong.
2. Login di web, sidebar &gt; Laporan Stasiun (/reports), tekan tile Grading (/reports/grading), lalu pilih Periode dan Production Line dengan periode (a). Baca persen cakupannya.
3. Ganti ke periode (b). Baca persen cakupannya.
4. Bandingkan keduanya.</t>
        </is>
      </c>
      <c r="K978" s="21"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978" s="16" t="inlineStr">
        <is>
          <t>Tinggi</t>
        </is>
      </c>
      <c r="M978" s="21" t="inlineStr">
        <is>
          <t>keduanya benar dan berbeda. (a) penyebutnya tak terbentuk — tak ada unit untuk dihitung. (b) penyebutnya ada, dan nol dari sekian slot memang terisi. Kalau keduanya terlihat sama, itu bug.</t>
        </is>
      </c>
      <c r="N978" s="17" t="n"/>
      <c r="O978" s="17" t="n"/>
      <c r="P978" s="17" t="n"/>
      <c r="Q978" s="17" t="n"/>
      <c r="R978" s="17" t="n"/>
    </row>
    <row r="979" ht="149.2" customHeight="1">
      <c r="A979" s="22" t="n">
        <v>975</v>
      </c>
      <c r="B979" s="22" t="n">
        <v>3</v>
      </c>
      <c r="C979" s="23" t="inlineStr">
        <is>
          <t>LP-W-05 / Cages Track</t>
        </is>
      </c>
      <c r="D979" s="23" t="inlineStr">
        <is>
          <t>LP-W-05</t>
        </is>
      </c>
      <c r="E979" s="24" t="inlineStr">
        <is>
          <t>Cages Track</t>
        </is>
      </c>
      <c r="F979" s="5" t="inlineStr">
        <is>
          <t>Laporan Periode Stasiun (LP-)</t>
        </is>
      </c>
      <c r="G979" s="24" t="inlineStr">
        <is>
          <t>Persen cakupan: tanda pisah vs 0,0%</t>
        </is>
      </c>
      <c r="H979" s="5" t="inlineStr">
        <is>
          <t>SPV-A</t>
        </is>
      </c>
      <c r="I979" s="5" t="inlineStr">
        <is>
          <t>dua keadaan — (a) periode tanpa satu record pun, (b) periode yang punya record tapi seluruh kolomnya kosong</t>
        </is>
      </c>
      <c r="J979" s="5" t="inlineStr">
        <is>
          <t>1. Siapkan dua periode: (a) periode tanpa satu record pun, dan (b) periode yang punya record tapi seluruh kolom bacaannya kosong.
2. Login di web, sidebar &gt; Laporan Stasiun (/reports), tekan tile Cages Track (/reports/cages-track), lalu pilih Periode dan Production Line dengan periode (a). Baca persen cakupannya.
3. Ganti ke periode (b). Baca persen cakupannya.
4. Bandingkan keduanya.</t>
        </is>
      </c>
      <c r="K979" s="5"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979" s="16" t="inlineStr">
        <is>
          <t>Tinggi</t>
        </is>
      </c>
      <c r="M979" s="5" t="inlineStr">
        <is>
          <t>keduanya benar dan berbeda. (a) penyebutnya tak terbentuk — tak ada unit untuk dihitung. (b) penyebutnya ada, dan nol dari sekian slot memang terisi. Kalau keduanya terlihat sama, itu bug.</t>
        </is>
      </c>
      <c r="N979" s="17" t="n"/>
      <c r="O979" s="17" t="n"/>
      <c r="P979" s="17" t="n"/>
      <c r="Q979" s="17" t="n"/>
      <c r="R979" s="17" t="n"/>
    </row>
    <row r="980" ht="149.2" customHeight="1">
      <c r="A980" s="18" t="n">
        <v>976</v>
      </c>
      <c r="B980" s="18" t="n">
        <v>3</v>
      </c>
      <c r="C980" s="19" t="inlineStr">
        <is>
          <t>LP-W-05 / Sterilizer</t>
        </is>
      </c>
      <c r="D980" s="19" t="inlineStr">
        <is>
          <t>LP-W-05</t>
        </is>
      </c>
      <c r="E980" s="20" t="inlineStr">
        <is>
          <t>Sterilizer</t>
        </is>
      </c>
      <c r="F980" s="21" t="inlineStr">
        <is>
          <t>Laporan Periode Stasiun (LP-)</t>
        </is>
      </c>
      <c r="G980" s="20" t="inlineStr">
        <is>
          <t>Persen cakupan: tanda pisah vs 0,0%</t>
        </is>
      </c>
      <c r="H980" s="21" t="inlineStr">
        <is>
          <t>SPV-A</t>
        </is>
      </c>
      <c r="I980" s="21" t="inlineStr">
        <is>
          <t>dua keadaan — (a) periode tanpa satu record pun, (b) periode yang punya record tapi seluruh kolomnya kosong</t>
        </is>
      </c>
      <c r="J980" s="21" t="inlineStr">
        <is>
          <t>1. Siapkan dua periode: (a) periode tanpa satu record pun, dan (b) periode yang punya record tapi seluruh kolom bacaannya kosong.
2. Login di web, sidebar &gt; Laporan Stasiun (/reports), tekan tile Sterilizer (/reports/sterilizer), lalu pilih Periode dan Production Line dengan periode (a). Baca persen cakupannya.
3. Ganti ke periode (b). Baca persen cakupannya.
4. Bandingkan keduanya.</t>
        </is>
      </c>
      <c r="K980" s="21"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980" s="16" t="inlineStr">
        <is>
          <t>Tinggi</t>
        </is>
      </c>
      <c r="M980" s="21" t="inlineStr">
        <is>
          <t>keduanya benar dan berbeda. (a) penyebutnya tak terbentuk — tak ada unit untuk dihitung. (b) penyebutnya ada, dan nol dari sekian slot memang terisi. Kalau keduanya terlihat sama, itu bug.</t>
        </is>
      </c>
      <c r="N980" s="17" t="n"/>
      <c r="O980" s="17" t="n"/>
      <c r="P980" s="17" t="n"/>
      <c r="Q980" s="17" t="n"/>
      <c r="R980" s="17" t="n"/>
    </row>
    <row r="981" ht="149.2" customHeight="1">
      <c r="A981" s="22" t="n">
        <v>977</v>
      </c>
      <c r="B981" s="22" t="n">
        <v>3</v>
      </c>
      <c r="C981" s="23" t="inlineStr">
        <is>
          <t>LP-W-05 / Threshing</t>
        </is>
      </c>
      <c r="D981" s="23" t="inlineStr">
        <is>
          <t>LP-W-05</t>
        </is>
      </c>
      <c r="E981" s="24" t="inlineStr">
        <is>
          <t>Threshing</t>
        </is>
      </c>
      <c r="F981" s="5" t="inlineStr">
        <is>
          <t>Laporan Periode Stasiun (LP-)</t>
        </is>
      </c>
      <c r="G981" s="24" t="inlineStr">
        <is>
          <t>Persen cakupan: tanda pisah vs 0,0%</t>
        </is>
      </c>
      <c r="H981" s="5" t="inlineStr">
        <is>
          <t>SPV-A</t>
        </is>
      </c>
      <c r="I981" s="5" t="inlineStr">
        <is>
          <t>dua keadaan — (a) periode tanpa satu record pun, (b) periode yang punya record tapi seluruh kolomnya kosong</t>
        </is>
      </c>
      <c r="J981" s="5" t="inlineStr">
        <is>
          <t>1. Siapkan dua periode: (a) periode tanpa satu record pun, dan (b) periode yang punya record tapi seluruh kolom bacaannya kosong.
2. Login di web, sidebar &gt; Laporan Stasiun (/reports), tekan tile Threshing (/reports/threshing), lalu pilih Periode dan Production Line dengan periode (a). Baca persen cakupannya.
3. Ganti ke periode (b). Baca persen cakupannya.
4. Bandingkan keduanya.</t>
        </is>
      </c>
      <c r="K981" s="5"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981" s="16" t="inlineStr">
        <is>
          <t>Tinggi</t>
        </is>
      </c>
      <c r="M981" s="5" t="inlineStr">
        <is>
          <t>keduanya benar dan berbeda. (a) penyebutnya tak terbentuk — tak ada unit untuk dihitung. (b) penyebutnya ada, dan nol dari sekian slot memang terisi. Kalau keduanya terlihat sama, itu bug.</t>
        </is>
      </c>
      <c r="N981" s="17" t="n"/>
      <c r="O981" s="17" t="n"/>
      <c r="P981" s="17" t="n"/>
      <c r="Q981" s="17" t="n"/>
      <c r="R981" s="17" t="n"/>
    </row>
    <row r="982" ht="149.2" customHeight="1">
      <c r="A982" s="18" t="n">
        <v>978</v>
      </c>
      <c r="B982" s="18" t="n">
        <v>3</v>
      </c>
      <c r="C982" s="19" t="inlineStr">
        <is>
          <t>LP-W-05 / Pressing</t>
        </is>
      </c>
      <c r="D982" s="19" t="inlineStr">
        <is>
          <t>LP-W-05</t>
        </is>
      </c>
      <c r="E982" s="20" t="inlineStr">
        <is>
          <t>Pressing</t>
        </is>
      </c>
      <c r="F982" s="21" t="inlineStr">
        <is>
          <t>Laporan Periode Stasiun (LP-)</t>
        </is>
      </c>
      <c r="G982" s="20" t="inlineStr">
        <is>
          <t>Persen cakupan: tanda pisah vs 0,0%</t>
        </is>
      </c>
      <c r="H982" s="21" t="inlineStr">
        <is>
          <t>SPV-A</t>
        </is>
      </c>
      <c r="I982" s="21" t="inlineStr">
        <is>
          <t>dua keadaan — (a) periode tanpa satu record pun, (b) periode yang punya record tapi seluruh kolomnya kosong</t>
        </is>
      </c>
      <c r="J982" s="21" t="inlineStr">
        <is>
          <t>1. Siapkan dua periode: (a) periode tanpa satu record pun, dan (b) periode yang punya record tapi seluruh kolom bacaannya kosong.
2. Login di web, sidebar &gt; Laporan Stasiun (/reports), tekan tile Pressing (/reports/pressing), lalu pilih Periode dan Production Line dengan periode (a). Baca persen cakupannya.
3. Ganti ke periode (b). Baca persen cakupannya.
4. Bandingkan keduanya.</t>
        </is>
      </c>
      <c r="K982" s="21"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982" s="16" t="inlineStr">
        <is>
          <t>Tinggi</t>
        </is>
      </c>
      <c r="M982" s="21" t="inlineStr">
        <is>
          <t>keduanya benar dan berbeda. (a) penyebutnya tak terbentuk — tak ada unit untuk dihitung. (b) penyebutnya ada, dan nol dari sekian slot memang terisi. Kalau keduanya terlihat sama, itu bug.</t>
        </is>
      </c>
      <c r="N982" s="17" t="n"/>
      <c r="O982" s="17" t="n"/>
      <c r="P982" s="17" t="n"/>
      <c r="Q982" s="17" t="n"/>
      <c r="R982" s="17" t="n"/>
    </row>
    <row r="983" ht="149.2" customHeight="1">
      <c r="A983" s="22" t="n">
        <v>979</v>
      </c>
      <c r="B983" s="22" t="n">
        <v>3</v>
      </c>
      <c r="C983" s="23" t="inlineStr">
        <is>
          <t>LP-W-05 / Clarification</t>
        </is>
      </c>
      <c r="D983" s="23" t="inlineStr">
        <is>
          <t>LP-W-05</t>
        </is>
      </c>
      <c r="E983" s="24" t="inlineStr">
        <is>
          <t>Clarification</t>
        </is>
      </c>
      <c r="F983" s="5" t="inlineStr">
        <is>
          <t>Laporan Periode Stasiun (LP-)</t>
        </is>
      </c>
      <c r="G983" s="24" t="inlineStr">
        <is>
          <t>Persen cakupan: tanda pisah vs 0,0%</t>
        </is>
      </c>
      <c r="H983" s="5" t="inlineStr">
        <is>
          <t>SPV-A</t>
        </is>
      </c>
      <c r="I983" s="5" t="inlineStr">
        <is>
          <t>dua keadaan — (a) periode tanpa satu record pun, (b) periode yang punya record tapi seluruh kolomnya kosong</t>
        </is>
      </c>
      <c r="J983" s="5" t="inlineStr">
        <is>
          <t>1. Siapkan dua periode: (a) periode tanpa satu record pun, dan (b) periode yang punya record tapi seluruh kolom bacaannya kosong.
2. Login di web, sidebar &gt; Laporan Stasiun (/reports), tekan tile Clarification (/reports/clarification), lalu pilih Periode dan Production Line dengan periode (a). Baca persen cakupannya.
3. Ganti ke periode (b). Baca persen cakupannya.
4. Bandingkan keduanya.</t>
        </is>
      </c>
      <c r="K983" s="5"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983" s="16" t="inlineStr">
        <is>
          <t>Tinggi</t>
        </is>
      </c>
      <c r="M983" s="5" t="inlineStr">
        <is>
          <t>keduanya benar dan berbeda. (a) penyebutnya tak terbentuk — tak ada unit untuk dihitung. (b) penyebutnya ada, dan nol dari sekian slot memang terisi. Kalau keduanya terlihat sama, itu bug.</t>
        </is>
      </c>
      <c r="N983" s="17" t="n"/>
      <c r="O983" s="17" t="n"/>
      <c r="P983" s="17" t="n"/>
      <c r="Q983" s="17" t="n"/>
      <c r="R983" s="17" t="n"/>
    </row>
    <row r="984" ht="149.2" customHeight="1">
      <c r="A984" s="11" t="n">
        <v>980</v>
      </c>
      <c r="B984" s="12" t="n">
        <v>1</v>
      </c>
      <c r="C984" s="13" t="inlineStr">
        <is>
          <t>LP-W-05 / Kernel Plant</t>
        </is>
      </c>
      <c r="D984" s="13" t="inlineStr">
        <is>
          <t>LP-W-05</t>
        </is>
      </c>
      <c r="E984" s="15" t="inlineStr">
        <is>
          <t>Kernel Plant</t>
        </is>
      </c>
      <c r="F984" s="14" t="inlineStr">
        <is>
          <t>Laporan Periode Stasiun (LP-)</t>
        </is>
      </c>
      <c r="G984" s="15" t="inlineStr">
        <is>
          <t>Persen cakupan: tanda pisah vs 0,0%</t>
        </is>
      </c>
      <c r="H984" s="14" t="inlineStr">
        <is>
          <t>SPV-A</t>
        </is>
      </c>
      <c r="I984" s="14" t="inlineStr">
        <is>
          <t>dua keadaan — (a) periode tanpa satu record pun, (b) periode yang punya record tapi seluruh kolomnya kosong</t>
        </is>
      </c>
      <c r="J984" s="14" t="inlineStr">
        <is>
          <t>1. Siapkan dua periode: (a) periode tanpa satu record pun, dan (b) periode yang punya record tapi seluruh kolom bacaannya kosong.
2. Login di web, sidebar &gt; Laporan Stasiun (/reports), tekan tile Kernel Plant (/reports/kernel-plant), lalu pilih Periode dan Production Line dengan periode (a). Baca persen cakupannya.
3. Ganti ke periode (b). Baca persen cakupannya.
4. Bandingkan keduanya.</t>
        </is>
      </c>
      <c r="K984" s="14"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984" s="16" t="inlineStr">
        <is>
          <t>Tinggi</t>
        </is>
      </c>
      <c r="M984" s="14" t="inlineStr">
        <is>
          <t>keduanya benar dan berbeda. (a) penyebutnya tak terbentuk — tak ada unit untuk dihitung. (b) penyebutnya ada, dan nol dari sekian slot memang terisi. Kalau keduanya terlihat sama, itu bug.</t>
        </is>
      </c>
      <c r="N984" s="17" t="n"/>
      <c r="O984" s="17" t="n"/>
      <c r="P984" s="17" t="n"/>
      <c r="Q984" s="17" t="n"/>
      <c r="R984" s="17" t="n"/>
    </row>
    <row r="985" ht="149.2" customHeight="1">
      <c r="A985" s="22" t="n">
        <v>981</v>
      </c>
      <c r="B985" s="22" t="n">
        <v>3</v>
      </c>
      <c r="C985" s="23" t="inlineStr">
        <is>
          <t>LP-W-05 / Boiler Room</t>
        </is>
      </c>
      <c r="D985" s="23" t="inlineStr">
        <is>
          <t>LP-W-05</t>
        </is>
      </c>
      <c r="E985" s="24" t="inlineStr">
        <is>
          <t>Boiler Room</t>
        </is>
      </c>
      <c r="F985" s="5" t="inlineStr">
        <is>
          <t>Laporan Periode Stasiun (LP-)</t>
        </is>
      </c>
      <c r="G985" s="24" t="inlineStr">
        <is>
          <t>Persen cakupan: tanda pisah vs 0,0%</t>
        </is>
      </c>
      <c r="H985" s="5" t="inlineStr">
        <is>
          <t>SPV-A</t>
        </is>
      </c>
      <c r="I985" s="5" t="inlineStr">
        <is>
          <t>dua keadaan — (a) periode tanpa satu record pun, (b) periode yang punya record tapi seluruh kolomnya kosong</t>
        </is>
      </c>
      <c r="J985" s="5" t="inlineStr">
        <is>
          <t>1. Siapkan dua periode: (a) periode tanpa satu record pun, dan (b) periode yang punya record tapi seluruh kolom bacaannya kosong.
2. Login di web, sidebar &gt; Laporan Stasiun (/reports), tekan tile Boiler Room (/reports/boiler-room), lalu pilih Periode dan Production Line dengan periode (a). Baca persen cakupannya.
3. Ganti ke periode (b). Baca persen cakupannya.
4. Bandingkan keduanya.</t>
        </is>
      </c>
      <c r="K985" s="5"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985" s="16" t="inlineStr">
        <is>
          <t>Tinggi</t>
        </is>
      </c>
      <c r="M985" s="5" t="inlineStr">
        <is>
          <t>keduanya benar dan berbeda. (a) penyebutnya tak terbentuk — tak ada unit untuk dihitung. (b) penyebutnya ada, dan nol dari sekian slot memang terisi. Kalau keduanya terlihat sama, itu bug.</t>
        </is>
      </c>
      <c r="N985" s="17" t="n"/>
      <c r="O985" s="17" t="n"/>
      <c r="P985" s="17" t="n"/>
      <c r="Q985" s="17" t="n"/>
      <c r="R985" s="17" t="n"/>
    </row>
    <row r="986" ht="149.2" customHeight="1">
      <c r="A986" s="18" t="n">
        <v>982</v>
      </c>
      <c r="B986" s="18" t="n">
        <v>3</v>
      </c>
      <c r="C986" s="19" t="inlineStr">
        <is>
          <t>LP-W-05 / Depricarping</t>
        </is>
      </c>
      <c r="D986" s="19" t="inlineStr">
        <is>
          <t>LP-W-05</t>
        </is>
      </c>
      <c r="E986" s="20" t="inlineStr">
        <is>
          <t>Depricarping</t>
        </is>
      </c>
      <c r="F986" s="21" t="inlineStr">
        <is>
          <t>Laporan Periode Stasiun (LP-)</t>
        </is>
      </c>
      <c r="G986" s="20" t="inlineStr">
        <is>
          <t>Persen cakupan: tanda pisah vs 0,0%</t>
        </is>
      </c>
      <c r="H986" s="21" t="inlineStr">
        <is>
          <t>SPV-A</t>
        </is>
      </c>
      <c r="I986" s="21" t="inlineStr">
        <is>
          <t>dua keadaan — (a) periode tanpa satu record pun, (b) periode yang punya record tapi seluruh kolomnya kosong</t>
        </is>
      </c>
      <c r="J986" s="21" t="inlineStr">
        <is>
          <t>1. Siapkan dua periode: (a) periode tanpa satu record pun, dan (b) periode yang punya record tapi seluruh kolom bacaannya kosong.
2. Login di web, sidebar &gt; Laporan Stasiun (/reports), tekan tile Depricarping (/reports/depricarping), lalu pilih Periode dan Production Line dengan periode (a). Baca persen cakupannya.
3. Ganti ke periode (b). Baca persen cakupannya.
4. Bandingkan keduanya.</t>
        </is>
      </c>
      <c r="K986" s="21"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986" s="16" t="inlineStr">
        <is>
          <t>Tinggi</t>
        </is>
      </c>
      <c r="M986" s="21" t="inlineStr">
        <is>
          <t>keduanya benar dan berbeda. (a) penyebutnya tak terbentuk — tak ada unit untuk dihitung. (b) penyebutnya ada, dan nol dari sekian slot memang terisi. Kalau keduanya terlihat sama, itu bug.</t>
        </is>
      </c>
      <c r="N986" s="17" t="n"/>
      <c r="O986" s="17" t="n"/>
      <c r="P986" s="17" t="n"/>
      <c r="Q986" s="17" t="n"/>
      <c r="R986" s="17" t="n"/>
    </row>
    <row r="987" ht="149.2" customHeight="1">
      <c r="A987" s="22" t="n">
        <v>983</v>
      </c>
      <c r="B987" s="22" t="n">
        <v>3</v>
      </c>
      <c r="C987" s="23" t="inlineStr">
        <is>
          <t>LP-W-05 / Storage Tank</t>
        </is>
      </c>
      <c r="D987" s="23" t="inlineStr">
        <is>
          <t>LP-W-05</t>
        </is>
      </c>
      <c r="E987" s="24" t="inlineStr">
        <is>
          <t>Storage Tank</t>
        </is>
      </c>
      <c r="F987" s="5" t="inlineStr">
        <is>
          <t>Laporan Periode Stasiun (LP-)</t>
        </is>
      </c>
      <c r="G987" s="24" t="inlineStr">
        <is>
          <t>Persen cakupan: tanda pisah vs 0,0%</t>
        </is>
      </c>
      <c r="H987" s="5" t="inlineStr">
        <is>
          <t>SPV-A</t>
        </is>
      </c>
      <c r="I987" s="5" t="inlineStr">
        <is>
          <t>dua keadaan — (a) periode tanpa satu record pun, (b) periode yang punya record tapi seluruh kolomnya kosong</t>
        </is>
      </c>
      <c r="J987" s="5" t="inlineStr">
        <is>
          <t>1. Siapkan dua periode: (a) periode tanpa satu record pun, dan (b) periode yang punya record tapi seluruh kolom bacaannya kosong.
2. Login di web, sidebar &gt; Laporan Stasiun (/reports), tekan tile Storage Tank (/reports/storage-tank), lalu pilih Periode dan Production Line dengan periode (a). Baca persen cakupannya.
3. Ganti ke periode (b). Baca persen cakupannya.
4. Bandingkan keduanya.</t>
        </is>
      </c>
      <c r="K987" s="5"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987" s="16" t="inlineStr">
        <is>
          <t>Tinggi</t>
        </is>
      </c>
      <c r="M987" s="5" t="inlineStr">
        <is>
          <t>keduanya benar dan berbeda. (a) penyebutnya tak terbentuk — tak ada unit untuk dihitung. (b) penyebutnya ada, dan nol dari sekian slot memang terisi. Kalau keduanya terlihat sama, itu bug.</t>
        </is>
      </c>
      <c r="N987" s="17" t="n"/>
      <c r="O987" s="17" t="n"/>
      <c r="P987" s="17" t="n"/>
      <c r="Q987" s="17" t="n"/>
      <c r="R987" s="17" t="n"/>
    </row>
    <row r="988" ht="122.8" customHeight="1">
      <c r="A988" s="18" t="n">
        <v>984</v>
      </c>
      <c r="B988" s="18" t="n">
        <v>3</v>
      </c>
      <c r="C988" s="19" t="inlineStr">
        <is>
          <t>LP-W-06 / Weighbridge</t>
        </is>
      </c>
      <c r="D988" s="19" t="inlineStr">
        <is>
          <t>LP-W-06</t>
        </is>
      </c>
      <c r="E988" s="20" t="inlineStr">
        <is>
          <t>Weighbridge</t>
        </is>
      </c>
      <c r="F988" s="21" t="inlineStr">
        <is>
          <t>Laporan Periode Stasiun (LP-)</t>
        </is>
      </c>
      <c r="G988" s="20" t="inlineStr">
        <is>
          <t>Periode belum mulai dijelaskan sebagai BELUM MULAI</t>
        </is>
      </c>
      <c r="H988" s="21" t="inlineStr">
        <is>
          <t>SPV-A</t>
        </is>
      </c>
      <c r="I988" s="21" t="inlineStr">
        <is>
          <t>periode yang tanggal mulainya di masa depan</t>
        </is>
      </c>
      <c r="J988" s="21" t="inlineStr">
        <is>
          <t>1. Sebagai ADM, siapkan satu periode yang tanggal mulainya di masa depan.
2. Login di web, sidebar &gt; Laporan Stasiun (/reports), tekan tile Weighbridge (/reports/weighbridge), lalu pilih Periode dan Production Line, pilih periode itu dan satu line.
3. Baca keterangan di bagian Cakupan.
4. Baca angka hari yang dihitung dan persen cakupannya.</t>
        </is>
      </c>
      <c r="K988" s="21"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988" s="16" t="inlineStr">
        <is>
          <t>Tinggi</t>
        </is>
      </c>
      <c r="M988" s="21" t="inlineStr">
        <is>
          <t>kedua keterangan ini mudah tertukar di sistem. Kalau periode masa depan dijelaskan "sedang berjalan", itu bug.</t>
        </is>
      </c>
      <c r="N988" s="17" t="n"/>
      <c r="O988" s="17" t="n"/>
      <c r="P988" s="17" t="n"/>
      <c r="Q988" s="17" t="n"/>
      <c r="R988" s="17" t="n"/>
    </row>
    <row r="989" ht="122.8" customHeight="1">
      <c r="A989" s="22" t="n">
        <v>985</v>
      </c>
      <c r="B989" s="22" t="n">
        <v>3</v>
      </c>
      <c r="C989" s="23" t="inlineStr">
        <is>
          <t>LP-W-06 / Grading</t>
        </is>
      </c>
      <c r="D989" s="23" t="inlineStr">
        <is>
          <t>LP-W-06</t>
        </is>
      </c>
      <c r="E989" s="24" t="inlineStr">
        <is>
          <t>Grading</t>
        </is>
      </c>
      <c r="F989" s="5" t="inlineStr">
        <is>
          <t>Laporan Periode Stasiun (LP-)</t>
        </is>
      </c>
      <c r="G989" s="24" t="inlineStr">
        <is>
          <t>Periode belum mulai dijelaskan sebagai BELUM MULAI</t>
        </is>
      </c>
      <c r="H989" s="5" t="inlineStr">
        <is>
          <t>SPV-A</t>
        </is>
      </c>
      <c r="I989" s="5" t="inlineStr">
        <is>
          <t>periode yang tanggal mulainya di masa depan</t>
        </is>
      </c>
      <c r="J989" s="5" t="inlineStr">
        <is>
          <t>1. Sebagai ADM, siapkan satu periode yang tanggal mulainya di masa depan.
2. Login di web, sidebar &gt; Laporan Stasiun (/reports), tekan tile Grading (/reports/grading), lalu pilih Periode dan Production Line, pilih periode itu dan satu line.
3. Baca keterangan di bagian Cakupan.
4. Baca angka hari yang dihitung dan persen cakupannya.</t>
        </is>
      </c>
      <c r="K989" s="5"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989" s="16" t="inlineStr">
        <is>
          <t>Tinggi</t>
        </is>
      </c>
      <c r="M989" s="5" t="inlineStr">
        <is>
          <t>kedua keterangan ini mudah tertukar di sistem. Kalau periode masa depan dijelaskan "sedang berjalan", itu bug.</t>
        </is>
      </c>
      <c r="N989" s="17" t="n"/>
      <c r="O989" s="17" t="n"/>
      <c r="P989" s="17" t="n"/>
      <c r="Q989" s="17" t="n"/>
      <c r="R989" s="17" t="n"/>
    </row>
    <row r="990" ht="122.8" customHeight="1">
      <c r="A990" s="18" t="n">
        <v>986</v>
      </c>
      <c r="B990" s="18" t="n">
        <v>3</v>
      </c>
      <c r="C990" s="19" t="inlineStr">
        <is>
          <t>LP-W-06 / Cages Track</t>
        </is>
      </c>
      <c r="D990" s="19" t="inlineStr">
        <is>
          <t>LP-W-06</t>
        </is>
      </c>
      <c r="E990" s="20" t="inlineStr">
        <is>
          <t>Cages Track</t>
        </is>
      </c>
      <c r="F990" s="21" t="inlineStr">
        <is>
          <t>Laporan Periode Stasiun (LP-)</t>
        </is>
      </c>
      <c r="G990" s="20" t="inlineStr">
        <is>
          <t>Periode belum mulai dijelaskan sebagai BELUM MULAI</t>
        </is>
      </c>
      <c r="H990" s="21" t="inlineStr">
        <is>
          <t>SPV-A</t>
        </is>
      </c>
      <c r="I990" s="21" t="inlineStr">
        <is>
          <t>periode yang tanggal mulainya di masa depan</t>
        </is>
      </c>
      <c r="J990" s="21" t="inlineStr">
        <is>
          <t>1. Sebagai ADM, siapkan satu periode yang tanggal mulainya di masa depan.
2. Login di web, sidebar &gt; Laporan Stasiun (/reports), tekan tile Cages Track (/reports/cages-track), lalu pilih Periode dan Production Line, pilih periode itu dan satu line.
3. Baca keterangan di bagian Cakupan.
4. Baca angka hari yang dihitung dan persen cakupannya.</t>
        </is>
      </c>
      <c r="K990" s="21"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990" s="16" t="inlineStr">
        <is>
          <t>Tinggi</t>
        </is>
      </c>
      <c r="M990" s="21" t="inlineStr">
        <is>
          <t>kedua keterangan ini mudah tertukar di sistem. Kalau periode masa depan dijelaskan "sedang berjalan", itu bug.</t>
        </is>
      </c>
      <c r="N990" s="17" t="n"/>
      <c r="O990" s="17" t="n"/>
      <c r="P990" s="17" t="n"/>
      <c r="Q990" s="17" t="n"/>
      <c r="R990" s="17" t="n"/>
    </row>
    <row r="991" ht="122.8" customHeight="1">
      <c r="A991" s="22" t="n">
        <v>987</v>
      </c>
      <c r="B991" s="22" t="n">
        <v>3</v>
      </c>
      <c r="C991" s="23" t="inlineStr">
        <is>
          <t>LP-W-06 / Sterilizer</t>
        </is>
      </c>
      <c r="D991" s="23" t="inlineStr">
        <is>
          <t>LP-W-06</t>
        </is>
      </c>
      <c r="E991" s="24" t="inlineStr">
        <is>
          <t>Sterilizer</t>
        </is>
      </c>
      <c r="F991" s="5" t="inlineStr">
        <is>
          <t>Laporan Periode Stasiun (LP-)</t>
        </is>
      </c>
      <c r="G991" s="24" t="inlineStr">
        <is>
          <t>Periode belum mulai dijelaskan sebagai BELUM MULAI</t>
        </is>
      </c>
      <c r="H991" s="5" t="inlineStr">
        <is>
          <t>SPV-A</t>
        </is>
      </c>
      <c r="I991" s="5" t="inlineStr">
        <is>
          <t>periode yang tanggal mulainya di masa depan</t>
        </is>
      </c>
      <c r="J991" s="5" t="inlineStr">
        <is>
          <t>1. Sebagai ADM, siapkan satu periode yang tanggal mulainya di masa depan.
2. Login di web, sidebar &gt; Laporan Stasiun (/reports), tekan tile Sterilizer (/reports/sterilizer), lalu pilih Periode dan Production Line, pilih periode itu dan satu line.
3. Baca keterangan di bagian Cakupan.
4. Baca angka hari yang dihitung dan persen cakupannya.</t>
        </is>
      </c>
      <c r="K991" s="5"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991" s="16" t="inlineStr">
        <is>
          <t>Tinggi</t>
        </is>
      </c>
      <c r="M991" s="5" t="inlineStr">
        <is>
          <t>kedua keterangan ini mudah tertukar di sistem. Kalau periode masa depan dijelaskan "sedang berjalan", itu bug.</t>
        </is>
      </c>
      <c r="N991" s="17" t="n"/>
      <c r="O991" s="17" t="n"/>
      <c r="P991" s="17" t="n"/>
      <c r="Q991" s="17" t="n"/>
      <c r="R991" s="17" t="n"/>
    </row>
    <row r="992" ht="122.8" customHeight="1">
      <c r="A992" s="18" t="n">
        <v>988</v>
      </c>
      <c r="B992" s="18" t="n">
        <v>3</v>
      </c>
      <c r="C992" s="19" t="inlineStr">
        <is>
          <t>LP-W-06 / Threshing</t>
        </is>
      </c>
      <c r="D992" s="19" t="inlineStr">
        <is>
          <t>LP-W-06</t>
        </is>
      </c>
      <c r="E992" s="20" t="inlineStr">
        <is>
          <t>Threshing</t>
        </is>
      </c>
      <c r="F992" s="21" t="inlineStr">
        <is>
          <t>Laporan Periode Stasiun (LP-)</t>
        </is>
      </c>
      <c r="G992" s="20" t="inlineStr">
        <is>
          <t>Periode belum mulai dijelaskan sebagai BELUM MULAI</t>
        </is>
      </c>
      <c r="H992" s="21" t="inlineStr">
        <is>
          <t>SPV-A</t>
        </is>
      </c>
      <c r="I992" s="21" t="inlineStr">
        <is>
          <t>periode yang tanggal mulainya di masa depan</t>
        </is>
      </c>
      <c r="J992" s="21" t="inlineStr">
        <is>
          <t>1. Sebagai ADM, siapkan satu periode yang tanggal mulainya di masa depan.
2. Login di web, sidebar &gt; Laporan Stasiun (/reports), tekan tile Threshing (/reports/threshing), lalu pilih Periode dan Production Line, pilih periode itu dan satu line.
3. Baca keterangan di bagian Cakupan.
4. Baca angka hari yang dihitung dan persen cakupannya.</t>
        </is>
      </c>
      <c r="K992" s="21"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992" s="16" t="inlineStr">
        <is>
          <t>Tinggi</t>
        </is>
      </c>
      <c r="M992" s="21" t="inlineStr">
        <is>
          <t>kedua keterangan ini mudah tertukar di sistem. Kalau periode masa depan dijelaskan "sedang berjalan", itu bug.</t>
        </is>
      </c>
      <c r="N992" s="17" t="n"/>
      <c r="O992" s="17" t="n"/>
      <c r="P992" s="17" t="n"/>
      <c r="Q992" s="17" t="n"/>
      <c r="R992" s="17" t="n"/>
    </row>
    <row r="993" ht="122.8" customHeight="1">
      <c r="A993" s="22" t="n">
        <v>989</v>
      </c>
      <c r="B993" s="22" t="n">
        <v>3</v>
      </c>
      <c r="C993" s="23" t="inlineStr">
        <is>
          <t>LP-W-06 / Pressing</t>
        </is>
      </c>
      <c r="D993" s="23" t="inlineStr">
        <is>
          <t>LP-W-06</t>
        </is>
      </c>
      <c r="E993" s="24" t="inlineStr">
        <is>
          <t>Pressing</t>
        </is>
      </c>
      <c r="F993" s="5" t="inlineStr">
        <is>
          <t>Laporan Periode Stasiun (LP-)</t>
        </is>
      </c>
      <c r="G993" s="24" t="inlineStr">
        <is>
          <t>Periode belum mulai dijelaskan sebagai BELUM MULAI</t>
        </is>
      </c>
      <c r="H993" s="5" t="inlineStr">
        <is>
          <t>SPV-A</t>
        </is>
      </c>
      <c r="I993" s="5" t="inlineStr">
        <is>
          <t>periode yang tanggal mulainya di masa depan</t>
        </is>
      </c>
      <c r="J993" s="5" t="inlineStr">
        <is>
          <t>1. Sebagai ADM, siapkan satu periode yang tanggal mulainya di masa depan.
2. Login di web, sidebar &gt; Laporan Stasiun (/reports), tekan tile Pressing (/reports/pressing), lalu pilih Periode dan Production Line, pilih periode itu dan satu line.
3. Baca keterangan di bagian Cakupan.
4. Baca angka hari yang dihitung dan persen cakupannya.</t>
        </is>
      </c>
      <c r="K993" s="5"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993" s="16" t="inlineStr">
        <is>
          <t>Tinggi</t>
        </is>
      </c>
      <c r="M993" s="5" t="inlineStr">
        <is>
          <t>kedua keterangan ini mudah tertukar di sistem. Kalau periode masa depan dijelaskan "sedang berjalan", itu bug.</t>
        </is>
      </c>
      <c r="N993" s="17" t="n"/>
      <c r="O993" s="17" t="n"/>
      <c r="P993" s="17" t="n"/>
      <c r="Q993" s="17" t="n"/>
      <c r="R993" s="17" t="n"/>
    </row>
    <row r="994" ht="136" customHeight="1">
      <c r="A994" s="18" t="n">
        <v>990</v>
      </c>
      <c r="B994" s="18" t="n">
        <v>3</v>
      </c>
      <c r="C994" s="19" t="inlineStr">
        <is>
          <t>LP-W-06 / Clarification</t>
        </is>
      </c>
      <c r="D994" s="19" t="inlineStr">
        <is>
          <t>LP-W-06</t>
        </is>
      </c>
      <c r="E994" s="20" t="inlineStr">
        <is>
          <t>Clarification</t>
        </is>
      </c>
      <c r="F994" s="21" t="inlineStr">
        <is>
          <t>Laporan Periode Stasiun (LP-)</t>
        </is>
      </c>
      <c r="G994" s="20" t="inlineStr">
        <is>
          <t>Periode belum mulai dijelaskan sebagai BELUM MULAI</t>
        </is>
      </c>
      <c r="H994" s="21" t="inlineStr">
        <is>
          <t>SPV-A</t>
        </is>
      </c>
      <c r="I994" s="21" t="inlineStr">
        <is>
          <t>periode yang tanggal mulainya di masa depan</t>
        </is>
      </c>
      <c r="J994" s="21" t="inlineStr">
        <is>
          <t>1. Sebagai ADM, siapkan satu periode yang tanggal mulainya di masa depan.
2. Login di web, sidebar &gt; Laporan Stasiun (/reports), tekan tile Clarification (/reports/clarification), lalu pilih Periode dan Production Line, pilih periode itu dan satu line.
3. Baca keterangan di bagian Cakupan.
4. Baca angka hari yang dihitung dan persen cakupannya.</t>
        </is>
      </c>
      <c r="K994" s="21"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994" s="16" t="inlineStr">
        <is>
          <t>Tinggi</t>
        </is>
      </c>
      <c r="M994" s="21" t="inlineStr">
        <is>
          <t>kedua keterangan ini mudah tertukar di sistem. Kalau periode masa depan dijelaskan "sedang berjalan", itu bug.</t>
        </is>
      </c>
      <c r="N994" s="17" t="n"/>
      <c r="O994" s="17" t="n"/>
      <c r="P994" s="17" t="n"/>
      <c r="Q994" s="17" t="n"/>
      <c r="R994" s="17" t="n"/>
    </row>
    <row r="995" ht="122.8" customHeight="1">
      <c r="A995" s="11" t="n">
        <v>991</v>
      </c>
      <c r="B995" s="12" t="n">
        <v>1</v>
      </c>
      <c r="C995" s="13" t="inlineStr">
        <is>
          <t>LP-W-06 / Kernel Plant</t>
        </is>
      </c>
      <c r="D995" s="13" t="inlineStr">
        <is>
          <t>LP-W-06</t>
        </is>
      </c>
      <c r="E995" s="15" t="inlineStr">
        <is>
          <t>Kernel Plant</t>
        </is>
      </c>
      <c r="F995" s="14" t="inlineStr">
        <is>
          <t>Laporan Periode Stasiun (LP-)</t>
        </is>
      </c>
      <c r="G995" s="15" t="inlineStr">
        <is>
          <t>Periode belum mulai dijelaskan sebagai BELUM MULAI</t>
        </is>
      </c>
      <c r="H995" s="14" t="inlineStr">
        <is>
          <t>SPV-A</t>
        </is>
      </c>
      <c r="I995" s="14" t="inlineStr">
        <is>
          <t>periode yang tanggal mulainya di masa depan</t>
        </is>
      </c>
      <c r="J995" s="14" t="inlineStr">
        <is>
          <t>1. Sebagai ADM, siapkan satu periode yang tanggal mulainya di masa depan.
2. Login di web, sidebar &gt; Laporan Stasiun (/reports), tekan tile Kernel Plant (/reports/kernel-plant), lalu pilih Periode dan Production Line, pilih periode itu dan satu line.
3. Baca keterangan di bagian Cakupan.
4. Baca angka hari yang dihitung dan persen cakupannya.</t>
        </is>
      </c>
      <c r="K995" s="14"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995" s="16" t="inlineStr">
        <is>
          <t>Tinggi</t>
        </is>
      </c>
      <c r="M995" s="14" t="inlineStr">
        <is>
          <t>kedua keterangan ini mudah tertukar di sistem. Kalau periode masa depan dijelaskan "sedang berjalan", itu bug.</t>
        </is>
      </c>
      <c r="N995" s="17" t="n"/>
      <c r="O995" s="17" t="n"/>
      <c r="P995" s="17" t="n"/>
      <c r="Q995" s="17" t="n"/>
      <c r="R995" s="17" t="n"/>
    </row>
    <row r="996" ht="122.8" customHeight="1">
      <c r="A996" s="18" t="n">
        <v>992</v>
      </c>
      <c r="B996" s="18" t="n">
        <v>3</v>
      </c>
      <c r="C996" s="19" t="inlineStr">
        <is>
          <t>LP-W-06 / Boiler Room</t>
        </is>
      </c>
      <c r="D996" s="19" t="inlineStr">
        <is>
          <t>LP-W-06</t>
        </is>
      </c>
      <c r="E996" s="20" t="inlineStr">
        <is>
          <t>Boiler Room</t>
        </is>
      </c>
      <c r="F996" s="21" t="inlineStr">
        <is>
          <t>Laporan Periode Stasiun (LP-)</t>
        </is>
      </c>
      <c r="G996" s="20" t="inlineStr">
        <is>
          <t>Periode belum mulai dijelaskan sebagai BELUM MULAI</t>
        </is>
      </c>
      <c r="H996" s="21" t="inlineStr">
        <is>
          <t>SPV-A</t>
        </is>
      </c>
      <c r="I996" s="21" t="inlineStr">
        <is>
          <t>periode yang tanggal mulainya di masa depan</t>
        </is>
      </c>
      <c r="J996" s="21" t="inlineStr">
        <is>
          <t>1. Sebagai ADM, siapkan satu periode yang tanggal mulainya di masa depan.
2. Login di web, sidebar &gt; Laporan Stasiun (/reports), tekan tile Boiler Room (/reports/boiler-room), lalu pilih Periode dan Production Line, pilih periode itu dan satu line.
3. Baca keterangan di bagian Cakupan.
4. Baca angka hari yang dihitung dan persen cakupannya.</t>
        </is>
      </c>
      <c r="K996" s="21"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996" s="16" t="inlineStr">
        <is>
          <t>Tinggi</t>
        </is>
      </c>
      <c r="M996" s="21" t="inlineStr">
        <is>
          <t>kedua keterangan ini mudah tertukar di sistem. Kalau periode masa depan dijelaskan "sedang berjalan", itu bug.</t>
        </is>
      </c>
      <c r="N996" s="17" t="n"/>
      <c r="O996" s="17" t="n"/>
      <c r="P996" s="17" t="n"/>
      <c r="Q996" s="17" t="n"/>
      <c r="R996" s="17" t="n"/>
    </row>
    <row r="997" ht="122.8" customHeight="1">
      <c r="A997" s="22" t="n">
        <v>993</v>
      </c>
      <c r="B997" s="22" t="n">
        <v>3</v>
      </c>
      <c r="C997" s="23" t="inlineStr">
        <is>
          <t>LP-W-06 / Depricarping</t>
        </is>
      </c>
      <c r="D997" s="23" t="inlineStr">
        <is>
          <t>LP-W-06</t>
        </is>
      </c>
      <c r="E997" s="24" t="inlineStr">
        <is>
          <t>Depricarping</t>
        </is>
      </c>
      <c r="F997" s="5" t="inlineStr">
        <is>
          <t>Laporan Periode Stasiun (LP-)</t>
        </is>
      </c>
      <c r="G997" s="24" t="inlineStr">
        <is>
          <t>Periode belum mulai dijelaskan sebagai BELUM MULAI</t>
        </is>
      </c>
      <c r="H997" s="5" t="inlineStr">
        <is>
          <t>SPV-A</t>
        </is>
      </c>
      <c r="I997" s="5" t="inlineStr">
        <is>
          <t>periode yang tanggal mulainya di masa depan</t>
        </is>
      </c>
      <c r="J997" s="5" t="inlineStr">
        <is>
          <t>1. Sebagai ADM, siapkan satu periode yang tanggal mulainya di masa depan.
2. Login di web, sidebar &gt; Laporan Stasiun (/reports), tekan tile Depricarping (/reports/depricarping), lalu pilih Periode dan Production Line, pilih periode itu dan satu line.
3. Baca keterangan di bagian Cakupan.
4. Baca angka hari yang dihitung dan persen cakupannya.</t>
        </is>
      </c>
      <c r="K997" s="5"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997" s="16" t="inlineStr">
        <is>
          <t>Tinggi</t>
        </is>
      </c>
      <c r="M997" s="5" t="inlineStr">
        <is>
          <t>kedua keterangan ini mudah tertukar di sistem. Kalau periode masa depan dijelaskan "sedang berjalan", itu bug.</t>
        </is>
      </c>
      <c r="N997" s="17" t="n"/>
      <c r="O997" s="17" t="n"/>
      <c r="P997" s="17" t="n"/>
      <c r="Q997" s="17" t="n"/>
      <c r="R997" s="17" t="n"/>
    </row>
    <row r="998" ht="122.8" customHeight="1">
      <c r="A998" s="18" t="n">
        <v>994</v>
      </c>
      <c r="B998" s="18" t="n">
        <v>3</v>
      </c>
      <c r="C998" s="19" t="inlineStr">
        <is>
          <t>LP-W-06 / Storage Tank</t>
        </is>
      </c>
      <c r="D998" s="19" t="inlineStr">
        <is>
          <t>LP-W-06</t>
        </is>
      </c>
      <c r="E998" s="20" t="inlineStr">
        <is>
          <t>Storage Tank</t>
        </is>
      </c>
      <c r="F998" s="21" t="inlineStr">
        <is>
          <t>Laporan Periode Stasiun (LP-)</t>
        </is>
      </c>
      <c r="G998" s="20" t="inlineStr">
        <is>
          <t>Periode belum mulai dijelaskan sebagai BELUM MULAI</t>
        </is>
      </c>
      <c r="H998" s="21" t="inlineStr">
        <is>
          <t>SPV-A</t>
        </is>
      </c>
      <c r="I998" s="21" t="inlineStr">
        <is>
          <t>periode yang tanggal mulainya di masa depan</t>
        </is>
      </c>
      <c r="J998" s="21" t="inlineStr">
        <is>
          <t>1. Sebagai ADM, siapkan satu periode yang tanggal mulainya di masa depan.
2. Login di web, sidebar &gt; Laporan Stasiun (/reports), tekan tile Storage Tank (/reports/storage-tank), lalu pilih Periode dan Production Line, pilih periode itu dan satu line.
3. Baca keterangan di bagian Cakupan.
4. Baca angka hari yang dihitung dan persen cakupannya.</t>
        </is>
      </c>
      <c r="K998" s="21"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998" s="16" t="inlineStr">
        <is>
          <t>Tinggi</t>
        </is>
      </c>
      <c r="M998" s="21" t="inlineStr">
        <is>
          <t>kedua keterangan ini mudah tertukar di sistem. Kalau periode masa depan dijelaskan "sedang berjalan", itu bug.</t>
        </is>
      </c>
      <c r="N998" s="17" t="n"/>
      <c r="O998" s="17" t="n"/>
      <c r="P998" s="17" t="n"/>
      <c r="Q998" s="17" t="n"/>
      <c r="R998" s="17" t="n"/>
    </row>
    <row r="999" ht="175.6" customHeight="1">
      <c r="A999" s="22" t="n">
        <v>995</v>
      </c>
      <c r="B999" s="22" t="n">
        <v>3</v>
      </c>
      <c r="C999" s="23" t="inlineStr">
        <is>
          <t>LP-W-07 / Weighbridge</t>
        </is>
      </c>
      <c r="D999" s="23" t="inlineStr">
        <is>
          <t>LP-W-07</t>
        </is>
      </c>
      <c r="E999" s="24" t="inlineStr">
        <is>
          <t>Weighbridge</t>
        </is>
      </c>
      <c r="F999" s="5" t="inlineStr">
        <is>
          <t>Laporan Periode Stasiun (LP-)</t>
        </is>
      </c>
      <c r="G999" s="24" t="inlineStr">
        <is>
          <t>Periode sedang berjalan: penyebut berhenti di hari ini</t>
        </is>
      </c>
      <c r="H999" s="5" t="inlineStr">
        <is>
          <t>SPV-A</t>
        </is>
      </c>
      <c r="I999" s="5" t="inlineStr">
        <is>
          <t>periode yang sudah mulai dan belum berakhir</t>
        </is>
      </c>
      <c r="J999" s="5" t="inlineStr">
        <is>
          <t>1. Siapkan satu periode yang sudah mulai dan belum berakhir (hari ini berada di tengahnya).
2. Login di web, sidebar &gt; Laporan Stasiun (/reports), tekan tile Weighbridge (/reports/weighbridge),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999" s="5" t="inlineStr">
        <is>
          <t>- Keterangannya menyebut periode sedang berjalan.
- Jumlah hari yang dihitung berhenti di hari ini — bukan seluruh panjang periode.
- Kalau yang dipakai seluruh panjang periode, persen cakupan akan selalu terlihat rendah sampai periode berakhir; itu temuan.</t>
        </is>
      </c>
      <c r="L999" s="16" t="inlineStr">
        <is>
          <t>Tinggi</t>
        </is>
      </c>
      <c r="M999" s="5" t="inlineStr"/>
      <c r="N999" s="17" t="n"/>
      <c r="O999" s="17" t="n"/>
      <c r="P999" s="17" t="n"/>
      <c r="Q999" s="17" t="n"/>
      <c r="R999" s="17" t="n"/>
    </row>
    <row r="1000" ht="175.6" customHeight="1">
      <c r="A1000" s="18" t="n">
        <v>996</v>
      </c>
      <c r="B1000" s="18" t="n">
        <v>3</v>
      </c>
      <c r="C1000" s="19" t="inlineStr">
        <is>
          <t>LP-W-07 / Grading</t>
        </is>
      </c>
      <c r="D1000" s="19" t="inlineStr">
        <is>
          <t>LP-W-07</t>
        </is>
      </c>
      <c r="E1000" s="20" t="inlineStr">
        <is>
          <t>Grading</t>
        </is>
      </c>
      <c r="F1000" s="21" t="inlineStr">
        <is>
          <t>Laporan Periode Stasiun (LP-)</t>
        </is>
      </c>
      <c r="G1000" s="20" t="inlineStr">
        <is>
          <t>Periode sedang berjalan: penyebut berhenti di hari ini</t>
        </is>
      </c>
      <c r="H1000" s="21" t="inlineStr">
        <is>
          <t>SPV-A</t>
        </is>
      </c>
      <c r="I1000" s="21" t="inlineStr">
        <is>
          <t>periode yang sudah mulai dan belum berakhir</t>
        </is>
      </c>
      <c r="J1000" s="21" t="inlineStr">
        <is>
          <t>1. Siapkan satu periode yang sudah mulai dan belum berakhir (hari ini berada di tengahnya).
2. Login di web, sidebar &gt; Laporan Stasiun (/reports), tekan tile Grading (/reports/grading),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00" s="21" t="inlineStr">
        <is>
          <t>- Keterangannya menyebut periode sedang berjalan.
- Jumlah hari yang dihitung berhenti di hari ini — bukan seluruh panjang periode.
- Kalau yang dipakai seluruh panjang periode, persen cakupan akan selalu terlihat rendah sampai periode berakhir; itu temuan.</t>
        </is>
      </c>
      <c r="L1000" s="16" t="inlineStr">
        <is>
          <t>Tinggi</t>
        </is>
      </c>
      <c r="M1000" s="21" t="inlineStr"/>
      <c r="N1000" s="17" t="n"/>
      <c r="O1000" s="17" t="n"/>
      <c r="P1000" s="17" t="n"/>
      <c r="Q1000" s="17" t="n"/>
      <c r="R1000" s="17" t="n"/>
    </row>
    <row r="1001" ht="175.6" customHeight="1">
      <c r="A1001" s="22" t="n">
        <v>997</v>
      </c>
      <c r="B1001" s="22" t="n">
        <v>3</v>
      </c>
      <c r="C1001" s="23" t="inlineStr">
        <is>
          <t>LP-W-07 / Cages Track</t>
        </is>
      </c>
      <c r="D1001" s="23" t="inlineStr">
        <is>
          <t>LP-W-07</t>
        </is>
      </c>
      <c r="E1001" s="24" t="inlineStr">
        <is>
          <t>Cages Track</t>
        </is>
      </c>
      <c r="F1001" s="5" t="inlineStr">
        <is>
          <t>Laporan Periode Stasiun (LP-)</t>
        </is>
      </c>
      <c r="G1001" s="24" t="inlineStr">
        <is>
          <t>Periode sedang berjalan: penyebut berhenti di hari ini</t>
        </is>
      </c>
      <c r="H1001" s="5" t="inlineStr">
        <is>
          <t>SPV-A</t>
        </is>
      </c>
      <c r="I1001" s="5" t="inlineStr">
        <is>
          <t>periode yang sudah mulai dan belum berakhir</t>
        </is>
      </c>
      <c r="J1001" s="5" t="inlineStr">
        <is>
          <t>1. Siapkan satu periode yang sudah mulai dan belum berakhir (hari ini berada di tengahnya).
2. Login di web, sidebar &gt; Laporan Stasiun (/reports), tekan tile Cages Track (/reports/cages-track),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01" s="5" t="inlineStr">
        <is>
          <t>- Keterangannya menyebut periode sedang berjalan.
- Jumlah hari yang dihitung berhenti di hari ini — bukan seluruh panjang periode.
- Kalau yang dipakai seluruh panjang periode, persen cakupan akan selalu terlihat rendah sampai periode berakhir; itu temuan.</t>
        </is>
      </c>
      <c r="L1001" s="16" t="inlineStr">
        <is>
          <t>Tinggi</t>
        </is>
      </c>
      <c r="M1001" s="5" t="inlineStr"/>
      <c r="N1001" s="17" t="n"/>
      <c r="O1001" s="17" t="n"/>
      <c r="P1001" s="17" t="n"/>
      <c r="Q1001" s="17" t="n"/>
      <c r="R1001" s="17" t="n"/>
    </row>
    <row r="1002" ht="175.6" customHeight="1">
      <c r="A1002" s="18" t="n">
        <v>998</v>
      </c>
      <c r="B1002" s="18" t="n">
        <v>3</v>
      </c>
      <c r="C1002" s="19" t="inlineStr">
        <is>
          <t>LP-W-07 / Sterilizer</t>
        </is>
      </c>
      <c r="D1002" s="19" t="inlineStr">
        <is>
          <t>LP-W-07</t>
        </is>
      </c>
      <c r="E1002" s="20" t="inlineStr">
        <is>
          <t>Sterilizer</t>
        </is>
      </c>
      <c r="F1002" s="21" t="inlineStr">
        <is>
          <t>Laporan Periode Stasiun (LP-)</t>
        </is>
      </c>
      <c r="G1002" s="20" t="inlineStr">
        <is>
          <t>Periode sedang berjalan: penyebut berhenti di hari ini</t>
        </is>
      </c>
      <c r="H1002" s="21" t="inlineStr">
        <is>
          <t>SPV-A</t>
        </is>
      </c>
      <c r="I1002" s="21" t="inlineStr">
        <is>
          <t>periode yang sudah mulai dan belum berakhir</t>
        </is>
      </c>
      <c r="J1002" s="21" t="inlineStr">
        <is>
          <t>1. Siapkan satu periode yang sudah mulai dan belum berakhir (hari ini berada di tengahnya).
2. Login di web, sidebar &gt; Laporan Stasiun (/reports), tekan tile Sterilizer (/reports/sterilizer),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02" s="21" t="inlineStr">
        <is>
          <t>- Keterangannya menyebut periode sedang berjalan.
- Jumlah hari yang dihitung berhenti di hari ini — bukan seluruh panjang periode.
- Kalau yang dipakai seluruh panjang periode, persen cakupan akan selalu terlihat rendah sampai periode berakhir; itu temuan.</t>
        </is>
      </c>
      <c r="L1002" s="16" t="inlineStr">
        <is>
          <t>Tinggi</t>
        </is>
      </c>
      <c r="M1002" s="21" t="inlineStr"/>
      <c r="N1002" s="17" t="n"/>
      <c r="O1002" s="17" t="n"/>
      <c r="P1002" s="17" t="n"/>
      <c r="Q1002" s="17" t="n"/>
      <c r="R1002" s="17" t="n"/>
    </row>
    <row r="1003" ht="175.6" customHeight="1">
      <c r="A1003" s="22" t="n">
        <v>999</v>
      </c>
      <c r="B1003" s="22" t="n">
        <v>3</v>
      </c>
      <c r="C1003" s="23" t="inlineStr">
        <is>
          <t>LP-W-07 / Threshing</t>
        </is>
      </c>
      <c r="D1003" s="23" t="inlineStr">
        <is>
          <t>LP-W-07</t>
        </is>
      </c>
      <c r="E1003" s="24" t="inlineStr">
        <is>
          <t>Threshing</t>
        </is>
      </c>
      <c r="F1003" s="5" t="inlineStr">
        <is>
          <t>Laporan Periode Stasiun (LP-)</t>
        </is>
      </c>
      <c r="G1003" s="24" t="inlineStr">
        <is>
          <t>Periode sedang berjalan: penyebut berhenti di hari ini</t>
        </is>
      </c>
      <c r="H1003" s="5" t="inlineStr">
        <is>
          <t>SPV-A</t>
        </is>
      </c>
      <c r="I1003" s="5" t="inlineStr">
        <is>
          <t>periode yang sudah mulai dan belum berakhir</t>
        </is>
      </c>
      <c r="J1003" s="5" t="inlineStr">
        <is>
          <t>1. Siapkan satu periode yang sudah mulai dan belum berakhir (hari ini berada di tengahnya).
2. Login di web, sidebar &gt; Laporan Stasiun (/reports), tekan tile Threshing (/reports/threshing),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03" s="5" t="inlineStr">
        <is>
          <t>- Keterangannya menyebut periode sedang berjalan.
- Jumlah hari yang dihitung berhenti di hari ini — bukan seluruh panjang periode.
- Kalau yang dipakai seluruh panjang periode, persen cakupan akan selalu terlihat rendah sampai periode berakhir; itu temuan.</t>
        </is>
      </c>
      <c r="L1003" s="16" t="inlineStr">
        <is>
          <t>Tinggi</t>
        </is>
      </c>
      <c r="M1003" s="5" t="inlineStr"/>
      <c r="N1003" s="17" t="n"/>
      <c r="O1003" s="17" t="n"/>
      <c r="P1003" s="17" t="n"/>
      <c r="Q1003" s="17" t="n"/>
      <c r="R1003" s="17" t="n"/>
    </row>
    <row r="1004" ht="175.6" customHeight="1">
      <c r="A1004" s="18" t="n">
        <v>1000</v>
      </c>
      <c r="B1004" s="18" t="n">
        <v>3</v>
      </c>
      <c r="C1004" s="19" t="inlineStr">
        <is>
          <t>LP-W-07 / Pressing</t>
        </is>
      </c>
      <c r="D1004" s="19" t="inlineStr">
        <is>
          <t>LP-W-07</t>
        </is>
      </c>
      <c r="E1004" s="20" t="inlineStr">
        <is>
          <t>Pressing</t>
        </is>
      </c>
      <c r="F1004" s="21" t="inlineStr">
        <is>
          <t>Laporan Periode Stasiun (LP-)</t>
        </is>
      </c>
      <c r="G1004" s="20" t="inlineStr">
        <is>
          <t>Periode sedang berjalan: penyebut berhenti di hari ini</t>
        </is>
      </c>
      <c r="H1004" s="21" t="inlineStr">
        <is>
          <t>SPV-A</t>
        </is>
      </c>
      <c r="I1004" s="21" t="inlineStr">
        <is>
          <t>periode yang sudah mulai dan belum berakhir</t>
        </is>
      </c>
      <c r="J1004" s="21" t="inlineStr">
        <is>
          <t>1. Siapkan satu periode yang sudah mulai dan belum berakhir (hari ini berada di tengahnya).
2. Login di web, sidebar &gt; Laporan Stasiun (/reports), tekan tile Pressing (/reports/pressing),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04" s="21" t="inlineStr">
        <is>
          <t>- Keterangannya menyebut periode sedang berjalan.
- Jumlah hari yang dihitung berhenti di hari ini — bukan seluruh panjang periode.
- Kalau yang dipakai seluruh panjang periode, persen cakupan akan selalu terlihat rendah sampai periode berakhir; itu temuan.</t>
        </is>
      </c>
      <c r="L1004" s="16" t="inlineStr">
        <is>
          <t>Tinggi</t>
        </is>
      </c>
      <c r="M1004" s="21" t="inlineStr"/>
      <c r="N1004" s="17" t="n"/>
      <c r="O1004" s="17" t="n"/>
      <c r="P1004" s="17" t="n"/>
      <c r="Q1004" s="17" t="n"/>
      <c r="R1004" s="17" t="n"/>
    </row>
    <row r="1005" ht="175.6" customHeight="1">
      <c r="A1005" s="22" t="n">
        <v>1001</v>
      </c>
      <c r="B1005" s="22" t="n">
        <v>3</v>
      </c>
      <c r="C1005" s="23" t="inlineStr">
        <is>
          <t>LP-W-07 / Clarification</t>
        </is>
      </c>
      <c r="D1005" s="23" t="inlineStr">
        <is>
          <t>LP-W-07</t>
        </is>
      </c>
      <c r="E1005" s="24" t="inlineStr">
        <is>
          <t>Clarification</t>
        </is>
      </c>
      <c r="F1005" s="5" t="inlineStr">
        <is>
          <t>Laporan Periode Stasiun (LP-)</t>
        </is>
      </c>
      <c r="G1005" s="24" t="inlineStr">
        <is>
          <t>Periode sedang berjalan: penyebut berhenti di hari ini</t>
        </is>
      </c>
      <c r="H1005" s="5" t="inlineStr">
        <is>
          <t>SPV-A</t>
        </is>
      </c>
      <c r="I1005" s="5" t="inlineStr">
        <is>
          <t>periode yang sudah mulai dan belum berakhir</t>
        </is>
      </c>
      <c r="J1005" s="5" t="inlineStr">
        <is>
          <t>1. Siapkan satu periode yang sudah mulai dan belum berakhir (hari ini berada di tengahnya).
2. Login di web, sidebar &gt; Laporan Stasiun (/reports), tekan tile Clarification (/reports/clarification),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05" s="5" t="inlineStr">
        <is>
          <t>- Keterangannya menyebut periode sedang berjalan.
- Jumlah hari yang dihitung berhenti di hari ini — bukan seluruh panjang periode.
- Kalau yang dipakai seluruh panjang periode, persen cakupan akan selalu terlihat rendah sampai periode berakhir; itu temuan.</t>
        </is>
      </c>
      <c r="L1005" s="16" t="inlineStr">
        <is>
          <t>Tinggi</t>
        </is>
      </c>
      <c r="M1005" s="5" t="inlineStr"/>
      <c r="N1005" s="17" t="n"/>
      <c r="O1005" s="17" t="n"/>
      <c r="P1005" s="17" t="n"/>
      <c r="Q1005" s="17" t="n"/>
      <c r="R1005" s="17" t="n"/>
    </row>
    <row r="1006" ht="175.6" customHeight="1">
      <c r="A1006" s="11" t="n">
        <v>1002</v>
      </c>
      <c r="B1006" s="12" t="n">
        <v>1</v>
      </c>
      <c r="C1006" s="13" t="inlineStr">
        <is>
          <t>LP-W-07 / Kernel Plant</t>
        </is>
      </c>
      <c r="D1006" s="13" t="inlineStr">
        <is>
          <t>LP-W-07</t>
        </is>
      </c>
      <c r="E1006" s="15" t="inlineStr">
        <is>
          <t>Kernel Plant</t>
        </is>
      </c>
      <c r="F1006" s="14" t="inlineStr">
        <is>
          <t>Laporan Periode Stasiun (LP-)</t>
        </is>
      </c>
      <c r="G1006" s="15" t="inlineStr">
        <is>
          <t>Periode sedang berjalan: penyebut berhenti di hari ini</t>
        </is>
      </c>
      <c r="H1006" s="14" t="inlineStr">
        <is>
          <t>SPV-A</t>
        </is>
      </c>
      <c r="I1006" s="14" t="inlineStr">
        <is>
          <t>periode yang sudah mulai dan belum berakhir</t>
        </is>
      </c>
      <c r="J1006" s="14" t="inlineStr">
        <is>
          <t>1. Siapkan satu periode yang sudah mulai dan belum berakhir (hari ini berada di tengahnya).
2. Login di web, sidebar &gt; Laporan Stasiun (/reports), tekan tile Kernel Plant (/reports/kernel-plant),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06" s="14" t="inlineStr">
        <is>
          <t>- Keterangannya menyebut periode sedang berjalan.
- Jumlah hari yang dihitung berhenti di hari ini — bukan seluruh panjang periode.
- Kalau yang dipakai seluruh panjang periode, persen cakupan akan selalu terlihat rendah sampai periode berakhir; itu temuan.</t>
        </is>
      </c>
      <c r="L1006" s="16" t="inlineStr">
        <is>
          <t>Tinggi</t>
        </is>
      </c>
      <c r="M1006" s="14" t="inlineStr"/>
      <c r="N1006" s="17" t="n"/>
      <c r="O1006" s="17" t="n"/>
      <c r="P1006" s="17" t="n"/>
      <c r="Q1006" s="17" t="n"/>
      <c r="R1006" s="17" t="n"/>
    </row>
    <row r="1007" ht="175.6" customHeight="1">
      <c r="A1007" s="22" t="n">
        <v>1003</v>
      </c>
      <c r="B1007" s="22" t="n">
        <v>3</v>
      </c>
      <c r="C1007" s="23" t="inlineStr">
        <is>
          <t>LP-W-07 / Boiler Room</t>
        </is>
      </c>
      <c r="D1007" s="23" t="inlineStr">
        <is>
          <t>LP-W-07</t>
        </is>
      </c>
      <c r="E1007" s="24" t="inlineStr">
        <is>
          <t>Boiler Room</t>
        </is>
      </c>
      <c r="F1007" s="5" t="inlineStr">
        <is>
          <t>Laporan Periode Stasiun (LP-)</t>
        </is>
      </c>
      <c r="G1007" s="24" t="inlineStr">
        <is>
          <t>Periode sedang berjalan: penyebut berhenti di hari ini</t>
        </is>
      </c>
      <c r="H1007" s="5" t="inlineStr">
        <is>
          <t>SPV-A</t>
        </is>
      </c>
      <c r="I1007" s="5" t="inlineStr">
        <is>
          <t>periode yang sudah mulai dan belum berakhir</t>
        </is>
      </c>
      <c r="J1007" s="5" t="inlineStr">
        <is>
          <t>1. Siapkan satu periode yang sudah mulai dan belum berakhir (hari ini berada di tengahnya).
2. Login di web, sidebar &gt; Laporan Stasiun (/reports), tekan tile Boiler Room (/reports/boiler-room),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07" s="5" t="inlineStr">
        <is>
          <t>- Keterangannya menyebut periode sedang berjalan.
- Jumlah hari yang dihitung berhenti di hari ini — bukan seluruh panjang periode.
- Kalau yang dipakai seluruh panjang periode, persen cakupan akan selalu terlihat rendah sampai periode berakhir; itu temuan.</t>
        </is>
      </c>
      <c r="L1007" s="16" t="inlineStr">
        <is>
          <t>Tinggi</t>
        </is>
      </c>
      <c r="M1007" s="5" t="inlineStr"/>
      <c r="N1007" s="17" t="n"/>
      <c r="O1007" s="17" t="n"/>
      <c r="P1007" s="17" t="n"/>
      <c r="Q1007" s="17" t="n"/>
      <c r="R1007" s="17" t="n"/>
    </row>
    <row r="1008" ht="175.6" customHeight="1">
      <c r="A1008" s="18" t="n">
        <v>1004</v>
      </c>
      <c r="B1008" s="18" t="n">
        <v>3</v>
      </c>
      <c r="C1008" s="19" t="inlineStr">
        <is>
          <t>LP-W-07 / Depricarping</t>
        </is>
      </c>
      <c r="D1008" s="19" t="inlineStr">
        <is>
          <t>LP-W-07</t>
        </is>
      </c>
      <c r="E1008" s="20" t="inlineStr">
        <is>
          <t>Depricarping</t>
        </is>
      </c>
      <c r="F1008" s="21" t="inlineStr">
        <is>
          <t>Laporan Periode Stasiun (LP-)</t>
        </is>
      </c>
      <c r="G1008" s="20" t="inlineStr">
        <is>
          <t>Periode sedang berjalan: penyebut berhenti di hari ini</t>
        </is>
      </c>
      <c r="H1008" s="21" t="inlineStr">
        <is>
          <t>SPV-A</t>
        </is>
      </c>
      <c r="I1008" s="21" t="inlineStr">
        <is>
          <t>periode yang sudah mulai dan belum berakhir</t>
        </is>
      </c>
      <c r="J1008" s="21" t="inlineStr">
        <is>
          <t>1. Siapkan satu periode yang sudah mulai dan belum berakhir (hari ini berada di tengahnya).
2. Login di web, sidebar &gt; Laporan Stasiun (/reports), tekan tile Depricarping (/reports/depricarping),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08" s="21" t="inlineStr">
        <is>
          <t>- Keterangannya menyebut periode sedang berjalan.
- Jumlah hari yang dihitung berhenti di hari ini — bukan seluruh panjang periode.
- Kalau yang dipakai seluruh panjang periode, persen cakupan akan selalu terlihat rendah sampai periode berakhir; itu temuan.</t>
        </is>
      </c>
      <c r="L1008" s="16" t="inlineStr">
        <is>
          <t>Tinggi</t>
        </is>
      </c>
      <c r="M1008" s="21" t="inlineStr"/>
      <c r="N1008" s="17" t="n"/>
      <c r="O1008" s="17" t="n"/>
      <c r="P1008" s="17" t="n"/>
      <c r="Q1008" s="17" t="n"/>
      <c r="R1008" s="17" t="n"/>
    </row>
    <row r="1009" ht="175.6" customHeight="1">
      <c r="A1009" s="22" t="n">
        <v>1005</v>
      </c>
      <c r="B1009" s="22" t="n">
        <v>3</v>
      </c>
      <c r="C1009" s="23" t="inlineStr">
        <is>
          <t>LP-W-07 / Storage Tank</t>
        </is>
      </c>
      <c r="D1009" s="23" t="inlineStr">
        <is>
          <t>LP-W-07</t>
        </is>
      </c>
      <c r="E1009" s="24" t="inlineStr">
        <is>
          <t>Storage Tank</t>
        </is>
      </c>
      <c r="F1009" s="5" t="inlineStr">
        <is>
          <t>Laporan Periode Stasiun (LP-)</t>
        </is>
      </c>
      <c r="G1009" s="24" t="inlineStr">
        <is>
          <t>Periode sedang berjalan: penyebut berhenti di hari ini</t>
        </is>
      </c>
      <c r="H1009" s="5" t="inlineStr">
        <is>
          <t>SPV-A</t>
        </is>
      </c>
      <c r="I1009" s="5" t="inlineStr">
        <is>
          <t>periode yang sudah mulai dan belum berakhir</t>
        </is>
      </c>
      <c r="J1009" s="5" t="inlineStr">
        <is>
          <t>1. Siapkan satu periode yang sudah mulai dan belum berakhir (hari ini berada di tengahnya).
2. Login di web, sidebar &gt; Laporan Stasiun (/reports), tekan tile Storage Tank (/reports/storage-tank),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09" s="5" t="inlineStr">
        <is>
          <t>- Keterangannya menyebut periode sedang berjalan.
- Jumlah hari yang dihitung berhenti di hari ini — bukan seluruh panjang periode.
- Kalau yang dipakai seluruh panjang periode, persen cakupan akan selalu terlihat rendah sampai periode berakhir; itu temuan.</t>
        </is>
      </c>
      <c r="L1009" s="16" t="inlineStr">
        <is>
          <t>Tinggi</t>
        </is>
      </c>
      <c r="M1009" s="5" t="inlineStr"/>
      <c r="N1009" s="17" t="n"/>
      <c r="O1009" s="17" t="n"/>
      <c r="P1009" s="17" t="n"/>
      <c r="Q1009" s="17" t="n"/>
      <c r="R1009" s="17" t="n"/>
    </row>
    <row r="1010" ht="96.39999999999999" customHeight="1">
      <c r="A1010" s="18" t="n">
        <v>1006</v>
      </c>
      <c r="B1010" s="18" t="n">
        <v>3</v>
      </c>
      <c r="C1010" s="19" t="inlineStr">
        <is>
          <t>LP-W-08 / Weighbridge</t>
        </is>
      </c>
      <c r="D1010" s="19" t="inlineStr">
        <is>
          <t>LP-W-08</t>
        </is>
      </c>
      <c r="E1010" s="20" t="inlineStr">
        <is>
          <t>Weighbridge</t>
        </is>
      </c>
      <c r="F1010" s="21" t="inlineStr">
        <is>
          <t>Laporan Periode Stasiun (LP-)</t>
        </is>
      </c>
      <c r="G1010" s="20" t="inlineStr">
        <is>
          <t>Mill tanpa periode stasiun itu memberi arahan</t>
        </is>
      </c>
      <c r="H1010" s="21" t="inlineStr">
        <is>
          <t>SPV-A</t>
        </is>
      </c>
      <c r="I1010" s="21" t="inlineStr">
        <is>
          <t>mill yang belum punya periode mencakup stasiun itu</t>
        </is>
      </c>
      <c r="J1010" s="21" t="inlineStr">
        <is>
          <t>1. Siapkan satu mill yang belum punya periode mencakup stasiun ini.
2. Login di web (buka /login, isi username dan password akun pada kolom Peran, tekan Login) sebagai ADM, buka laporan Weighbridge, lalu pilih mill itu.
3. Baca isi layar dan pemilih periodenya.</t>
        </is>
      </c>
      <c r="K1010" s="21" t="inlineStr">
        <is>
          <t>- Muncul arahan yang menyebut periode — mis. agar Admin membuat periode lebih dulu.
- Pemilih periode tetap ada, dalam keadaan kosong.
- BUKAN layar kosong, BUKAN tabel nol baris, BUKAN angka 0.</t>
        </is>
      </c>
      <c r="L1010" s="18" t="inlineStr">
        <is>
          <t>Sedang</t>
        </is>
      </c>
      <c r="M1010" s="21" t="inlineStr"/>
      <c r="N1010" s="17" t="n"/>
      <c r="O1010" s="17" t="n"/>
      <c r="P1010" s="17" t="n"/>
      <c r="Q1010" s="17" t="n"/>
      <c r="R1010" s="17" t="n"/>
    </row>
    <row r="1011" ht="96.39999999999999" customHeight="1">
      <c r="A1011" s="22" t="n">
        <v>1007</v>
      </c>
      <c r="B1011" s="22" t="n">
        <v>3</v>
      </c>
      <c r="C1011" s="23" t="inlineStr">
        <is>
          <t>LP-W-08 / Grading</t>
        </is>
      </c>
      <c r="D1011" s="23" t="inlineStr">
        <is>
          <t>LP-W-08</t>
        </is>
      </c>
      <c r="E1011" s="24" t="inlineStr">
        <is>
          <t>Grading</t>
        </is>
      </c>
      <c r="F1011" s="5" t="inlineStr">
        <is>
          <t>Laporan Periode Stasiun (LP-)</t>
        </is>
      </c>
      <c r="G1011" s="24" t="inlineStr">
        <is>
          <t>Mill tanpa periode stasiun itu memberi arahan</t>
        </is>
      </c>
      <c r="H1011" s="5" t="inlineStr">
        <is>
          <t>SPV-A</t>
        </is>
      </c>
      <c r="I1011" s="5" t="inlineStr">
        <is>
          <t>mill yang belum punya periode mencakup stasiun itu</t>
        </is>
      </c>
      <c r="J1011" s="5" t="inlineStr">
        <is>
          <t>1. Siapkan satu mill yang belum punya periode mencakup stasiun ini.
2. Login di web (buka /login, isi username dan password akun pada kolom Peran, tekan Login) sebagai ADM, buka laporan Grading, lalu pilih mill itu.
3. Baca isi layar dan pemilih periodenya.</t>
        </is>
      </c>
      <c r="K1011" s="5" t="inlineStr">
        <is>
          <t>- Muncul arahan yang menyebut periode — mis. agar Admin membuat periode lebih dulu.
- Pemilih periode tetap ada, dalam keadaan kosong.
- BUKAN layar kosong, BUKAN tabel nol baris, BUKAN angka 0.</t>
        </is>
      </c>
      <c r="L1011" s="22" t="inlineStr">
        <is>
          <t>Sedang</t>
        </is>
      </c>
      <c r="M1011" s="5" t="inlineStr"/>
      <c r="N1011" s="17" t="n"/>
      <c r="O1011" s="17" t="n"/>
      <c r="P1011" s="17" t="n"/>
      <c r="Q1011" s="17" t="n"/>
      <c r="R1011" s="17" t="n"/>
    </row>
    <row r="1012" ht="96.39999999999999" customHeight="1">
      <c r="A1012" s="18" t="n">
        <v>1008</v>
      </c>
      <c r="B1012" s="18" t="n">
        <v>3</v>
      </c>
      <c r="C1012" s="19" t="inlineStr">
        <is>
          <t>LP-W-08 / Cages Track</t>
        </is>
      </c>
      <c r="D1012" s="19" t="inlineStr">
        <is>
          <t>LP-W-08</t>
        </is>
      </c>
      <c r="E1012" s="20" t="inlineStr">
        <is>
          <t>Cages Track</t>
        </is>
      </c>
      <c r="F1012" s="21" t="inlineStr">
        <is>
          <t>Laporan Periode Stasiun (LP-)</t>
        </is>
      </c>
      <c r="G1012" s="20" t="inlineStr">
        <is>
          <t>Mill tanpa periode stasiun itu memberi arahan</t>
        </is>
      </c>
      <c r="H1012" s="21" t="inlineStr">
        <is>
          <t>SPV-A</t>
        </is>
      </c>
      <c r="I1012" s="21" t="inlineStr">
        <is>
          <t>mill yang belum punya periode mencakup stasiun itu</t>
        </is>
      </c>
      <c r="J1012" s="21" t="inlineStr">
        <is>
          <t>1. Siapkan satu mill yang belum punya periode mencakup stasiun ini.
2. Login di web (buka /login, isi username dan password akun pada kolom Peran, tekan Login) sebagai ADM, buka laporan Cages Track, lalu pilih mill itu.
3. Baca isi layar dan pemilih periodenya.</t>
        </is>
      </c>
      <c r="K1012" s="21" t="inlineStr">
        <is>
          <t>- Muncul arahan yang menyebut periode — mis. agar Admin membuat periode lebih dulu.
- Pemilih periode tetap ada, dalam keadaan kosong.
- BUKAN layar kosong, BUKAN tabel nol baris, BUKAN angka 0.</t>
        </is>
      </c>
      <c r="L1012" s="18" t="inlineStr">
        <is>
          <t>Sedang</t>
        </is>
      </c>
      <c r="M1012" s="21" t="inlineStr"/>
      <c r="N1012" s="17" t="n"/>
      <c r="O1012" s="17" t="n"/>
      <c r="P1012" s="17" t="n"/>
      <c r="Q1012" s="17" t="n"/>
      <c r="R1012" s="17" t="n"/>
    </row>
    <row r="1013" ht="96.39999999999999" customHeight="1">
      <c r="A1013" s="22" t="n">
        <v>1009</v>
      </c>
      <c r="B1013" s="22" t="n">
        <v>3</v>
      </c>
      <c r="C1013" s="23" t="inlineStr">
        <is>
          <t>LP-W-08 / Sterilizer</t>
        </is>
      </c>
      <c r="D1013" s="23" t="inlineStr">
        <is>
          <t>LP-W-08</t>
        </is>
      </c>
      <c r="E1013" s="24" t="inlineStr">
        <is>
          <t>Sterilizer</t>
        </is>
      </c>
      <c r="F1013" s="5" t="inlineStr">
        <is>
          <t>Laporan Periode Stasiun (LP-)</t>
        </is>
      </c>
      <c r="G1013" s="24" t="inlineStr">
        <is>
          <t>Mill tanpa periode stasiun itu memberi arahan</t>
        </is>
      </c>
      <c r="H1013" s="5" t="inlineStr">
        <is>
          <t>SPV-A</t>
        </is>
      </c>
      <c r="I1013" s="5" t="inlineStr">
        <is>
          <t>mill yang belum punya periode mencakup stasiun itu</t>
        </is>
      </c>
      <c r="J1013" s="5" t="inlineStr">
        <is>
          <t>1. Siapkan satu mill yang belum punya periode mencakup stasiun ini.
2. Login di web (buka /login, isi username dan password akun pada kolom Peran, tekan Login) sebagai ADM, buka laporan Sterilizer, lalu pilih mill itu.
3. Baca isi layar dan pemilih periodenya.</t>
        </is>
      </c>
      <c r="K1013" s="5" t="inlineStr">
        <is>
          <t>- Muncul arahan yang menyebut periode — mis. agar Admin membuat periode lebih dulu.
- Pemilih periode tetap ada, dalam keadaan kosong.
- BUKAN layar kosong, BUKAN tabel nol baris, BUKAN angka 0.</t>
        </is>
      </c>
      <c r="L1013" s="22" t="inlineStr">
        <is>
          <t>Sedang</t>
        </is>
      </c>
      <c r="M1013" s="5" t="inlineStr"/>
      <c r="N1013" s="17" t="n"/>
      <c r="O1013" s="17" t="n"/>
      <c r="P1013" s="17" t="n"/>
      <c r="Q1013" s="17" t="n"/>
      <c r="R1013" s="17" t="n"/>
    </row>
    <row r="1014" ht="96.39999999999999" customHeight="1">
      <c r="A1014" s="18" t="n">
        <v>1010</v>
      </c>
      <c r="B1014" s="18" t="n">
        <v>3</v>
      </c>
      <c r="C1014" s="19" t="inlineStr">
        <is>
          <t>LP-W-08 / Threshing</t>
        </is>
      </c>
      <c r="D1014" s="19" t="inlineStr">
        <is>
          <t>LP-W-08</t>
        </is>
      </c>
      <c r="E1014" s="20" t="inlineStr">
        <is>
          <t>Threshing</t>
        </is>
      </c>
      <c r="F1014" s="21" t="inlineStr">
        <is>
          <t>Laporan Periode Stasiun (LP-)</t>
        </is>
      </c>
      <c r="G1014" s="20" t="inlineStr">
        <is>
          <t>Mill tanpa periode stasiun itu memberi arahan</t>
        </is>
      </c>
      <c r="H1014" s="21" t="inlineStr">
        <is>
          <t>SPV-A</t>
        </is>
      </c>
      <c r="I1014" s="21" t="inlineStr">
        <is>
          <t>mill yang belum punya periode mencakup stasiun itu</t>
        </is>
      </c>
      <c r="J1014" s="21" t="inlineStr">
        <is>
          <t>1. Siapkan satu mill yang belum punya periode mencakup stasiun ini.
2. Login di web (buka /login, isi username dan password akun pada kolom Peran, tekan Login) sebagai ADM, buka laporan Threshing, lalu pilih mill itu.
3. Baca isi layar dan pemilih periodenya.</t>
        </is>
      </c>
      <c r="K1014" s="21" t="inlineStr">
        <is>
          <t>- Muncul arahan yang menyebut periode — mis. agar Admin membuat periode lebih dulu.
- Pemilih periode tetap ada, dalam keadaan kosong.
- BUKAN layar kosong, BUKAN tabel nol baris, BUKAN angka 0.</t>
        </is>
      </c>
      <c r="L1014" s="18" t="inlineStr">
        <is>
          <t>Sedang</t>
        </is>
      </c>
      <c r="M1014" s="21" t="inlineStr"/>
      <c r="N1014" s="17" t="n"/>
      <c r="O1014" s="17" t="n"/>
      <c r="P1014" s="17" t="n"/>
      <c r="Q1014" s="17" t="n"/>
      <c r="R1014" s="17" t="n"/>
    </row>
    <row r="1015" ht="96.39999999999999" customHeight="1">
      <c r="A1015" s="22" t="n">
        <v>1011</v>
      </c>
      <c r="B1015" s="22" t="n">
        <v>3</v>
      </c>
      <c r="C1015" s="23" t="inlineStr">
        <is>
          <t>LP-W-08 / Pressing</t>
        </is>
      </c>
      <c r="D1015" s="23" t="inlineStr">
        <is>
          <t>LP-W-08</t>
        </is>
      </c>
      <c r="E1015" s="24" t="inlineStr">
        <is>
          <t>Pressing</t>
        </is>
      </c>
      <c r="F1015" s="5" t="inlineStr">
        <is>
          <t>Laporan Periode Stasiun (LP-)</t>
        </is>
      </c>
      <c r="G1015" s="24" t="inlineStr">
        <is>
          <t>Mill tanpa periode stasiun itu memberi arahan</t>
        </is>
      </c>
      <c r="H1015" s="5" t="inlineStr">
        <is>
          <t>SPV-A</t>
        </is>
      </c>
      <c r="I1015" s="5" t="inlineStr">
        <is>
          <t>mill yang belum punya periode mencakup stasiun itu</t>
        </is>
      </c>
      <c r="J1015" s="5" t="inlineStr">
        <is>
          <t>1. Siapkan satu mill yang belum punya periode mencakup stasiun ini.
2. Login di web (buka /login, isi username dan password akun pada kolom Peran, tekan Login) sebagai ADM, buka laporan Pressing, lalu pilih mill itu.
3. Baca isi layar dan pemilih periodenya.</t>
        </is>
      </c>
      <c r="K1015" s="5" t="inlineStr">
        <is>
          <t>- Muncul arahan yang menyebut periode — mis. agar Admin membuat periode lebih dulu.
- Pemilih periode tetap ada, dalam keadaan kosong.
- BUKAN layar kosong, BUKAN tabel nol baris, BUKAN angka 0.</t>
        </is>
      </c>
      <c r="L1015" s="22" t="inlineStr">
        <is>
          <t>Sedang</t>
        </is>
      </c>
      <c r="M1015" s="5" t="inlineStr"/>
      <c r="N1015" s="17" t="n"/>
      <c r="O1015" s="17" t="n"/>
      <c r="P1015" s="17" t="n"/>
      <c r="Q1015" s="17" t="n"/>
      <c r="R1015" s="17" t="n"/>
    </row>
    <row r="1016" ht="96.39999999999999" customHeight="1">
      <c r="A1016" s="18" t="n">
        <v>1012</v>
      </c>
      <c r="B1016" s="18" t="n">
        <v>3</v>
      </c>
      <c r="C1016" s="19" t="inlineStr">
        <is>
          <t>LP-W-08 / Clarification</t>
        </is>
      </c>
      <c r="D1016" s="19" t="inlineStr">
        <is>
          <t>LP-W-08</t>
        </is>
      </c>
      <c r="E1016" s="20" t="inlineStr">
        <is>
          <t>Clarification</t>
        </is>
      </c>
      <c r="F1016" s="21" t="inlineStr">
        <is>
          <t>Laporan Periode Stasiun (LP-)</t>
        </is>
      </c>
      <c r="G1016" s="20" t="inlineStr">
        <is>
          <t>Mill tanpa periode stasiun itu memberi arahan</t>
        </is>
      </c>
      <c r="H1016" s="21" t="inlineStr">
        <is>
          <t>SPV-A</t>
        </is>
      </c>
      <c r="I1016" s="21" t="inlineStr">
        <is>
          <t>mill yang belum punya periode mencakup stasiun itu</t>
        </is>
      </c>
      <c r="J1016" s="21" t="inlineStr">
        <is>
          <t>1. Siapkan satu mill yang belum punya periode mencakup stasiun ini.
2. Login di web (buka /login, isi username dan password akun pada kolom Peran, tekan Login) sebagai ADM, buka laporan Clarification, lalu pilih mill itu.
3. Baca isi layar dan pemilih periodenya.</t>
        </is>
      </c>
      <c r="K1016" s="21" t="inlineStr">
        <is>
          <t>- Muncul arahan yang menyebut periode — mis. agar Admin membuat periode lebih dulu.
- Pemilih periode tetap ada, dalam keadaan kosong.
- BUKAN layar kosong, BUKAN tabel nol baris, BUKAN angka 0.</t>
        </is>
      </c>
      <c r="L1016" s="18" t="inlineStr">
        <is>
          <t>Sedang</t>
        </is>
      </c>
      <c r="M1016" s="21" t="inlineStr"/>
      <c r="N1016" s="17" t="n"/>
      <c r="O1016" s="17" t="n"/>
      <c r="P1016" s="17" t="n"/>
      <c r="Q1016" s="17" t="n"/>
      <c r="R1016" s="17" t="n"/>
    </row>
    <row r="1017" ht="96.39999999999999" customHeight="1">
      <c r="A1017" s="11" t="n">
        <v>1013</v>
      </c>
      <c r="B1017" s="12" t="n">
        <v>1</v>
      </c>
      <c r="C1017" s="13" t="inlineStr">
        <is>
          <t>LP-W-08 / Kernel Plant</t>
        </is>
      </c>
      <c r="D1017" s="13" t="inlineStr">
        <is>
          <t>LP-W-08</t>
        </is>
      </c>
      <c r="E1017" s="15" t="inlineStr">
        <is>
          <t>Kernel Plant</t>
        </is>
      </c>
      <c r="F1017" s="14" t="inlineStr">
        <is>
          <t>Laporan Periode Stasiun (LP-)</t>
        </is>
      </c>
      <c r="G1017" s="15" t="inlineStr">
        <is>
          <t>Mill tanpa periode stasiun itu memberi arahan</t>
        </is>
      </c>
      <c r="H1017" s="14" t="inlineStr">
        <is>
          <t>SPV-A</t>
        </is>
      </c>
      <c r="I1017" s="14" t="inlineStr">
        <is>
          <t>mill yang belum punya periode mencakup stasiun itu</t>
        </is>
      </c>
      <c r="J1017" s="14" t="inlineStr">
        <is>
          <t>1. Siapkan satu mill yang belum punya periode mencakup stasiun ini.
2. Login di web (buka /login, isi username dan password akun pada kolom Peran, tekan Login) sebagai ADM, buka laporan Kernel Plant, lalu pilih mill itu.
3. Baca isi layar dan pemilih periodenya.</t>
        </is>
      </c>
      <c r="K1017" s="14" t="inlineStr">
        <is>
          <t>- Muncul arahan yang menyebut periode — mis. agar Admin membuat periode lebih dulu.
- Pemilih periode tetap ada, dalam keadaan kosong.
- BUKAN layar kosong, BUKAN tabel nol baris, BUKAN angka 0.</t>
        </is>
      </c>
      <c r="L1017" s="11" t="inlineStr">
        <is>
          <t>Sedang</t>
        </is>
      </c>
      <c r="M1017" s="14" t="inlineStr"/>
      <c r="N1017" s="17" t="n"/>
      <c r="O1017" s="17" t="n"/>
      <c r="P1017" s="17" t="n"/>
      <c r="Q1017" s="17" t="n"/>
      <c r="R1017" s="17" t="n"/>
    </row>
    <row r="1018" ht="96.39999999999999" customHeight="1">
      <c r="A1018" s="18" t="n">
        <v>1014</v>
      </c>
      <c r="B1018" s="18" t="n">
        <v>3</v>
      </c>
      <c r="C1018" s="19" t="inlineStr">
        <is>
          <t>LP-W-08 / Boiler Room</t>
        </is>
      </c>
      <c r="D1018" s="19" t="inlineStr">
        <is>
          <t>LP-W-08</t>
        </is>
      </c>
      <c r="E1018" s="20" t="inlineStr">
        <is>
          <t>Boiler Room</t>
        </is>
      </c>
      <c r="F1018" s="21" t="inlineStr">
        <is>
          <t>Laporan Periode Stasiun (LP-)</t>
        </is>
      </c>
      <c r="G1018" s="20" t="inlineStr">
        <is>
          <t>Mill tanpa periode stasiun itu memberi arahan</t>
        </is>
      </c>
      <c r="H1018" s="21" t="inlineStr">
        <is>
          <t>SPV-A</t>
        </is>
      </c>
      <c r="I1018" s="21" t="inlineStr">
        <is>
          <t>mill yang belum punya periode mencakup stasiun itu</t>
        </is>
      </c>
      <c r="J1018" s="21" t="inlineStr">
        <is>
          <t>1. Siapkan satu mill yang belum punya periode mencakup stasiun ini.
2. Login di web (buka /login, isi username dan password akun pada kolom Peran, tekan Login) sebagai ADM, buka laporan Boiler Room, lalu pilih mill itu.
3. Baca isi layar dan pemilih periodenya.</t>
        </is>
      </c>
      <c r="K1018" s="21" t="inlineStr">
        <is>
          <t>- Muncul arahan yang menyebut periode — mis. agar Admin membuat periode lebih dulu.
- Pemilih periode tetap ada, dalam keadaan kosong.
- BUKAN layar kosong, BUKAN tabel nol baris, BUKAN angka 0.</t>
        </is>
      </c>
      <c r="L1018" s="18" t="inlineStr">
        <is>
          <t>Sedang</t>
        </is>
      </c>
      <c r="M1018" s="21" t="inlineStr"/>
      <c r="N1018" s="17" t="n"/>
      <c r="O1018" s="17" t="n"/>
      <c r="P1018" s="17" t="n"/>
      <c r="Q1018" s="17" t="n"/>
      <c r="R1018" s="17" t="n"/>
    </row>
    <row r="1019" ht="96.39999999999999" customHeight="1">
      <c r="A1019" s="22" t="n">
        <v>1015</v>
      </c>
      <c r="B1019" s="22" t="n">
        <v>3</v>
      </c>
      <c r="C1019" s="23" t="inlineStr">
        <is>
          <t>LP-W-08 / Depricarping</t>
        </is>
      </c>
      <c r="D1019" s="23" t="inlineStr">
        <is>
          <t>LP-W-08</t>
        </is>
      </c>
      <c r="E1019" s="24" t="inlineStr">
        <is>
          <t>Depricarping</t>
        </is>
      </c>
      <c r="F1019" s="5" t="inlineStr">
        <is>
          <t>Laporan Periode Stasiun (LP-)</t>
        </is>
      </c>
      <c r="G1019" s="24" t="inlineStr">
        <is>
          <t>Mill tanpa periode stasiun itu memberi arahan</t>
        </is>
      </c>
      <c r="H1019" s="5" t="inlineStr">
        <is>
          <t>SPV-A</t>
        </is>
      </c>
      <c r="I1019" s="5" t="inlineStr">
        <is>
          <t>mill yang belum punya periode mencakup stasiun itu</t>
        </is>
      </c>
      <c r="J1019" s="5" t="inlineStr">
        <is>
          <t>1. Siapkan satu mill yang belum punya periode mencakup stasiun ini.
2. Login di web (buka /login, isi username dan password akun pada kolom Peran, tekan Login) sebagai ADM, buka laporan Depricarping, lalu pilih mill itu.
3. Baca isi layar dan pemilih periodenya.</t>
        </is>
      </c>
      <c r="K1019" s="5" t="inlineStr">
        <is>
          <t>- Muncul arahan yang menyebut periode — mis. agar Admin membuat periode lebih dulu.
- Pemilih periode tetap ada, dalam keadaan kosong.
- BUKAN layar kosong, BUKAN tabel nol baris, BUKAN angka 0.</t>
        </is>
      </c>
      <c r="L1019" s="22" t="inlineStr">
        <is>
          <t>Sedang</t>
        </is>
      </c>
      <c r="M1019" s="5" t="inlineStr"/>
      <c r="N1019" s="17" t="n"/>
      <c r="O1019" s="17" t="n"/>
      <c r="P1019" s="17" t="n"/>
      <c r="Q1019" s="17" t="n"/>
      <c r="R1019" s="17" t="n"/>
    </row>
    <row r="1020" ht="96.39999999999999" customHeight="1">
      <c r="A1020" s="18" t="n">
        <v>1016</v>
      </c>
      <c r="B1020" s="18" t="n">
        <v>3</v>
      </c>
      <c r="C1020" s="19" t="inlineStr">
        <is>
          <t>LP-W-08 / Storage Tank</t>
        </is>
      </c>
      <c r="D1020" s="19" t="inlineStr">
        <is>
          <t>LP-W-08</t>
        </is>
      </c>
      <c r="E1020" s="20" t="inlineStr">
        <is>
          <t>Storage Tank</t>
        </is>
      </c>
      <c r="F1020" s="21" t="inlineStr">
        <is>
          <t>Laporan Periode Stasiun (LP-)</t>
        </is>
      </c>
      <c r="G1020" s="20" t="inlineStr">
        <is>
          <t>Mill tanpa periode stasiun itu memberi arahan</t>
        </is>
      </c>
      <c r="H1020" s="21" t="inlineStr">
        <is>
          <t>SPV-A</t>
        </is>
      </c>
      <c r="I1020" s="21" t="inlineStr">
        <is>
          <t>mill yang belum punya periode mencakup stasiun itu</t>
        </is>
      </c>
      <c r="J1020" s="21" t="inlineStr">
        <is>
          <t>1. Siapkan satu mill yang belum punya periode mencakup stasiun ini.
2. Login di web (buka /login, isi username dan password akun pada kolom Peran, tekan Login) sebagai ADM, buka laporan Storage Tank, lalu pilih mill itu.
3. Baca isi layar dan pemilih periodenya.</t>
        </is>
      </c>
      <c r="K1020" s="21" t="inlineStr">
        <is>
          <t>- Muncul arahan yang menyebut periode — mis. agar Admin membuat periode lebih dulu.
- Pemilih periode tetap ada, dalam keadaan kosong.
- BUKAN layar kosong, BUKAN tabel nol baris, BUKAN angka 0.</t>
        </is>
      </c>
      <c r="L1020" s="18" t="inlineStr">
        <is>
          <t>Sedang</t>
        </is>
      </c>
      <c r="M1020" s="21" t="inlineStr"/>
      <c r="N1020" s="17" t="n"/>
      <c r="O1020" s="17" t="n"/>
      <c r="P1020" s="17" t="n"/>
      <c r="Q1020" s="17" t="n"/>
      <c r="R1020" s="17" t="n"/>
    </row>
    <row r="1021" ht="281.2" customHeight="1">
      <c r="A1021" s="22" t="n">
        <v>1017</v>
      </c>
      <c r="B1021" s="22" t="n">
        <v>3</v>
      </c>
      <c r="C1021" s="23" t="inlineStr">
        <is>
          <t>LP-W-09 / Weighbridge</t>
        </is>
      </c>
      <c r="D1021" s="23" t="inlineStr">
        <is>
          <t>LP-W-09</t>
        </is>
      </c>
      <c r="E1021" s="24" t="inlineStr">
        <is>
          <t>Weighbridge</t>
        </is>
      </c>
      <c r="F1021" s="5" t="inlineStr">
        <is>
          <t>Laporan Periode Stasiun (LP-)</t>
        </is>
      </c>
      <c r="G1021" s="24" t="inlineStr">
        <is>
          <t>Admin berganti mill mereset pilihan periode dan line</t>
        </is>
      </c>
      <c r="H1021" s="5" t="inlineStr">
        <is>
          <t>ADM</t>
        </is>
      </c>
      <c r="I1021" s="5" t="inlineStr">
        <is>
          <t>2 mill, keduanya punya data</t>
        </is>
      </c>
      <c r="J1021" s="5" t="inlineStr">
        <is>
          <t>1. Siapkan 2 mill yang keduanya punya periode dan data untuk stasiun ini.
2. Login di web, sidebar &gt; Laporan Stasiun (/reports), tekan tile Weighbridge (/reports/weighbridge), lalu pilih Periode dan Production Line sebagai ADM. Pilih Mill A, satu periode, dan satu line. Catat angkanya.
3. Ganti pemilih Mill ke Mill B.
4. Baca pemilih periode dan pemilih line, serta area angka.
5. Pilih periode dan line Mill B, lalu catat angkanya.</t>
        </is>
      </c>
      <c r="K1021" s="5"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21" s="16" t="inlineStr">
        <is>
          <t>Tinggi</t>
        </is>
      </c>
      <c r="M1021" s="5"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21" s="17" t="n"/>
      <c r="O1021" s="17" t="n"/>
      <c r="P1021" s="17" t="n"/>
      <c r="Q1021" s="17" t="n"/>
      <c r="R1021" s="17" t="n"/>
    </row>
    <row r="1022" ht="281.2" customHeight="1">
      <c r="A1022" s="18" t="n">
        <v>1018</v>
      </c>
      <c r="B1022" s="18" t="n">
        <v>3</v>
      </c>
      <c r="C1022" s="19" t="inlineStr">
        <is>
          <t>LP-W-09 / Grading</t>
        </is>
      </c>
      <c r="D1022" s="19" t="inlineStr">
        <is>
          <t>LP-W-09</t>
        </is>
      </c>
      <c r="E1022" s="20" t="inlineStr">
        <is>
          <t>Grading</t>
        </is>
      </c>
      <c r="F1022" s="21" t="inlineStr">
        <is>
          <t>Laporan Periode Stasiun (LP-)</t>
        </is>
      </c>
      <c r="G1022" s="20" t="inlineStr">
        <is>
          <t>Admin berganti mill mereset pilihan periode dan line</t>
        </is>
      </c>
      <c r="H1022" s="21" t="inlineStr">
        <is>
          <t>ADM</t>
        </is>
      </c>
      <c r="I1022" s="21" t="inlineStr">
        <is>
          <t>2 mill, keduanya punya data</t>
        </is>
      </c>
      <c r="J1022" s="21" t="inlineStr">
        <is>
          <t>1. Siapkan 2 mill yang keduanya punya periode dan data untuk stasiun ini.
2. Login di web, sidebar &gt; Laporan Stasiun (/reports), tekan tile Grading (/reports/grading), lalu pilih Periode dan Production Line sebagai ADM. Pilih Mill A, satu periode, dan satu line. Catat angkanya.
3. Ganti pemilih Mill ke Mill B.
4. Baca pemilih periode dan pemilih line, serta area angka.
5. Pilih periode dan line Mill B, lalu catat angkanya.</t>
        </is>
      </c>
      <c r="K1022" s="21"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22" s="16" t="inlineStr">
        <is>
          <t>Tinggi</t>
        </is>
      </c>
      <c r="M1022" s="21"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22" s="17" t="n"/>
      <c r="O1022" s="17" t="n"/>
      <c r="P1022" s="17" t="n"/>
      <c r="Q1022" s="17" t="n"/>
      <c r="R1022" s="17" t="n"/>
    </row>
    <row r="1023" ht="281.2" customHeight="1">
      <c r="A1023" s="22" t="n">
        <v>1019</v>
      </c>
      <c r="B1023" s="22" t="n">
        <v>3</v>
      </c>
      <c r="C1023" s="23" t="inlineStr">
        <is>
          <t>LP-W-09 / Cages Track</t>
        </is>
      </c>
      <c r="D1023" s="23" t="inlineStr">
        <is>
          <t>LP-W-09</t>
        </is>
      </c>
      <c r="E1023" s="24" t="inlineStr">
        <is>
          <t>Cages Track</t>
        </is>
      </c>
      <c r="F1023" s="5" t="inlineStr">
        <is>
          <t>Laporan Periode Stasiun (LP-)</t>
        </is>
      </c>
      <c r="G1023" s="24" t="inlineStr">
        <is>
          <t>Admin berganti mill mereset pilihan periode dan line</t>
        </is>
      </c>
      <c r="H1023" s="5" t="inlineStr">
        <is>
          <t>ADM</t>
        </is>
      </c>
      <c r="I1023" s="5" t="inlineStr">
        <is>
          <t>2 mill, keduanya punya data</t>
        </is>
      </c>
      <c r="J1023" s="5" t="inlineStr">
        <is>
          <t>1. Siapkan 2 mill yang keduanya punya periode dan data untuk stasiun ini.
2. Login di web, sidebar &gt; Laporan Stasiun (/reports), tekan tile Cages Track (/reports/cages-track), lalu pilih Periode dan Production Line sebagai ADM. Pilih Mill A, satu periode, dan satu line. Catat angkanya.
3. Ganti pemilih Mill ke Mill B.
4. Baca pemilih periode dan pemilih line, serta area angka.
5. Pilih periode dan line Mill B, lalu catat angkanya.</t>
        </is>
      </c>
      <c r="K1023" s="5"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23" s="16" t="inlineStr">
        <is>
          <t>Tinggi</t>
        </is>
      </c>
      <c r="M1023" s="5"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23" s="17" t="n"/>
      <c r="O1023" s="17" t="n"/>
      <c r="P1023" s="17" t="n"/>
      <c r="Q1023" s="17" t="n"/>
      <c r="R1023" s="17" t="n"/>
    </row>
    <row r="1024" ht="281.2" customHeight="1">
      <c r="A1024" s="18" t="n">
        <v>1020</v>
      </c>
      <c r="B1024" s="18" t="n">
        <v>3</v>
      </c>
      <c r="C1024" s="19" t="inlineStr">
        <is>
          <t>LP-W-09 / Sterilizer</t>
        </is>
      </c>
      <c r="D1024" s="19" t="inlineStr">
        <is>
          <t>LP-W-09</t>
        </is>
      </c>
      <c r="E1024" s="20" t="inlineStr">
        <is>
          <t>Sterilizer</t>
        </is>
      </c>
      <c r="F1024" s="21" t="inlineStr">
        <is>
          <t>Laporan Periode Stasiun (LP-)</t>
        </is>
      </c>
      <c r="G1024" s="20" t="inlineStr">
        <is>
          <t>Admin berganti mill mereset pilihan periode dan line</t>
        </is>
      </c>
      <c r="H1024" s="21" t="inlineStr">
        <is>
          <t>ADM</t>
        </is>
      </c>
      <c r="I1024" s="21" t="inlineStr">
        <is>
          <t>2 mill, keduanya punya data</t>
        </is>
      </c>
      <c r="J1024" s="21" t="inlineStr">
        <is>
          <t>1. Siapkan 2 mill yang keduanya punya periode dan data untuk stasiun ini.
2. Login di web, sidebar &gt; Laporan Stasiun (/reports), tekan tile Sterilizer (/reports/sterilizer), lalu pilih Periode dan Production Line sebagai ADM. Pilih Mill A, satu periode, dan satu line. Catat angkanya.
3. Ganti pemilih Mill ke Mill B.
4. Baca pemilih periode dan pemilih line, serta area angka.
5. Pilih periode dan line Mill B, lalu catat angkanya.</t>
        </is>
      </c>
      <c r="K1024" s="21"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24" s="16" t="inlineStr">
        <is>
          <t>Tinggi</t>
        </is>
      </c>
      <c r="M1024" s="21"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24" s="17" t="n"/>
      <c r="O1024" s="17" t="n"/>
      <c r="P1024" s="17" t="n"/>
      <c r="Q1024" s="17" t="n"/>
      <c r="R1024" s="17" t="n"/>
    </row>
    <row r="1025" ht="281.2" customHeight="1">
      <c r="A1025" s="22" t="n">
        <v>1021</v>
      </c>
      <c r="B1025" s="22" t="n">
        <v>3</v>
      </c>
      <c r="C1025" s="23" t="inlineStr">
        <is>
          <t>LP-W-09 / Threshing</t>
        </is>
      </c>
      <c r="D1025" s="23" t="inlineStr">
        <is>
          <t>LP-W-09</t>
        </is>
      </c>
      <c r="E1025" s="24" t="inlineStr">
        <is>
          <t>Threshing</t>
        </is>
      </c>
      <c r="F1025" s="5" t="inlineStr">
        <is>
          <t>Laporan Periode Stasiun (LP-)</t>
        </is>
      </c>
      <c r="G1025" s="24" t="inlineStr">
        <is>
          <t>Admin berganti mill mereset pilihan periode dan line</t>
        </is>
      </c>
      <c r="H1025" s="5" t="inlineStr">
        <is>
          <t>ADM</t>
        </is>
      </c>
      <c r="I1025" s="5" t="inlineStr">
        <is>
          <t>2 mill, keduanya punya data</t>
        </is>
      </c>
      <c r="J1025" s="5" t="inlineStr">
        <is>
          <t>1. Siapkan 2 mill yang keduanya punya periode dan data untuk stasiun ini.
2. Login di web, sidebar &gt; Laporan Stasiun (/reports), tekan tile Threshing (/reports/threshing), lalu pilih Periode dan Production Line sebagai ADM. Pilih Mill A, satu periode, dan satu line. Catat angkanya.
3. Ganti pemilih Mill ke Mill B.
4. Baca pemilih periode dan pemilih line, serta area angka.
5. Pilih periode dan line Mill B, lalu catat angkanya.</t>
        </is>
      </c>
      <c r="K1025" s="5"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25" s="16" t="inlineStr">
        <is>
          <t>Tinggi</t>
        </is>
      </c>
      <c r="M1025" s="5"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25" s="17" t="n"/>
      <c r="O1025" s="17" t="n"/>
      <c r="P1025" s="17" t="n"/>
      <c r="Q1025" s="17" t="n"/>
      <c r="R1025" s="17" t="n"/>
    </row>
    <row r="1026" ht="281.2" customHeight="1">
      <c r="A1026" s="18" t="n">
        <v>1022</v>
      </c>
      <c r="B1026" s="18" t="n">
        <v>3</v>
      </c>
      <c r="C1026" s="19" t="inlineStr">
        <is>
          <t>LP-W-09 / Pressing</t>
        </is>
      </c>
      <c r="D1026" s="19" t="inlineStr">
        <is>
          <t>LP-W-09</t>
        </is>
      </c>
      <c r="E1026" s="20" t="inlineStr">
        <is>
          <t>Pressing</t>
        </is>
      </c>
      <c r="F1026" s="21" t="inlineStr">
        <is>
          <t>Laporan Periode Stasiun (LP-)</t>
        </is>
      </c>
      <c r="G1026" s="20" t="inlineStr">
        <is>
          <t>Admin berganti mill mereset pilihan periode dan line</t>
        </is>
      </c>
      <c r="H1026" s="21" t="inlineStr">
        <is>
          <t>ADM</t>
        </is>
      </c>
      <c r="I1026" s="21" t="inlineStr">
        <is>
          <t>2 mill, keduanya punya data</t>
        </is>
      </c>
      <c r="J1026" s="21" t="inlineStr">
        <is>
          <t>1. Siapkan 2 mill yang keduanya punya periode dan data untuk stasiun ini.
2. Login di web, sidebar &gt; Laporan Stasiun (/reports), tekan tile Pressing (/reports/pressing), lalu pilih Periode dan Production Line sebagai ADM. Pilih Mill A, satu periode, dan satu line. Catat angkanya.
3. Ganti pemilih Mill ke Mill B.
4. Baca pemilih periode dan pemilih line, serta area angka.
5. Pilih periode dan line Mill B, lalu catat angkanya.</t>
        </is>
      </c>
      <c r="K1026" s="21"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26" s="16" t="inlineStr">
        <is>
          <t>Tinggi</t>
        </is>
      </c>
      <c r="M1026" s="21"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26" s="17" t="n"/>
      <c r="O1026" s="17" t="n"/>
      <c r="P1026" s="17" t="n"/>
      <c r="Q1026" s="17" t="n"/>
      <c r="R1026" s="17" t="n"/>
    </row>
    <row r="1027" ht="281.2" customHeight="1">
      <c r="A1027" s="22" t="n">
        <v>1023</v>
      </c>
      <c r="B1027" s="22" t="n">
        <v>3</v>
      </c>
      <c r="C1027" s="23" t="inlineStr">
        <is>
          <t>LP-W-09 / Clarification</t>
        </is>
      </c>
      <c r="D1027" s="23" t="inlineStr">
        <is>
          <t>LP-W-09</t>
        </is>
      </c>
      <c r="E1027" s="24" t="inlineStr">
        <is>
          <t>Clarification</t>
        </is>
      </c>
      <c r="F1027" s="5" t="inlineStr">
        <is>
          <t>Laporan Periode Stasiun (LP-)</t>
        </is>
      </c>
      <c r="G1027" s="24" t="inlineStr">
        <is>
          <t>Admin berganti mill mereset pilihan periode dan line</t>
        </is>
      </c>
      <c r="H1027" s="5" t="inlineStr">
        <is>
          <t>ADM</t>
        </is>
      </c>
      <c r="I1027" s="5" t="inlineStr">
        <is>
          <t>2 mill, keduanya punya data</t>
        </is>
      </c>
      <c r="J1027" s="5" t="inlineStr">
        <is>
          <t>1. Siapkan 2 mill yang keduanya punya periode dan data untuk stasiun ini.
2. Login di web, sidebar &gt; Laporan Stasiun (/reports), tekan tile Clarification (/reports/clarification), lalu pilih Periode dan Production Line sebagai ADM. Pilih Mill A, satu periode, dan satu line. Catat angkanya.
3. Ganti pemilih Mill ke Mill B.
4. Baca pemilih periode dan pemilih line, serta area angka.
5. Pilih periode dan line Mill B, lalu catat angkanya.</t>
        </is>
      </c>
      <c r="K1027" s="5"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27" s="16" t="inlineStr">
        <is>
          <t>Tinggi</t>
        </is>
      </c>
      <c r="M1027" s="5"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27" s="17" t="n"/>
      <c r="O1027" s="17" t="n"/>
      <c r="P1027" s="17" t="n"/>
      <c r="Q1027" s="17" t="n"/>
      <c r="R1027" s="17" t="n"/>
    </row>
    <row r="1028" ht="281.2" customHeight="1">
      <c r="A1028" s="11" t="n">
        <v>1024</v>
      </c>
      <c r="B1028" s="12" t="n">
        <v>1</v>
      </c>
      <c r="C1028" s="13" t="inlineStr">
        <is>
          <t>LP-W-09 / Kernel Plant</t>
        </is>
      </c>
      <c r="D1028" s="13" t="inlineStr">
        <is>
          <t>LP-W-09</t>
        </is>
      </c>
      <c r="E1028" s="15" t="inlineStr">
        <is>
          <t>Kernel Plant</t>
        </is>
      </c>
      <c r="F1028" s="14" t="inlineStr">
        <is>
          <t>Laporan Periode Stasiun (LP-)</t>
        </is>
      </c>
      <c r="G1028" s="15" t="inlineStr">
        <is>
          <t>Admin berganti mill mereset pilihan periode dan line</t>
        </is>
      </c>
      <c r="H1028" s="14" t="inlineStr">
        <is>
          <t>ADM</t>
        </is>
      </c>
      <c r="I1028" s="14" t="inlineStr">
        <is>
          <t>2 mill, keduanya punya data</t>
        </is>
      </c>
      <c r="J1028" s="14" t="inlineStr">
        <is>
          <t>1. Siapkan 2 mill yang keduanya punya periode dan data untuk stasiun ini.
2. Login di web, sidebar &gt; Laporan Stasiun (/reports), tekan tile Kernel Plant (/reports/kernel-plant), lalu pilih Periode dan Production Line sebagai ADM. Pilih Mill A, satu periode, dan satu line. Catat angkanya.
3. Ganti pemilih Mill ke Mill B.
4. Baca pemilih periode dan pemilih line, serta area angka.
5. Pilih periode dan line Mill B, lalu catat angkanya.</t>
        </is>
      </c>
      <c r="K1028" s="14"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28" s="16" t="inlineStr">
        <is>
          <t>Tinggi</t>
        </is>
      </c>
      <c r="M1028" s="14"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28" s="17" t="n"/>
      <c r="O1028" s="17" t="n"/>
      <c r="P1028" s="17" t="n"/>
      <c r="Q1028" s="17" t="n"/>
      <c r="R1028" s="17" t="n"/>
    </row>
    <row r="1029" ht="281.2" customHeight="1">
      <c r="A1029" s="22" t="n">
        <v>1025</v>
      </c>
      <c r="B1029" s="22" t="n">
        <v>3</v>
      </c>
      <c r="C1029" s="23" t="inlineStr">
        <is>
          <t>LP-W-09 / Boiler Room</t>
        </is>
      </c>
      <c r="D1029" s="23" t="inlineStr">
        <is>
          <t>LP-W-09</t>
        </is>
      </c>
      <c r="E1029" s="24" t="inlineStr">
        <is>
          <t>Boiler Room</t>
        </is>
      </c>
      <c r="F1029" s="5" t="inlineStr">
        <is>
          <t>Laporan Periode Stasiun (LP-)</t>
        </is>
      </c>
      <c r="G1029" s="24" t="inlineStr">
        <is>
          <t>Admin berganti mill mereset pilihan periode dan line</t>
        </is>
      </c>
      <c r="H1029" s="5" t="inlineStr">
        <is>
          <t>ADM</t>
        </is>
      </c>
      <c r="I1029" s="5" t="inlineStr">
        <is>
          <t>2 mill, keduanya punya data</t>
        </is>
      </c>
      <c r="J1029" s="5" t="inlineStr">
        <is>
          <t>1. Siapkan 2 mill yang keduanya punya periode dan data untuk stasiun ini.
2. Login di web, sidebar &gt; Laporan Stasiun (/reports), tekan tile Boiler Room (/reports/boiler-room), lalu pilih Periode dan Production Line sebagai ADM. Pilih Mill A, satu periode, dan satu line. Catat angkanya.
3. Ganti pemilih Mill ke Mill B.
4. Baca pemilih periode dan pemilih line, serta area angka.
5. Pilih periode dan line Mill B, lalu catat angkanya.</t>
        </is>
      </c>
      <c r="K1029" s="5"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29" s="16" t="inlineStr">
        <is>
          <t>Tinggi</t>
        </is>
      </c>
      <c r="M1029" s="5"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29" s="17" t="n"/>
      <c r="O1029" s="17" t="n"/>
      <c r="P1029" s="17" t="n"/>
      <c r="Q1029" s="17" t="n"/>
      <c r="R1029" s="17" t="n"/>
    </row>
    <row r="1030" ht="281.2" customHeight="1">
      <c r="A1030" s="18" t="n">
        <v>1026</v>
      </c>
      <c r="B1030" s="18" t="n">
        <v>3</v>
      </c>
      <c r="C1030" s="19" t="inlineStr">
        <is>
          <t>LP-W-09 / Depricarping</t>
        </is>
      </c>
      <c r="D1030" s="19" t="inlineStr">
        <is>
          <t>LP-W-09</t>
        </is>
      </c>
      <c r="E1030" s="20" t="inlineStr">
        <is>
          <t>Depricarping</t>
        </is>
      </c>
      <c r="F1030" s="21" t="inlineStr">
        <is>
          <t>Laporan Periode Stasiun (LP-)</t>
        </is>
      </c>
      <c r="G1030" s="20" t="inlineStr">
        <is>
          <t>Admin berganti mill mereset pilihan periode dan line</t>
        </is>
      </c>
      <c r="H1030" s="21" t="inlineStr">
        <is>
          <t>ADM</t>
        </is>
      </c>
      <c r="I1030" s="21" t="inlineStr">
        <is>
          <t>2 mill, keduanya punya data</t>
        </is>
      </c>
      <c r="J1030" s="21" t="inlineStr">
        <is>
          <t>1. Siapkan 2 mill yang keduanya punya periode dan data untuk stasiun ini.
2. Login di web, sidebar &gt; Laporan Stasiun (/reports), tekan tile Depricarping (/reports/depricarping), lalu pilih Periode dan Production Line sebagai ADM. Pilih Mill A, satu periode, dan satu line. Catat angkanya.
3. Ganti pemilih Mill ke Mill B.
4. Baca pemilih periode dan pemilih line, serta area angka.
5. Pilih periode dan line Mill B, lalu catat angkanya.</t>
        </is>
      </c>
      <c r="K1030" s="21"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30" s="16" t="inlineStr">
        <is>
          <t>Tinggi</t>
        </is>
      </c>
      <c r="M1030" s="21"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30" s="17" t="n"/>
      <c r="O1030" s="17" t="n"/>
      <c r="P1030" s="17" t="n"/>
      <c r="Q1030" s="17" t="n"/>
      <c r="R1030" s="17" t="n"/>
    </row>
    <row r="1031" ht="281.2" customHeight="1">
      <c r="A1031" s="22" t="n">
        <v>1027</v>
      </c>
      <c r="B1031" s="22" t="n">
        <v>3</v>
      </c>
      <c r="C1031" s="23" t="inlineStr">
        <is>
          <t>LP-W-09 / Storage Tank</t>
        </is>
      </c>
      <c r="D1031" s="23" t="inlineStr">
        <is>
          <t>LP-W-09</t>
        </is>
      </c>
      <c r="E1031" s="24" t="inlineStr">
        <is>
          <t>Storage Tank</t>
        </is>
      </c>
      <c r="F1031" s="5" t="inlineStr">
        <is>
          <t>Laporan Periode Stasiun (LP-)</t>
        </is>
      </c>
      <c r="G1031" s="24" t="inlineStr">
        <is>
          <t>Admin berganti mill mereset pilihan periode dan line</t>
        </is>
      </c>
      <c r="H1031" s="5" t="inlineStr">
        <is>
          <t>ADM</t>
        </is>
      </c>
      <c r="I1031" s="5" t="inlineStr">
        <is>
          <t>2 mill, keduanya punya data</t>
        </is>
      </c>
      <c r="J1031" s="5" t="inlineStr">
        <is>
          <t>1. Siapkan 2 mill yang keduanya punya periode dan data untuk stasiun ini.
2. Login di web, sidebar &gt; Laporan Stasiun (/reports), tekan tile Storage Tank (/reports/storage-tank), lalu pilih Periode dan Production Line sebagai ADM. Pilih Mill A, satu periode, dan satu line. Catat angkanya.
3. Ganti pemilih Mill ke Mill B.
4. Baca pemilih periode dan pemilih line, serta area angka.
5. Pilih periode dan line Mill B, lalu catat angkanya.</t>
        </is>
      </c>
      <c r="K1031" s="5"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31" s="16" t="inlineStr">
        <is>
          <t>Tinggi</t>
        </is>
      </c>
      <c r="M1031" s="5"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31" s="17" t="n"/>
      <c r="O1031" s="17" t="n"/>
      <c r="P1031" s="17" t="n"/>
      <c r="Q1031" s="17" t="n"/>
      <c r="R1031" s="17" t="n"/>
    </row>
    <row r="1032" ht="162.4" customHeight="1">
      <c r="A1032" s="18" t="n">
        <v>1028</v>
      </c>
      <c r="B1032" s="18" t="n">
        <v>3</v>
      </c>
      <c r="C1032" s="19" t="inlineStr">
        <is>
          <t>LP-W-10 / Weighbridge</t>
        </is>
      </c>
      <c r="D1032" s="19" t="inlineStr">
        <is>
          <t>LP-W-10</t>
        </is>
      </c>
      <c r="E1032" s="20" t="inlineStr">
        <is>
          <t>Weighbridge</t>
        </is>
      </c>
      <c r="F1032" s="21" t="inlineStr">
        <is>
          <t>Laporan Periode Stasiun (LP-)</t>
        </is>
      </c>
      <c r="G1032" s="20" t="inlineStr">
        <is>
          <t>Rekap harian dapat ditutup tanpa mengubah angka</t>
        </is>
      </c>
      <c r="H1032" s="21" t="inlineStr">
        <is>
          <t>SPV-A</t>
        </is>
      </c>
      <c r="I1032" s="21" t="inlineStr">
        <is>
          <t>—</t>
        </is>
      </c>
      <c r="J1032" s="21" t="inlineStr">
        <is>
          <t>1. Login di web, sidebar &gt; Laporan Stasiun (/reports), tekan tile Weighbridge (/reports/weighbridge),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32" s="21" t="inlineStr">
        <is>
          <t>- Rekap Harian terbuka secara bawaan.
- Menutupnya tidak mengubah satu angka pun di bagian lain.
- Membukanya kembali menampilkan isi yang sama.</t>
        </is>
      </c>
      <c r="L1032" s="18" t="inlineStr">
        <is>
          <t>Rendah</t>
        </is>
      </c>
      <c r="M1032" s="21" t="inlineStr"/>
      <c r="N1032" s="17" t="n"/>
      <c r="O1032" s="17" t="n"/>
      <c r="P1032" s="17" t="n"/>
      <c r="Q1032" s="17" t="n"/>
      <c r="R1032" s="17" t="n"/>
    </row>
    <row r="1033" ht="162.4" customHeight="1">
      <c r="A1033" s="22" t="n">
        <v>1029</v>
      </c>
      <c r="B1033" s="22" t="n">
        <v>3</v>
      </c>
      <c r="C1033" s="23" t="inlineStr">
        <is>
          <t>LP-W-10 / Grading</t>
        </is>
      </c>
      <c r="D1033" s="23" t="inlineStr">
        <is>
          <t>LP-W-10</t>
        </is>
      </c>
      <c r="E1033" s="24" t="inlineStr">
        <is>
          <t>Grading</t>
        </is>
      </c>
      <c r="F1033" s="5" t="inlineStr">
        <is>
          <t>Laporan Periode Stasiun (LP-)</t>
        </is>
      </c>
      <c r="G1033" s="24" t="inlineStr">
        <is>
          <t>Rekap harian dapat ditutup tanpa mengubah angka</t>
        </is>
      </c>
      <c r="H1033" s="5" t="inlineStr">
        <is>
          <t>SPV-A</t>
        </is>
      </c>
      <c r="I1033" s="5" t="inlineStr">
        <is>
          <t>—</t>
        </is>
      </c>
      <c r="J1033" s="5" t="inlineStr">
        <is>
          <t>1. Login di web, sidebar &gt; Laporan Stasiun (/reports), tekan tile Grading (/reports/grading),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33" s="5" t="inlineStr">
        <is>
          <t>- Rekap Harian terbuka secara bawaan.
- Menutupnya tidak mengubah satu angka pun di bagian lain.
- Membukanya kembali menampilkan isi yang sama.</t>
        </is>
      </c>
      <c r="L1033" s="22" t="inlineStr">
        <is>
          <t>Rendah</t>
        </is>
      </c>
      <c r="M1033" s="5" t="inlineStr"/>
      <c r="N1033" s="17" t="n"/>
      <c r="O1033" s="17" t="n"/>
      <c r="P1033" s="17" t="n"/>
      <c r="Q1033" s="17" t="n"/>
      <c r="R1033" s="17" t="n"/>
    </row>
    <row r="1034" ht="162.4" customHeight="1">
      <c r="A1034" s="18" t="n">
        <v>1030</v>
      </c>
      <c r="B1034" s="18" t="n">
        <v>3</v>
      </c>
      <c r="C1034" s="19" t="inlineStr">
        <is>
          <t>LP-W-10 / Cages Track</t>
        </is>
      </c>
      <c r="D1034" s="19" t="inlineStr">
        <is>
          <t>LP-W-10</t>
        </is>
      </c>
      <c r="E1034" s="20" t="inlineStr">
        <is>
          <t>Cages Track</t>
        </is>
      </c>
      <c r="F1034" s="21" t="inlineStr">
        <is>
          <t>Laporan Periode Stasiun (LP-)</t>
        </is>
      </c>
      <c r="G1034" s="20" t="inlineStr">
        <is>
          <t>Rekap harian dapat ditutup tanpa mengubah angka</t>
        </is>
      </c>
      <c r="H1034" s="21" t="inlineStr">
        <is>
          <t>SPV-A</t>
        </is>
      </c>
      <c r="I1034" s="21" t="inlineStr">
        <is>
          <t>—</t>
        </is>
      </c>
      <c r="J1034" s="21" t="inlineStr">
        <is>
          <t>1. Login di web, sidebar &gt; Laporan Stasiun (/reports), tekan tile Cages Track (/reports/cages-track),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34" s="21" t="inlineStr">
        <is>
          <t>- Rekap Harian terbuka secara bawaan.
- Menutupnya tidak mengubah satu angka pun di bagian lain.
- Membukanya kembali menampilkan isi yang sama.</t>
        </is>
      </c>
      <c r="L1034" s="18" t="inlineStr">
        <is>
          <t>Rendah</t>
        </is>
      </c>
      <c r="M1034" s="21" t="inlineStr"/>
      <c r="N1034" s="17" t="n"/>
      <c r="O1034" s="17" t="n"/>
      <c r="P1034" s="17" t="n"/>
      <c r="Q1034" s="17" t="n"/>
      <c r="R1034" s="17" t="n"/>
    </row>
    <row r="1035" ht="162.4" customHeight="1">
      <c r="A1035" s="22" t="n">
        <v>1031</v>
      </c>
      <c r="B1035" s="22" t="n">
        <v>3</v>
      </c>
      <c r="C1035" s="23" t="inlineStr">
        <is>
          <t>LP-W-10 / Sterilizer</t>
        </is>
      </c>
      <c r="D1035" s="23" t="inlineStr">
        <is>
          <t>LP-W-10</t>
        </is>
      </c>
      <c r="E1035" s="24" t="inlineStr">
        <is>
          <t>Sterilizer</t>
        </is>
      </c>
      <c r="F1035" s="5" t="inlineStr">
        <is>
          <t>Laporan Periode Stasiun (LP-)</t>
        </is>
      </c>
      <c r="G1035" s="24" t="inlineStr">
        <is>
          <t>Rekap harian dapat ditutup tanpa mengubah angka</t>
        </is>
      </c>
      <c r="H1035" s="5" t="inlineStr">
        <is>
          <t>SPV-A</t>
        </is>
      </c>
      <c r="I1035" s="5" t="inlineStr">
        <is>
          <t>—</t>
        </is>
      </c>
      <c r="J1035" s="5" t="inlineStr">
        <is>
          <t>1. Login di web, sidebar &gt; Laporan Stasiun (/reports), tekan tile Sterilizer (/reports/sterilizer),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35" s="5" t="inlineStr">
        <is>
          <t>- Rekap Harian terbuka secara bawaan.
- Menutupnya tidak mengubah satu angka pun di bagian lain.
- Membukanya kembali menampilkan isi yang sama.</t>
        </is>
      </c>
      <c r="L1035" s="22" t="inlineStr">
        <is>
          <t>Rendah</t>
        </is>
      </c>
      <c r="M1035" s="5" t="inlineStr"/>
      <c r="N1035" s="17" t="n"/>
      <c r="O1035" s="17" t="n"/>
      <c r="P1035" s="17" t="n"/>
      <c r="Q1035" s="17" t="n"/>
      <c r="R1035" s="17" t="n"/>
    </row>
    <row r="1036" ht="162.4" customHeight="1">
      <c r="A1036" s="18" t="n">
        <v>1032</v>
      </c>
      <c r="B1036" s="18" t="n">
        <v>3</v>
      </c>
      <c r="C1036" s="19" t="inlineStr">
        <is>
          <t>LP-W-10 / Threshing</t>
        </is>
      </c>
      <c r="D1036" s="19" t="inlineStr">
        <is>
          <t>LP-W-10</t>
        </is>
      </c>
      <c r="E1036" s="20" t="inlineStr">
        <is>
          <t>Threshing</t>
        </is>
      </c>
      <c r="F1036" s="21" t="inlineStr">
        <is>
          <t>Laporan Periode Stasiun (LP-)</t>
        </is>
      </c>
      <c r="G1036" s="20" t="inlineStr">
        <is>
          <t>Rekap harian dapat ditutup tanpa mengubah angka</t>
        </is>
      </c>
      <c r="H1036" s="21" t="inlineStr">
        <is>
          <t>SPV-A</t>
        </is>
      </c>
      <c r="I1036" s="21" t="inlineStr">
        <is>
          <t>—</t>
        </is>
      </c>
      <c r="J1036" s="21" t="inlineStr">
        <is>
          <t>1. Login di web, sidebar &gt; Laporan Stasiun (/reports), tekan tile Threshing (/reports/threshing),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36" s="21" t="inlineStr">
        <is>
          <t>- Rekap Harian terbuka secara bawaan.
- Menutupnya tidak mengubah satu angka pun di bagian lain.
- Membukanya kembali menampilkan isi yang sama.</t>
        </is>
      </c>
      <c r="L1036" s="18" t="inlineStr">
        <is>
          <t>Rendah</t>
        </is>
      </c>
      <c r="M1036" s="21" t="inlineStr"/>
      <c r="N1036" s="17" t="n"/>
      <c r="O1036" s="17" t="n"/>
      <c r="P1036" s="17" t="n"/>
      <c r="Q1036" s="17" t="n"/>
      <c r="R1036" s="17" t="n"/>
    </row>
    <row r="1037" ht="162.4" customHeight="1">
      <c r="A1037" s="22" t="n">
        <v>1033</v>
      </c>
      <c r="B1037" s="22" t="n">
        <v>3</v>
      </c>
      <c r="C1037" s="23" t="inlineStr">
        <is>
          <t>LP-W-10 / Pressing</t>
        </is>
      </c>
      <c r="D1037" s="23" t="inlineStr">
        <is>
          <t>LP-W-10</t>
        </is>
      </c>
      <c r="E1037" s="24" t="inlineStr">
        <is>
          <t>Pressing</t>
        </is>
      </c>
      <c r="F1037" s="5" t="inlineStr">
        <is>
          <t>Laporan Periode Stasiun (LP-)</t>
        </is>
      </c>
      <c r="G1037" s="24" t="inlineStr">
        <is>
          <t>Rekap harian dapat ditutup tanpa mengubah angka</t>
        </is>
      </c>
      <c r="H1037" s="5" t="inlineStr">
        <is>
          <t>SPV-A</t>
        </is>
      </c>
      <c r="I1037" s="5" t="inlineStr">
        <is>
          <t>—</t>
        </is>
      </c>
      <c r="J1037" s="5" t="inlineStr">
        <is>
          <t>1. Login di web, sidebar &gt; Laporan Stasiun (/reports), tekan tile Pressing (/reports/pressing),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37" s="5" t="inlineStr">
        <is>
          <t>- Rekap Harian terbuka secara bawaan.
- Menutupnya tidak mengubah satu angka pun di bagian lain.
- Membukanya kembali menampilkan isi yang sama.</t>
        </is>
      </c>
      <c r="L1037" s="22" t="inlineStr">
        <is>
          <t>Rendah</t>
        </is>
      </c>
      <c r="M1037" s="5" t="inlineStr"/>
      <c r="N1037" s="17" t="n"/>
      <c r="O1037" s="17" t="n"/>
      <c r="P1037" s="17" t="n"/>
      <c r="Q1037" s="17" t="n"/>
      <c r="R1037" s="17" t="n"/>
    </row>
    <row r="1038" ht="162.4" customHeight="1">
      <c r="A1038" s="18" t="n">
        <v>1034</v>
      </c>
      <c r="B1038" s="18" t="n">
        <v>3</v>
      </c>
      <c r="C1038" s="19" t="inlineStr">
        <is>
          <t>LP-W-10 / Clarification</t>
        </is>
      </c>
      <c r="D1038" s="19" t="inlineStr">
        <is>
          <t>LP-W-10</t>
        </is>
      </c>
      <c r="E1038" s="20" t="inlineStr">
        <is>
          <t>Clarification</t>
        </is>
      </c>
      <c r="F1038" s="21" t="inlineStr">
        <is>
          <t>Laporan Periode Stasiun (LP-)</t>
        </is>
      </c>
      <c r="G1038" s="20" t="inlineStr">
        <is>
          <t>Rekap harian dapat ditutup tanpa mengubah angka</t>
        </is>
      </c>
      <c r="H1038" s="21" t="inlineStr">
        <is>
          <t>SPV-A</t>
        </is>
      </c>
      <c r="I1038" s="21" t="inlineStr">
        <is>
          <t>—</t>
        </is>
      </c>
      <c r="J1038" s="21" t="inlineStr">
        <is>
          <t>1. Login di web, sidebar &gt; Laporan Stasiun (/reports), tekan tile Clarification (/reports/clarification),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38" s="21" t="inlineStr">
        <is>
          <t>- Rekap Harian terbuka secara bawaan.
- Menutupnya tidak mengubah satu angka pun di bagian lain.
- Membukanya kembali menampilkan isi yang sama.</t>
        </is>
      </c>
      <c r="L1038" s="18" t="inlineStr">
        <is>
          <t>Rendah</t>
        </is>
      </c>
      <c r="M1038" s="21" t="inlineStr"/>
      <c r="N1038" s="17" t="n"/>
      <c r="O1038" s="17" t="n"/>
      <c r="P1038" s="17" t="n"/>
      <c r="Q1038" s="17" t="n"/>
      <c r="R1038" s="17" t="n"/>
    </row>
    <row r="1039" ht="162.4" customHeight="1">
      <c r="A1039" s="11" t="n">
        <v>1035</v>
      </c>
      <c r="B1039" s="12" t="n">
        <v>1</v>
      </c>
      <c r="C1039" s="13" t="inlineStr">
        <is>
          <t>LP-W-10 / Kernel Plant</t>
        </is>
      </c>
      <c r="D1039" s="13" t="inlineStr">
        <is>
          <t>LP-W-10</t>
        </is>
      </c>
      <c r="E1039" s="15" t="inlineStr">
        <is>
          <t>Kernel Plant</t>
        </is>
      </c>
      <c r="F1039" s="14" t="inlineStr">
        <is>
          <t>Laporan Periode Stasiun (LP-)</t>
        </is>
      </c>
      <c r="G1039" s="15" t="inlineStr">
        <is>
          <t>Rekap harian dapat ditutup tanpa mengubah angka</t>
        </is>
      </c>
      <c r="H1039" s="14" t="inlineStr">
        <is>
          <t>SPV-A</t>
        </is>
      </c>
      <c r="I1039" s="14" t="inlineStr">
        <is>
          <t>—</t>
        </is>
      </c>
      <c r="J1039" s="14" t="inlineStr">
        <is>
          <t>1. Login di web, sidebar &gt; Laporan Stasiun (/reports), tekan tile Kernel Plant (/reports/kernel-plant),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39" s="14" t="inlineStr">
        <is>
          <t>- Rekap Harian terbuka secara bawaan.
- Menutupnya tidak mengubah satu angka pun di bagian lain.
- Membukanya kembali menampilkan isi yang sama.</t>
        </is>
      </c>
      <c r="L1039" s="11" t="inlineStr">
        <is>
          <t>Rendah</t>
        </is>
      </c>
      <c r="M1039" s="14" t="inlineStr"/>
      <c r="N1039" s="17" t="n"/>
      <c r="O1039" s="17" t="n"/>
      <c r="P1039" s="17" t="n"/>
      <c r="Q1039" s="17" t="n"/>
      <c r="R1039" s="17" t="n"/>
    </row>
    <row r="1040" ht="162.4" customHeight="1">
      <c r="A1040" s="18" t="n">
        <v>1036</v>
      </c>
      <c r="B1040" s="18" t="n">
        <v>3</v>
      </c>
      <c r="C1040" s="19" t="inlineStr">
        <is>
          <t>LP-W-10 / Boiler Room</t>
        </is>
      </c>
      <c r="D1040" s="19" t="inlineStr">
        <is>
          <t>LP-W-10</t>
        </is>
      </c>
      <c r="E1040" s="20" t="inlineStr">
        <is>
          <t>Boiler Room</t>
        </is>
      </c>
      <c r="F1040" s="21" t="inlineStr">
        <is>
          <t>Laporan Periode Stasiun (LP-)</t>
        </is>
      </c>
      <c r="G1040" s="20" t="inlineStr">
        <is>
          <t>Rekap harian dapat ditutup tanpa mengubah angka</t>
        </is>
      </c>
      <c r="H1040" s="21" t="inlineStr">
        <is>
          <t>SPV-A</t>
        </is>
      </c>
      <c r="I1040" s="21" t="inlineStr">
        <is>
          <t>—</t>
        </is>
      </c>
      <c r="J1040" s="21" t="inlineStr">
        <is>
          <t>1. Login di web, sidebar &gt; Laporan Stasiun (/reports), tekan tile Boiler Room (/reports/boiler-room),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40" s="21" t="inlineStr">
        <is>
          <t>- Rekap Harian terbuka secara bawaan.
- Menutupnya tidak mengubah satu angka pun di bagian lain.
- Membukanya kembali menampilkan isi yang sama.</t>
        </is>
      </c>
      <c r="L1040" s="18" t="inlineStr">
        <is>
          <t>Rendah</t>
        </is>
      </c>
      <c r="M1040" s="21" t="inlineStr"/>
      <c r="N1040" s="17" t="n"/>
      <c r="O1040" s="17" t="n"/>
      <c r="P1040" s="17" t="n"/>
      <c r="Q1040" s="17" t="n"/>
      <c r="R1040" s="17" t="n"/>
    </row>
    <row r="1041" ht="162.4" customHeight="1">
      <c r="A1041" s="22" t="n">
        <v>1037</v>
      </c>
      <c r="B1041" s="22" t="n">
        <v>3</v>
      </c>
      <c r="C1041" s="23" t="inlineStr">
        <is>
          <t>LP-W-10 / Depricarping</t>
        </is>
      </c>
      <c r="D1041" s="23" t="inlineStr">
        <is>
          <t>LP-W-10</t>
        </is>
      </c>
      <c r="E1041" s="24" t="inlineStr">
        <is>
          <t>Depricarping</t>
        </is>
      </c>
      <c r="F1041" s="5" t="inlineStr">
        <is>
          <t>Laporan Periode Stasiun (LP-)</t>
        </is>
      </c>
      <c r="G1041" s="24" t="inlineStr">
        <is>
          <t>Rekap harian dapat ditutup tanpa mengubah angka</t>
        </is>
      </c>
      <c r="H1041" s="5" t="inlineStr">
        <is>
          <t>SPV-A</t>
        </is>
      </c>
      <c r="I1041" s="5" t="inlineStr">
        <is>
          <t>—</t>
        </is>
      </c>
      <c r="J1041" s="5" t="inlineStr">
        <is>
          <t>1. Login di web, sidebar &gt; Laporan Stasiun (/reports), tekan tile Depricarping (/reports/depricarping),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41" s="5" t="inlineStr">
        <is>
          <t>- Rekap Harian terbuka secara bawaan.
- Menutupnya tidak mengubah satu angka pun di bagian lain.
- Membukanya kembali menampilkan isi yang sama.</t>
        </is>
      </c>
      <c r="L1041" s="22" t="inlineStr">
        <is>
          <t>Rendah</t>
        </is>
      </c>
      <c r="M1041" s="5" t="inlineStr"/>
      <c r="N1041" s="17" t="n"/>
      <c r="O1041" s="17" t="n"/>
      <c r="P1041" s="17" t="n"/>
      <c r="Q1041" s="17" t="n"/>
      <c r="R1041" s="17" t="n"/>
    </row>
    <row r="1042" ht="162.4" customHeight="1">
      <c r="A1042" s="18" t="n">
        <v>1038</v>
      </c>
      <c r="B1042" s="18" t="n">
        <v>3</v>
      </c>
      <c r="C1042" s="19" t="inlineStr">
        <is>
          <t>LP-W-10 / Storage Tank</t>
        </is>
      </c>
      <c r="D1042" s="19" t="inlineStr">
        <is>
          <t>LP-W-10</t>
        </is>
      </c>
      <c r="E1042" s="20" t="inlineStr">
        <is>
          <t>Storage Tank</t>
        </is>
      </c>
      <c r="F1042" s="21" t="inlineStr">
        <is>
          <t>Laporan Periode Stasiun (LP-)</t>
        </is>
      </c>
      <c r="G1042" s="20" t="inlineStr">
        <is>
          <t>Rekap harian dapat ditutup tanpa mengubah angka</t>
        </is>
      </c>
      <c r="H1042" s="21" t="inlineStr">
        <is>
          <t>SPV-A</t>
        </is>
      </c>
      <c r="I1042" s="21" t="inlineStr">
        <is>
          <t>—</t>
        </is>
      </c>
      <c r="J1042" s="21" t="inlineStr">
        <is>
          <t>1. Login di web, sidebar &gt; Laporan Stasiun (/reports), tekan tile Storage Tank (/reports/storage-tank),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42" s="21" t="inlineStr">
        <is>
          <t>- Rekap Harian terbuka secara bawaan.
- Menutupnya tidak mengubah satu angka pun di bagian lain.
- Membukanya kembali menampilkan isi yang sama.</t>
        </is>
      </c>
      <c r="L1042" s="18" t="inlineStr">
        <is>
          <t>Rendah</t>
        </is>
      </c>
      <c r="M1042" s="21" t="inlineStr"/>
      <c r="N1042" s="17" t="n"/>
      <c r="O1042" s="17" t="n"/>
      <c r="P1042" s="17" t="n"/>
      <c r="Q1042" s="17" t="n"/>
      <c r="R1042" s="17" t="n"/>
    </row>
    <row r="1043" ht="188.8" customHeight="1">
      <c r="A1043" s="22" t="n">
        <v>1039</v>
      </c>
      <c r="B1043" s="22" t="n">
        <v>3</v>
      </c>
      <c r="C1043" s="23" t="inlineStr">
        <is>
          <t>LP-W-11 / Weighbridge</t>
        </is>
      </c>
      <c r="D1043" s="23" t="inlineStr">
        <is>
          <t>LP-W-11</t>
        </is>
      </c>
      <c r="E1043" s="24" t="inlineStr">
        <is>
          <t>Weighbridge</t>
        </is>
      </c>
      <c r="F1043" s="5" t="inlineStr">
        <is>
          <t>Laporan Periode Stasiun (LP-)</t>
        </is>
      </c>
      <c r="G1043" s="24" t="inlineStr">
        <is>
          <t>Baris total periode bukan rata-rata dari rata-rata harian</t>
        </is>
      </c>
      <c r="H1043" s="5" t="inlineStr">
        <is>
          <t>SPV-A</t>
        </is>
      </c>
      <c r="I1043" s="5" t="inlineStr">
        <is>
          <t>periode yang jumlah slot per harinya tidak sama (mis. hari-1 isi 2 slot, hari-2 isi 20 slot) dengan nilai yang berbeda jauh</t>
        </is>
      </c>
      <c r="J1043" s="5" t="inlineStr">
        <is>
          <t>1. Siapkan periode dengan jumlah slot per hari yang sangat tidak sama — mis. hari-1 hanya 2 slot terisi dengan nilai tinggi, hari-2 20 slot terisi dengan nilai rendah.
2. Login di web, sidebar &gt; Laporan Stasiun (/reports), tekan tile Weighbridge (/reports/weighbridge), lalu pilih Periode dan Production Line dengan periode itu.
3. Catat rata-rata hari-1 dan rata-rata hari-2 pada Rekap Harian.
4. Hitung sendiri rata-rata dari kedua angka itu (jumlahkan lalu bagi 2).
5. Catat angka pada baris total periode.
6. Bandingkan langkah 4 dengan langkah 5.</t>
        </is>
      </c>
      <c r="K1043" s="5" t="inlineStr">
        <is>
          <t>- Angka total periode berbeda dari hasil hitungan langkah 4.
- Total periode dihitung ulang dari seluruh slot, bukan dirata-ratakan dari rata-rata harian.
- Kalau keduanya sama, itu temuan: hari dengan 2 slot akan berbobot sama dengan hari 20 slot.</t>
        </is>
      </c>
      <c r="L1043" s="22" t="inlineStr">
        <is>
          <t>Sedang</t>
        </is>
      </c>
      <c r="M1043" s="5" t="inlineStr"/>
      <c r="N1043" s="17" t="n"/>
      <c r="O1043" s="17" t="n"/>
      <c r="P1043" s="17" t="n"/>
      <c r="Q1043" s="17" t="n"/>
      <c r="R1043" s="17" t="n"/>
    </row>
    <row r="1044" ht="188.8" customHeight="1">
      <c r="A1044" s="18" t="n">
        <v>1040</v>
      </c>
      <c r="B1044" s="18" t="n">
        <v>3</v>
      </c>
      <c r="C1044" s="19" t="inlineStr">
        <is>
          <t>LP-W-11 / Grading</t>
        </is>
      </c>
      <c r="D1044" s="19" t="inlineStr">
        <is>
          <t>LP-W-11</t>
        </is>
      </c>
      <c r="E1044" s="20" t="inlineStr">
        <is>
          <t>Grading</t>
        </is>
      </c>
      <c r="F1044" s="21" t="inlineStr">
        <is>
          <t>Laporan Periode Stasiun (LP-)</t>
        </is>
      </c>
      <c r="G1044" s="20" t="inlineStr">
        <is>
          <t>Baris total periode bukan rata-rata dari rata-rata harian</t>
        </is>
      </c>
      <c r="H1044" s="21" t="inlineStr">
        <is>
          <t>SPV-A</t>
        </is>
      </c>
      <c r="I1044" s="21" t="inlineStr">
        <is>
          <t>periode yang jumlah slot per harinya tidak sama (mis. hari-1 isi 2 slot, hari-2 isi 20 slot) dengan nilai yang berbeda jauh</t>
        </is>
      </c>
      <c r="J1044" s="21" t="inlineStr">
        <is>
          <t>1. Siapkan periode dengan jumlah slot per hari yang sangat tidak sama — mis. hari-1 hanya 2 slot terisi dengan nilai tinggi, hari-2 20 slot terisi dengan nilai rendah.
2. Login di web, sidebar &gt; Laporan Stasiun (/reports), tekan tile Grading (/reports/grading), lalu pilih Periode dan Production Line dengan periode itu.
3. Catat rata-rata hari-1 dan rata-rata hari-2 pada Rekap Harian.
4. Hitung sendiri rata-rata dari kedua angka itu (jumlahkan lalu bagi 2).
5. Catat angka pada baris total periode.
6. Bandingkan langkah 4 dengan langkah 5.</t>
        </is>
      </c>
      <c r="K1044" s="21" t="inlineStr">
        <is>
          <t>- Angka total periode berbeda dari hasil hitungan langkah 4.
- Total periode dihitung ulang dari seluruh slot, bukan dirata-ratakan dari rata-rata harian.
- Kalau keduanya sama, itu temuan: hari dengan 2 slot akan berbobot sama dengan hari 20 slot.</t>
        </is>
      </c>
      <c r="L1044" s="18" t="inlineStr">
        <is>
          <t>Sedang</t>
        </is>
      </c>
      <c r="M1044" s="21" t="inlineStr"/>
      <c r="N1044" s="17" t="n"/>
      <c r="O1044" s="17" t="n"/>
      <c r="P1044" s="17" t="n"/>
      <c r="Q1044" s="17" t="n"/>
      <c r="R1044" s="17" t="n"/>
    </row>
    <row r="1045" ht="188.8" customHeight="1">
      <c r="A1045" s="22" t="n">
        <v>1041</v>
      </c>
      <c r="B1045" s="22" t="n">
        <v>3</v>
      </c>
      <c r="C1045" s="23" t="inlineStr">
        <is>
          <t>LP-W-11 / Cages Track</t>
        </is>
      </c>
      <c r="D1045" s="23" t="inlineStr">
        <is>
          <t>LP-W-11</t>
        </is>
      </c>
      <c r="E1045" s="24" t="inlineStr">
        <is>
          <t>Cages Track</t>
        </is>
      </c>
      <c r="F1045" s="5" t="inlineStr">
        <is>
          <t>Laporan Periode Stasiun (LP-)</t>
        </is>
      </c>
      <c r="G1045" s="24" t="inlineStr">
        <is>
          <t>Baris total periode bukan rata-rata dari rata-rata harian</t>
        </is>
      </c>
      <c r="H1045" s="5" t="inlineStr">
        <is>
          <t>SPV-A</t>
        </is>
      </c>
      <c r="I1045" s="5" t="inlineStr">
        <is>
          <t>periode yang jumlah slot per harinya tidak sama (mis. hari-1 isi 2 slot, hari-2 isi 20 slot) dengan nilai yang berbeda jauh</t>
        </is>
      </c>
      <c r="J1045" s="5" t="inlineStr">
        <is>
          <t>1. Siapkan periode dengan jumlah slot per hari yang sangat tidak sama — mis. hari-1 hanya 2 slot terisi dengan nilai tinggi, hari-2 20 slot terisi dengan nilai rendah.
2. Login di web, sidebar &gt; Laporan Stasiun (/reports), tekan tile Cages Track (/reports/cages-track), lalu pilih Periode dan Production Line dengan periode itu.
3. Catat rata-rata hari-1 dan rata-rata hari-2 pada Rekap Harian.
4. Hitung sendiri rata-rata dari kedua angka itu (jumlahkan lalu bagi 2).
5. Catat angka pada baris total periode.
6. Bandingkan langkah 4 dengan langkah 5.</t>
        </is>
      </c>
      <c r="K1045" s="5" t="inlineStr">
        <is>
          <t>- Angka total periode berbeda dari hasil hitungan langkah 4.
- Total periode dihitung ulang dari seluruh slot, bukan dirata-ratakan dari rata-rata harian.
- Kalau keduanya sama, itu temuan: hari dengan 2 slot akan berbobot sama dengan hari 20 slot.</t>
        </is>
      </c>
      <c r="L1045" s="22" t="inlineStr">
        <is>
          <t>Sedang</t>
        </is>
      </c>
      <c r="M1045" s="5" t="inlineStr"/>
      <c r="N1045" s="17" t="n"/>
      <c r="O1045" s="17" t="n"/>
      <c r="P1045" s="17" t="n"/>
      <c r="Q1045" s="17" t="n"/>
      <c r="R1045" s="17" t="n"/>
    </row>
    <row r="1046" ht="188.8" customHeight="1">
      <c r="A1046" s="18" t="n">
        <v>1042</v>
      </c>
      <c r="B1046" s="18" t="n">
        <v>3</v>
      </c>
      <c r="C1046" s="19" t="inlineStr">
        <is>
          <t>LP-W-11 / Sterilizer</t>
        </is>
      </c>
      <c r="D1046" s="19" t="inlineStr">
        <is>
          <t>LP-W-11</t>
        </is>
      </c>
      <c r="E1046" s="20" t="inlineStr">
        <is>
          <t>Sterilizer</t>
        </is>
      </c>
      <c r="F1046" s="21" t="inlineStr">
        <is>
          <t>Laporan Periode Stasiun (LP-)</t>
        </is>
      </c>
      <c r="G1046" s="20" t="inlineStr">
        <is>
          <t>Baris total periode bukan rata-rata dari rata-rata harian</t>
        </is>
      </c>
      <c r="H1046" s="21" t="inlineStr">
        <is>
          <t>SPV-A</t>
        </is>
      </c>
      <c r="I1046" s="21" t="inlineStr">
        <is>
          <t>periode yang jumlah slot per harinya tidak sama (mis. hari-1 isi 2 slot, hari-2 isi 20 slot) dengan nilai yang berbeda jauh</t>
        </is>
      </c>
      <c r="J1046" s="21" t="inlineStr">
        <is>
          <t>1. Siapkan periode dengan jumlah slot per hari yang sangat tidak sama — mis. hari-1 hanya 2 slot terisi dengan nilai tinggi, hari-2 20 slot terisi dengan nilai rendah.
2. Login di web, sidebar &gt; Laporan Stasiun (/reports), tekan tile Sterilizer (/reports/sterilizer), lalu pilih Periode dan Production Line dengan periode itu.
3. Catat rata-rata hari-1 dan rata-rata hari-2 pada Rekap Harian.
4. Hitung sendiri rata-rata dari kedua angka itu (jumlahkan lalu bagi 2).
5. Catat angka pada baris total periode.
6. Bandingkan langkah 4 dengan langkah 5.</t>
        </is>
      </c>
      <c r="K1046" s="21" t="inlineStr">
        <is>
          <t>- Angka total periode berbeda dari hasil hitungan langkah 4.
- Total periode dihitung ulang dari seluruh slot, bukan dirata-ratakan dari rata-rata harian.
- Kalau keduanya sama, itu temuan: hari dengan 2 slot akan berbobot sama dengan hari 20 slot.</t>
        </is>
      </c>
      <c r="L1046" s="18" t="inlineStr">
        <is>
          <t>Sedang</t>
        </is>
      </c>
      <c r="M1046" s="21" t="inlineStr"/>
      <c r="N1046" s="17" t="n"/>
      <c r="O1046" s="17" t="n"/>
      <c r="P1046" s="17" t="n"/>
      <c r="Q1046" s="17" t="n"/>
      <c r="R1046" s="17" t="n"/>
    </row>
    <row r="1047" ht="188.8" customHeight="1">
      <c r="A1047" s="22" t="n">
        <v>1043</v>
      </c>
      <c r="B1047" s="22" t="n">
        <v>3</v>
      </c>
      <c r="C1047" s="23" t="inlineStr">
        <is>
          <t>LP-W-11 / Threshing</t>
        </is>
      </c>
      <c r="D1047" s="23" t="inlineStr">
        <is>
          <t>LP-W-11</t>
        </is>
      </c>
      <c r="E1047" s="24" t="inlineStr">
        <is>
          <t>Threshing</t>
        </is>
      </c>
      <c r="F1047" s="5" t="inlineStr">
        <is>
          <t>Laporan Periode Stasiun (LP-)</t>
        </is>
      </c>
      <c r="G1047" s="24" t="inlineStr">
        <is>
          <t>Baris total periode bukan rata-rata dari rata-rata harian</t>
        </is>
      </c>
      <c r="H1047" s="5" t="inlineStr">
        <is>
          <t>SPV-A</t>
        </is>
      </c>
      <c r="I1047" s="5" t="inlineStr">
        <is>
          <t>periode yang jumlah slot per harinya tidak sama (mis. hari-1 isi 2 slot, hari-2 isi 20 slot) dengan nilai yang berbeda jauh</t>
        </is>
      </c>
      <c r="J1047" s="5" t="inlineStr">
        <is>
          <t>1. Siapkan periode dengan jumlah slot per hari yang sangat tidak sama — mis. hari-1 hanya 2 slot terisi dengan nilai tinggi, hari-2 20 slot terisi dengan nilai rendah.
2. Login di web, sidebar &gt; Laporan Stasiun (/reports), tekan tile Threshing (/reports/threshing), lalu pilih Periode dan Production Line dengan periode itu.
3. Catat rata-rata hari-1 dan rata-rata hari-2 pada Rekap Harian.
4. Hitung sendiri rata-rata dari kedua angka itu (jumlahkan lalu bagi 2).
5. Catat angka pada baris total periode.
6. Bandingkan langkah 4 dengan langkah 5.</t>
        </is>
      </c>
      <c r="K1047" s="5" t="inlineStr">
        <is>
          <t>- Angka total periode berbeda dari hasil hitungan langkah 4.
- Total periode dihitung ulang dari seluruh slot, bukan dirata-ratakan dari rata-rata harian.
- Kalau keduanya sama, itu temuan: hari dengan 2 slot akan berbobot sama dengan hari 20 slot.</t>
        </is>
      </c>
      <c r="L1047" s="22" t="inlineStr">
        <is>
          <t>Sedang</t>
        </is>
      </c>
      <c r="M1047" s="5" t="inlineStr"/>
      <c r="N1047" s="17" t="n"/>
      <c r="O1047" s="17" t="n"/>
      <c r="P1047" s="17" t="n"/>
      <c r="Q1047" s="17" t="n"/>
      <c r="R1047" s="17" t="n"/>
    </row>
    <row r="1048" ht="188.8" customHeight="1">
      <c r="A1048" s="18" t="n">
        <v>1044</v>
      </c>
      <c r="B1048" s="18" t="n">
        <v>3</v>
      </c>
      <c r="C1048" s="19" t="inlineStr">
        <is>
          <t>LP-W-11 / Pressing</t>
        </is>
      </c>
      <c r="D1048" s="19" t="inlineStr">
        <is>
          <t>LP-W-11</t>
        </is>
      </c>
      <c r="E1048" s="20" t="inlineStr">
        <is>
          <t>Pressing</t>
        </is>
      </c>
      <c r="F1048" s="21" t="inlineStr">
        <is>
          <t>Laporan Periode Stasiun (LP-)</t>
        </is>
      </c>
      <c r="G1048" s="20" t="inlineStr">
        <is>
          <t>Baris total periode bukan rata-rata dari rata-rata harian</t>
        </is>
      </c>
      <c r="H1048" s="21" t="inlineStr">
        <is>
          <t>SPV-A</t>
        </is>
      </c>
      <c r="I1048" s="21" t="inlineStr">
        <is>
          <t>periode yang jumlah slot per harinya tidak sama (mis. hari-1 isi 2 slot, hari-2 isi 20 slot) dengan nilai yang berbeda jauh</t>
        </is>
      </c>
      <c r="J1048" s="21" t="inlineStr">
        <is>
          <t>1. Siapkan periode dengan jumlah slot per hari yang sangat tidak sama — mis. hari-1 hanya 2 slot terisi dengan nilai tinggi, hari-2 20 slot terisi dengan nilai rendah.
2. Login di web, sidebar &gt; Laporan Stasiun (/reports), tekan tile Pressing (/reports/pressing), lalu pilih Periode dan Production Line dengan periode itu.
3. Catat rata-rata hari-1 dan rata-rata hari-2 pada Rekap Harian.
4. Hitung sendiri rata-rata dari kedua angka itu (jumlahkan lalu bagi 2).
5. Catat angka pada baris total periode.
6. Bandingkan langkah 4 dengan langkah 5.</t>
        </is>
      </c>
      <c r="K1048" s="21" t="inlineStr">
        <is>
          <t>- Angka total periode berbeda dari hasil hitungan langkah 4.
- Total periode dihitung ulang dari seluruh slot, bukan dirata-ratakan dari rata-rata harian.
- Kalau keduanya sama, itu temuan: hari dengan 2 slot akan berbobot sama dengan hari 20 slot.</t>
        </is>
      </c>
      <c r="L1048" s="18" t="inlineStr">
        <is>
          <t>Sedang</t>
        </is>
      </c>
      <c r="M1048" s="21" t="inlineStr"/>
      <c r="N1048" s="17" t="n"/>
      <c r="O1048" s="17" t="n"/>
      <c r="P1048" s="17" t="n"/>
      <c r="Q1048" s="17" t="n"/>
      <c r="R1048" s="17" t="n"/>
    </row>
    <row r="1049" ht="188.8" customHeight="1">
      <c r="A1049" s="22" t="n">
        <v>1045</v>
      </c>
      <c r="B1049" s="22" t="n">
        <v>3</v>
      </c>
      <c r="C1049" s="23" t="inlineStr">
        <is>
          <t>LP-W-11 / Clarification</t>
        </is>
      </c>
      <c r="D1049" s="23" t="inlineStr">
        <is>
          <t>LP-W-11</t>
        </is>
      </c>
      <c r="E1049" s="24" t="inlineStr">
        <is>
          <t>Clarification</t>
        </is>
      </c>
      <c r="F1049" s="5" t="inlineStr">
        <is>
          <t>Laporan Periode Stasiun (LP-)</t>
        </is>
      </c>
      <c r="G1049" s="24" t="inlineStr">
        <is>
          <t>Baris total periode bukan rata-rata dari rata-rata harian</t>
        </is>
      </c>
      <c r="H1049" s="5" t="inlineStr">
        <is>
          <t>SPV-A</t>
        </is>
      </c>
      <c r="I1049" s="5" t="inlineStr">
        <is>
          <t>periode yang jumlah slot per harinya tidak sama (mis. hari-1 isi 2 slot, hari-2 isi 20 slot) dengan nilai yang berbeda jauh</t>
        </is>
      </c>
      <c r="J1049" s="5" t="inlineStr">
        <is>
          <t>1. Siapkan periode dengan jumlah slot per hari yang sangat tidak sama — mis. hari-1 hanya 2 slot terisi dengan nilai tinggi, hari-2 20 slot terisi dengan nilai rendah.
2. Login di web, sidebar &gt; Laporan Stasiun (/reports), tekan tile Clarification (/reports/clarification), lalu pilih Periode dan Production Line dengan periode itu.
3. Catat rata-rata hari-1 dan rata-rata hari-2 pada Rekap Harian.
4. Hitung sendiri rata-rata dari kedua angka itu (jumlahkan lalu bagi 2).
5. Catat angka pada baris total periode.
6. Bandingkan langkah 4 dengan langkah 5.</t>
        </is>
      </c>
      <c r="K1049" s="5" t="inlineStr">
        <is>
          <t>- Angka total periode berbeda dari hasil hitungan langkah 4.
- Total periode dihitung ulang dari seluruh slot, bukan dirata-ratakan dari rata-rata harian.
- Kalau keduanya sama, itu temuan: hari dengan 2 slot akan berbobot sama dengan hari 20 slot.</t>
        </is>
      </c>
      <c r="L1049" s="22" t="inlineStr">
        <is>
          <t>Sedang</t>
        </is>
      </c>
      <c r="M1049" s="5" t="inlineStr"/>
      <c r="N1049" s="17" t="n"/>
      <c r="O1049" s="17" t="n"/>
      <c r="P1049" s="17" t="n"/>
      <c r="Q1049" s="17" t="n"/>
      <c r="R1049" s="17" t="n"/>
    </row>
    <row r="1050" ht="188.8" customHeight="1">
      <c r="A1050" s="11" t="n">
        <v>1046</v>
      </c>
      <c r="B1050" s="12" t="n">
        <v>1</v>
      </c>
      <c r="C1050" s="13" t="inlineStr">
        <is>
          <t>LP-W-11 / Kernel Plant</t>
        </is>
      </c>
      <c r="D1050" s="13" t="inlineStr">
        <is>
          <t>LP-W-11</t>
        </is>
      </c>
      <c r="E1050" s="15" t="inlineStr">
        <is>
          <t>Kernel Plant</t>
        </is>
      </c>
      <c r="F1050" s="14" t="inlineStr">
        <is>
          <t>Laporan Periode Stasiun (LP-)</t>
        </is>
      </c>
      <c r="G1050" s="15" t="inlineStr">
        <is>
          <t>Baris total periode bukan rata-rata dari rata-rata harian</t>
        </is>
      </c>
      <c r="H1050" s="14" t="inlineStr">
        <is>
          <t>SPV-A</t>
        </is>
      </c>
      <c r="I1050" s="14" t="inlineStr">
        <is>
          <t>periode yang jumlah slot per harinya tidak sama (mis. hari-1 isi 2 slot, hari-2 isi 20 slot) dengan nilai yang berbeda jauh</t>
        </is>
      </c>
      <c r="J1050" s="14" t="inlineStr">
        <is>
          <t>1. Siapkan periode dengan jumlah slot per hari yang sangat tidak sama — mis. hari-1 hanya 2 slot terisi dengan nilai tinggi, hari-2 20 slot terisi dengan nilai rendah.
2. Login di web, sidebar &gt; Laporan Stasiun (/reports), tekan tile Kernel Plant (/reports/kernel-plant), lalu pilih Periode dan Production Line dengan periode itu.
3. Catat rata-rata hari-1 dan rata-rata hari-2 pada Rekap Harian.
4. Hitung sendiri rata-rata dari kedua angka itu (jumlahkan lalu bagi 2).
5. Catat angka pada baris total periode.
6. Bandingkan langkah 4 dengan langkah 5.</t>
        </is>
      </c>
      <c r="K1050" s="14" t="inlineStr">
        <is>
          <t>- Angka total periode berbeda dari hasil hitungan langkah 4.
- Total periode dihitung ulang dari seluruh slot, bukan dirata-ratakan dari rata-rata harian.
- Kalau keduanya sama, itu temuan: hari dengan 2 slot akan berbobot sama dengan hari 20 slot.</t>
        </is>
      </c>
      <c r="L1050" s="11" t="inlineStr">
        <is>
          <t>Sedang</t>
        </is>
      </c>
      <c r="M1050" s="14" t="inlineStr"/>
      <c r="N1050" s="17" t="n"/>
      <c r="O1050" s="17" t="n"/>
      <c r="P1050" s="17" t="n"/>
      <c r="Q1050" s="17" t="n"/>
      <c r="R1050" s="17" t="n"/>
    </row>
    <row r="1051" ht="188.8" customHeight="1">
      <c r="A1051" s="22" t="n">
        <v>1047</v>
      </c>
      <c r="B1051" s="22" t="n">
        <v>3</v>
      </c>
      <c r="C1051" s="23" t="inlineStr">
        <is>
          <t>LP-W-11 / Boiler Room</t>
        </is>
      </c>
      <c r="D1051" s="23" t="inlineStr">
        <is>
          <t>LP-W-11</t>
        </is>
      </c>
      <c r="E1051" s="24" t="inlineStr">
        <is>
          <t>Boiler Room</t>
        </is>
      </c>
      <c r="F1051" s="5" t="inlineStr">
        <is>
          <t>Laporan Periode Stasiun (LP-)</t>
        </is>
      </c>
      <c r="G1051" s="24" t="inlineStr">
        <is>
          <t>Baris total periode bukan rata-rata dari rata-rata harian</t>
        </is>
      </c>
      <c r="H1051" s="5" t="inlineStr">
        <is>
          <t>SPV-A</t>
        </is>
      </c>
      <c r="I1051" s="5" t="inlineStr">
        <is>
          <t>periode yang jumlah slot per harinya tidak sama (mis. hari-1 isi 2 slot, hari-2 isi 20 slot) dengan nilai yang berbeda jauh</t>
        </is>
      </c>
      <c r="J1051" s="5" t="inlineStr">
        <is>
          <t>1. Siapkan periode dengan jumlah slot per hari yang sangat tidak sama — mis. hari-1 hanya 2 slot terisi dengan nilai tinggi, hari-2 20 slot terisi dengan nilai rendah.
2. Login di web, sidebar &gt; Laporan Stasiun (/reports), tekan tile Boiler Room (/reports/boiler-room), lalu pilih Periode dan Production Line dengan periode itu.
3. Catat rata-rata hari-1 dan rata-rata hari-2 pada Rekap Harian.
4. Hitung sendiri rata-rata dari kedua angka itu (jumlahkan lalu bagi 2).
5. Catat angka pada baris total periode.
6. Bandingkan langkah 4 dengan langkah 5.</t>
        </is>
      </c>
      <c r="K1051" s="5" t="inlineStr">
        <is>
          <t>- Angka total periode berbeda dari hasil hitungan langkah 4.
- Total periode dihitung ulang dari seluruh slot, bukan dirata-ratakan dari rata-rata harian.
- Kalau keduanya sama, itu temuan: hari dengan 2 slot akan berbobot sama dengan hari 20 slot.</t>
        </is>
      </c>
      <c r="L1051" s="22" t="inlineStr">
        <is>
          <t>Sedang</t>
        </is>
      </c>
      <c r="M1051" s="5" t="inlineStr"/>
      <c r="N1051" s="17" t="n"/>
      <c r="O1051" s="17" t="n"/>
      <c r="P1051" s="17" t="n"/>
      <c r="Q1051" s="17" t="n"/>
      <c r="R1051" s="17" t="n"/>
    </row>
    <row r="1052" ht="188.8" customHeight="1">
      <c r="A1052" s="18" t="n">
        <v>1048</v>
      </c>
      <c r="B1052" s="18" t="n">
        <v>3</v>
      </c>
      <c r="C1052" s="19" t="inlineStr">
        <is>
          <t>LP-W-11 / Depricarping</t>
        </is>
      </c>
      <c r="D1052" s="19" t="inlineStr">
        <is>
          <t>LP-W-11</t>
        </is>
      </c>
      <c r="E1052" s="20" t="inlineStr">
        <is>
          <t>Depricarping</t>
        </is>
      </c>
      <c r="F1052" s="21" t="inlineStr">
        <is>
          <t>Laporan Periode Stasiun (LP-)</t>
        </is>
      </c>
      <c r="G1052" s="20" t="inlineStr">
        <is>
          <t>Baris total periode bukan rata-rata dari rata-rata harian</t>
        </is>
      </c>
      <c r="H1052" s="21" t="inlineStr">
        <is>
          <t>SPV-A</t>
        </is>
      </c>
      <c r="I1052" s="21" t="inlineStr">
        <is>
          <t>periode yang jumlah slot per harinya tidak sama (mis. hari-1 isi 2 slot, hari-2 isi 20 slot) dengan nilai yang berbeda jauh</t>
        </is>
      </c>
      <c r="J1052" s="21" t="inlineStr">
        <is>
          <t>1. Siapkan periode dengan jumlah slot per hari yang sangat tidak sama — mis. hari-1 hanya 2 slot terisi dengan nilai tinggi, hari-2 20 slot terisi dengan nilai rendah.
2. Login di web, sidebar &gt; Laporan Stasiun (/reports), tekan tile Depricarping (/reports/depricarping), lalu pilih Periode dan Production Line dengan periode itu.
3. Catat rata-rata hari-1 dan rata-rata hari-2 pada Rekap Harian.
4. Hitung sendiri rata-rata dari kedua angka itu (jumlahkan lalu bagi 2).
5. Catat angka pada baris total periode.
6. Bandingkan langkah 4 dengan langkah 5.</t>
        </is>
      </c>
      <c r="K1052" s="21" t="inlineStr">
        <is>
          <t>- Angka total periode berbeda dari hasil hitungan langkah 4.
- Total periode dihitung ulang dari seluruh slot, bukan dirata-ratakan dari rata-rata harian.
- Kalau keduanya sama, itu temuan: hari dengan 2 slot akan berbobot sama dengan hari 20 slot.</t>
        </is>
      </c>
      <c r="L1052" s="18" t="inlineStr">
        <is>
          <t>Sedang</t>
        </is>
      </c>
      <c r="M1052" s="21" t="inlineStr"/>
      <c r="N1052" s="17" t="n"/>
      <c r="O1052" s="17" t="n"/>
      <c r="P1052" s="17" t="n"/>
      <c r="Q1052" s="17" t="n"/>
      <c r="R1052" s="17" t="n"/>
    </row>
    <row r="1053" ht="188.8" customHeight="1">
      <c r="A1053" s="22" t="n">
        <v>1049</v>
      </c>
      <c r="B1053" s="22" t="n">
        <v>3</v>
      </c>
      <c r="C1053" s="23" t="inlineStr">
        <is>
          <t>LP-W-11 / Storage Tank</t>
        </is>
      </c>
      <c r="D1053" s="23" t="inlineStr">
        <is>
          <t>LP-W-11</t>
        </is>
      </c>
      <c r="E1053" s="24" t="inlineStr">
        <is>
          <t>Storage Tank</t>
        </is>
      </c>
      <c r="F1053" s="5" t="inlineStr">
        <is>
          <t>Laporan Periode Stasiun (LP-)</t>
        </is>
      </c>
      <c r="G1053" s="24" t="inlineStr">
        <is>
          <t>Baris total periode bukan rata-rata dari rata-rata harian</t>
        </is>
      </c>
      <c r="H1053" s="5" t="inlineStr">
        <is>
          <t>SPV-A</t>
        </is>
      </c>
      <c r="I1053" s="5" t="inlineStr">
        <is>
          <t>periode yang jumlah slot per harinya tidak sama (mis. hari-1 isi 2 slot, hari-2 isi 20 slot) dengan nilai yang berbeda jauh</t>
        </is>
      </c>
      <c r="J1053" s="5" t="inlineStr">
        <is>
          <t>1. Siapkan periode dengan jumlah slot per hari yang sangat tidak sama — mis. hari-1 hanya 2 slot terisi dengan nilai tinggi, hari-2 20 slot terisi dengan nilai rendah.
2. Login di web, sidebar &gt; Laporan Stasiun (/reports), tekan tile Storage Tank (/reports/storage-tank), lalu pilih Periode dan Production Line dengan periode itu.
3. Catat rata-rata hari-1 dan rata-rata hari-2 pada Rekap Harian.
4. Hitung sendiri rata-rata dari kedua angka itu (jumlahkan lalu bagi 2).
5. Catat angka pada baris total periode.
6. Bandingkan langkah 4 dengan langkah 5.</t>
        </is>
      </c>
      <c r="K1053" s="5" t="inlineStr">
        <is>
          <t>- Angka total periode berbeda dari hasil hitungan langkah 4.
- Total periode dihitung ulang dari seluruh slot, bukan dirata-ratakan dari rata-rata harian.
- Kalau keduanya sama, itu temuan: hari dengan 2 slot akan berbobot sama dengan hari 20 slot.</t>
        </is>
      </c>
      <c r="L1053" s="22" t="inlineStr">
        <is>
          <t>Sedang</t>
        </is>
      </c>
      <c r="M1053" s="5" t="inlineStr"/>
      <c r="N1053" s="17" t="n"/>
      <c r="O1053" s="17" t="n"/>
      <c r="P1053" s="17" t="n"/>
      <c r="Q1053" s="17" t="n"/>
      <c r="R1053" s="17" t="n"/>
    </row>
    <row r="1054" ht="175.6" customHeight="1">
      <c r="A1054" s="18" t="n">
        <v>1050</v>
      </c>
      <c r="B1054" s="18" t="n">
        <v>3</v>
      </c>
      <c r="C1054" s="19" t="inlineStr">
        <is>
          <t>LP-W-12 / Weighbridge</t>
        </is>
      </c>
      <c r="D1054" s="19" t="inlineStr">
        <is>
          <t>LP-W-12</t>
        </is>
      </c>
      <c r="E1054" s="20" t="inlineStr">
        <is>
          <t>Weighbridge</t>
        </is>
      </c>
      <c r="F1054" s="21" t="inlineStr">
        <is>
          <t>Laporan Periode Stasiun (LP-)</t>
        </is>
      </c>
      <c r="G1054" s="20" t="inlineStr">
        <is>
          <t>Downtime: tanda pisah vs nol yang tercatat</t>
        </is>
      </c>
      <c r="H1054" s="21" t="inlineStr">
        <is>
          <t>SPV-A</t>
        </is>
      </c>
      <c r="I1054" s="21" t="inlineStr">
        <is>
          <t>stasiun yang punya kolom downtime angka (Depricarping, Kernel Plant). Dua keadaan: (a) tak satu slot pun mengisi downtime, (b) beberapa slot mengisi 0 menit</t>
        </is>
      </c>
      <c r="J1054" s="21" t="inlineStr">
        <is>
          <t>1. Pilih stasiun yang punya kolom downtime angka: Depricarping atau Kernel Plant.
2. Siapkan periode (a) di mana tidak satu slot pun mengisi downtime.
3. Login di web, sidebar &gt; Laporan Stasiun (/reports), tekan tile Weighbridge (/reports/weighbridge), lalu pilih Periode dan Production Line untuk stasiun itu dengan periode (a). Baca blok downtime dan rekap per unit.
4. Siapkan periode (b) di mana beberapa slot mengisi downtime dengan nilai 0.
5. Ganti ke periode (b) dan baca blok downtime lagi.</t>
        </is>
      </c>
      <c r="K1054" s="21" t="inlineStr">
        <is>
          <t>- Periode (a): downtime tampil sebagai tanda pisah "—" atau keterangan ketiadaan, bukan 0 menit.
- Periode (b): downtime tampil sebagai 0 menit — nol yang benar-benar terukur.
- Keduanya berbeda: tidak pernah dicatat bukan hal yang sama dengan dicatat nol.</t>
        </is>
      </c>
      <c r="L1054" s="16" t="inlineStr">
        <is>
          <t>Tinggi</t>
        </is>
      </c>
      <c r="M1054" s="21" t="inlineStr">
        <is>
          <t>"tercatat 0 menit" berarti seseorang menyatakan stasiun tidak berhenti. "Tidak dicatat" berarti tidak ada yang mengisinya. Keduanya tidak boleh terlihat sama.</t>
        </is>
      </c>
      <c r="N1054" s="17" t="n"/>
      <c r="O1054" s="17" t="n"/>
      <c r="P1054" s="17" t="n"/>
      <c r="Q1054" s="17" t="n"/>
      <c r="R1054" s="17" t="n"/>
    </row>
    <row r="1055" ht="175.6" customHeight="1">
      <c r="A1055" s="22" t="n">
        <v>1051</v>
      </c>
      <c r="B1055" s="22" t="n">
        <v>3</v>
      </c>
      <c r="C1055" s="23" t="inlineStr">
        <is>
          <t>LP-W-12 / Grading</t>
        </is>
      </c>
      <c r="D1055" s="23" t="inlineStr">
        <is>
          <t>LP-W-12</t>
        </is>
      </c>
      <c r="E1055" s="24" t="inlineStr">
        <is>
          <t>Grading</t>
        </is>
      </c>
      <c r="F1055" s="5" t="inlineStr">
        <is>
          <t>Laporan Periode Stasiun (LP-)</t>
        </is>
      </c>
      <c r="G1055" s="24" t="inlineStr">
        <is>
          <t>Downtime: tanda pisah vs nol yang tercatat</t>
        </is>
      </c>
      <c r="H1055" s="5" t="inlineStr">
        <is>
          <t>SPV-A</t>
        </is>
      </c>
      <c r="I1055" s="5" t="inlineStr">
        <is>
          <t>stasiun yang punya kolom downtime angka (Depricarping, Kernel Plant). Dua keadaan: (a) tak satu slot pun mengisi downtime, (b) beberapa slot mengisi 0 menit</t>
        </is>
      </c>
      <c r="J1055" s="5" t="inlineStr">
        <is>
          <t>1. Pilih stasiun yang punya kolom downtime angka: Depricarping atau Kernel Plant.
2. Siapkan periode (a) di mana tidak satu slot pun mengisi downtime.
3. Login di web, sidebar &gt; Laporan Stasiun (/reports), tekan tile Grading (/reports/grading), lalu pilih Periode dan Production Line untuk stasiun itu dengan periode (a). Baca blok downtime dan rekap per unit.
4. Siapkan periode (b) di mana beberapa slot mengisi downtime dengan nilai 0.
5. Ganti ke periode (b) dan baca blok downtime lagi.</t>
        </is>
      </c>
      <c r="K1055" s="5" t="inlineStr">
        <is>
          <t>- Periode (a): downtime tampil sebagai tanda pisah "—" atau keterangan ketiadaan, bukan 0 menit.
- Periode (b): downtime tampil sebagai 0 menit — nol yang benar-benar terukur.
- Keduanya berbeda: tidak pernah dicatat bukan hal yang sama dengan dicatat nol.</t>
        </is>
      </c>
      <c r="L1055" s="16" t="inlineStr">
        <is>
          <t>Tinggi</t>
        </is>
      </c>
      <c r="M1055" s="5" t="inlineStr">
        <is>
          <t>"tercatat 0 menit" berarti seseorang menyatakan stasiun tidak berhenti. "Tidak dicatat" berarti tidak ada yang mengisinya. Keduanya tidak boleh terlihat sama.</t>
        </is>
      </c>
      <c r="N1055" s="17" t="n"/>
      <c r="O1055" s="17" t="n"/>
      <c r="P1055" s="17" t="n"/>
      <c r="Q1055" s="17" t="n"/>
      <c r="R1055" s="17" t="n"/>
    </row>
    <row r="1056" ht="175.6" customHeight="1">
      <c r="A1056" s="18" t="n">
        <v>1052</v>
      </c>
      <c r="B1056" s="18" t="n">
        <v>3</v>
      </c>
      <c r="C1056" s="19" t="inlineStr">
        <is>
          <t>LP-W-12 / Cages Track</t>
        </is>
      </c>
      <c r="D1056" s="19" t="inlineStr">
        <is>
          <t>LP-W-12</t>
        </is>
      </c>
      <c r="E1056" s="20" t="inlineStr">
        <is>
          <t>Cages Track</t>
        </is>
      </c>
      <c r="F1056" s="21" t="inlineStr">
        <is>
          <t>Laporan Periode Stasiun (LP-)</t>
        </is>
      </c>
      <c r="G1056" s="20" t="inlineStr">
        <is>
          <t>Downtime: tanda pisah vs nol yang tercatat</t>
        </is>
      </c>
      <c r="H1056" s="21" t="inlineStr">
        <is>
          <t>SPV-A</t>
        </is>
      </c>
      <c r="I1056" s="21" t="inlineStr">
        <is>
          <t>stasiun yang punya kolom downtime angka (Depricarping, Kernel Plant). Dua keadaan: (a) tak satu slot pun mengisi downtime, (b) beberapa slot mengisi 0 menit</t>
        </is>
      </c>
      <c r="J1056" s="21" t="inlineStr">
        <is>
          <t>1. Pilih stasiun yang punya kolom downtime angka: Depricarping atau Kernel Plant.
2. Siapkan periode (a) di mana tidak satu slot pun mengisi downtime.
3. Login di web, sidebar &gt; Laporan Stasiun (/reports), tekan tile Cages Track (/reports/cages-track), lalu pilih Periode dan Production Line untuk stasiun itu dengan periode (a). Baca blok downtime dan rekap per unit.
4. Siapkan periode (b) di mana beberapa slot mengisi downtime dengan nilai 0.
5. Ganti ke periode (b) dan baca blok downtime lagi.</t>
        </is>
      </c>
      <c r="K1056" s="21" t="inlineStr">
        <is>
          <t>- Periode (a): downtime tampil sebagai tanda pisah "—" atau keterangan ketiadaan, bukan 0 menit.
- Periode (b): downtime tampil sebagai 0 menit — nol yang benar-benar terukur.
- Keduanya berbeda: tidak pernah dicatat bukan hal yang sama dengan dicatat nol.</t>
        </is>
      </c>
      <c r="L1056" s="16" t="inlineStr">
        <is>
          <t>Tinggi</t>
        </is>
      </c>
      <c r="M1056" s="21" t="inlineStr">
        <is>
          <t>"tercatat 0 menit" berarti seseorang menyatakan stasiun tidak berhenti. "Tidak dicatat" berarti tidak ada yang mengisinya. Keduanya tidak boleh terlihat sama.</t>
        </is>
      </c>
      <c r="N1056" s="17" t="n"/>
      <c r="O1056" s="17" t="n"/>
      <c r="P1056" s="17" t="n"/>
      <c r="Q1056" s="17" t="n"/>
      <c r="R1056" s="17" t="n"/>
    </row>
    <row r="1057" ht="175.6" customHeight="1">
      <c r="A1057" s="22" t="n">
        <v>1053</v>
      </c>
      <c r="B1057" s="22" t="n">
        <v>3</v>
      </c>
      <c r="C1057" s="23" t="inlineStr">
        <is>
          <t>LP-W-12 / Sterilizer</t>
        </is>
      </c>
      <c r="D1057" s="23" t="inlineStr">
        <is>
          <t>LP-W-12</t>
        </is>
      </c>
      <c r="E1057" s="24" t="inlineStr">
        <is>
          <t>Sterilizer</t>
        </is>
      </c>
      <c r="F1057" s="5" t="inlineStr">
        <is>
          <t>Laporan Periode Stasiun (LP-)</t>
        </is>
      </c>
      <c r="G1057" s="24" t="inlineStr">
        <is>
          <t>Downtime: tanda pisah vs nol yang tercatat</t>
        </is>
      </c>
      <c r="H1057" s="5" t="inlineStr">
        <is>
          <t>SPV-A</t>
        </is>
      </c>
      <c r="I1057" s="5" t="inlineStr">
        <is>
          <t>stasiun yang punya kolom downtime angka (Depricarping, Kernel Plant). Dua keadaan: (a) tak satu slot pun mengisi downtime, (b) beberapa slot mengisi 0 menit</t>
        </is>
      </c>
      <c r="J1057" s="5" t="inlineStr">
        <is>
          <t>1. Pilih stasiun yang punya kolom downtime angka: Depricarping atau Kernel Plant.
2. Siapkan periode (a) di mana tidak satu slot pun mengisi downtime.
3. Login di web, sidebar &gt; Laporan Stasiun (/reports), tekan tile Sterilizer (/reports/sterilizer), lalu pilih Periode dan Production Line untuk stasiun itu dengan periode (a). Baca blok downtime dan rekap per unit.
4. Siapkan periode (b) di mana beberapa slot mengisi downtime dengan nilai 0.
5. Ganti ke periode (b) dan baca blok downtime lagi.</t>
        </is>
      </c>
      <c r="K1057" s="5" t="inlineStr">
        <is>
          <t>- Periode (a): downtime tampil sebagai tanda pisah "—" atau keterangan ketiadaan, bukan 0 menit.
- Periode (b): downtime tampil sebagai 0 menit — nol yang benar-benar terukur.
- Keduanya berbeda: tidak pernah dicatat bukan hal yang sama dengan dicatat nol.</t>
        </is>
      </c>
      <c r="L1057" s="16" t="inlineStr">
        <is>
          <t>Tinggi</t>
        </is>
      </c>
      <c r="M1057" s="5" t="inlineStr">
        <is>
          <t>"tercatat 0 menit" berarti seseorang menyatakan stasiun tidak berhenti. "Tidak dicatat" berarti tidak ada yang mengisinya. Keduanya tidak boleh terlihat sama.</t>
        </is>
      </c>
      <c r="N1057" s="17" t="n"/>
      <c r="O1057" s="17" t="n"/>
      <c r="P1057" s="17" t="n"/>
      <c r="Q1057" s="17" t="n"/>
      <c r="R1057" s="17" t="n"/>
    </row>
    <row r="1058" ht="175.6" customHeight="1">
      <c r="A1058" s="18" t="n">
        <v>1054</v>
      </c>
      <c r="B1058" s="18" t="n">
        <v>3</v>
      </c>
      <c r="C1058" s="19" t="inlineStr">
        <is>
          <t>LP-W-12 / Threshing</t>
        </is>
      </c>
      <c r="D1058" s="19" t="inlineStr">
        <is>
          <t>LP-W-12</t>
        </is>
      </c>
      <c r="E1058" s="20" t="inlineStr">
        <is>
          <t>Threshing</t>
        </is>
      </c>
      <c r="F1058" s="21" t="inlineStr">
        <is>
          <t>Laporan Periode Stasiun (LP-)</t>
        </is>
      </c>
      <c r="G1058" s="20" t="inlineStr">
        <is>
          <t>Downtime: tanda pisah vs nol yang tercatat</t>
        </is>
      </c>
      <c r="H1058" s="21" t="inlineStr">
        <is>
          <t>SPV-A</t>
        </is>
      </c>
      <c r="I1058" s="21" t="inlineStr">
        <is>
          <t>stasiun yang punya kolom downtime angka (Depricarping, Kernel Plant). Dua keadaan: (a) tak satu slot pun mengisi downtime, (b) beberapa slot mengisi 0 menit</t>
        </is>
      </c>
      <c r="J1058" s="21" t="inlineStr">
        <is>
          <t>1. Pilih stasiun yang punya kolom downtime angka: Depricarping atau Kernel Plant.
2. Siapkan periode (a) di mana tidak satu slot pun mengisi downtime.
3. Login di web, sidebar &gt; Laporan Stasiun (/reports), tekan tile Threshing (/reports/threshing), lalu pilih Periode dan Production Line untuk stasiun itu dengan periode (a). Baca blok downtime dan rekap per unit.
4. Siapkan periode (b) di mana beberapa slot mengisi downtime dengan nilai 0.
5. Ganti ke periode (b) dan baca blok downtime lagi.</t>
        </is>
      </c>
      <c r="K1058" s="21" t="inlineStr">
        <is>
          <t>- Periode (a): downtime tampil sebagai tanda pisah "—" atau keterangan ketiadaan, bukan 0 menit.
- Periode (b): downtime tampil sebagai 0 menit — nol yang benar-benar terukur.
- Keduanya berbeda: tidak pernah dicatat bukan hal yang sama dengan dicatat nol.</t>
        </is>
      </c>
      <c r="L1058" s="16" t="inlineStr">
        <is>
          <t>Tinggi</t>
        </is>
      </c>
      <c r="M1058" s="21" t="inlineStr">
        <is>
          <t>"tercatat 0 menit" berarti seseorang menyatakan stasiun tidak berhenti. "Tidak dicatat" berarti tidak ada yang mengisinya. Keduanya tidak boleh terlihat sama.</t>
        </is>
      </c>
      <c r="N1058" s="17" t="n"/>
      <c r="O1058" s="17" t="n"/>
      <c r="P1058" s="17" t="n"/>
      <c r="Q1058" s="17" t="n"/>
      <c r="R1058" s="17" t="n"/>
    </row>
    <row r="1059" ht="175.6" customHeight="1">
      <c r="A1059" s="22" t="n">
        <v>1055</v>
      </c>
      <c r="B1059" s="22" t="n">
        <v>3</v>
      </c>
      <c r="C1059" s="23" t="inlineStr">
        <is>
          <t>LP-W-12 / Pressing</t>
        </is>
      </c>
      <c r="D1059" s="23" t="inlineStr">
        <is>
          <t>LP-W-12</t>
        </is>
      </c>
      <c r="E1059" s="24" t="inlineStr">
        <is>
          <t>Pressing</t>
        </is>
      </c>
      <c r="F1059" s="5" t="inlineStr">
        <is>
          <t>Laporan Periode Stasiun (LP-)</t>
        </is>
      </c>
      <c r="G1059" s="24" t="inlineStr">
        <is>
          <t>Downtime: tanda pisah vs nol yang tercatat</t>
        </is>
      </c>
      <c r="H1059" s="5" t="inlineStr">
        <is>
          <t>SPV-A</t>
        </is>
      </c>
      <c r="I1059" s="5" t="inlineStr">
        <is>
          <t>stasiun yang punya kolom downtime angka (Depricarping, Kernel Plant). Dua keadaan: (a) tak satu slot pun mengisi downtime, (b) beberapa slot mengisi 0 menit</t>
        </is>
      </c>
      <c r="J1059" s="5" t="inlineStr">
        <is>
          <t>1. Pilih stasiun yang punya kolom downtime angka: Depricarping atau Kernel Plant.
2. Siapkan periode (a) di mana tidak satu slot pun mengisi downtime.
3. Login di web, sidebar &gt; Laporan Stasiun (/reports), tekan tile Pressing (/reports/pressing), lalu pilih Periode dan Production Line untuk stasiun itu dengan periode (a). Baca blok downtime dan rekap per unit.
4. Siapkan periode (b) di mana beberapa slot mengisi downtime dengan nilai 0.
5. Ganti ke periode (b) dan baca blok downtime lagi.</t>
        </is>
      </c>
      <c r="K1059" s="5" t="inlineStr">
        <is>
          <t>- Periode (a): downtime tampil sebagai tanda pisah "—" atau keterangan ketiadaan, bukan 0 menit.
- Periode (b): downtime tampil sebagai 0 menit — nol yang benar-benar terukur.
- Keduanya berbeda: tidak pernah dicatat bukan hal yang sama dengan dicatat nol.</t>
        </is>
      </c>
      <c r="L1059" s="16" t="inlineStr">
        <is>
          <t>Tinggi</t>
        </is>
      </c>
      <c r="M1059" s="5" t="inlineStr">
        <is>
          <t>"tercatat 0 menit" berarti seseorang menyatakan stasiun tidak berhenti. "Tidak dicatat" berarti tidak ada yang mengisinya. Keduanya tidak boleh terlihat sama.</t>
        </is>
      </c>
      <c r="N1059" s="17" t="n"/>
      <c r="O1059" s="17" t="n"/>
      <c r="P1059" s="17" t="n"/>
      <c r="Q1059" s="17" t="n"/>
      <c r="R1059" s="17" t="n"/>
    </row>
    <row r="1060" ht="188.8" customHeight="1">
      <c r="A1060" s="18" t="n">
        <v>1056</v>
      </c>
      <c r="B1060" s="18" t="n">
        <v>3</v>
      </c>
      <c r="C1060" s="19" t="inlineStr">
        <is>
          <t>LP-W-12 / Clarification</t>
        </is>
      </c>
      <c r="D1060" s="19" t="inlineStr">
        <is>
          <t>LP-W-12</t>
        </is>
      </c>
      <c r="E1060" s="20" t="inlineStr">
        <is>
          <t>Clarification</t>
        </is>
      </c>
      <c r="F1060" s="21" t="inlineStr">
        <is>
          <t>Laporan Periode Stasiun (LP-)</t>
        </is>
      </c>
      <c r="G1060" s="20" t="inlineStr">
        <is>
          <t>Downtime: tanda pisah vs nol yang tercatat</t>
        </is>
      </c>
      <c r="H1060" s="21" t="inlineStr">
        <is>
          <t>SPV-A</t>
        </is>
      </c>
      <c r="I1060" s="21" t="inlineStr">
        <is>
          <t>stasiun yang punya kolom downtime angka (Depricarping, Kernel Plant). Dua keadaan: (a) tak satu slot pun mengisi downtime, (b) beberapa slot mengisi 0 menit</t>
        </is>
      </c>
      <c r="J1060" s="21" t="inlineStr">
        <is>
          <t>1. Pilih stasiun yang punya kolom downtime angka: Depricarping atau Kernel Plant.
2. Siapkan periode (a) di mana tidak satu slot pun mengisi downtime.
3. Login di web, sidebar &gt; Laporan Stasiun (/reports), tekan tile Clarification (/reports/clarification), lalu pilih Periode dan Production Line untuk stasiun itu dengan periode (a). Baca blok downtime dan rekap per unit.
4. Siapkan periode (b) di mana beberapa slot mengisi downtime dengan nilai 0.
5. Ganti ke periode (b) dan baca blok downtime lagi.</t>
        </is>
      </c>
      <c r="K1060" s="21" t="inlineStr">
        <is>
          <t>- Periode (a): downtime tampil sebagai tanda pisah "—" atau keterangan ketiadaan, bukan 0 menit.
- Periode (b): downtime tampil sebagai 0 menit — nol yang benar-benar terukur.
- Keduanya berbeda: tidak pernah dicatat bukan hal yang sama dengan dicatat nol.</t>
        </is>
      </c>
      <c r="L1060" s="16" t="inlineStr">
        <is>
          <t>Tinggi</t>
        </is>
      </c>
      <c r="M1060" s="21" t="inlineStr">
        <is>
          <t>"tercatat 0 menit" berarti seseorang menyatakan stasiun tidak berhenti. "Tidak dicatat" berarti tidak ada yang mengisinya. Keduanya tidak boleh terlihat sama.</t>
        </is>
      </c>
      <c r="N1060" s="17" t="n"/>
      <c r="O1060" s="17" t="n"/>
      <c r="P1060" s="17" t="n"/>
      <c r="Q1060" s="17" t="n"/>
      <c r="R1060" s="17" t="n"/>
    </row>
    <row r="1061" ht="175.6" customHeight="1">
      <c r="A1061" s="11" t="n">
        <v>1057</v>
      </c>
      <c r="B1061" s="12" t="n">
        <v>1</v>
      </c>
      <c r="C1061" s="13" t="inlineStr">
        <is>
          <t>LP-W-12 / Kernel Plant</t>
        </is>
      </c>
      <c r="D1061" s="13" t="inlineStr">
        <is>
          <t>LP-W-12</t>
        </is>
      </c>
      <c r="E1061" s="15" t="inlineStr">
        <is>
          <t>Kernel Plant</t>
        </is>
      </c>
      <c r="F1061" s="14" t="inlineStr">
        <is>
          <t>Laporan Periode Stasiun (LP-)</t>
        </is>
      </c>
      <c r="G1061" s="15" t="inlineStr">
        <is>
          <t>Downtime: tanda pisah vs nol yang tercatat</t>
        </is>
      </c>
      <c r="H1061" s="14" t="inlineStr">
        <is>
          <t>SPV-A</t>
        </is>
      </c>
      <c r="I1061" s="14" t="inlineStr">
        <is>
          <t>stasiun yang punya kolom downtime angka (Depricarping, Kernel Plant). Dua keadaan: (a) tak satu slot pun mengisi downtime, (b) beberapa slot mengisi 0 menit</t>
        </is>
      </c>
      <c r="J1061" s="14" t="inlineStr">
        <is>
          <t>1. Pilih stasiun yang punya kolom downtime angka: Depricarping atau Kernel Plant.
2. Siapkan periode (a) di mana tidak satu slot pun mengisi downtime.
3. Login di web, sidebar &gt; Laporan Stasiun (/reports), tekan tile Kernel Plant (/reports/kernel-plant), lalu pilih Periode dan Production Line untuk stasiun itu dengan periode (a). Baca blok downtime dan rekap per unit.
4. Siapkan periode (b) di mana beberapa slot mengisi downtime dengan nilai 0.
5. Ganti ke periode (b) dan baca blok downtime lagi.</t>
        </is>
      </c>
      <c r="K1061" s="14" t="inlineStr">
        <is>
          <t>- Periode (a): downtime tampil sebagai tanda pisah "—" atau keterangan ketiadaan, bukan 0 menit.
- Periode (b): downtime tampil sebagai 0 menit — nol yang benar-benar terukur.
- Keduanya berbeda: tidak pernah dicatat bukan hal yang sama dengan dicatat nol.</t>
        </is>
      </c>
      <c r="L1061" s="16" t="inlineStr">
        <is>
          <t>Tinggi</t>
        </is>
      </c>
      <c r="M1061" s="14" t="inlineStr">
        <is>
          <t>"tercatat 0 menit" berarti seseorang menyatakan stasiun tidak berhenti. "Tidak dicatat" berarti tidak ada yang mengisinya. Keduanya tidak boleh terlihat sama.</t>
        </is>
      </c>
      <c r="N1061" s="17" t="n"/>
      <c r="O1061" s="17" t="n"/>
      <c r="P1061" s="17" t="n"/>
      <c r="Q1061" s="17" t="n"/>
      <c r="R1061" s="17" t="n"/>
    </row>
    <row r="1062" ht="175.6" customHeight="1">
      <c r="A1062" s="18" t="n">
        <v>1058</v>
      </c>
      <c r="B1062" s="18" t="n">
        <v>3</v>
      </c>
      <c r="C1062" s="19" t="inlineStr">
        <is>
          <t>LP-W-12 / Boiler Room</t>
        </is>
      </c>
      <c r="D1062" s="19" t="inlineStr">
        <is>
          <t>LP-W-12</t>
        </is>
      </c>
      <c r="E1062" s="20" t="inlineStr">
        <is>
          <t>Boiler Room</t>
        </is>
      </c>
      <c r="F1062" s="21" t="inlineStr">
        <is>
          <t>Laporan Periode Stasiun (LP-)</t>
        </is>
      </c>
      <c r="G1062" s="20" t="inlineStr">
        <is>
          <t>Downtime: tanda pisah vs nol yang tercatat</t>
        </is>
      </c>
      <c r="H1062" s="21" t="inlineStr">
        <is>
          <t>SPV-A</t>
        </is>
      </c>
      <c r="I1062" s="21" t="inlineStr">
        <is>
          <t>stasiun yang punya kolom downtime angka (Depricarping, Kernel Plant). Dua keadaan: (a) tak satu slot pun mengisi downtime, (b) beberapa slot mengisi 0 menit</t>
        </is>
      </c>
      <c r="J1062" s="21" t="inlineStr">
        <is>
          <t>1. Pilih stasiun yang punya kolom downtime angka: Depricarping atau Kernel Plant.
2. Siapkan periode (a) di mana tidak satu slot pun mengisi downtime.
3. Login di web, sidebar &gt; Laporan Stasiun (/reports), tekan tile Boiler Room (/reports/boiler-room), lalu pilih Periode dan Production Line untuk stasiun itu dengan periode (a). Baca blok downtime dan rekap per unit.
4. Siapkan periode (b) di mana beberapa slot mengisi downtime dengan nilai 0.
5. Ganti ke periode (b) dan baca blok downtime lagi.</t>
        </is>
      </c>
      <c r="K1062" s="21" t="inlineStr">
        <is>
          <t>- Periode (a): downtime tampil sebagai tanda pisah "—" atau keterangan ketiadaan, bukan 0 menit.
- Periode (b): downtime tampil sebagai 0 menit — nol yang benar-benar terukur.
- Keduanya berbeda: tidak pernah dicatat bukan hal yang sama dengan dicatat nol.</t>
        </is>
      </c>
      <c r="L1062" s="16" t="inlineStr">
        <is>
          <t>Tinggi</t>
        </is>
      </c>
      <c r="M1062" s="21" t="inlineStr">
        <is>
          <t>"tercatat 0 menit" berarti seseorang menyatakan stasiun tidak berhenti. "Tidak dicatat" berarti tidak ada yang mengisinya. Keduanya tidak boleh terlihat sama.</t>
        </is>
      </c>
      <c r="N1062" s="17" t="n"/>
      <c r="O1062" s="17" t="n"/>
      <c r="P1062" s="17" t="n"/>
      <c r="Q1062" s="17" t="n"/>
      <c r="R1062" s="17" t="n"/>
    </row>
    <row r="1063" ht="175.6" customHeight="1">
      <c r="A1063" s="22" t="n">
        <v>1059</v>
      </c>
      <c r="B1063" s="22" t="n">
        <v>3</v>
      </c>
      <c r="C1063" s="23" t="inlineStr">
        <is>
          <t>LP-W-12 / Depricarping</t>
        </is>
      </c>
      <c r="D1063" s="23" t="inlineStr">
        <is>
          <t>LP-W-12</t>
        </is>
      </c>
      <c r="E1063" s="24" t="inlineStr">
        <is>
          <t>Depricarping</t>
        </is>
      </c>
      <c r="F1063" s="5" t="inlineStr">
        <is>
          <t>Laporan Periode Stasiun (LP-)</t>
        </is>
      </c>
      <c r="G1063" s="24" t="inlineStr">
        <is>
          <t>Downtime: tanda pisah vs nol yang tercatat</t>
        </is>
      </c>
      <c r="H1063" s="5" t="inlineStr">
        <is>
          <t>SPV-A</t>
        </is>
      </c>
      <c r="I1063" s="5" t="inlineStr">
        <is>
          <t>stasiun yang punya kolom downtime angka (Depricarping, Kernel Plant). Dua keadaan: (a) tak satu slot pun mengisi downtime, (b) beberapa slot mengisi 0 menit</t>
        </is>
      </c>
      <c r="J1063" s="5" t="inlineStr">
        <is>
          <t>1. Pilih stasiun yang punya kolom downtime angka: Depricarping atau Kernel Plant.
2. Siapkan periode (a) di mana tidak satu slot pun mengisi downtime.
3. Login di web, sidebar &gt; Laporan Stasiun (/reports), tekan tile Depricarping (/reports/depricarping), lalu pilih Periode dan Production Line untuk stasiun itu dengan periode (a). Baca blok downtime dan rekap per unit.
4. Siapkan periode (b) di mana beberapa slot mengisi downtime dengan nilai 0.
5. Ganti ke periode (b) dan baca blok downtime lagi.</t>
        </is>
      </c>
      <c r="K1063" s="5" t="inlineStr">
        <is>
          <t>- Periode (a): downtime tampil sebagai tanda pisah "—" atau keterangan ketiadaan, bukan 0 menit.
- Periode (b): downtime tampil sebagai 0 menit — nol yang benar-benar terukur.
- Keduanya berbeda: tidak pernah dicatat bukan hal yang sama dengan dicatat nol.</t>
        </is>
      </c>
      <c r="L1063" s="16" t="inlineStr">
        <is>
          <t>Tinggi</t>
        </is>
      </c>
      <c r="M1063" s="5" t="inlineStr">
        <is>
          <t>"tercatat 0 menit" berarti seseorang menyatakan stasiun tidak berhenti. "Tidak dicatat" berarti tidak ada yang mengisinya. Keduanya tidak boleh terlihat sama.</t>
        </is>
      </c>
      <c r="N1063" s="17" t="n"/>
      <c r="O1063" s="17" t="n"/>
      <c r="P1063" s="17" t="n"/>
      <c r="Q1063" s="17" t="n"/>
      <c r="R1063" s="17" t="n"/>
    </row>
    <row r="1064" ht="175.6" customHeight="1">
      <c r="A1064" s="18" t="n">
        <v>1060</v>
      </c>
      <c r="B1064" s="18" t="n">
        <v>3</v>
      </c>
      <c r="C1064" s="19" t="inlineStr">
        <is>
          <t>LP-W-12 / Storage Tank</t>
        </is>
      </c>
      <c r="D1064" s="19" t="inlineStr">
        <is>
          <t>LP-W-12</t>
        </is>
      </c>
      <c r="E1064" s="20" t="inlineStr">
        <is>
          <t>Storage Tank</t>
        </is>
      </c>
      <c r="F1064" s="21" t="inlineStr">
        <is>
          <t>Laporan Periode Stasiun (LP-)</t>
        </is>
      </c>
      <c r="G1064" s="20" t="inlineStr">
        <is>
          <t>Downtime: tanda pisah vs nol yang tercatat</t>
        </is>
      </c>
      <c r="H1064" s="21" t="inlineStr">
        <is>
          <t>SPV-A</t>
        </is>
      </c>
      <c r="I1064" s="21" t="inlineStr">
        <is>
          <t>stasiun yang punya kolom downtime angka (Depricarping, Kernel Plant). Dua keadaan: (a) tak satu slot pun mengisi downtime, (b) beberapa slot mengisi 0 menit</t>
        </is>
      </c>
      <c r="J1064" s="21" t="inlineStr">
        <is>
          <t>1. Pilih stasiun yang punya kolom downtime angka: Depricarping atau Kernel Plant.
2. Siapkan periode (a) di mana tidak satu slot pun mengisi downtime.
3. Login di web, sidebar &gt; Laporan Stasiun (/reports), tekan tile Storage Tank (/reports/storage-tank), lalu pilih Periode dan Production Line untuk stasiun itu dengan periode (a). Baca blok downtime dan rekap per unit.
4. Siapkan periode (b) di mana beberapa slot mengisi downtime dengan nilai 0.
5. Ganti ke periode (b) dan baca blok downtime lagi.</t>
        </is>
      </c>
      <c r="K1064" s="21" t="inlineStr">
        <is>
          <t>- Periode (a): downtime tampil sebagai tanda pisah "—" atau keterangan ketiadaan, bukan 0 menit.
- Periode (b): downtime tampil sebagai 0 menit — nol yang benar-benar terukur.
- Keduanya berbeda: tidak pernah dicatat bukan hal yang sama dengan dicatat nol.</t>
        </is>
      </c>
      <c r="L1064" s="16" t="inlineStr">
        <is>
          <t>Tinggi</t>
        </is>
      </c>
      <c r="M1064" s="21" t="inlineStr">
        <is>
          <t>"tercatat 0 menit" berarti seseorang menyatakan stasiun tidak berhenti. "Tidak dicatat" berarti tidak ada yang mengisinya. Keduanya tidak boleh terlihat sama.</t>
        </is>
      </c>
      <c r="N1064" s="17" t="n"/>
      <c r="O1064" s="17" t="n"/>
      <c r="P1064" s="17" t="n"/>
      <c r="Q1064" s="17" t="n"/>
      <c r="R1064" s="17" t="n"/>
    </row>
    <row r="1065" ht="136" customHeight="1">
      <c r="A1065" s="22" t="n">
        <v>1061</v>
      </c>
      <c r="B1065" s="22" t="n">
        <v>3</v>
      </c>
      <c r="C1065" s="23" t="inlineStr">
        <is>
          <t>LP-W-13 / Weighbridge</t>
        </is>
      </c>
      <c r="D1065" s="23" t="inlineStr">
        <is>
          <t>LP-W-13</t>
        </is>
      </c>
      <c r="E1065" s="24" t="inlineStr">
        <is>
          <t>Weighbridge</t>
        </is>
      </c>
      <c r="F1065" s="5" t="inlineStr">
        <is>
          <t>Laporan Periode Stasiun (LP-)</t>
        </is>
      </c>
      <c r="G1065" s="24" t="inlineStr">
        <is>
          <t>Temuan dikelompokkan harfiah, dua ejaan jadi dua baris</t>
        </is>
      </c>
      <c r="H1065" s="5" t="inlineStr">
        <is>
          <t>SPV-A</t>
        </is>
      </c>
      <c r="I1065" s="5" t="inlineStr">
        <is>
          <t>dua record dengan temuan yang hanya beda huruf besar-kecil atau spasi (mis. Bearing panas dan bearing panas)</t>
        </is>
      </c>
      <c r="J1065" s="5" t="inlineStr">
        <is>
          <t>1. Siapkan dua record dengan temuan yang hanya beda huruf besar-kecil atau spasi — mis. Bearing panas dan bearing panas.
2. Login di web, sidebar &gt; Laporan Stasiun (/reports), tekan tile Weighbridge (/reports/weighbridge), lalu pilih Periode dan Production Line dengan periode itu.
3. Cari daftar/ringkasan Temuan.
4. Hitung berapa baris yang muncul untuk kedua teks itu.</t>
        </is>
      </c>
      <c r="K1065" s="5" t="inlineStr">
        <is>
          <t>- Muncul dua baris terpisah — pengelompokannya harfiah, apa adanya.
- Sistem tidak menyatukan ejaan yang berbeda; menyatukannya berarti menebak maksud operator.
- Masing-masing membawa jumlah kemunculannya sendiri.</t>
        </is>
      </c>
      <c r="L1065" s="22" t="inlineStr">
        <is>
          <t>Sedang</t>
        </is>
      </c>
      <c r="M1065" s="5" t="inlineStr">
        <is>
          <t>menggabungkan keduanya akan menyatukan hal yang mungkin bukan satu hal. Yang dilaporkan sebagai bug adalah kalau keduanya digabung, atau kalau keterangannya hilang.</t>
        </is>
      </c>
      <c r="N1065" s="17" t="n"/>
      <c r="O1065" s="17" t="n"/>
      <c r="P1065" s="17" t="n"/>
      <c r="Q1065" s="17" t="n"/>
      <c r="R1065" s="17" t="n"/>
    </row>
    <row r="1066" ht="136" customHeight="1">
      <c r="A1066" s="18" t="n">
        <v>1062</v>
      </c>
      <c r="B1066" s="18" t="n">
        <v>3</v>
      </c>
      <c r="C1066" s="19" t="inlineStr">
        <is>
          <t>LP-W-13 / Grading</t>
        </is>
      </c>
      <c r="D1066" s="19" t="inlineStr">
        <is>
          <t>LP-W-13</t>
        </is>
      </c>
      <c r="E1066" s="20" t="inlineStr">
        <is>
          <t>Grading</t>
        </is>
      </c>
      <c r="F1066" s="21" t="inlineStr">
        <is>
          <t>Laporan Periode Stasiun (LP-)</t>
        </is>
      </c>
      <c r="G1066" s="20" t="inlineStr">
        <is>
          <t>Temuan dikelompokkan harfiah, dua ejaan jadi dua baris</t>
        </is>
      </c>
      <c r="H1066" s="21" t="inlineStr">
        <is>
          <t>SPV-A</t>
        </is>
      </c>
      <c r="I1066" s="21" t="inlineStr">
        <is>
          <t>dua record dengan temuan yang hanya beda huruf besar-kecil atau spasi (mis. Bearing panas dan bearing panas)</t>
        </is>
      </c>
      <c r="J1066" s="21" t="inlineStr">
        <is>
          <t>1. Siapkan dua record dengan temuan yang hanya beda huruf besar-kecil atau spasi — mis. Bearing panas dan bearing panas.
2. Login di web, sidebar &gt; Laporan Stasiun (/reports), tekan tile Grading (/reports/grading), lalu pilih Periode dan Production Line dengan periode itu.
3. Cari daftar/ringkasan Temuan.
4. Hitung berapa baris yang muncul untuk kedua teks itu.</t>
        </is>
      </c>
      <c r="K1066" s="21" t="inlineStr">
        <is>
          <t>- Muncul dua baris terpisah — pengelompokannya harfiah, apa adanya.
- Sistem tidak menyatukan ejaan yang berbeda; menyatukannya berarti menebak maksud operator.
- Masing-masing membawa jumlah kemunculannya sendiri.</t>
        </is>
      </c>
      <c r="L1066" s="18" t="inlineStr">
        <is>
          <t>Sedang</t>
        </is>
      </c>
      <c r="M1066" s="21" t="inlineStr">
        <is>
          <t>menggabungkan keduanya akan menyatukan hal yang mungkin bukan satu hal. Yang dilaporkan sebagai bug adalah kalau keduanya digabung, atau kalau keterangannya hilang.</t>
        </is>
      </c>
      <c r="N1066" s="17" t="n"/>
      <c r="O1066" s="17" t="n"/>
      <c r="P1066" s="17" t="n"/>
      <c r="Q1066" s="17" t="n"/>
      <c r="R1066" s="17" t="n"/>
    </row>
    <row r="1067" ht="136" customHeight="1">
      <c r="A1067" s="22" t="n">
        <v>1063</v>
      </c>
      <c r="B1067" s="22" t="n">
        <v>3</v>
      </c>
      <c r="C1067" s="23" t="inlineStr">
        <is>
          <t>LP-W-13 / Cages Track</t>
        </is>
      </c>
      <c r="D1067" s="23" t="inlineStr">
        <is>
          <t>LP-W-13</t>
        </is>
      </c>
      <c r="E1067" s="24" t="inlineStr">
        <is>
          <t>Cages Track</t>
        </is>
      </c>
      <c r="F1067" s="5" t="inlineStr">
        <is>
          <t>Laporan Periode Stasiun (LP-)</t>
        </is>
      </c>
      <c r="G1067" s="24" t="inlineStr">
        <is>
          <t>Temuan dikelompokkan harfiah, dua ejaan jadi dua baris</t>
        </is>
      </c>
      <c r="H1067" s="5" t="inlineStr">
        <is>
          <t>SPV-A</t>
        </is>
      </c>
      <c r="I1067" s="5" t="inlineStr">
        <is>
          <t>dua record dengan temuan yang hanya beda huruf besar-kecil atau spasi (mis. Bearing panas dan bearing panas)</t>
        </is>
      </c>
      <c r="J1067" s="5" t="inlineStr">
        <is>
          <t>1. Siapkan dua record dengan temuan yang hanya beda huruf besar-kecil atau spasi — mis. Bearing panas dan bearing panas.
2. Login di web, sidebar &gt; Laporan Stasiun (/reports), tekan tile Cages Track (/reports/cages-track), lalu pilih Periode dan Production Line dengan periode itu.
3. Cari daftar/ringkasan Temuan.
4. Hitung berapa baris yang muncul untuk kedua teks itu.</t>
        </is>
      </c>
      <c r="K1067" s="5" t="inlineStr">
        <is>
          <t>- Muncul dua baris terpisah — pengelompokannya harfiah, apa adanya.
- Sistem tidak menyatukan ejaan yang berbeda; menyatukannya berarti menebak maksud operator.
- Masing-masing membawa jumlah kemunculannya sendiri.</t>
        </is>
      </c>
      <c r="L1067" s="22" t="inlineStr">
        <is>
          <t>Sedang</t>
        </is>
      </c>
      <c r="M1067" s="5" t="inlineStr">
        <is>
          <t>menggabungkan keduanya akan menyatukan hal yang mungkin bukan satu hal. Yang dilaporkan sebagai bug adalah kalau keduanya digabung, atau kalau keterangannya hilang.</t>
        </is>
      </c>
      <c r="N1067" s="17" t="n"/>
      <c r="O1067" s="17" t="n"/>
      <c r="P1067" s="17" t="n"/>
      <c r="Q1067" s="17" t="n"/>
      <c r="R1067" s="17" t="n"/>
    </row>
    <row r="1068" ht="136" customHeight="1">
      <c r="A1068" s="18" t="n">
        <v>1064</v>
      </c>
      <c r="B1068" s="18" t="n">
        <v>3</v>
      </c>
      <c r="C1068" s="19" t="inlineStr">
        <is>
          <t>LP-W-13 / Sterilizer</t>
        </is>
      </c>
      <c r="D1068" s="19" t="inlineStr">
        <is>
          <t>LP-W-13</t>
        </is>
      </c>
      <c r="E1068" s="20" t="inlineStr">
        <is>
          <t>Sterilizer</t>
        </is>
      </c>
      <c r="F1068" s="21" t="inlineStr">
        <is>
          <t>Laporan Periode Stasiun (LP-)</t>
        </is>
      </c>
      <c r="G1068" s="20" t="inlineStr">
        <is>
          <t>Temuan dikelompokkan harfiah, dua ejaan jadi dua baris</t>
        </is>
      </c>
      <c r="H1068" s="21" t="inlineStr">
        <is>
          <t>SPV-A</t>
        </is>
      </c>
      <c r="I1068" s="21" t="inlineStr">
        <is>
          <t>dua record dengan temuan yang hanya beda huruf besar-kecil atau spasi (mis. Bearing panas dan bearing panas)</t>
        </is>
      </c>
      <c r="J1068" s="21" t="inlineStr">
        <is>
          <t>1. Siapkan dua record dengan temuan yang hanya beda huruf besar-kecil atau spasi — mis. Bearing panas dan bearing panas.
2. Login di web, sidebar &gt; Laporan Stasiun (/reports), tekan tile Sterilizer (/reports/sterilizer), lalu pilih Periode dan Production Line dengan periode itu.
3. Cari daftar/ringkasan Temuan.
4. Hitung berapa baris yang muncul untuk kedua teks itu.</t>
        </is>
      </c>
      <c r="K1068" s="21" t="inlineStr">
        <is>
          <t>- Muncul dua baris terpisah — pengelompokannya harfiah, apa adanya.
- Sistem tidak menyatukan ejaan yang berbeda; menyatukannya berarti menebak maksud operator.
- Masing-masing membawa jumlah kemunculannya sendiri.</t>
        </is>
      </c>
      <c r="L1068" s="18" t="inlineStr">
        <is>
          <t>Sedang</t>
        </is>
      </c>
      <c r="M1068" s="21" t="inlineStr">
        <is>
          <t>menggabungkan keduanya akan menyatukan hal yang mungkin bukan satu hal. Yang dilaporkan sebagai bug adalah kalau keduanya digabung, atau kalau keterangannya hilang.</t>
        </is>
      </c>
      <c r="N1068" s="17" t="n"/>
      <c r="O1068" s="17" t="n"/>
      <c r="P1068" s="17" t="n"/>
      <c r="Q1068" s="17" t="n"/>
      <c r="R1068" s="17" t="n"/>
    </row>
    <row r="1069" ht="136" customHeight="1">
      <c r="A1069" s="22" t="n">
        <v>1065</v>
      </c>
      <c r="B1069" s="22" t="n">
        <v>3</v>
      </c>
      <c r="C1069" s="23" t="inlineStr">
        <is>
          <t>LP-W-13 / Threshing</t>
        </is>
      </c>
      <c r="D1069" s="23" t="inlineStr">
        <is>
          <t>LP-W-13</t>
        </is>
      </c>
      <c r="E1069" s="24" t="inlineStr">
        <is>
          <t>Threshing</t>
        </is>
      </c>
      <c r="F1069" s="5" t="inlineStr">
        <is>
          <t>Laporan Periode Stasiun (LP-)</t>
        </is>
      </c>
      <c r="G1069" s="24" t="inlineStr">
        <is>
          <t>Temuan dikelompokkan harfiah, dua ejaan jadi dua baris</t>
        </is>
      </c>
      <c r="H1069" s="5" t="inlineStr">
        <is>
          <t>SPV-A</t>
        </is>
      </c>
      <c r="I1069" s="5" t="inlineStr">
        <is>
          <t>dua record dengan temuan yang hanya beda huruf besar-kecil atau spasi (mis. Bearing panas dan bearing panas)</t>
        </is>
      </c>
      <c r="J1069" s="5" t="inlineStr">
        <is>
          <t>1. Siapkan dua record dengan temuan yang hanya beda huruf besar-kecil atau spasi — mis. Bearing panas dan bearing panas.
2. Login di web, sidebar &gt; Laporan Stasiun (/reports), tekan tile Threshing (/reports/threshing), lalu pilih Periode dan Production Line dengan periode itu.
3. Cari daftar/ringkasan Temuan.
4. Hitung berapa baris yang muncul untuk kedua teks itu.</t>
        </is>
      </c>
      <c r="K1069" s="5" t="inlineStr">
        <is>
          <t>- Muncul dua baris terpisah — pengelompokannya harfiah, apa adanya.
- Sistem tidak menyatukan ejaan yang berbeda; menyatukannya berarti menebak maksud operator.
- Masing-masing membawa jumlah kemunculannya sendiri.</t>
        </is>
      </c>
      <c r="L1069" s="22" t="inlineStr">
        <is>
          <t>Sedang</t>
        </is>
      </c>
      <c r="M1069" s="5" t="inlineStr">
        <is>
          <t>menggabungkan keduanya akan menyatukan hal yang mungkin bukan satu hal. Yang dilaporkan sebagai bug adalah kalau keduanya digabung, atau kalau keterangannya hilang.</t>
        </is>
      </c>
      <c r="N1069" s="17" t="n"/>
      <c r="O1069" s="17" t="n"/>
      <c r="P1069" s="17" t="n"/>
      <c r="Q1069" s="17" t="n"/>
      <c r="R1069" s="17" t="n"/>
    </row>
    <row r="1070" ht="136" customHeight="1">
      <c r="A1070" s="18" t="n">
        <v>1066</v>
      </c>
      <c r="B1070" s="18" t="n">
        <v>3</v>
      </c>
      <c r="C1070" s="19" t="inlineStr">
        <is>
          <t>LP-W-13 / Pressing</t>
        </is>
      </c>
      <c r="D1070" s="19" t="inlineStr">
        <is>
          <t>LP-W-13</t>
        </is>
      </c>
      <c r="E1070" s="20" t="inlineStr">
        <is>
          <t>Pressing</t>
        </is>
      </c>
      <c r="F1070" s="21" t="inlineStr">
        <is>
          <t>Laporan Periode Stasiun (LP-)</t>
        </is>
      </c>
      <c r="G1070" s="20" t="inlineStr">
        <is>
          <t>Temuan dikelompokkan harfiah, dua ejaan jadi dua baris</t>
        </is>
      </c>
      <c r="H1070" s="21" t="inlineStr">
        <is>
          <t>SPV-A</t>
        </is>
      </c>
      <c r="I1070" s="21" t="inlineStr">
        <is>
          <t>dua record dengan temuan yang hanya beda huruf besar-kecil atau spasi (mis. Bearing panas dan bearing panas)</t>
        </is>
      </c>
      <c r="J1070" s="21" t="inlineStr">
        <is>
          <t>1. Siapkan dua record dengan temuan yang hanya beda huruf besar-kecil atau spasi — mis. Bearing panas dan bearing panas.
2. Login di web, sidebar &gt; Laporan Stasiun (/reports), tekan tile Pressing (/reports/pressing), lalu pilih Periode dan Production Line dengan periode itu.
3. Cari daftar/ringkasan Temuan.
4. Hitung berapa baris yang muncul untuk kedua teks itu.</t>
        </is>
      </c>
      <c r="K1070" s="21" t="inlineStr">
        <is>
          <t>- Muncul dua baris terpisah — pengelompokannya harfiah, apa adanya.
- Sistem tidak menyatukan ejaan yang berbeda; menyatukannya berarti menebak maksud operator.
- Masing-masing membawa jumlah kemunculannya sendiri.</t>
        </is>
      </c>
      <c r="L1070" s="18" t="inlineStr">
        <is>
          <t>Sedang</t>
        </is>
      </c>
      <c r="M1070" s="21" t="inlineStr">
        <is>
          <t>menggabungkan keduanya akan menyatukan hal yang mungkin bukan satu hal. Yang dilaporkan sebagai bug adalah kalau keduanya digabung, atau kalau keterangannya hilang.</t>
        </is>
      </c>
      <c r="N1070" s="17" t="n"/>
      <c r="O1070" s="17" t="n"/>
      <c r="P1070" s="17" t="n"/>
      <c r="Q1070" s="17" t="n"/>
      <c r="R1070" s="17" t="n"/>
    </row>
    <row r="1071" ht="136" customHeight="1">
      <c r="A1071" s="22" t="n">
        <v>1067</v>
      </c>
      <c r="B1071" s="22" t="n">
        <v>3</v>
      </c>
      <c r="C1071" s="23" t="inlineStr">
        <is>
          <t>LP-W-13 / Clarification</t>
        </is>
      </c>
      <c r="D1071" s="23" t="inlineStr">
        <is>
          <t>LP-W-13</t>
        </is>
      </c>
      <c r="E1071" s="24" t="inlineStr">
        <is>
          <t>Clarification</t>
        </is>
      </c>
      <c r="F1071" s="5" t="inlineStr">
        <is>
          <t>Laporan Periode Stasiun (LP-)</t>
        </is>
      </c>
      <c r="G1071" s="24" t="inlineStr">
        <is>
          <t>Temuan dikelompokkan harfiah, dua ejaan jadi dua baris</t>
        </is>
      </c>
      <c r="H1071" s="5" t="inlineStr">
        <is>
          <t>SPV-A</t>
        </is>
      </c>
      <c r="I1071" s="5" t="inlineStr">
        <is>
          <t>dua record dengan temuan yang hanya beda huruf besar-kecil atau spasi (mis. Bearing panas dan bearing panas)</t>
        </is>
      </c>
      <c r="J1071" s="5" t="inlineStr">
        <is>
          <t>1. Siapkan dua record dengan temuan yang hanya beda huruf besar-kecil atau spasi — mis. Bearing panas dan bearing panas.
2. Login di web, sidebar &gt; Laporan Stasiun (/reports), tekan tile Clarification (/reports/clarification), lalu pilih Periode dan Production Line dengan periode itu.
3. Cari daftar/ringkasan Temuan.
4. Hitung berapa baris yang muncul untuk kedua teks itu.</t>
        </is>
      </c>
      <c r="K1071" s="5" t="inlineStr">
        <is>
          <t>- Muncul dua baris terpisah — pengelompokannya harfiah, apa adanya.
- Sistem tidak menyatukan ejaan yang berbeda; menyatukannya berarti menebak maksud operator.
- Masing-masing membawa jumlah kemunculannya sendiri.</t>
        </is>
      </c>
      <c r="L1071" s="22" t="inlineStr">
        <is>
          <t>Sedang</t>
        </is>
      </c>
      <c r="M1071" s="5" t="inlineStr">
        <is>
          <t>menggabungkan keduanya akan menyatukan hal yang mungkin bukan satu hal. Yang dilaporkan sebagai bug adalah kalau keduanya digabung, atau kalau keterangannya hilang.</t>
        </is>
      </c>
      <c r="N1071" s="17" t="n"/>
      <c r="O1071" s="17" t="n"/>
      <c r="P1071" s="17" t="n"/>
      <c r="Q1071" s="17" t="n"/>
      <c r="R1071" s="17" t="n"/>
    </row>
    <row r="1072" ht="136" customHeight="1">
      <c r="A1072" s="11" t="n">
        <v>1068</v>
      </c>
      <c r="B1072" s="12" t="n">
        <v>1</v>
      </c>
      <c r="C1072" s="13" t="inlineStr">
        <is>
          <t>LP-W-13 / Kernel Plant</t>
        </is>
      </c>
      <c r="D1072" s="13" t="inlineStr">
        <is>
          <t>LP-W-13</t>
        </is>
      </c>
      <c r="E1072" s="15" t="inlineStr">
        <is>
          <t>Kernel Plant</t>
        </is>
      </c>
      <c r="F1072" s="14" t="inlineStr">
        <is>
          <t>Laporan Periode Stasiun (LP-)</t>
        </is>
      </c>
      <c r="G1072" s="15" t="inlineStr">
        <is>
          <t>Temuan dikelompokkan harfiah, dua ejaan jadi dua baris</t>
        </is>
      </c>
      <c r="H1072" s="14" t="inlineStr">
        <is>
          <t>SPV-A</t>
        </is>
      </c>
      <c r="I1072" s="14" t="inlineStr">
        <is>
          <t>dua record dengan temuan yang hanya beda huruf besar-kecil atau spasi (mis. Bearing panas dan bearing panas)</t>
        </is>
      </c>
      <c r="J1072" s="14" t="inlineStr">
        <is>
          <t>1. Siapkan dua record dengan temuan yang hanya beda huruf besar-kecil atau spasi — mis. Bearing panas dan bearing panas.
2. Login di web, sidebar &gt; Laporan Stasiun (/reports), tekan tile Kernel Plant (/reports/kernel-plant), lalu pilih Periode dan Production Line dengan periode itu.
3. Cari daftar/ringkasan Temuan.
4. Hitung berapa baris yang muncul untuk kedua teks itu.</t>
        </is>
      </c>
      <c r="K1072" s="14" t="inlineStr">
        <is>
          <t>- Muncul dua baris terpisah — pengelompokannya harfiah, apa adanya.
- Sistem tidak menyatukan ejaan yang berbeda; menyatukannya berarti menebak maksud operator.
- Masing-masing membawa jumlah kemunculannya sendiri.</t>
        </is>
      </c>
      <c r="L1072" s="11" t="inlineStr">
        <is>
          <t>Sedang</t>
        </is>
      </c>
      <c r="M1072" s="14" t="inlineStr">
        <is>
          <t>menggabungkan keduanya akan menyatukan hal yang mungkin bukan satu hal. Yang dilaporkan sebagai bug adalah kalau keduanya digabung, atau kalau keterangannya hilang.</t>
        </is>
      </c>
      <c r="N1072" s="17" t="n"/>
      <c r="O1072" s="17" t="n"/>
      <c r="P1072" s="17" t="n"/>
      <c r="Q1072" s="17" t="n"/>
      <c r="R1072" s="17" t="n"/>
    </row>
    <row r="1073" ht="136" customHeight="1">
      <c r="A1073" s="22" t="n">
        <v>1069</v>
      </c>
      <c r="B1073" s="22" t="n">
        <v>3</v>
      </c>
      <c r="C1073" s="23" t="inlineStr">
        <is>
          <t>LP-W-13 / Boiler Room</t>
        </is>
      </c>
      <c r="D1073" s="23" t="inlineStr">
        <is>
          <t>LP-W-13</t>
        </is>
      </c>
      <c r="E1073" s="24" t="inlineStr">
        <is>
          <t>Boiler Room</t>
        </is>
      </c>
      <c r="F1073" s="5" t="inlineStr">
        <is>
          <t>Laporan Periode Stasiun (LP-)</t>
        </is>
      </c>
      <c r="G1073" s="24" t="inlineStr">
        <is>
          <t>Temuan dikelompokkan harfiah, dua ejaan jadi dua baris</t>
        </is>
      </c>
      <c r="H1073" s="5" t="inlineStr">
        <is>
          <t>SPV-A</t>
        </is>
      </c>
      <c r="I1073" s="5" t="inlineStr">
        <is>
          <t>dua record dengan temuan yang hanya beda huruf besar-kecil atau spasi (mis. Bearing panas dan bearing panas)</t>
        </is>
      </c>
      <c r="J1073" s="5" t="inlineStr">
        <is>
          <t>1. Siapkan dua record dengan temuan yang hanya beda huruf besar-kecil atau spasi — mis. Bearing panas dan bearing panas.
2. Login di web, sidebar &gt; Laporan Stasiun (/reports), tekan tile Boiler Room (/reports/boiler-room), lalu pilih Periode dan Production Line dengan periode itu.
3. Cari daftar/ringkasan Temuan.
4. Hitung berapa baris yang muncul untuk kedua teks itu.</t>
        </is>
      </c>
      <c r="K1073" s="5" t="inlineStr">
        <is>
          <t>- Muncul dua baris terpisah — pengelompokannya harfiah, apa adanya.
- Sistem tidak menyatukan ejaan yang berbeda; menyatukannya berarti menebak maksud operator.
- Masing-masing membawa jumlah kemunculannya sendiri.</t>
        </is>
      </c>
      <c r="L1073" s="22" t="inlineStr">
        <is>
          <t>Sedang</t>
        </is>
      </c>
      <c r="M1073" s="5" t="inlineStr">
        <is>
          <t>menggabungkan keduanya akan menyatukan hal yang mungkin bukan satu hal. Yang dilaporkan sebagai bug adalah kalau keduanya digabung, atau kalau keterangannya hilang.</t>
        </is>
      </c>
      <c r="N1073" s="17" t="n"/>
      <c r="O1073" s="17" t="n"/>
      <c r="P1073" s="17" t="n"/>
      <c r="Q1073" s="17" t="n"/>
      <c r="R1073" s="17" t="n"/>
    </row>
    <row r="1074" ht="136" customHeight="1">
      <c r="A1074" s="18" t="n">
        <v>1070</v>
      </c>
      <c r="B1074" s="18" t="n">
        <v>3</v>
      </c>
      <c r="C1074" s="19" t="inlineStr">
        <is>
          <t>LP-W-13 / Depricarping</t>
        </is>
      </c>
      <c r="D1074" s="19" t="inlineStr">
        <is>
          <t>LP-W-13</t>
        </is>
      </c>
      <c r="E1074" s="20" t="inlineStr">
        <is>
          <t>Depricarping</t>
        </is>
      </c>
      <c r="F1074" s="21" t="inlineStr">
        <is>
          <t>Laporan Periode Stasiun (LP-)</t>
        </is>
      </c>
      <c r="G1074" s="20" t="inlineStr">
        <is>
          <t>Temuan dikelompokkan harfiah, dua ejaan jadi dua baris</t>
        </is>
      </c>
      <c r="H1074" s="21" t="inlineStr">
        <is>
          <t>SPV-A</t>
        </is>
      </c>
      <c r="I1074" s="21" t="inlineStr">
        <is>
          <t>dua record dengan temuan yang hanya beda huruf besar-kecil atau spasi (mis. Bearing panas dan bearing panas)</t>
        </is>
      </c>
      <c r="J1074" s="21" t="inlineStr">
        <is>
          <t>1. Siapkan dua record dengan temuan yang hanya beda huruf besar-kecil atau spasi — mis. Bearing panas dan bearing panas.
2. Login di web, sidebar &gt; Laporan Stasiun (/reports), tekan tile Depricarping (/reports/depricarping), lalu pilih Periode dan Production Line dengan periode itu.
3. Cari daftar/ringkasan Temuan.
4. Hitung berapa baris yang muncul untuk kedua teks itu.</t>
        </is>
      </c>
      <c r="K1074" s="21" t="inlineStr">
        <is>
          <t>- Muncul dua baris terpisah — pengelompokannya harfiah, apa adanya.
- Sistem tidak menyatukan ejaan yang berbeda; menyatukannya berarti menebak maksud operator.
- Masing-masing membawa jumlah kemunculannya sendiri.</t>
        </is>
      </c>
      <c r="L1074" s="18" t="inlineStr">
        <is>
          <t>Sedang</t>
        </is>
      </c>
      <c r="M1074" s="21" t="inlineStr">
        <is>
          <t>menggabungkan keduanya akan menyatukan hal yang mungkin bukan satu hal. Yang dilaporkan sebagai bug adalah kalau keduanya digabung, atau kalau keterangannya hilang.</t>
        </is>
      </c>
      <c r="N1074" s="17" t="n"/>
      <c r="O1074" s="17" t="n"/>
      <c r="P1074" s="17" t="n"/>
      <c r="Q1074" s="17" t="n"/>
      <c r="R1074" s="17" t="n"/>
    </row>
    <row r="1075" ht="136" customHeight="1">
      <c r="A1075" s="22" t="n">
        <v>1071</v>
      </c>
      <c r="B1075" s="22" t="n">
        <v>3</v>
      </c>
      <c r="C1075" s="23" t="inlineStr">
        <is>
          <t>LP-W-13 / Storage Tank</t>
        </is>
      </c>
      <c r="D1075" s="23" t="inlineStr">
        <is>
          <t>LP-W-13</t>
        </is>
      </c>
      <c r="E1075" s="24" t="inlineStr">
        <is>
          <t>Storage Tank</t>
        </is>
      </c>
      <c r="F1075" s="5" t="inlineStr">
        <is>
          <t>Laporan Periode Stasiun (LP-)</t>
        </is>
      </c>
      <c r="G1075" s="24" t="inlineStr">
        <is>
          <t>Temuan dikelompokkan harfiah, dua ejaan jadi dua baris</t>
        </is>
      </c>
      <c r="H1075" s="5" t="inlineStr">
        <is>
          <t>SPV-A</t>
        </is>
      </c>
      <c r="I1075" s="5" t="inlineStr">
        <is>
          <t>dua record dengan temuan yang hanya beda huruf besar-kecil atau spasi (mis. Bearing panas dan bearing panas)</t>
        </is>
      </c>
      <c r="J1075" s="5" t="inlineStr">
        <is>
          <t>1. Siapkan dua record dengan temuan yang hanya beda huruf besar-kecil atau spasi — mis. Bearing panas dan bearing panas.
2. Login di web, sidebar &gt; Laporan Stasiun (/reports), tekan tile Storage Tank (/reports/storage-tank), lalu pilih Periode dan Production Line dengan periode itu.
3. Cari daftar/ringkasan Temuan.
4. Hitung berapa baris yang muncul untuk kedua teks itu.</t>
        </is>
      </c>
      <c r="K1075" s="5" t="inlineStr">
        <is>
          <t>- Muncul dua baris terpisah — pengelompokannya harfiah, apa adanya.
- Sistem tidak menyatukan ejaan yang berbeda; menyatukannya berarti menebak maksud operator.
- Masing-masing membawa jumlah kemunculannya sendiri.</t>
        </is>
      </c>
      <c r="L1075" s="22" t="inlineStr">
        <is>
          <t>Sedang</t>
        </is>
      </c>
      <c r="M1075" s="5" t="inlineStr">
        <is>
          <t>menggabungkan keduanya akan menyatukan hal yang mungkin bukan satu hal. Yang dilaporkan sebagai bug adalah kalau keduanya digabung, atau kalau keterangannya hilang.</t>
        </is>
      </c>
      <c r="N1075" s="17" t="n"/>
      <c r="O1075" s="17" t="n"/>
      <c r="P1075" s="17" t="n"/>
      <c r="Q1075" s="17" t="n"/>
      <c r="R1075" s="17" t="n"/>
    </row>
    <row r="1076" ht="136" customHeight="1">
      <c r="A1076" s="18" t="n">
        <v>1072</v>
      </c>
      <c r="B1076" s="18" t="n">
        <v>3</v>
      </c>
      <c r="C1076" s="19" t="inlineStr">
        <is>
          <t>LP-W-14 / Weighbridge</t>
        </is>
      </c>
      <c r="D1076" s="19" t="inlineStr">
        <is>
          <t>LP-W-14</t>
        </is>
      </c>
      <c r="E1076" s="20" t="inlineStr">
        <is>
          <t>Weighbridge</t>
        </is>
      </c>
      <c r="F1076" s="21" t="inlineStr">
        <is>
          <t>Laporan Periode Stasiun (LP-)</t>
        </is>
      </c>
      <c r="G1076" s="20" t="inlineStr">
        <is>
          <t>Temuan terpisah dari downtime</t>
        </is>
      </c>
      <c r="H1076" s="21" t="inlineStr">
        <is>
          <t>SPV-A</t>
        </is>
      </c>
      <c r="I1076" s="21" t="inlineStr">
        <is>
          <t>satu slot yang mengisi downtime dan temuan sekaligus</t>
        </is>
      </c>
      <c r="J1076" s="21" t="inlineStr">
        <is>
          <t>1. Siapkan satu slot yang mengisi downtime dan temuan sekaligus, dan satu slot yang mengisi temuan saja.
2. Login di web, sidebar &gt; Laporan Stasiun (/reports), tekan tile Weighbridge (/reports/weighbridge), lalu pilih Periode dan Production Line dengan periode itu.
3. Baca blok downtime dan daftar temuan.
4. Periksa apakah slot "temuan saja" ikut menambah angka downtime.</t>
        </is>
      </c>
      <c r="K1076" s="21" t="inlineStr">
        <is>
          <t>- Keduanya dihitung terpisah: slot yang hanya mengisi temuan tidak menambah menit downtime.
- Slot yang mengisi keduanya muncul di kedua tempat.
- Daftar temuan tidak hanya memuat temuan yang punya downtime.</t>
        </is>
      </c>
      <c r="L1076" s="18" t="inlineStr">
        <is>
          <t>Sedang</t>
        </is>
      </c>
      <c r="M1076" s="21" t="inlineStr"/>
      <c r="N1076" s="17" t="n"/>
      <c r="O1076" s="17" t="n"/>
      <c r="P1076" s="17" t="n"/>
      <c r="Q1076" s="17" t="n"/>
      <c r="R1076" s="17" t="n"/>
    </row>
    <row r="1077" ht="136" customHeight="1">
      <c r="A1077" s="22" t="n">
        <v>1073</v>
      </c>
      <c r="B1077" s="22" t="n">
        <v>3</v>
      </c>
      <c r="C1077" s="23" t="inlineStr">
        <is>
          <t>LP-W-14 / Grading</t>
        </is>
      </c>
      <c r="D1077" s="23" t="inlineStr">
        <is>
          <t>LP-W-14</t>
        </is>
      </c>
      <c r="E1077" s="24" t="inlineStr">
        <is>
          <t>Grading</t>
        </is>
      </c>
      <c r="F1077" s="5" t="inlineStr">
        <is>
          <t>Laporan Periode Stasiun (LP-)</t>
        </is>
      </c>
      <c r="G1077" s="24" t="inlineStr">
        <is>
          <t>Temuan terpisah dari downtime</t>
        </is>
      </c>
      <c r="H1077" s="5" t="inlineStr">
        <is>
          <t>SPV-A</t>
        </is>
      </c>
      <c r="I1077" s="5" t="inlineStr">
        <is>
          <t>satu slot yang mengisi downtime dan temuan sekaligus</t>
        </is>
      </c>
      <c r="J1077" s="5" t="inlineStr">
        <is>
          <t>1. Siapkan satu slot yang mengisi downtime dan temuan sekaligus, dan satu slot yang mengisi temuan saja.
2. Login di web, sidebar &gt; Laporan Stasiun (/reports), tekan tile Grading (/reports/grading), lalu pilih Periode dan Production Line dengan periode itu.
3. Baca blok downtime dan daftar temuan.
4. Periksa apakah slot "temuan saja" ikut menambah angka downtime.</t>
        </is>
      </c>
      <c r="K1077" s="5" t="inlineStr">
        <is>
          <t>- Keduanya dihitung terpisah: slot yang hanya mengisi temuan tidak menambah menit downtime.
- Slot yang mengisi keduanya muncul di kedua tempat.
- Daftar temuan tidak hanya memuat temuan yang punya downtime.</t>
        </is>
      </c>
      <c r="L1077" s="22" t="inlineStr">
        <is>
          <t>Sedang</t>
        </is>
      </c>
      <c r="M1077" s="5" t="inlineStr"/>
      <c r="N1077" s="17" t="n"/>
      <c r="O1077" s="17" t="n"/>
      <c r="P1077" s="17" t="n"/>
      <c r="Q1077" s="17" t="n"/>
      <c r="R1077" s="17" t="n"/>
    </row>
    <row r="1078" ht="136" customHeight="1">
      <c r="A1078" s="18" t="n">
        <v>1074</v>
      </c>
      <c r="B1078" s="18" t="n">
        <v>3</v>
      </c>
      <c r="C1078" s="19" t="inlineStr">
        <is>
          <t>LP-W-14 / Cages Track</t>
        </is>
      </c>
      <c r="D1078" s="19" t="inlineStr">
        <is>
          <t>LP-W-14</t>
        </is>
      </c>
      <c r="E1078" s="20" t="inlineStr">
        <is>
          <t>Cages Track</t>
        </is>
      </c>
      <c r="F1078" s="21" t="inlineStr">
        <is>
          <t>Laporan Periode Stasiun (LP-)</t>
        </is>
      </c>
      <c r="G1078" s="20" t="inlineStr">
        <is>
          <t>Temuan terpisah dari downtime</t>
        </is>
      </c>
      <c r="H1078" s="21" t="inlineStr">
        <is>
          <t>SPV-A</t>
        </is>
      </c>
      <c r="I1078" s="21" t="inlineStr">
        <is>
          <t>satu slot yang mengisi downtime dan temuan sekaligus</t>
        </is>
      </c>
      <c r="J1078" s="21" t="inlineStr">
        <is>
          <t>1. Siapkan satu slot yang mengisi downtime dan temuan sekaligus, dan satu slot yang mengisi temuan saja.
2. Login di web, sidebar &gt; Laporan Stasiun (/reports), tekan tile Cages Track (/reports/cages-track), lalu pilih Periode dan Production Line dengan periode itu.
3. Baca blok downtime dan daftar temuan.
4. Periksa apakah slot "temuan saja" ikut menambah angka downtime.</t>
        </is>
      </c>
      <c r="K1078" s="21" t="inlineStr">
        <is>
          <t>- Keduanya dihitung terpisah: slot yang hanya mengisi temuan tidak menambah menit downtime.
- Slot yang mengisi keduanya muncul di kedua tempat.
- Daftar temuan tidak hanya memuat temuan yang punya downtime.</t>
        </is>
      </c>
      <c r="L1078" s="18" t="inlineStr">
        <is>
          <t>Sedang</t>
        </is>
      </c>
      <c r="M1078" s="21" t="inlineStr"/>
      <c r="N1078" s="17" t="n"/>
      <c r="O1078" s="17" t="n"/>
      <c r="P1078" s="17" t="n"/>
      <c r="Q1078" s="17" t="n"/>
      <c r="R1078" s="17" t="n"/>
    </row>
    <row r="1079" ht="136" customHeight="1">
      <c r="A1079" s="22" t="n">
        <v>1075</v>
      </c>
      <c r="B1079" s="22" t="n">
        <v>3</v>
      </c>
      <c r="C1079" s="23" t="inlineStr">
        <is>
          <t>LP-W-14 / Sterilizer</t>
        </is>
      </c>
      <c r="D1079" s="23" t="inlineStr">
        <is>
          <t>LP-W-14</t>
        </is>
      </c>
      <c r="E1079" s="24" t="inlineStr">
        <is>
          <t>Sterilizer</t>
        </is>
      </c>
      <c r="F1079" s="5" t="inlineStr">
        <is>
          <t>Laporan Periode Stasiun (LP-)</t>
        </is>
      </c>
      <c r="G1079" s="24" t="inlineStr">
        <is>
          <t>Temuan terpisah dari downtime</t>
        </is>
      </c>
      <c r="H1079" s="5" t="inlineStr">
        <is>
          <t>SPV-A</t>
        </is>
      </c>
      <c r="I1079" s="5" t="inlineStr">
        <is>
          <t>satu slot yang mengisi downtime dan temuan sekaligus</t>
        </is>
      </c>
      <c r="J1079" s="5" t="inlineStr">
        <is>
          <t>1. Siapkan satu slot yang mengisi downtime dan temuan sekaligus, dan satu slot yang mengisi temuan saja.
2. Login di web, sidebar &gt; Laporan Stasiun (/reports), tekan tile Sterilizer (/reports/sterilizer), lalu pilih Periode dan Production Line dengan periode itu.
3. Baca blok downtime dan daftar temuan.
4. Periksa apakah slot "temuan saja" ikut menambah angka downtime.</t>
        </is>
      </c>
      <c r="K1079" s="5" t="inlineStr">
        <is>
          <t>- Keduanya dihitung terpisah: slot yang hanya mengisi temuan tidak menambah menit downtime.
- Slot yang mengisi keduanya muncul di kedua tempat.
- Daftar temuan tidak hanya memuat temuan yang punya downtime.</t>
        </is>
      </c>
      <c r="L1079" s="22" t="inlineStr">
        <is>
          <t>Sedang</t>
        </is>
      </c>
      <c r="M1079" s="5" t="inlineStr"/>
      <c r="N1079" s="17" t="n"/>
      <c r="O1079" s="17" t="n"/>
      <c r="P1079" s="17" t="n"/>
      <c r="Q1079" s="17" t="n"/>
      <c r="R1079" s="17" t="n"/>
    </row>
    <row r="1080" ht="136" customHeight="1">
      <c r="A1080" s="18" t="n">
        <v>1076</v>
      </c>
      <c r="B1080" s="18" t="n">
        <v>3</v>
      </c>
      <c r="C1080" s="19" t="inlineStr">
        <is>
          <t>LP-W-14 / Threshing</t>
        </is>
      </c>
      <c r="D1080" s="19" t="inlineStr">
        <is>
          <t>LP-W-14</t>
        </is>
      </c>
      <c r="E1080" s="20" t="inlineStr">
        <is>
          <t>Threshing</t>
        </is>
      </c>
      <c r="F1080" s="21" t="inlineStr">
        <is>
          <t>Laporan Periode Stasiun (LP-)</t>
        </is>
      </c>
      <c r="G1080" s="20" t="inlineStr">
        <is>
          <t>Temuan terpisah dari downtime</t>
        </is>
      </c>
      <c r="H1080" s="21" t="inlineStr">
        <is>
          <t>SPV-A</t>
        </is>
      </c>
      <c r="I1080" s="21" t="inlineStr">
        <is>
          <t>satu slot yang mengisi downtime dan temuan sekaligus</t>
        </is>
      </c>
      <c r="J1080" s="21" t="inlineStr">
        <is>
          <t>1. Siapkan satu slot yang mengisi downtime dan temuan sekaligus, dan satu slot yang mengisi temuan saja.
2. Login di web, sidebar &gt; Laporan Stasiun (/reports), tekan tile Threshing (/reports/threshing), lalu pilih Periode dan Production Line dengan periode itu.
3. Baca blok downtime dan daftar temuan.
4. Periksa apakah slot "temuan saja" ikut menambah angka downtime.</t>
        </is>
      </c>
      <c r="K1080" s="21" t="inlineStr">
        <is>
          <t>- Keduanya dihitung terpisah: slot yang hanya mengisi temuan tidak menambah menit downtime.
- Slot yang mengisi keduanya muncul di kedua tempat.
- Daftar temuan tidak hanya memuat temuan yang punya downtime.</t>
        </is>
      </c>
      <c r="L1080" s="18" t="inlineStr">
        <is>
          <t>Sedang</t>
        </is>
      </c>
      <c r="M1080" s="21" t="inlineStr"/>
      <c r="N1080" s="17" t="n"/>
      <c r="O1080" s="17" t="n"/>
      <c r="P1080" s="17" t="n"/>
      <c r="Q1080" s="17" t="n"/>
      <c r="R1080" s="17" t="n"/>
    </row>
    <row r="1081" ht="136" customHeight="1">
      <c r="A1081" s="22" t="n">
        <v>1077</v>
      </c>
      <c r="B1081" s="22" t="n">
        <v>3</v>
      </c>
      <c r="C1081" s="23" t="inlineStr">
        <is>
          <t>LP-W-14 / Pressing</t>
        </is>
      </c>
      <c r="D1081" s="23" t="inlineStr">
        <is>
          <t>LP-W-14</t>
        </is>
      </c>
      <c r="E1081" s="24" t="inlineStr">
        <is>
          <t>Pressing</t>
        </is>
      </c>
      <c r="F1081" s="5" t="inlineStr">
        <is>
          <t>Laporan Periode Stasiun (LP-)</t>
        </is>
      </c>
      <c r="G1081" s="24" t="inlineStr">
        <is>
          <t>Temuan terpisah dari downtime</t>
        </is>
      </c>
      <c r="H1081" s="5" t="inlineStr">
        <is>
          <t>SPV-A</t>
        </is>
      </c>
      <c r="I1081" s="5" t="inlineStr">
        <is>
          <t>satu slot yang mengisi downtime dan temuan sekaligus</t>
        </is>
      </c>
      <c r="J1081" s="5" t="inlineStr">
        <is>
          <t>1. Siapkan satu slot yang mengisi downtime dan temuan sekaligus, dan satu slot yang mengisi temuan saja.
2. Login di web, sidebar &gt; Laporan Stasiun (/reports), tekan tile Pressing (/reports/pressing), lalu pilih Periode dan Production Line dengan periode itu.
3. Baca blok downtime dan daftar temuan.
4. Periksa apakah slot "temuan saja" ikut menambah angka downtime.</t>
        </is>
      </c>
      <c r="K1081" s="5" t="inlineStr">
        <is>
          <t>- Keduanya dihitung terpisah: slot yang hanya mengisi temuan tidak menambah menit downtime.
- Slot yang mengisi keduanya muncul di kedua tempat.
- Daftar temuan tidak hanya memuat temuan yang punya downtime.</t>
        </is>
      </c>
      <c r="L1081" s="22" t="inlineStr">
        <is>
          <t>Sedang</t>
        </is>
      </c>
      <c r="M1081" s="5" t="inlineStr"/>
      <c r="N1081" s="17" t="n"/>
      <c r="O1081" s="17" t="n"/>
      <c r="P1081" s="17" t="n"/>
      <c r="Q1081" s="17" t="n"/>
      <c r="R1081" s="17" t="n"/>
    </row>
    <row r="1082" ht="136" customHeight="1">
      <c r="A1082" s="18" t="n">
        <v>1078</v>
      </c>
      <c r="B1082" s="18" t="n">
        <v>3</v>
      </c>
      <c r="C1082" s="19" t="inlineStr">
        <is>
          <t>LP-W-14 / Clarification</t>
        </is>
      </c>
      <c r="D1082" s="19" t="inlineStr">
        <is>
          <t>LP-W-14</t>
        </is>
      </c>
      <c r="E1082" s="20" t="inlineStr">
        <is>
          <t>Clarification</t>
        </is>
      </c>
      <c r="F1082" s="21" t="inlineStr">
        <is>
          <t>Laporan Periode Stasiun (LP-)</t>
        </is>
      </c>
      <c r="G1082" s="20" t="inlineStr">
        <is>
          <t>Temuan terpisah dari downtime</t>
        </is>
      </c>
      <c r="H1082" s="21" t="inlineStr">
        <is>
          <t>SPV-A</t>
        </is>
      </c>
      <c r="I1082" s="21" t="inlineStr">
        <is>
          <t>satu slot yang mengisi downtime dan temuan sekaligus</t>
        </is>
      </c>
      <c r="J1082" s="21" t="inlineStr">
        <is>
          <t>1. Siapkan satu slot yang mengisi downtime dan temuan sekaligus, dan satu slot yang mengisi temuan saja.
2. Login di web, sidebar &gt; Laporan Stasiun (/reports), tekan tile Clarification (/reports/clarification), lalu pilih Periode dan Production Line dengan periode itu.
3. Baca blok downtime dan daftar temuan.
4. Periksa apakah slot "temuan saja" ikut menambah angka downtime.</t>
        </is>
      </c>
      <c r="K1082" s="21" t="inlineStr">
        <is>
          <t>- Keduanya dihitung terpisah: slot yang hanya mengisi temuan tidak menambah menit downtime.
- Slot yang mengisi keduanya muncul di kedua tempat.
- Daftar temuan tidak hanya memuat temuan yang punya downtime.</t>
        </is>
      </c>
      <c r="L1082" s="18" t="inlineStr">
        <is>
          <t>Sedang</t>
        </is>
      </c>
      <c r="M1082" s="21" t="inlineStr"/>
      <c r="N1082" s="17" t="n"/>
      <c r="O1082" s="17" t="n"/>
      <c r="P1082" s="17" t="n"/>
      <c r="Q1082" s="17" t="n"/>
      <c r="R1082" s="17" t="n"/>
    </row>
    <row r="1083" ht="136" customHeight="1">
      <c r="A1083" s="11" t="n">
        <v>1079</v>
      </c>
      <c r="B1083" s="12" t="n">
        <v>1</v>
      </c>
      <c r="C1083" s="13" t="inlineStr">
        <is>
          <t>LP-W-14 / Kernel Plant</t>
        </is>
      </c>
      <c r="D1083" s="13" t="inlineStr">
        <is>
          <t>LP-W-14</t>
        </is>
      </c>
      <c r="E1083" s="15" t="inlineStr">
        <is>
          <t>Kernel Plant</t>
        </is>
      </c>
      <c r="F1083" s="14" t="inlineStr">
        <is>
          <t>Laporan Periode Stasiun (LP-)</t>
        </is>
      </c>
      <c r="G1083" s="15" t="inlineStr">
        <is>
          <t>Temuan terpisah dari downtime</t>
        </is>
      </c>
      <c r="H1083" s="14" t="inlineStr">
        <is>
          <t>SPV-A</t>
        </is>
      </c>
      <c r="I1083" s="14" t="inlineStr">
        <is>
          <t>satu slot yang mengisi downtime dan temuan sekaligus</t>
        </is>
      </c>
      <c r="J1083" s="14" t="inlineStr">
        <is>
          <t>1. Siapkan satu slot yang mengisi downtime dan temuan sekaligus, dan satu slot yang mengisi temuan saja.
2. Login di web, sidebar &gt; Laporan Stasiun (/reports), tekan tile Kernel Plant (/reports/kernel-plant), lalu pilih Periode dan Production Line dengan periode itu.
3. Baca blok downtime dan daftar temuan.
4. Periksa apakah slot "temuan saja" ikut menambah angka downtime.</t>
        </is>
      </c>
      <c r="K1083" s="14" t="inlineStr">
        <is>
          <t>- Keduanya dihitung terpisah: slot yang hanya mengisi temuan tidak menambah menit downtime.
- Slot yang mengisi keduanya muncul di kedua tempat.
- Daftar temuan tidak hanya memuat temuan yang punya downtime.</t>
        </is>
      </c>
      <c r="L1083" s="11" t="inlineStr">
        <is>
          <t>Sedang</t>
        </is>
      </c>
      <c r="M1083" s="14" t="inlineStr"/>
      <c r="N1083" s="17" t="n"/>
      <c r="O1083" s="17" t="n"/>
      <c r="P1083" s="17" t="n"/>
      <c r="Q1083" s="17" t="n"/>
      <c r="R1083" s="17" t="n"/>
    </row>
    <row r="1084" ht="136" customHeight="1">
      <c r="A1084" s="18" t="n">
        <v>1080</v>
      </c>
      <c r="B1084" s="18" t="n">
        <v>3</v>
      </c>
      <c r="C1084" s="19" t="inlineStr">
        <is>
          <t>LP-W-14 / Boiler Room</t>
        </is>
      </c>
      <c r="D1084" s="19" t="inlineStr">
        <is>
          <t>LP-W-14</t>
        </is>
      </c>
      <c r="E1084" s="20" t="inlineStr">
        <is>
          <t>Boiler Room</t>
        </is>
      </c>
      <c r="F1084" s="21" t="inlineStr">
        <is>
          <t>Laporan Periode Stasiun (LP-)</t>
        </is>
      </c>
      <c r="G1084" s="20" t="inlineStr">
        <is>
          <t>Temuan terpisah dari downtime</t>
        </is>
      </c>
      <c r="H1084" s="21" t="inlineStr">
        <is>
          <t>SPV-A</t>
        </is>
      </c>
      <c r="I1084" s="21" t="inlineStr">
        <is>
          <t>satu slot yang mengisi downtime dan temuan sekaligus</t>
        </is>
      </c>
      <c r="J1084" s="21" t="inlineStr">
        <is>
          <t>1. Siapkan satu slot yang mengisi downtime dan temuan sekaligus, dan satu slot yang mengisi temuan saja.
2. Login di web, sidebar &gt; Laporan Stasiun (/reports), tekan tile Boiler Room (/reports/boiler-room), lalu pilih Periode dan Production Line dengan periode itu.
3. Baca blok downtime dan daftar temuan.
4. Periksa apakah slot "temuan saja" ikut menambah angka downtime.</t>
        </is>
      </c>
      <c r="K1084" s="21" t="inlineStr">
        <is>
          <t>- Keduanya dihitung terpisah: slot yang hanya mengisi temuan tidak menambah menit downtime.
- Slot yang mengisi keduanya muncul di kedua tempat.
- Daftar temuan tidak hanya memuat temuan yang punya downtime.</t>
        </is>
      </c>
      <c r="L1084" s="18" t="inlineStr">
        <is>
          <t>Sedang</t>
        </is>
      </c>
      <c r="M1084" s="21" t="inlineStr"/>
      <c r="N1084" s="17" t="n"/>
      <c r="O1084" s="17" t="n"/>
      <c r="P1084" s="17" t="n"/>
      <c r="Q1084" s="17" t="n"/>
      <c r="R1084" s="17" t="n"/>
    </row>
    <row r="1085" ht="136" customHeight="1">
      <c r="A1085" s="22" t="n">
        <v>1081</v>
      </c>
      <c r="B1085" s="22" t="n">
        <v>3</v>
      </c>
      <c r="C1085" s="23" t="inlineStr">
        <is>
          <t>LP-W-14 / Depricarping</t>
        </is>
      </c>
      <c r="D1085" s="23" t="inlineStr">
        <is>
          <t>LP-W-14</t>
        </is>
      </c>
      <c r="E1085" s="24" t="inlineStr">
        <is>
          <t>Depricarping</t>
        </is>
      </c>
      <c r="F1085" s="5" t="inlineStr">
        <is>
          <t>Laporan Periode Stasiun (LP-)</t>
        </is>
      </c>
      <c r="G1085" s="24" t="inlineStr">
        <is>
          <t>Temuan terpisah dari downtime</t>
        </is>
      </c>
      <c r="H1085" s="5" t="inlineStr">
        <is>
          <t>SPV-A</t>
        </is>
      </c>
      <c r="I1085" s="5" t="inlineStr">
        <is>
          <t>satu slot yang mengisi downtime dan temuan sekaligus</t>
        </is>
      </c>
      <c r="J1085" s="5" t="inlineStr">
        <is>
          <t>1. Siapkan satu slot yang mengisi downtime dan temuan sekaligus, dan satu slot yang mengisi temuan saja.
2. Login di web, sidebar &gt; Laporan Stasiun (/reports), tekan tile Depricarping (/reports/depricarping), lalu pilih Periode dan Production Line dengan periode itu.
3. Baca blok downtime dan daftar temuan.
4. Periksa apakah slot "temuan saja" ikut menambah angka downtime.</t>
        </is>
      </c>
      <c r="K1085" s="5" t="inlineStr">
        <is>
          <t>- Keduanya dihitung terpisah: slot yang hanya mengisi temuan tidak menambah menit downtime.
- Slot yang mengisi keduanya muncul di kedua tempat.
- Daftar temuan tidak hanya memuat temuan yang punya downtime.</t>
        </is>
      </c>
      <c r="L1085" s="22" t="inlineStr">
        <is>
          <t>Sedang</t>
        </is>
      </c>
      <c r="M1085" s="5" t="inlineStr"/>
      <c r="N1085" s="17" t="n"/>
      <c r="O1085" s="17" t="n"/>
      <c r="P1085" s="17" t="n"/>
      <c r="Q1085" s="17" t="n"/>
      <c r="R1085" s="17" t="n"/>
    </row>
    <row r="1086" ht="136" customHeight="1">
      <c r="A1086" s="18" t="n">
        <v>1082</v>
      </c>
      <c r="B1086" s="18" t="n">
        <v>3</v>
      </c>
      <c r="C1086" s="19" t="inlineStr">
        <is>
          <t>LP-W-14 / Storage Tank</t>
        </is>
      </c>
      <c r="D1086" s="19" t="inlineStr">
        <is>
          <t>LP-W-14</t>
        </is>
      </c>
      <c r="E1086" s="20" t="inlineStr">
        <is>
          <t>Storage Tank</t>
        </is>
      </c>
      <c r="F1086" s="21" t="inlineStr">
        <is>
          <t>Laporan Periode Stasiun (LP-)</t>
        </is>
      </c>
      <c r="G1086" s="20" t="inlineStr">
        <is>
          <t>Temuan terpisah dari downtime</t>
        </is>
      </c>
      <c r="H1086" s="21" t="inlineStr">
        <is>
          <t>SPV-A</t>
        </is>
      </c>
      <c r="I1086" s="21" t="inlineStr">
        <is>
          <t>satu slot yang mengisi downtime dan temuan sekaligus</t>
        </is>
      </c>
      <c r="J1086" s="21" t="inlineStr">
        <is>
          <t>1. Siapkan satu slot yang mengisi downtime dan temuan sekaligus, dan satu slot yang mengisi temuan saja.
2. Login di web, sidebar &gt; Laporan Stasiun (/reports), tekan tile Storage Tank (/reports/storage-tank), lalu pilih Periode dan Production Line dengan periode itu.
3. Baca blok downtime dan daftar temuan.
4. Periksa apakah slot "temuan saja" ikut menambah angka downtime.</t>
        </is>
      </c>
      <c r="K1086" s="21" t="inlineStr">
        <is>
          <t>- Keduanya dihitung terpisah: slot yang hanya mengisi temuan tidak menambah menit downtime.
- Slot yang mengisi keduanya muncul di kedua tempat.
- Daftar temuan tidak hanya memuat temuan yang punya downtime.</t>
        </is>
      </c>
      <c r="L1086" s="18" t="inlineStr">
        <is>
          <t>Sedang</t>
        </is>
      </c>
      <c r="M1086" s="21" t="inlineStr"/>
      <c r="N1086" s="17" t="n"/>
      <c r="O1086" s="17" t="n"/>
      <c r="P1086" s="17" t="n"/>
      <c r="Q1086" s="17" t="n"/>
      <c r="R1086" s="17" t="n"/>
    </row>
    <row r="1087" ht="136" customHeight="1">
      <c r="A1087" s="22" t="n">
        <v>1083</v>
      </c>
      <c r="B1087" s="22" t="n">
        <v>3</v>
      </c>
      <c r="C1087" s="23" t="inlineStr">
        <is>
          <t>LP-W-15 / Weighbridge</t>
        </is>
      </c>
      <c r="D1087" s="23" t="inlineStr">
        <is>
          <t>LP-W-15</t>
        </is>
      </c>
      <c r="E1087" s="24" t="inlineStr">
        <is>
          <t>Weighbridge</t>
        </is>
      </c>
      <c r="F1087" s="5" t="inlineStr">
        <is>
          <t>Laporan Periode Stasiun (LP-)</t>
        </is>
      </c>
      <c r="G1087" s="24" t="inlineStr">
        <is>
          <t>Bagian "standar tanpa pengukuran" tetap digambar walau kosong</t>
        </is>
      </c>
      <c r="H1087" s="5" t="inlineStr">
        <is>
          <t>SPV-A</t>
        </is>
      </c>
      <c r="I1087" s="5" t="inlineStr">
        <is>
          <t>stasiun yang punya master target (Threshing, Pressing, Depricarping, Kernel Plant)</t>
        </is>
      </c>
      <c r="J1087" s="5" t="inlineStr">
        <is>
          <t>1. Pilih stasiun bermaster target: Threshing, Pressing, Depricarping, atau Kernel Plant.
2. Login di web, sidebar &gt; Laporan Stasiun (/reports), tekan tile Weighbridge (/reports/weighbridge), lalu pilih Periode dan Production Line untuk stasiun itu dengan data.
3. Cari bagian standar tanpa pengukuran (standar master yang tidak punya kolom ukur).
4. Baca isinya dan keterangannya.</t>
        </is>
      </c>
      <c r="K1087" s="5"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087" s="22" t="inlineStr">
        <is>
          <t>Sedang</t>
        </is>
      </c>
      <c r="M1087" s="5" t="inlineStr">
        <is>
          <t>bagian yang menghilang saat kosong tak dapat dibedakan dari bagian yang belum pernah dibuat.</t>
        </is>
      </c>
      <c r="N1087" s="17" t="n"/>
      <c r="O1087" s="17" t="n"/>
      <c r="P1087" s="17" t="n"/>
      <c r="Q1087" s="17" t="n"/>
      <c r="R1087" s="17" t="n"/>
    </row>
    <row r="1088" ht="136" customHeight="1">
      <c r="A1088" s="18" t="n">
        <v>1084</v>
      </c>
      <c r="B1088" s="18" t="n">
        <v>3</v>
      </c>
      <c r="C1088" s="19" t="inlineStr">
        <is>
          <t>LP-W-15 / Grading</t>
        </is>
      </c>
      <c r="D1088" s="19" t="inlineStr">
        <is>
          <t>LP-W-15</t>
        </is>
      </c>
      <c r="E1088" s="20" t="inlineStr">
        <is>
          <t>Grading</t>
        </is>
      </c>
      <c r="F1088" s="21" t="inlineStr">
        <is>
          <t>Laporan Periode Stasiun (LP-)</t>
        </is>
      </c>
      <c r="G1088" s="20" t="inlineStr">
        <is>
          <t>Bagian "standar tanpa pengukuran" tetap digambar walau kosong</t>
        </is>
      </c>
      <c r="H1088" s="21" t="inlineStr">
        <is>
          <t>SPV-A</t>
        </is>
      </c>
      <c r="I1088" s="21" t="inlineStr">
        <is>
          <t>stasiun yang punya master target (Threshing, Pressing, Depricarping, Kernel Plant)</t>
        </is>
      </c>
      <c r="J1088" s="21" t="inlineStr">
        <is>
          <t>1. Pilih stasiun bermaster target: Threshing, Pressing, Depricarping, atau Kernel Plant.
2. Login di web, sidebar &gt; Laporan Stasiun (/reports), tekan tile Grading (/reports/grading), lalu pilih Periode dan Production Line untuk stasiun itu dengan data.
3. Cari bagian standar tanpa pengukuran (standar master yang tidak punya kolom ukur).
4. Baca isinya dan keterangannya.</t>
        </is>
      </c>
      <c r="K1088" s="21"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088" s="18" t="inlineStr">
        <is>
          <t>Sedang</t>
        </is>
      </c>
      <c r="M1088" s="21" t="inlineStr">
        <is>
          <t>bagian yang menghilang saat kosong tak dapat dibedakan dari bagian yang belum pernah dibuat.</t>
        </is>
      </c>
      <c r="N1088" s="17" t="n"/>
      <c r="O1088" s="17" t="n"/>
      <c r="P1088" s="17" t="n"/>
      <c r="Q1088" s="17" t="n"/>
      <c r="R1088" s="17" t="n"/>
    </row>
    <row r="1089" ht="136" customHeight="1">
      <c r="A1089" s="22" t="n">
        <v>1085</v>
      </c>
      <c r="B1089" s="22" t="n">
        <v>3</v>
      </c>
      <c r="C1089" s="23" t="inlineStr">
        <is>
          <t>LP-W-15 / Cages Track</t>
        </is>
      </c>
      <c r="D1089" s="23" t="inlineStr">
        <is>
          <t>LP-W-15</t>
        </is>
      </c>
      <c r="E1089" s="24" t="inlineStr">
        <is>
          <t>Cages Track</t>
        </is>
      </c>
      <c r="F1089" s="5" t="inlineStr">
        <is>
          <t>Laporan Periode Stasiun (LP-)</t>
        </is>
      </c>
      <c r="G1089" s="24" t="inlineStr">
        <is>
          <t>Bagian "standar tanpa pengukuran" tetap digambar walau kosong</t>
        </is>
      </c>
      <c r="H1089" s="5" t="inlineStr">
        <is>
          <t>SPV-A</t>
        </is>
      </c>
      <c r="I1089" s="5" t="inlineStr">
        <is>
          <t>stasiun yang punya master target (Threshing, Pressing, Depricarping, Kernel Plant)</t>
        </is>
      </c>
      <c r="J1089" s="5" t="inlineStr">
        <is>
          <t>1. Pilih stasiun bermaster target: Threshing, Pressing, Depricarping, atau Kernel Plant.
2. Login di web, sidebar &gt; Laporan Stasiun (/reports), tekan tile Cages Track (/reports/cages-track), lalu pilih Periode dan Production Line untuk stasiun itu dengan data.
3. Cari bagian standar tanpa pengukuran (standar master yang tidak punya kolom ukur).
4. Baca isinya dan keterangannya.</t>
        </is>
      </c>
      <c r="K1089" s="5"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089" s="22" t="inlineStr">
        <is>
          <t>Sedang</t>
        </is>
      </c>
      <c r="M1089" s="5" t="inlineStr">
        <is>
          <t>bagian yang menghilang saat kosong tak dapat dibedakan dari bagian yang belum pernah dibuat.</t>
        </is>
      </c>
      <c r="N1089" s="17" t="n"/>
      <c r="O1089" s="17" t="n"/>
      <c r="P1089" s="17" t="n"/>
      <c r="Q1089" s="17" t="n"/>
      <c r="R1089" s="17" t="n"/>
    </row>
    <row r="1090" ht="136" customHeight="1">
      <c r="A1090" s="18" t="n">
        <v>1086</v>
      </c>
      <c r="B1090" s="18" t="n">
        <v>3</v>
      </c>
      <c r="C1090" s="19" t="inlineStr">
        <is>
          <t>LP-W-15 / Sterilizer</t>
        </is>
      </c>
      <c r="D1090" s="19" t="inlineStr">
        <is>
          <t>LP-W-15</t>
        </is>
      </c>
      <c r="E1090" s="20" t="inlineStr">
        <is>
          <t>Sterilizer</t>
        </is>
      </c>
      <c r="F1090" s="21" t="inlineStr">
        <is>
          <t>Laporan Periode Stasiun (LP-)</t>
        </is>
      </c>
      <c r="G1090" s="20" t="inlineStr">
        <is>
          <t>Bagian "standar tanpa pengukuran" tetap digambar walau kosong</t>
        </is>
      </c>
      <c r="H1090" s="21" t="inlineStr">
        <is>
          <t>SPV-A</t>
        </is>
      </c>
      <c r="I1090" s="21" t="inlineStr">
        <is>
          <t>stasiun yang punya master target (Threshing, Pressing, Depricarping, Kernel Plant)</t>
        </is>
      </c>
      <c r="J1090" s="21" t="inlineStr">
        <is>
          <t>1. Pilih stasiun bermaster target: Threshing, Pressing, Depricarping, atau Kernel Plant.
2. Login di web, sidebar &gt; Laporan Stasiun (/reports), tekan tile Sterilizer (/reports/sterilizer), lalu pilih Periode dan Production Line untuk stasiun itu dengan data.
3. Cari bagian standar tanpa pengukuran (standar master yang tidak punya kolom ukur).
4. Baca isinya dan keterangannya.</t>
        </is>
      </c>
      <c r="K1090" s="21"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090" s="18" t="inlineStr">
        <is>
          <t>Sedang</t>
        </is>
      </c>
      <c r="M1090" s="21" t="inlineStr">
        <is>
          <t>bagian yang menghilang saat kosong tak dapat dibedakan dari bagian yang belum pernah dibuat.</t>
        </is>
      </c>
      <c r="N1090" s="17" t="n"/>
      <c r="O1090" s="17" t="n"/>
      <c r="P1090" s="17" t="n"/>
      <c r="Q1090" s="17" t="n"/>
      <c r="R1090" s="17" t="n"/>
    </row>
    <row r="1091" ht="136" customHeight="1">
      <c r="A1091" s="22" t="n">
        <v>1087</v>
      </c>
      <c r="B1091" s="22" t="n">
        <v>3</v>
      </c>
      <c r="C1091" s="23" t="inlineStr">
        <is>
          <t>LP-W-15 / Threshing</t>
        </is>
      </c>
      <c r="D1091" s="23" t="inlineStr">
        <is>
          <t>LP-W-15</t>
        </is>
      </c>
      <c r="E1091" s="24" t="inlineStr">
        <is>
          <t>Threshing</t>
        </is>
      </c>
      <c r="F1091" s="5" t="inlineStr">
        <is>
          <t>Laporan Periode Stasiun (LP-)</t>
        </is>
      </c>
      <c r="G1091" s="24" t="inlineStr">
        <is>
          <t>Bagian "standar tanpa pengukuran" tetap digambar walau kosong</t>
        </is>
      </c>
      <c r="H1091" s="5" t="inlineStr">
        <is>
          <t>SPV-A</t>
        </is>
      </c>
      <c r="I1091" s="5" t="inlineStr">
        <is>
          <t>stasiun yang punya master target (Threshing, Pressing, Depricarping, Kernel Plant)</t>
        </is>
      </c>
      <c r="J1091" s="5" t="inlineStr">
        <is>
          <t>1. Pilih stasiun bermaster target: Threshing, Pressing, Depricarping, atau Kernel Plant.
2. Login di web, sidebar &gt; Laporan Stasiun (/reports), tekan tile Threshing (/reports/threshing), lalu pilih Periode dan Production Line untuk stasiun itu dengan data.
3. Cari bagian standar tanpa pengukuran (standar master yang tidak punya kolom ukur).
4. Baca isinya dan keterangannya.</t>
        </is>
      </c>
      <c r="K1091" s="5"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091" s="22" t="inlineStr">
        <is>
          <t>Sedang</t>
        </is>
      </c>
      <c r="M1091" s="5" t="inlineStr">
        <is>
          <t>bagian yang menghilang saat kosong tak dapat dibedakan dari bagian yang belum pernah dibuat.</t>
        </is>
      </c>
      <c r="N1091" s="17" t="n"/>
      <c r="O1091" s="17" t="n"/>
      <c r="P1091" s="17" t="n"/>
      <c r="Q1091" s="17" t="n"/>
      <c r="R1091" s="17" t="n"/>
    </row>
    <row r="1092" ht="136" customHeight="1">
      <c r="A1092" s="18" t="n">
        <v>1088</v>
      </c>
      <c r="B1092" s="18" t="n">
        <v>3</v>
      </c>
      <c r="C1092" s="19" t="inlineStr">
        <is>
          <t>LP-W-15 / Pressing</t>
        </is>
      </c>
      <c r="D1092" s="19" t="inlineStr">
        <is>
          <t>LP-W-15</t>
        </is>
      </c>
      <c r="E1092" s="20" t="inlineStr">
        <is>
          <t>Pressing</t>
        </is>
      </c>
      <c r="F1092" s="21" t="inlineStr">
        <is>
          <t>Laporan Periode Stasiun (LP-)</t>
        </is>
      </c>
      <c r="G1092" s="20" t="inlineStr">
        <is>
          <t>Bagian "standar tanpa pengukuran" tetap digambar walau kosong</t>
        </is>
      </c>
      <c r="H1092" s="21" t="inlineStr">
        <is>
          <t>SPV-A</t>
        </is>
      </c>
      <c r="I1092" s="21" t="inlineStr">
        <is>
          <t>stasiun yang punya master target (Threshing, Pressing, Depricarping, Kernel Plant)</t>
        </is>
      </c>
      <c r="J1092" s="21" t="inlineStr">
        <is>
          <t>1. Pilih stasiun bermaster target: Threshing, Pressing, Depricarping, atau Kernel Plant.
2. Login di web, sidebar &gt; Laporan Stasiun (/reports), tekan tile Pressing (/reports/pressing), lalu pilih Periode dan Production Line untuk stasiun itu dengan data.
3. Cari bagian standar tanpa pengukuran (standar master yang tidak punya kolom ukur).
4. Baca isinya dan keterangannya.</t>
        </is>
      </c>
      <c r="K1092" s="21"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092" s="18" t="inlineStr">
        <is>
          <t>Sedang</t>
        </is>
      </c>
      <c r="M1092" s="21" t="inlineStr">
        <is>
          <t>bagian yang menghilang saat kosong tak dapat dibedakan dari bagian yang belum pernah dibuat.</t>
        </is>
      </c>
      <c r="N1092" s="17" t="n"/>
      <c r="O1092" s="17" t="n"/>
      <c r="P1092" s="17" t="n"/>
      <c r="Q1092" s="17" t="n"/>
      <c r="R1092" s="17" t="n"/>
    </row>
    <row r="1093" ht="136" customHeight="1">
      <c r="A1093" s="22" t="n">
        <v>1089</v>
      </c>
      <c r="B1093" s="22" t="n">
        <v>3</v>
      </c>
      <c r="C1093" s="23" t="inlineStr">
        <is>
          <t>LP-W-15 / Clarification</t>
        </is>
      </c>
      <c r="D1093" s="23" t="inlineStr">
        <is>
          <t>LP-W-15</t>
        </is>
      </c>
      <c r="E1093" s="24" t="inlineStr">
        <is>
          <t>Clarification</t>
        </is>
      </c>
      <c r="F1093" s="5" t="inlineStr">
        <is>
          <t>Laporan Periode Stasiun (LP-)</t>
        </is>
      </c>
      <c r="G1093" s="24" t="inlineStr">
        <is>
          <t>Bagian "standar tanpa pengukuran" tetap digambar walau kosong</t>
        </is>
      </c>
      <c r="H1093" s="5" t="inlineStr">
        <is>
          <t>SPV-A</t>
        </is>
      </c>
      <c r="I1093" s="5" t="inlineStr">
        <is>
          <t>stasiun yang punya master target (Threshing, Pressing, Depricarping, Kernel Plant)</t>
        </is>
      </c>
      <c r="J1093" s="5" t="inlineStr">
        <is>
          <t>1. Pilih stasiun bermaster target: Threshing, Pressing, Depricarping, atau Kernel Plant.
2. Login di web, sidebar &gt; Laporan Stasiun (/reports), tekan tile Clarification (/reports/clarification), lalu pilih Periode dan Production Line untuk stasiun itu dengan data.
3. Cari bagian standar tanpa pengukuran (standar master yang tidak punya kolom ukur).
4. Baca isinya dan keterangannya.</t>
        </is>
      </c>
      <c r="K1093" s="5"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093" s="22" t="inlineStr">
        <is>
          <t>Sedang</t>
        </is>
      </c>
      <c r="M1093" s="5" t="inlineStr">
        <is>
          <t>bagian yang menghilang saat kosong tak dapat dibedakan dari bagian yang belum pernah dibuat.</t>
        </is>
      </c>
      <c r="N1093" s="17" t="n"/>
      <c r="O1093" s="17" t="n"/>
      <c r="P1093" s="17" t="n"/>
      <c r="Q1093" s="17" t="n"/>
      <c r="R1093" s="17" t="n"/>
    </row>
    <row r="1094" ht="136" customHeight="1">
      <c r="A1094" s="11" t="n">
        <v>1090</v>
      </c>
      <c r="B1094" s="12" t="n">
        <v>1</v>
      </c>
      <c r="C1094" s="13" t="inlineStr">
        <is>
          <t>LP-W-15 / Kernel Plant</t>
        </is>
      </c>
      <c r="D1094" s="13" t="inlineStr">
        <is>
          <t>LP-W-15</t>
        </is>
      </c>
      <c r="E1094" s="15" t="inlineStr">
        <is>
          <t>Kernel Plant</t>
        </is>
      </c>
      <c r="F1094" s="14" t="inlineStr">
        <is>
          <t>Laporan Periode Stasiun (LP-)</t>
        </is>
      </c>
      <c r="G1094" s="15" t="inlineStr">
        <is>
          <t>Bagian "standar tanpa pengukuran" tetap digambar walau kosong</t>
        </is>
      </c>
      <c r="H1094" s="14" t="inlineStr">
        <is>
          <t>SPV-A</t>
        </is>
      </c>
      <c r="I1094" s="14" t="inlineStr">
        <is>
          <t>stasiun yang punya master target (Threshing, Pressing, Depricarping, Kernel Plant)</t>
        </is>
      </c>
      <c r="J1094" s="14" t="inlineStr">
        <is>
          <t>1. Pilih stasiun bermaster target: Threshing, Pressing, Depricarping, atau Kernel Plant.
2. Login di web, sidebar &gt; Laporan Stasiun (/reports), tekan tile Kernel Plant (/reports/kernel-plant), lalu pilih Periode dan Production Line untuk stasiun itu dengan data.
3. Cari bagian standar tanpa pengukuran (standar master yang tidak punya kolom ukur).
4. Baca isinya dan keterangannya.</t>
        </is>
      </c>
      <c r="K1094" s="14"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094" s="11" t="inlineStr">
        <is>
          <t>Sedang</t>
        </is>
      </c>
      <c r="M1094" s="14" t="inlineStr">
        <is>
          <t>bagian yang menghilang saat kosong tak dapat dibedakan dari bagian yang belum pernah dibuat.</t>
        </is>
      </c>
      <c r="N1094" s="17" t="n"/>
      <c r="O1094" s="17" t="n"/>
      <c r="P1094" s="17" t="n"/>
      <c r="Q1094" s="17" t="n"/>
      <c r="R1094" s="17" t="n"/>
    </row>
    <row r="1095" ht="136" customHeight="1">
      <c r="A1095" s="22" t="n">
        <v>1091</v>
      </c>
      <c r="B1095" s="22" t="n">
        <v>3</v>
      </c>
      <c r="C1095" s="23" t="inlineStr">
        <is>
          <t>LP-W-15 / Boiler Room</t>
        </is>
      </c>
      <c r="D1095" s="23" t="inlineStr">
        <is>
          <t>LP-W-15</t>
        </is>
      </c>
      <c r="E1095" s="24" t="inlineStr">
        <is>
          <t>Boiler Room</t>
        </is>
      </c>
      <c r="F1095" s="5" t="inlineStr">
        <is>
          <t>Laporan Periode Stasiun (LP-)</t>
        </is>
      </c>
      <c r="G1095" s="24" t="inlineStr">
        <is>
          <t>Bagian "standar tanpa pengukuran" tetap digambar walau kosong</t>
        </is>
      </c>
      <c r="H1095" s="5" t="inlineStr">
        <is>
          <t>SPV-A</t>
        </is>
      </c>
      <c r="I1095" s="5" t="inlineStr">
        <is>
          <t>stasiun yang punya master target (Threshing, Pressing, Depricarping, Kernel Plant)</t>
        </is>
      </c>
      <c r="J1095" s="5" t="inlineStr">
        <is>
          <t>1. Pilih stasiun bermaster target: Threshing, Pressing, Depricarping, atau Kernel Plant.
2. Login di web, sidebar &gt; Laporan Stasiun (/reports), tekan tile Boiler Room (/reports/boiler-room), lalu pilih Periode dan Production Line untuk stasiun itu dengan data.
3. Cari bagian standar tanpa pengukuran (standar master yang tidak punya kolom ukur).
4. Baca isinya dan keterangannya.</t>
        </is>
      </c>
      <c r="K1095" s="5"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095" s="22" t="inlineStr">
        <is>
          <t>Sedang</t>
        </is>
      </c>
      <c r="M1095" s="5" t="inlineStr">
        <is>
          <t>bagian yang menghilang saat kosong tak dapat dibedakan dari bagian yang belum pernah dibuat.</t>
        </is>
      </c>
      <c r="N1095" s="17" t="n"/>
      <c r="O1095" s="17" t="n"/>
      <c r="P1095" s="17" t="n"/>
      <c r="Q1095" s="17" t="n"/>
      <c r="R1095" s="17" t="n"/>
    </row>
    <row r="1096" ht="136" customHeight="1">
      <c r="A1096" s="18" t="n">
        <v>1092</v>
      </c>
      <c r="B1096" s="18" t="n">
        <v>3</v>
      </c>
      <c r="C1096" s="19" t="inlineStr">
        <is>
          <t>LP-W-15 / Depricarping</t>
        </is>
      </c>
      <c r="D1096" s="19" t="inlineStr">
        <is>
          <t>LP-W-15</t>
        </is>
      </c>
      <c r="E1096" s="20" t="inlineStr">
        <is>
          <t>Depricarping</t>
        </is>
      </c>
      <c r="F1096" s="21" t="inlineStr">
        <is>
          <t>Laporan Periode Stasiun (LP-)</t>
        </is>
      </c>
      <c r="G1096" s="20" t="inlineStr">
        <is>
          <t>Bagian "standar tanpa pengukuran" tetap digambar walau kosong</t>
        </is>
      </c>
      <c r="H1096" s="21" t="inlineStr">
        <is>
          <t>SPV-A</t>
        </is>
      </c>
      <c r="I1096" s="21" t="inlineStr">
        <is>
          <t>stasiun yang punya master target (Threshing, Pressing, Depricarping, Kernel Plant)</t>
        </is>
      </c>
      <c r="J1096" s="21" t="inlineStr">
        <is>
          <t>1. Pilih stasiun bermaster target: Threshing, Pressing, Depricarping, atau Kernel Plant.
2. Login di web, sidebar &gt; Laporan Stasiun (/reports), tekan tile Depricarping (/reports/depricarping), lalu pilih Periode dan Production Line untuk stasiun itu dengan data.
3. Cari bagian standar tanpa pengukuran (standar master yang tidak punya kolom ukur).
4. Baca isinya dan keterangannya.</t>
        </is>
      </c>
      <c r="K1096" s="21"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096" s="18" t="inlineStr">
        <is>
          <t>Sedang</t>
        </is>
      </c>
      <c r="M1096" s="21" t="inlineStr">
        <is>
          <t>bagian yang menghilang saat kosong tak dapat dibedakan dari bagian yang belum pernah dibuat.</t>
        </is>
      </c>
      <c r="N1096" s="17" t="n"/>
      <c r="O1096" s="17" t="n"/>
      <c r="P1096" s="17" t="n"/>
      <c r="Q1096" s="17" t="n"/>
      <c r="R1096" s="17" t="n"/>
    </row>
    <row r="1097" ht="136" customHeight="1">
      <c r="A1097" s="22" t="n">
        <v>1093</v>
      </c>
      <c r="B1097" s="22" t="n">
        <v>3</v>
      </c>
      <c r="C1097" s="23" t="inlineStr">
        <is>
          <t>LP-W-15 / Storage Tank</t>
        </is>
      </c>
      <c r="D1097" s="23" t="inlineStr">
        <is>
          <t>LP-W-15</t>
        </is>
      </c>
      <c r="E1097" s="24" t="inlineStr">
        <is>
          <t>Storage Tank</t>
        </is>
      </c>
      <c r="F1097" s="5" t="inlineStr">
        <is>
          <t>Laporan Periode Stasiun (LP-)</t>
        </is>
      </c>
      <c r="G1097" s="24" t="inlineStr">
        <is>
          <t>Bagian "standar tanpa pengukuran" tetap digambar walau kosong</t>
        </is>
      </c>
      <c r="H1097" s="5" t="inlineStr">
        <is>
          <t>SPV-A</t>
        </is>
      </c>
      <c r="I1097" s="5" t="inlineStr">
        <is>
          <t>stasiun yang punya master target (Threshing, Pressing, Depricarping, Kernel Plant)</t>
        </is>
      </c>
      <c r="J1097" s="5" t="inlineStr">
        <is>
          <t>1. Pilih stasiun bermaster target: Threshing, Pressing, Depricarping, atau Kernel Plant.
2. Login di web, sidebar &gt; Laporan Stasiun (/reports), tekan tile Storage Tank (/reports/storage-tank), lalu pilih Periode dan Production Line untuk stasiun itu dengan data.
3. Cari bagian standar tanpa pengukuran (standar master yang tidak punya kolom ukur).
4. Baca isinya dan keterangannya.</t>
        </is>
      </c>
      <c r="K1097" s="5"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097" s="22" t="inlineStr">
        <is>
          <t>Sedang</t>
        </is>
      </c>
      <c r="M1097" s="5" t="inlineStr">
        <is>
          <t>bagian yang menghilang saat kosong tak dapat dibedakan dari bagian yang belum pernah dibuat.</t>
        </is>
      </c>
      <c r="N1097" s="17" t="n"/>
      <c r="O1097" s="17" t="n"/>
      <c r="P1097" s="17" t="n"/>
      <c r="Q1097" s="17" t="n"/>
      <c r="R1097" s="17" t="n"/>
    </row>
    <row r="1098" ht="122.8" customHeight="1">
      <c r="A1098" s="18" t="n">
        <v>1094</v>
      </c>
      <c r="B1098" s="18" t="n">
        <v>3</v>
      </c>
      <c r="C1098" s="19" t="inlineStr">
        <is>
          <t>LP-W-16 / Weighbridge</t>
        </is>
      </c>
      <c r="D1098" s="19" t="inlineStr">
        <is>
          <t>LP-W-16</t>
        </is>
      </c>
      <c r="E1098" s="20" t="inlineStr">
        <is>
          <t>Weighbridge</t>
        </is>
      </c>
      <c r="F1098" s="21" t="inlineStr">
        <is>
          <t>Laporan Periode Stasiun (LP-)</t>
        </is>
      </c>
      <c r="G1098" s="20" t="inlineStr">
        <is>
          <t>Kolom target dirender utuh, termasuk keterangan dalam tanda kurung</t>
        </is>
      </c>
      <c r="H1098" s="21" t="inlineStr">
        <is>
          <t>SPV-A</t>
        </is>
      </c>
      <c r="I1098" s="21" t="inlineStr">
        <is>
          <t>stasiun bermaster target</t>
        </is>
      </c>
      <c r="J1098" s="21" t="inlineStr">
        <is>
          <t>1. Pilih stasiun bermaster target.
2. Login di web, sidebar &gt; Laporan Stasiun (/reports), tekan tile Weighbridge (/reports/weighbridge), lalu pilih Periode dan Production Line untuk stasiun itu.
3. Baca kolom target pada setiap kartu parameter kata per kata.
4. Bandingkan dengan isi tabel Target Operasional pada layar Form stasiun yang sama.</t>
        </is>
      </c>
      <c r="K1098" s="21" t="inlineStr">
        <is>
          <t>- Teks targetnya dirender utuh, termasuk keterangan dalam tanda kurung — mis. ≤ 7.0% (Prevents mold growth).
- Tidak dipotong, tidak dibuang tanda kurungnya, tidak diuraikan menjadi angka saja.
- Isinya sama dengan tabel Target Operasional di Form.</t>
        </is>
      </c>
      <c r="L1098" s="18" t="inlineStr">
        <is>
          <t>Sedang</t>
        </is>
      </c>
      <c r="M1098" s="21" t="inlineStr"/>
      <c r="N1098" s="17" t="n"/>
      <c r="O1098" s="17" t="n"/>
      <c r="P1098" s="17" t="n"/>
      <c r="Q1098" s="17" t="n"/>
      <c r="R1098" s="17" t="n"/>
    </row>
    <row r="1099" ht="122.8" customHeight="1">
      <c r="A1099" s="22" t="n">
        <v>1095</v>
      </c>
      <c r="B1099" s="22" t="n">
        <v>3</v>
      </c>
      <c r="C1099" s="23" t="inlineStr">
        <is>
          <t>LP-W-16 / Grading</t>
        </is>
      </c>
      <c r="D1099" s="23" t="inlineStr">
        <is>
          <t>LP-W-16</t>
        </is>
      </c>
      <c r="E1099" s="24" t="inlineStr">
        <is>
          <t>Grading</t>
        </is>
      </c>
      <c r="F1099" s="5" t="inlineStr">
        <is>
          <t>Laporan Periode Stasiun (LP-)</t>
        </is>
      </c>
      <c r="G1099" s="24" t="inlineStr">
        <is>
          <t>Kolom target dirender utuh, termasuk keterangan dalam tanda kurung</t>
        </is>
      </c>
      <c r="H1099" s="5" t="inlineStr">
        <is>
          <t>SPV-A</t>
        </is>
      </c>
      <c r="I1099" s="5" t="inlineStr">
        <is>
          <t>stasiun bermaster target</t>
        </is>
      </c>
      <c r="J1099" s="5" t="inlineStr">
        <is>
          <t>1. Pilih stasiun bermaster target.
2. Login di web, sidebar &gt; Laporan Stasiun (/reports), tekan tile Grading (/reports/grading), lalu pilih Periode dan Production Line untuk stasiun itu.
3. Baca kolom target pada setiap kartu parameter kata per kata.
4. Bandingkan dengan isi tabel Target Operasional pada layar Form stasiun yang sama.</t>
        </is>
      </c>
      <c r="K1099" s="5" t="inlineStr">
        <is>
          <t>- Teks targetnya dirender utuh, termasuk keterangan dalam tanda kurung — mis. ≤ 7.0% (Prevents mold growth).
- Tidak dipotong, tidak dibuang tanda kurungnya, tidak diuraikan menjadi angka saja.
- Isinya sama dengan tabel Target Operasional di Form.</t>
        </is>
      </c>
      <c r="L1099" s="22" t="inlineStr">
        <is>
          <t>Sedang</t>
        </is>
      </c>
      <c r="M1099" s="5" t="inlineStr"/>
      <c r="N1099" s="17" t="n"/>
      <c r="O1099" s="17" t="n"/>
      <c r="P1099" s="17" t="n"/>
      <c r="Q1099" s="17" t="n"/>
      <c r="R1099" s="17" t="n"/>
    </row>
    <row r="1100" ht="122.8" customHeight="1">
      <c r="A1100" s="18" t="n">
        <v>1096</v>
      </c>
      <c r="B1100" s="18" t="n">
        <v>3</v>
      </c>
      <c r="C1100" s="19" t="inlineStr">
        <is>
          <t>LP-W-16 / Cages Track</t>
        </is>
      </c>
      <c r="D1100" s="19" t="inlineStr">
        <is>
          <t>LP-W-16</t>
        </is>
      </c>
      <c r="E1100" s="20" t="inlineStr">
        <is>
          <t>Cages Track</t>
        </is>
      </c>
      <c r="F1100" s="21" t="inlineStr">
        <is>
          <t>Laporan Periode Stasiun (LP-)</t>
        </is>
      </c>
      <c r="G1100" s="20" t="inlineStr">
        <is>
          <t>Kolom target dirender utuh, termasuk keterangan dalam tanda kurung</t>
        </is>
      </c>
      <c r="H1100" s="21" t="inlineStr">
        <is>
          <t>SPV-A</t>
        </is>
      </c>
      <c r="I1100" s="21" t="inlineStr">
        <is>
          <t>stasiun bermaster target</t>
        </is>
      </c>
      <c r="J1100" s="21" t="inlineStr">
        <is>
          <t>1. Pilih stasiun bermaster target.
2. Login di web, sidebar &gt; Laporan Stasiun (/reports), tekan tile Cages Track (/reports/cages-track), lalu pilih Periode dan Production Line untuk stasiun itu.
3. Baca kolom target pada setiap kartu parameter kata per kata.
4. Bandingkan dengan isi tabel Target Operasional pada layar Form stasiun yang sama.</t>
        </is>
      </c>
      <c r="K1100" s="21" t="inlineStr">
        <is>
          <t>- Teks targetnya dirender utuh, termasuk keterangan dalam tanda kurung — mis. ≤ 7.0% (Prevents mold growth).
- Tidak dipotong, tidak dibuang tanda kurungnya, tidak diuraikan menjadi angka saja.
- Isinya sama dengan tabel Target Operasional di Form.</t>
        </is>
      </c>
      <c r="L1100" s="18" t="inlineStr">
        <is>
          <t>Sedang</t>
        </is>
      </c>
      <c r="M1100" s="21" t="inlineStr"/>
      <c r="N1100" s="17" t="n"/>
      <c r="O1100" s="17" t="n"/>
      <c r="P1100" s="17" t="n"/>
      <c r="Q1100" s="17" t="n"/>
      <c r="R1100" s="17" t="n"/>
    </row>
    <row r="1101" ht="122.8" customHeight="1">
      <c r="A1101" s="22" t="n">
        <v>1097</v>
      </c>
      <c r="B1101" s="22" t="n">
        <v>3</v>
      </c>
      <c r="C1101" s="23" t="inlineStr">
        <is>
          <t>LP-W-16 / Sterilizer</t>
        </is>
      </c>
      <c r="D1101" s="23" t="inlineStr">
        <is>
          <t>LP-W-16</t>
        </is>
      </c>
      <c r="E1101" s="24" t="inlineStr">
        <is>
          <t>Sterilizer</t>
        </is>
      </c>
      <c r="F1101" s="5" t="inlineStr">
        <is>
          <t>Laporan Periode Stasiun (LP-)</t>
        </is>
      </c>
      <c r="G1101" s="24" t="inlineStr">
        <is>
          <t>Kolom target dirender utuh, termasuk keterangan dalam tanda kurung</t>
        </is>
      </c>
      <c r="H1101" s="5" t="inlineStr">
        <is>
          <t>SPV-A</t>
        </is>
      </c>
      <c r="I1101" s="5" t="inlineStr">
        <is>
          <t>stasiun bermaster target</t>
        </is>
      </c>
      <c r="J1101" s="5" t="inlineStr">
        <is>
          <t>1. Pilih stasiun bermaster target.
2. Login di web, sidebar &gt; Laporan Stasiun (/reports), tekan tile Sterilizer (/reports/sterilizer), lalu pilih Periode dan Production Line untuk stasiun itu.
3. Baca kolom target pada setiap kartu parameter kata per kata.
4. Bandingkan dengan isi tabel Target Operasional pada layar Form stasiun yang sama.</t>
        </is>
      </c>
      <c r="K1101" s="5" t="inlineStr">
        <is>
          <t>- Teks targetnya dirender utuh, termasuk keterangan dalam tanda kurung — mis. ≤ 7.0% (Prevents mold growth).
- Tidak dipotong, tidak dibuang tanda kurungnya, tidak diuraikan menjadi angka saja.
- Isinya sama dengan tabel Target Operasional di Form.</t>
        </is>
      </c>
      <c r="L1101" s="22" t="inlineStr">
        <is>
          <t>Sedang</t>
        </is>
      </c>
      <c r="M1101" s="5" t="inlineStr"/>
      <c r="N1101" s="17" t="n"/>
      <c r="O1101" s="17" t="n"/>
      <c r="P1101" s="17" t="n"/>
      <c r="Q1101" s="17" t="n"/>
      <c r="R1101" s="17" t="n"/>
    </row>
    <row r="1102" ht="122.8" customHeight="1">
      <c r="A1102" s="18" t="n">
        <v>1098</v>
      </c>
      <c r="B1102" s="18" t="n">
        <v>3</v>
      </c>
      <c r="C1102" s="19" t="inlineStr">
        <is>
          <t>LP-W-16 / Threshing</t>
        </is>
      </c>
      <c r="D1102" s="19" t="inlineStr">
        <is>
          <t>LP-W-16</t>
        </is>
      </c>
      <c r="E1102" s="20" t="inlineStr">
        <is>
          <t>Threshing</t>
        </is>
      </c>
      <c r="F1102" s="21" t="inlineStr">
        <is>
          <t>Laporan Periode Stasiun (LP-)</t>
        </is>
      </c>
      <c r="G1102" s="20" t="inlineStr">
        <is>
          <t>Kolom target dirender utuh, termasuk keterangan dalam tanda kurung</t>
        </is>
      </c>
      <c r="H1102" s="21" t="inlineStr">
        <is>
          <t>SPV-A</t>
        </is>
      </c>
      <c r="I1102" s="21" t="inlineStr">
        <is>
          <t>stasiun bermaster target</t>
        </is>
      </c>
      <c r="J1102" s="21" t="inlineStr">
        <is>
          <t>1. Pilih stasiun bermaster target.
2. Login di web, sidebar &gt; Laporan Stasiun (/reports), tekan tile Threshing (/reports/threshing), lalu pilih Periode dan Production Line untuk stasiun itu.
3. Baca kolom target pada setiap kartu parameter kata per kata.
4. Bandingkan dengan isi tabel Target Operasional pada layar Form stasiun yang sama.</t>
        </is>
      </c>
      <c r="K1102" s="21" t="inlineStr">
        <is>
          <t>- Teks targetnya dirender utuh, termasuk keterangan dalam tanda kurung — mis. ≤ 7.0% (Prevents mold growth).
- Tidak dipotong, tidak dibuang tanda kurungnya, tidak diuraikan menjadi angka saja.
- Isinya sama dengan tabel Target Operasional di Form.</t>
        </is>
      </c>
      <c r="L1102" s="18" t="inlineStr">
        <is>
          <t>Sedang</t>
        </is>
      </c>
      <c r="M1102" s="21" t="inlineStr"/>
      <c r="N1102" s="17" t="n"/>
      <c r="O1102" s="17" t="n"/>
      <c r="P1102" s="17" t="n"/>
      <c r="Q1102" s="17" t="n"/>
      <c r="R1102" s="17" t="n"/>
    </row>
    <row r="1103" ht="122.8" customHeight="1">
      <c r="A1103" s="22" t="n">
        <v>1099</v>
      </c>
      <c r="B1103" s="22" t="n">
        <v>3</v>
      </c>
      <c r="C1103" s="23" t="inlineStr">
        <is>
          <t>LP-W-16 / Pressing</t>
        </is>
      </c>
      <c r="D1103" s="23" t="inlineStr">
        <is>
          <t>LP-W-16</t>
        </is>
      </c>
      <c r="E1103" s="24" t="inlineStr">
        <is>
          <t>Pressing</t>
        </is>
      </c>
      <c r="F1103" s="5" t="inlineStr">
        <is>
          <t>Laporan Periode Stasiun (LP-)</t>
        </is>
      </c>
      <c r="G1103" s="24" t="inlineStr">
        <is>
          <t>Kolom target dirender utuh, termasuk keterangan dalam tanda kurung</t>
        </is>
      </c>
      <c r="H1103" s="5" t="inlineStr">
        <is>
          <t>SPV-A</t>
        </is>
      </c>
      <c r="I1103" s="5" t="inlineStr">
        <is>
          <t>stasiun bermaster target</t>
        </is>
      </c>
      <c r="J1103" s="5" t="inlineStr">
        <is>
          <t>1. Pilih stasiun bermaster target.
2. Login di web, sidebar &gt; Laporan Stasiun (/reports), tekan tile Pressing (/reports/pressing), lalu pilih Periode dan Production Line untuk stasiun itu.
3. Baca kolom target pada setiap kartu parameter kata per kata.
4. Bandingkan dengan isi tabel Target Operasional pada layar Form stasiun yang sama.</t>
        </is>
      </c>
      <c r="K1103" s="5" t="inlineStr">
        <is>
          <t>- Teks targetnya dirender utuh, termasuk keterangan dalam tanda kurung — mis. ≤ 7.0% (Prevents mold growth).
- Tidak dipotong, tidak dibuang tanda kurungnya, tidak diuraikan menjadi angka saja.
- Isinya sama dengan tabel Target Operasional di Form.</t>
        </is>
      </c>
      <c r="L1103" s="22" t="inlineStr">
        <is>
          <t>Sedang</t>
        </is>
      </c>
      <c r="M1103" s="5" t="inlineStr"/>
      <c r="N1103" s="17" t="n"/>
      <c r="O1103" s="17" t="n"/>
      <c r="P1103" s="17" t="n"/>
      <c r="Q1103" s="17" t="n"/>
      <c r="R1103" s="17" t="n"/>
    </row>
    <row r="1104" ht="122.8" customHeight="1">
      <c r="A1104" s="18" t="n">
        <v>1100</v>
      </c>
      <c r="B1104" s="18" t="n">
        <v>3</v>
      </c>
      <c r="C1104" s="19" t="inlineStr">
        <is>
          <t>LP-W-16 / Clarification</t>
        </is>
      </c>
      <c r="D1104" s="19" t="inlineStr">
        <is>
          <t>LP-W-16</t>
        </is>
      </c>
      <c r="E1104" s="20" t="inlineStr">
        <is>
          <t>Clarification</t>
        </is>
      </c>
      <c r="F1104" s="21" t="inlineStr">
        <is>
          <t>Laporan Periode Stasiun (LP-)</t>
        </is>
      </c>
      <c r="G1104" s="20" t="inlineStr">
        <is>
          <t>Kolom target dirender utuh, termasuk keterangan dalam tanda kurung</t>
        </is>
      </c>
      <c r="H1104" s="21" t="inlineStr">
        <is>
          <t>SPV-A</t>
        </is>
      </c>
      <c r="I1104" s="21" t="inlineStr">
        <is>
          <t>stasiun bermaster target</t>
        </is>
      </c>
      <c r="J1104" s="21" t="inlineStr">
        <is>
          <t>1. Pilih stasiun bermaster target.
2. Login di web, sidebar &gt; Laporan Stasiun (/reports), tekan tile Clarification (/reports/clarification), lalu pilih Periode dan Production Line untuk stasiun itu.
3. Baca kolom target pada setiap kartu parameter kata per kata.
4. Bandingkan dengan isi tabel Target Operasional pada layar Form stasiun yang sama.</t>
        </is>
      </c>
      <c r="K1104" s="21" t="inlineStr">
        <is>
          <t>- Teks targetnya dirender utuh, termasuk keterangan dalam tanda kurung — mis. ≤ 7.0% (Prevents mold growth).
- Tidak dipotong, tidak dibuang tanda kurungnya, tidak diuraikan menjadi angka saja.
- Isinya sama dengan tabel Target Operasional di Form.</t>
        </is>
      </c>
      <c r="L1104" s="18" t="inlineStr">
        <is>
          <t>Sedang</t>
        </is>
      </c>
      <c r="M1104" s="21" t="inlineStr"/>
      <c r="N1104" s="17" t="n"/>
      <c r="O1104" s="17" t="n"/>
      <c r="P1104" s="17" t="n"/>
      <c r="Q1104" s="17" t="n"/>
      <c r="R1104" s="17" t="n"/>
    </row>
    <row r="1105" ht="122.8" customHeight="1">
      <c r="A1105" s="11" t="n">
        <v>1101</v>
      </c>
      <c r="B1105" s="12" t="n">
        <v>1</v>
      </c>
      <c r="C1105" s="13" t="inlineStr">
        <is>
          <t>LP-W-16 / Kernel Plant</t>
        </is>
      </c>
      <c r="D1105" s="13" t="inlineStr">
        <is>
          <t>LP-W-16</t>
        </is>
      </c>
      <c r="E1105" s="15" t="inlineStr">
        <is>
          <t>Kernel Plant</t>
        </is>
      </c>
      <c r="F1105" s="14" t="inlineStr">
        <is>
          <t>Laporan Periode Stasiun (LP-)</t>
        </is>
      </c>
      <c r="G1105" s="15" t="inlineStr">
        <is>
          <t>Kolom target dirender utuh, termasuk keterangan dalam tanda kurung</t>
        </is>
      </c>
      <c r="H1105" s="14" t="inlineStr">
        <is>
          <t>SPV-A</t>
        </is>
      </c>
      <c r="I1105" s="14" t="inlineStr">
        <is>
          <t>stasiun bermaster target</t>
        </is>
      </c>
      <c r="J1105" s="14" t="inlineStr">
        <is>
          <t>1. Pilih stasiun bermaster target.
2. Login di web, sidebar &gt; Laporan Stasiun (/reports), tekan tile Kernel Plant (/reports/kernel-plant), lalu pilih Periode dan Production Line untuk stasiun itu.
3. Baca kolom target pada setiap kartu parameter kata per kata.
4. Bandingkan dengan isi tabel Target Operasional pada layar Form stasiun yang sama.</t>
        </is>
      </c>
      <c r="K1105" s="14" t="inlineStr">
        <is>
          <t>- Teks targetnya dirender utuh, termasuk keterangan dalam tanda kurung — mis. ≤ 7.0% (Prevents mold growth).
- Tidak dipotong, tidak dibuang tanda kurungnya, tidak diuraikan menjadi angka saja.
- Isinya sama dengan tabel Target Operasional di Form.</t>
        </is>
      </c>
      <c r="L1105" s="11" t="inlineStr">
        <is>
          <t>Sedang</t>
        </is>
      </c>
      <c r="M1105" s="14" t="inlineStr"/>
      <c r="N1105" s="17" t="n"/>
      <c r="O1105" s="17" t="n"/>
      <c r="P1105" s="17" t="n"/>
      <c r="Q1105" s="17" t="n"/>
      <c r="R1105" s="17" t="n"/>
    </row>
    <row r="1106" ht="122.8" customHeight="1">
      <c r="A1106" s="18" t="n">
        <v>1102</v>
      </c>
      <c r="B1106" s="18" t="n">
        <v>3</v>
      </c>
      <c r="C1106" s="19" t="inlineStr">
        <is>
          <t>LP-W-16 / Boiler Room</t>
        </is>
      </c>
      <c r="D1106" s="19" t="inlineStr">
        <is>
          <t>LP-W-16</t>
        </is>
      </c>
      <c r="E1106" s="20" t="inlineStr">
        <is>
          <t>Boiler Room</t>
        </is>
      </c>
      <c r="F1106" s="21" t="inlineStr">
        <is>
          <t>Laporan Periode Stasiun (LP-)</t>
        </is>
      </c>
      <c r="G1106" s="20" t="inlineStr">
        <is>
          <t>Kolom target dirender utuh, termasuk keterangan dalam tanda kurung</t>
        </is>
      </c>
      <c r="H1106" s="21" t="inlineStr">
        <is>
          <t>SPV-A</t>
        </is>
      </c>
      <c r="I1106" s="21" t="inlineStr">
        <is>
          <t>stasiun bermaster target</t>
        </is>
      </c>
      <c r="J1106" s="21" t="inlineStr">
        <is>
          <t>1. Pilih stasiun bermaster target.
2. Login di web, sidebar &gt; Laporan Stasiun (/reports), tekan tile Boiler Room (/reports/boiler-room), lalu pilih Periode dan Production Line untuk stasiun itu.
3. Baca kolom target pada setiap kartu parameter kata per kata.
4. Bandingkan dengan isi tabel Target Operasional pada layar Form stasiun yang sama.</t>
        </is>
      </c>
      <c r="K1106" s="21" t="inlineStr">
        <is>
          <t>- Teks targetnya dirender utuh, termasuk keterangan dalam tanda kurung — mis. ≤ 7.0% (Prevents mold growth).
- Tidak dipotong, tidak dibuang tanda kurungnya, tidak diuraikan menjadi angka saja.
- Isinya sama dengan tabel Target Operasional di Form.</t>
        </is>
      </c>
      <c r="L1106" s="18" t="inlineStr">
        <is>
          <t>Sedang</t>
        </is>
      </c>
      <c r="M1106" s="21" t="inlineStr"/>
      <c r="N1106" s="17" t="n"/>
      <c r="O1106" s="17" t="n"/>
      <c r="P1106" s="17" t="n"/>
      <c r="Q1106" s="17" t="n"/>
      <c r="R1106" s="17" t="n"/>
    </row>
    <row r="1107" ht="122.8" customHeight="1">
      <c r="A1107" s="22" t="n">
        <v>1103</v>
      </c>
      <c r="B1107" s="22" t="n">
        <v>3</v>
      </c>
      <c r="C1107" s="23" t="inlineStr">
        <is>
          <t>LP-W-16 / Depricarping</t>
        </is>
      </c>
      <c r="D1107" s="23" t="inlineStr">
        <is>
          <t>LP-W-16</t>
        </is>
      </c>
      <c r="E1107" s="24" t="inlineStr">
        <is>
          <t>Depricarping</t>
        </is>
      </c>
      <c r="F1107" s="5" t="inlineStr">
        <is>
          <t>Laporan Periode Stasiun (LP-)</t>
        </is>
      </c>
      <c r="G1107" s="24" t="inlineStr">
        <is>
          <t>Kolom target dirender utuh, termasuk keterangan dalam tanda kurung</t>
        </is>
      </c>
      <c r="H1107" s="5" t="inlineStr">
        <is>
          <t>SPV-A</t>
        </is>
      </c>
      <c r="I1107" s="5" t="inlineStr">
        <is>
          <t>stasiun bermaster target</t>
        </is>
      </c>
      <c r="J1107" s="5" t="inlineStr">
        <is>
          <t>1. Pilih stasiun bermaster target.
2. Login di web, sidebar &gt; Laporan Stasiun (/reports), tekan tile Depricarping (/reports/depricarping), lalu pilih Periode dan Production Line untuk stasiun itu.
3. Baca kolom target pada setiap kartu parameter kata per kata.
4. Bandingkan dengan isi tabel Target Operasional pada layar Form stasiun yang sama.</t>
        </is>
      </c>
      <c r="K1107" s="5" t="inlineStr">
        <is>
          <t>- Teks targetnya dirender utuh, termasuk keterangan dalam tanda kurung — mis. ≤ 7.0% (Prevents mold growth).
- Tidak dipotong, tidak dibuang tanda kurungnya, tidak diuraikan menjadi angka saja.
- Isinya sama dengan tabel Target Operasional di Form.</t>
        </is>
      </c>
      <c r="L1107" s="22" t="inlineStr">
        <is>
          <t>Sedang</t>
        </is>
      </c>
      <c r="M1107" s="5" t="inlineStr"/>
      <c r="N1107" s="17" t="n"/>
      <c r="O1107" s="17" t="n"/>
      <c r="P1107" s="17" t="n"/>
      <c r="Q1107" s="17" t="n"/>
      <c r="R1107" s="17" t="n"/>
    </row>
    <row r="1108" ht="122.8" customHeight="1">
      <c r="A1108" s="18" t="n">
        <v>1104</v>
      </c>
      <c r="B1108" s="18" t="n">
        <v>3</v>
      </c>
      <c r="C1108" s="19" t="inlineStr">
        <is>
          <t>LP-W-16 / Storage Tank</t>
        </is>
      </c>
      <c r="D1108" s="19" t="inlineStr">
        <is>
          <t>LP-W-16</t>
        </is>
      </c>
      <c r="E1108" s="20" t="inlineStr">
        <is>
          <t>Storage Tank</t>
        </is>
      </c>
      <c r="F1108" s="21" t="inlineStr">
        <is>
          <t>Laporan Periode Stasiun (LP-)</t>
        </is>
      </c>
      <c r="G1108" s="20" t="inlineStr">
        <is>
          <t>Kolom target dirender utuh, termasuk keterangan dalam tanda kurung</t>
        </is>
      </c>
      <c r="H1108" s="21" t="inlineStr">
        <is>
          <t>SPV-A</t>
        </is>
      </c>
      <c r="I1108" s="21" t="inlineStr">
        <is>
          <t>stasiun bermaster target</t>
        </is>
      </c>
      <c r="J1108" s="21" t="inlineStr">
        <is>
          <t>1. Pilih stasiun bermaster target.
2. Login di web, sidebar &gt; Laporan Stasiun (/reports), tekan tile Storage Tank (/reports/storage-tank), lalu pilih Periode dan Production Line untuk stasiun itu.
3. Baca kolom target pada setiap kartu parameter kata per kata.
4. Bandingkan dengan isi tabel Target Operasional pada layar Form stasiun yang sama.</t>
        </is>
      </c>
      <c r="K1108" s="21" t="inlineStr">
        <is>
          <t>- Teks targetnya dirender utuh, termasuk keterangan dalam tanda kurung — mis. ≤ 7.0% (Prevents mold growth).
- Tidak dipotong, tidak dibuang tanda kurungnya, tidak diuraikan menjadi angka saja.
- Isinya sama dengan tabel Target Operasional di Form.</t>
        </is>
      </c>
      <c r="L1108" s="18" t="inlineStr">
        <is>
          <t>Sedang</t>
        </is>
      </c>
      <c r="M1108" s="21" t="inlineStr"/>
      <c r="N1108" s="17" t="n"/>
      <c r="O1108" s="17" t="n"/>
      <c r="P1108" s="17" t="n"/>
      <c r="Q1108" s="17" t="n"/>
      <c r="R1108" s="17" t="n"/>
    </row>
    <row r="1109" ht="188.8" customHeight="1">
      <c r="A1109" s="22" t="n">
        <v>1105</v>
      </c>
      <c r="B1109" s="22" t="n">
        <v>3</v>
      </c>
      <c r="C1109" s="23" t="inlineStr">
        <is>
          <t>LP-W-17 / Weighbridge</t>
        </is>
      </c>
      <c r="D1109" s="23" t="inlineStr">
        <is>
          <t>LP-W-17</t>
        </is>
      </c>
      <c r="E1109" s="24" t="inlineStr">
        <is>
          <t>Weighbridge</t>
        </is>
      </c>
      <c r="F1109" s="5" t="inlineStr">
        <is>
          <t>Laporan Periode Stasiun (LP-)</t>
        </is>
      </c>
      <c r="G1109" s="24" t="inlineStr">
        <is>
          <t>Kolom yang berbagi satu standar ditandai, dan angkanya tidak dirata-ratakan</t>
        </is>
      </c>
      <c r="H1109" s="5" t="inlineStr">
        <is>
          <t>SPV-A</t>
        </is>
      </c>
      <c r="I1109" s="5" t="inlineStr">
        <is>
          <t>Kernel Plant (2 pasang: ripple mill 1–2 dan kernel silo 1–2) atau Depricarping (1 pasang: nut silo)</t>
        </is>
      </c>
      <c r="J1109" s="5" t="inlineStr">
        <is>
          <t>1. Pilih Kernel Plant (2 pasang: ripple mill 1–2 dan kernel silo 1–2) atau Depricarping (1 pasang: nut silo).
2. Login di web, sidebar &gt; Laporan Stasiun (/reports), tekan tile Weighbridge (/reports/weighbridge), lalu pilih Periode dan Production Line untuk stasiun itu dengan data pada kedua kolom pasangan.
3. Cari kedua kartu pasangan itu dan baca keterangannya.
4. Catat angka rata-rata masing-masing kartu.
5. Periksa apakah keduanya menampilkan angka yang identik.</t>
        </is>
      </c>
      <c r="K1109" s="5"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09" s="16" t="inlineStr">
        <is>
          <t>Tinggi</t>
        </is>
      </c>
      <c r="M1109" s="5" t="inlineStr">
        <is>
          <t>pada Kernel Plant ada dua pasangan — pastikan keempat baris bertanda, bukan hanya dua.</t>
        </is>
      </c>
      <c r="N1109" s="17" t="n"/>
      <c r="O1109" s="17" t="n"/>
      <c r="P1109" s="17" t="n"/>
      <c r="Q1109" s="17" t="n"/>
      <c r="R1109" s="17" t="n"/>
    </row>
    <row r="1110" ht="188.8" customHeight="1">
      <c r="A1110" s="18" t="n">
        <v>1106</v>
      </c>
      <c r="B1110" s="18" t="n">
        <v>3</v>
      </c>
      <c r="C1110" s="19" t="inlineStr">
        <is>
          <t>LP-W-17 / Grading</t>
        </is>
      </c>
      <c r="D1110" s="19" t="inlineStr">
        <is>
          <t>LP-W-17</t>
        </is>
      </c>
      <c r="E1110" s="20" t="inlineStr">
        <is>
          <t>Grading</t>
        </is>
      </c>
      <c r="F1110" s="21" t="inlineStr">
        <is>
          <t>Laporan Periode Stasiun (LP-)</t>
        </is>
      </c>
      <c r="G1110" s="20" t="inlineStr">
        <is>
          <t>Kolom yang berbagi satu standar ditandai, dan angkanya tidak dirata-ratakan</t>
        </is>
      </c>
      <c r="H1110" s="21" t="inlineStr">
        <is>
          <t>SPV-A</t>
        </is>
      </c>
      <c r="I1110" s="21" t="inlineStr">
        <is>
          <t>Kernel Plant (2 pasang: ripple mill 1–2 dan kernel silo 1–2) atau Depricarping (1 pasang: nut silo)</t>
        </is>
      </c>
      <c r="J1110" s="21" t="inlineStr">
        <is>
          <t>1. Pilih Kernel Plant (2 pasang: ripple mill 1–2 dan kernel silo 1–2) atau Depricarping (1 pasang: nut silo).
2. Login di web, sidebar &gt; Laporan Stasiun (/reports), tekan tile Grading (/reports/grading), lalu pilih Periode dan Production Line untuk stasiun itu dengan data pada kedua kolom pasangan.
3. Cari kedua kartu pasangan itu dan baca keterangannya.
4. Catat angka rata-rata masing-masing kartu.
5. Periksa apakah keduanya menampilkan angka yang identik.</t>
        </is>
      </c>
      <c r="K1110" s="21"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10" s="16" t="inlineStr">
        <is>
          <t>Tinggi</t>
        </is>
      </c>
      <c r="M1110" s="21" t="inlineStr">
        <is>
          <t>pada Kernel Plant ada dua pasangan — pastikan keempat baris bertanda, bukan hanya dua.</t>
        </is>
      </c>
      <c r="N1110" s="17" t="n"/>
      <c r="O1110" s="17" t="n"/>
      <c r="P1110" s="17" t="n"/>
      <c r="Q1110" s="17" t="n"/>
      <c r="R1110" s="17" t="n"/>
    </row>
    <row r="1111" ht="188.8" customHeight="1">
      <c r="A1111" s="22" t="n">
        <v>1107</v>
      </c>
      <c r="B1111" s="22" t="n">
        <v>3</v>
      </c>
      <c r="C1111" s="23" t="inlineStr">
        <is>
          <t>LP-W-17 / Cages Track</t>
        </is>
      </c>
      <c r="D1111" s="23" t="inlineStr">
        <is>
          <t>LP-W-17</t>
        </is>
      </c>
      <c r="E1111" s="24" t="inlineStr">
        <is>
          <t>Cages Track</t>
        </is>
      </c>
      <c r="F1111" s="5" t="inlineStr">
        <is>
          <t>Laporan Periode Stasiun (LP-)</t>
        </is>
      </c>
      <c r="G1111" s="24" t="inlineStr">
        <is>
          <t>Kolom yang berbagi satu standar ditandai, dan angkanya tidak dirata-ratakan</t>
        </is>
      </c>
      <c r="H1111" s="5" t="inlineStr">
        <is>
          <t>SPV-A</t>
        </is>
      </c>
      <c r="I1111" s="5" t="inlineStr">
        <is>
          <t>Kernel Plant (2 pasang: ripple mill 1–2 dan kernel silo 1–2) atau Depricarping (1 pasang: nut silo)</t>
        </is>
      </c>
      <c r="J1111" s="5" t="inlineStr">
        <is>
          <t>1. Pilih Kernel Plant (2 pasang: ripple mill 1–2 dan kernel silo 1–2) atau Depricarping (1 pasang: nut silo).
2. Login di web, sidebar &gt; Laporan Stasiun (/reports), tekan tile Cages Track (/reports/cages-track), lalu pilih Periode dan Production Line untuk stasiun itu dengan data pada kedua kolom pasangan.
3. Cari kedua kartu pasangan itu dan baca keterangannya.
4. Catat angka rata-rata masing-masing kartu.
5. Periksa apakah keduanya menampilkan angka yang identik.</t>
        </is>
      </c>
      <c r="K1111" s="5"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11" s="16" t="inlineStr">
        <is>
          <t>Tinggi</t>
        </is>
      </c>
      <c r="M1111" s="5" t="inlineStr">
        <is>
          <t>pada Kernel Plant ada dua pasangan — pastikan keempat baris bertanda, bukan hanya dua.</t>
        </is>
      </c>
      <c r="N1111" s="17" t="n"/>
      <c r="O1111" s="17" t="n"/>
      <c r="P1111" s="17" t="n"/>
      <c r="Q1111" s="17" t="n"/>
      <c r="R1111" s="17" t="n"/>
    </row>
    <row r="1112" ht="188.8" customHeight="1">
      <c r="A1112" s="18" t="n">
        <v>1108</v>
      </c>
      <c r="B1112" s="18" t="n">
        <v>3</v>
      </c>
      <c r="C1112" s="19" t="inlineStr">
        <is>
          <t>LP-W-17 / Sterilizer</t>
        </is>
      </c>
      <c r="D1112" s="19" t="inlineStr">
        <is>
          <t>LP-W-17</t>
        </is>
      </c>
      <c r="E1112" s="20" t="inlineStr">
        <is>
          <t>Sterilizer</t>
        </is>
      </c>
      <c r="F1112" s="21" t="inlineStr">
        <is>
          <t>Laporan Periode Stasiun (LP-)</t>
        </is>
      </c>
      <c r="G1112" s="20" t="inlineStr">
        <is>
          <t>Kolom yang berbagi satu standar ditandai, dan angkanya tidak dirata-ratakan</t>
        </is>
      </c>
      <c r="H1112" s="21" t="inlineStr">
        <is>
          <t>SPV-A</t>
        </is>
      </c>
      <c r="I1112" s="21" t="inlineStr">
        <is>
          <t>Kernel Plant (2 pasang: ripple mill 1–2 dan kernel silo 1–2) atau Depricarping (1 pasang: nut silo)</t>
        </is>
      </c>
      <c r="J1112" s="21" t="inlineStr">
        <is>
          <t>1. Pilih Kernel Plant (2 pasang: ripple mill 1–2 dan kernel silo 1–2) atau Depricarping (1 pasang: nut silo).
2. Login di web, sidebar &gt; Laporan Stasiun (/reports), tekan tile Sterilizer (/reports/sterilizer), lalu pilih Periode dan Production Line untuk stasiun itu dengan data pada kedua kolom pasangan.
3. Cari kedua kartu pasangan itu dan baca keterangannya.
4. Catat angka rata-rata masing-masing kartu.
5. Periksa apakah keduanya menampilkan angka yang identik.</t>
        </is>
      </c>
      <c r="K1112" s="21"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12" s="16" t="inlineStr">
        <is>
          <t>Tinggi</t>
        </is>
      </c>
      <c r="M1112" s="21" t="inlineStr">
        <is>
          <t>pada Kernel Plant ada dua pasangan — pastikan keempat baris bertanda, bukan hanya dua.</t>
        </is>
      </c>
      <c r="N1112" s="17" t="n"/>
      <c r="O1112" s="17" t="n"/>
      <c r="P1112" s="17" t="n"/>
      <c r="Q1112" s="17" t="n"/>
      <c r="R1112" s="17" t="n"/>
    </row>
    <row r="1113" ht="188.8" customHeight="1">
      <c r="A1113" s="22" t="n">
        <v>1109</v>
      </c>
      <c r="B1113" s="22" t="n">
        <v>3</v>
      </c>
      <c r="C1113" s="23" t="inlineStr">
        <is>
          <t>LP-W-17 / Threshing</t>
        </is>
      </c>
      <c r="D1113" s="23" t="inlineStr">
        <is>
          <t>LP-W-17</t>
        </is>
      </c>
      <c r="E1113" s="24" t="inlineStr">
        <is>
          <t>Threshing</t>
        </is>
      </c>
      <c r="F1113" s="5" t="inlineStr">
        <is>
          <t>Laporan Periode Stasiun (LP-)</t>
        </is>
      </c>
      <c r="G1113" s="24" t="inlineStr">
        <is>
          <t>Kolom yang berbagi satu standar ditandai, dan angkanya tidak dirata-ratakan</t>
        </is>
      </c>
      <c r="H1113" s="5" t="inlineStr">
        <is>
          <t>SPV-A</t>
        </is>
      </c>
      <c r="I1113" s="5" t="inlineStr">
        <is>
          <t>Kernel Plant (2 pasang: ripple mill 1–2 dan kernel silo 1–2) atau Depricarping (1 pasang: nut silo)</t>
        </is>
      </c>
      <c r="J1113" s="5" t="inlineStr">
        <is>
          <t>1. Pilih Kernel Plant (2 pasang: ripple mill 1–2 dan kernel silo 1–2) atau Depricarping (1 pasang: nut silo).
2. Login di web, sidebar &gt; Laporan Stasiun (/reports), tekan tile Threshing (/reports/threshing), lalu pilih Periode dan Production Line untuk stasiun itu dengan data pada kedua kolom pasangan.
3. Cari kedua kartu pasangan itu dan baca keterangannya.
4. Catat angka rata-rata masing-masing kartu.
5. Periksa apakah keduanya menampilkan angka yang identik.</t>
        </is>
      </c>
      <c r="K1113" s="5"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13" s="16" t="inlineStr">
        <is>
          <t>Tinggi</t>
        </is>
      </c>
      <c r="M1113" s="5" t="inlineStr">
        <is>
          <t>pada Kernel Plant ada dua pasangan — pastikan keempat baris bertanda, bukan hanya dua.</t>
        </is>
      </c>
      <c r="N1113" s="17" t="n"/>
      <c r="O1113" s="17" t="n"/>
      <c r="P1113" s="17" t="n"/>
      <c r="Q1113" s="17" t="n"/>
      <c r="R1113" s="17" t="n"/>
    </row>
    <row r="1114" ht="188.8" customHeight="1">
      <c r="A1114" s="18" t="n">
        <v>1110</v>
      </c>
      <c r="B1114" s="18" t="n">
        <v>3</v>
      </c>
      <c r="C1114" s="19" t="inlineStr">
        <is>
          <t>LP-W-17 / Pressing</t>
        </is>
      </c>
      <c r="D1114" s="19" t="inlineStr">
        <is>
          <t>LP-W-17</t>
        </is>
      </c>
      <c r="E1114" s="20" t="inlineStr">
        <is>
          <t>Pressing</t>
        </is>
      </c>
      <c r="F1114" s="21" t="inlineStr">
        <is>
          <t>Laporan Periode Stasiun (LP-)</t>
        </is>
      </c>
      <c r="G1114" s="20" t="inlineStr">
        <is>
          <t>Kolom yang berbagi satu standar ditandai, dan angkanya tidak dirata-ratakan</t>
        </is>
      </c>
      <c r="H1114" s="21" t="inlineStr">
        <is>
          <t>SPV-A</t>
        </is>
      </c>
      <c r="I1114" s="21" t="inlineStr">
        <is>
          <t>Kernel Plant (2 pasang: ripple mill 1–2 dan kernel silo 1–2) atau Depricarping (1 pasang: nut silo)</t>
        </is>
      </c>
      <c r="J1114" s="21" t="inlineStr">
        <is>
          <t>1. Pilih Kernel Plant (2 pasang: ripple mill 1–2 dan kernel silo 1–2) atau Depricarping (1 pasang: nut silo).
2. Login di web, sidebar &gt; Laporan Stasiun (/reports), tekan tile Pressing (/reports/pressing), lalu pilih Periode dan Production Line untuk stasiun itu dengan data pada kedua kolom pasangan.
3. Cari kedua kartu pasangan itu dan baca keterangannya.
4. Catat angka rata-rata masing-masing kartu.
5. Periksa apakah keduanya menampilkan angka yang identik.</t>
        </is>
      </c>
      <c r="K1114" s="21"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14" s="16" t="inlineStr">
        <is>
          <t>Tinggi</t>
        </is>
      </c>
      <c r="M1114" s="21" t="inlineStr">
        <is>
          <t>pada Kernel Plant ada dua pasangan — pastikan keempat baris bertanda, bukan hanya dua.</t>
        </is>
      </c>
      <c r="N1114" s="17" t="n"/>
      <c r="O1114" s="17" t="n"/>
      <c r="P1114" s="17" t="n"/>
      <c r="Q1114" s="17" t="n"/>
      <c r="R1114" s="17" t="n"/>
    </row>
    <row r="1115" ht="188.8" customHeight="1">
      <c r="A1115" s="22" t="n">
        <v>1111</v>
      </c>
      <c r="B1115" s="22" t="n">
        <v>3</v>
      </c>
      <c r="C1115" s="23" t="inlineStr">
        <is>
          <t>LP-W-17 / Clarification</t>
        </is>
      </c>
      <c r="D1115" s="23" t="inlineStr">
        <is>
          <t>LP-W-17</t>
        </is>
      </c>
      <c r="E1115" s="24" t="inlineStr">
        <is>
          <t>Clarification</t>
        </is>
      </c>
      <c r="F1115" s="5" t="inlineStr">
        <is>
          <t>Laporan Periode Stasiun (LP-)</t>
        </is>
      </c>
      <c r="G1115" s="24" t="inlineStr">
        <is>
          <t>Kolom yang berbagi satu standar ditandai, dan angkanya tidak dirata-ratakan</t>
        </is>
      </c>
      <c r="H1115" s="5" t="inlineStr">
        <is>
          <t>SPV-A</t>
        </is>
      </c>
      <c r="I1115" s="5" t="inlineStr">
        <is>
          <t>Kernel Plant (2 pasang: ripple mill 1–2 dan kernel silo 1–2) atau Depricarping (1 pasang: nut silo)</t>
        </is>
      </c>
      <c r="J1115" s="5" t="inlineStr">
        <is>
          <t>1. Pilih Kernel Plant (2 pasang: ripple mill 1–2 dan kernel silo 1–2) atau Depricarping (1 pasang: nut silo).
2. Login di web, sidebar &gt; Laporan Stasiun (/reports), tekan tile Clarification (/reports/clarification), lalu pilih Periode dan Production Line untuk stasiun itu dengan data pada kedua kolom pasangan.
3. Cari kedua kartu pasangan itu dan baca keterangannya.
4. Catat angka rata-rata masing-masing kartu.
5. Periksa apakah keduanya menampilkan angka yang identik.</t>
        </is>
      </c>
      <c r="K1115" s="5"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15" s="16" t="inlineStr">
        <is>
          <t>Tinggi</t>
        </is>
      </c>
      <c r="M1115" s="5" t="inlineStr">
        <is>
          <t>pada Kernel Plant ada dua pasangan — pastikan keempat baris bertanda, bukan hanya dua.</t>
        </is>
      </c>
      <c r="N1115" s="17" t="n"/>
      <c r="O1115" s="17" t="n"/>
      <c r="P1115" s="17" t="n"/>
      <c r="Q1115" s="17" t="n"/>
      <c r="R1115" s="17" t="n"/>
    </row>
    <row r="1116" ht="188.8" customHeight="1">
      <c r="A1116" s="11" t="n">
        <v>1112</v>
      </c>
      <c r="B1116" s="12" t="n">
        <v>1</v>
      </c>
      <c r="C1116" s="13" t="inlineStr">
        <is>
          <t>LP-W-17 / Kernel Plant</t>
        </is>
      </c>
      <c r="D1116" s="13" t="inlineStr">
        <is>
          <t>LP-W-17</t>
        </is>
      </c>
      <c r="E1116" s="15" t="inlineStr">
        <is>
          <t>Kernel Plant</t>
        </is>
      </c>
      <c r="F1116" s="14" t="inlineStr">
        <is>
          <t>Laporan Periode Stasiun (LP-)</t>
        </is>
      </c>
      <c r="G1116" s="15" t="inlineStr">
        <is>
          <t>Kolom yang berbagi satu standar ditandai, dan angkanya tidak dirata-ratakan</t>
        </is>
      </c>
      <c r="H1116" s="14" t="inlineStr">
        <is>
          <t>SPV-A</t>
        </is>
      </c>
      <c r="I1116" s="14" t="inlineStr">
        <is>
          <t>Kernel Plant (2 pasang: ripple mill 1–2 dan kernel silo 1–2) atau Depricarping (1 pasang: nut silo)</t>
        </is>
      </c>
      <c r="J1116" s="14" t="inlineStr">
        <is>
          <t>1. Pilih Kernel Plant (2 pasang: ripple mill 1–2 dan kernel silo 1–2) atau Depricarping (1 pasang: nut silo).
2. Login di web, sidebar &gt; Laporan Stasiun (/reports), tekan tile Kernel Plant (/reports/kernel-plant), lalu pilih Periode dan Production Line untuk stasiun itu dengan data pada kedua kolom pasangan.
3. Cari kedua kartu pasangan itu dan baca keterangannya.
4. Catat angka rata-rata masing-masing kartu.
5. Periksa apakah keduanya menampilkan angka yang identik.</t>
        </is>
      </c>
      <c r="K1116" s="14"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16" s="16" t="inlineStr">
        <is>
          <t>Tinggi</t>
        </is>
      </c>
      <c r="M1116" s="14" t="inlineStr">
        <is>
          <t>pada Kernel Plant ada dua pasangan — pastikan keempat baris bertanda, bukan hanya dua.</t>
        </is>
      </c>
      <c r="N1116" s="17" t="n"/>
      <c r="O1116" s="17" t="n"/>
      <c r="P1116" s="17" t="n"/>
      <c r="Q1116" s="17" t="n"/>
      <c r="R1116" s="17" t="n"/>
    </row>
    <row r="1117" ht="188.8" customHeight="1">
      <c r="A1117" s="22" t="n">
        <v>1113</v>
      </c>
      <c r="B1117" s="22" t="n">
        <v>3</v>
      </c>
      <c r="C1117" s="23" t="inlineStr">
        <is>
          <t>LP-W-17 / Boiler Room</t>
        </is>
      </c>
      <c r="D1117" s="23" t="inlineStr">
        <is>
          <t>LP-W-17</t>
        </is>
      </c>
      <c r="E1117" s="24" t="inlineStr">
        <is>
          <t>Boiler Room</t>
        </is>
      </c>
      <c r="F1117" s="5" t="inlineStr">
        <is>
          <t>Laporan Periode Stasiun (LP-)</t>
        </is>
      </c>
      <c r="G1117" s="24" t="inlineStr">
        <is>
          <t>Kolom yang berbagi satu standar ditandai, dan angkanya tidak dirata-ratakan</t>
        </is>
      </c>
      <c r="H1117" s="5" t="inlineStr">
        <is>
          <t>SPV-A</t>
        </is>
      </c>
      <c r="I1117" s="5" t="inlineStr">
        <is>
          <t>Kernel Plant (2 pasang: ripple mill 1–2 dan kernel silo 1–2) atau Depricarping (1 pasang: nut silo)</t>
        </is>
      </c>
      <c r="J1117" s="5" t="inlineStr">
        <is>
          <t>1. Pilih Kernel Plant (2 pasang: ripple mill 1–2 dan kernel silo 1–2) atau Depricarping (1 pasang: nut silo).
2. Login di web, sidebar &gt; Laporan Stasiun (/reports), tekan tile Boiler Room (/reports/boiler-room), lalu pilih Periode dan Production Line untuk stasiun itu dengan data pada kedua kolom pasangan.
3. Cari kedua kartu pasangan itu dan baca keterangannya.
4. Catat angka rata-rata masing-masing kartu.
5. Periksa apakah keduanya menampilkan angka yang identik.</t>
        </is>
      </c>
      <c r="K1117" s="5"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17" s="16" t="inlineStr">
        <is>
          <t>Tinggi</t>
        </is>
      </c>
      <c r="M1117" s="5" t="inlineStr">
        <is>
          <t>pada Kernel Plant ada dua pasangan — pastikan keempat baris bertanda, bukan hanya dua.</t>
        </is>
      </c>
      <c r="N1117" s="17" t="n"/>
      <c r="O1117" s="17" t="n"/>
      <c r="P1117" s="17" t="n"/>
      <c r="Q1117" s="17" t="n"/>
      <c r="R1117" s="17" t="n"/>
    </row>
    <row r="1118" ht="188.8" customHeight="1">
      <c r="A1118" s="18" t="n">
        <v>1114</v>
      </c>
      <c r="B1118" s="18" t="n">
        <v>3</v>
      </c>
      <c r="C1118" s="19" t="inlineStr">
        <is>
          <t>LP-W-17 / Depricarping</t>
        </is>
      </c>
      <c r="D1118" s="19" t="inlineStr">
        <is>
          <t>LP-W-17</t>
        </is>
      </c>
      <c r="E1118" s="20" t="inlineStr">
        <is>
          <t>Depricarping</t>
        </is>
      </c>
      <c r="F1118" s="21" t="inlineStr">
        <is>
          <t>Laporan Periode Stasiun (LP-)</t>
        </is>
      </c>
      <c r="G1118" s="20" t="inlineStr">
        <is>
          <t>Kolom yang berbagi satu standar ditandai, dan angkanya tidak dirata-ratakan</t>
        </is>
      </c>
      <c r="H1118" s="21" t="inlineStr">
        <is>
          <t>SPV-A</t>
        </is>
      </c>
      <c r="I1118" s="21" t="inlineStr">
        <is>
          <t>Kernel Plant (2 pasang: ripple mill 1–2 dan kernel silo 1–2) atau Depricarping (1 pasang: nut silo)</t>
        </is>
      </c>
      <c r="J1118" s="21" t="inlineStr">
        <is>
          <t>1. Pilih Kernel Plant (2 pasang: ripple mill 1–2 dan kernel silo 1–2) atau Depricarping (1 pasang: nut silo).
2. Login di web, sidebar &gt; Laporan Stasiun (/reports), tekan tile Depricarping (/reports/depricarping), lalu pilih Periode dan Production Line untuk stasiun itu dengan data pada kedua kolom pasangan.
3. Cari kedua kartu pasangan itu dan baca keterangannya.
4. Catat angka rata-rata masing-masing kartu.
5. Periksa apakah keduanya menampilkan angka yang identik.</t>
        </is>
      </c>
      <c r="K1118" s="21"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18" s="16" t="inlineStr">
        <is>
          <t>Tinggi</t>
        </is>
      </c>
      <c r="M1118" s="21" t="inlineStr">
        <is>
          <t>pada Kernel Plant ada dua pasangan — pastikan keempat baris bertanda, bukan hanya dua.</t>
        </is>
      </c>
      <c r="N1118" s="17" t="n"/>
      <c r="O1118" s="17" t="n"/>
      <c r="P1118" s="17" t="n"/>
      <c r="Q1118" s="17" t="n"/>
      <c r="R1118" s="17" t="n"/>
    </row>
    <row r="1119" ht="188.8" customHeight="1">
      <c r="A1119" s="22" t="n">
        <v>1115</v>
      </c>
      <c r="B1119" s="22" t="n">
        <v>3</v>
      </c>
      <c r="C1119" s="23" t="inlineStr">
        <is>
          <t>LP-W-17 / Storage Tank</t>
        </is>
      </c>
      <c r="D1119" s="23" t="inlineStr">
        <is>
          <t>LP-W-17</t>
        </is>
      </c>
      <c r="E1119" s="24" t="inlineStr">
        <is>
          <t>Storage Tank</t>
        </is>
      </c>
      <c r="F1119" s="5" t="inlineStr">
        <is>
          <t>Laporan Periode Stasiun (LP-)</t>
        </is>
      </c>
      <c r="G1119" s="24" t="inlineStr">
        <is>
          <t>Kolom yang berbagi satu standar ditandai, dan angkanya tidak dirata-ratakan</t>
        </is>
      </c>
      <c r="H1119" s="5" t="inlineStr">
        <is>
          <t>SPV-A</t>
        </is>
      </c>
      <c r="I1119" s="5" t="inlineStr">
        <is>
          <t>Kernel Plant (2 pasang: ripple mill 1–2 dan kernel silo 1–2) atau Depricarping (1 pasang: nut silo)</t>
        </is>
      </c>
      <c r="J1119" s="5" t="inlineStr">
        <is>
          <t>1. Pilih Kernel Plant (2 pasang: ripple mill 1–2 dan kernel silo 1–2) atau Depricarping (1 pasang: nut silo).
2. Login di web, sidebar &gt; Laporan Stasiun (/reports), tekan tile Storage Tank (/reports/storage-tank), lalu pilih Periode dan Production Line untuk stasiun itu dengan data pada kedua kolom pasangan.
3. Cari kedua kartu pasangan itu dan baca keterangannya.
4. Catat angka rata-rata masing-masing kartu.
5. Periksa apakah keduanya menampilkan angka yang identik.</t>
        </is>
      </c>
      <c r="K1119" s="5"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19" s="16" t="inlineStr">
        <is>
          <t>Tinggi</t>
        </is>
      </c>
      <c r="M1119" s="5" t="inlineStr">
        <is>
          <t>pada Kernel Plant ada dua pasangan — pastikan keempat baris bertanda, bukan hanya dua.</t>
        </is>
      </c>
      <c r="N1119" s="17" t="n"/>
      <c r="O1119" s="17" t="n"/>
      <c r="P1119" s="17" t="n"/>
      <c r="Q1119" s="17" t="n"/>
      <c r="R1119" s="17" t="n"/>
    </row>
    <row r="1120" ht="175.6" customHeight="1">
      <c r="A1120" s="18" t="n">
        <v>1116</v>
      </c>
      <c r="B1120" s="18" t="n">
        <v>3</v>
      </c>
      <c r="C1120" s="19" t="inlineStr">
        <is>
          <t>LP-W-18 / Weighbridge</t>
        </is>
      </c>
      <c r="D1120" s="19" t="inlineStr">
        <is>
          <t>LP-W-18</t>
        </is>
      </c>
      <c r="E1120" s="20" t="inlineStr">
        <is>
          <t>Weighbridge</t>
        </is>
      </c>
      <c r="F1120" s="21" t="inlineStr">
        <is>
          <t>Laporan Periode Stasiun (LP-)</t>
        </is>
      </c>
      <c r="G1120" s="20" t="inlineStr">
        <is>
          <t>Ekspor mengikuti periode dan line yang terpilih</t>
        </is>
      </c>
      <c r="H1120" s="21" t="inlineStr">
        <is>
          <t>SPV-A</t>
        </is>
      </c>
      <c r="I1120" s="21" t="inlineStr">
        <is>
          <t>—</t>
        </is>
      </c>
      <c r="J1120" s="21" t="inlineStr">
        <is>
          <t>1. Login di web, sidebar &gt; Laporan Stasiun (/reports), tekan tile Weighbridge (/reports/weighbridge),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20" s="21" t="inlineStr">
        <is>
          <t>- Berkas pertama memuat data Periode A / Line 1 saja.
- Berkas kedua berbeda isinya, mengikuti pilihan baru.
- Nama periode dan Production Line tertulis di dalam berkas, bukan hanya di layar.
- Tidak ada baris dari periode atau line yang tidak terpilih.</t>
        </is>
      </c>
      <c r="L1120" s="16" t="inlineStr">
        <is>
          <t>Tinggi</t>
        </is>
      </c>
      <c r="M1120" s="21" t="inlineStr"/>
      <c r="N1120" s="17" t="n"/>
      <c r="O1120" s="17" t="n"/>
      <c r="P1120" s="17" t="n"/>
      <c r="Q1120" s="17" t="n"/>
      <c r="R1120" s="17" t="n"/>
    </row>
    <row r="1121" ht="175.6" customHeight="1">
      <c r="A1121" s="22" t="n">
        <v>1117</v>
      </c>
      <c r="B1121" s="22" t="n">
        <v>3</v>
      </c>
      <c r="C1121" s="23" t="inlineStr">
        <is>
          <t>LP-W-18 / Grading</t>
        </is>
      </c>
      <c r="D1121" s="23" t="inlineStr">
        <is>
          <t>LP-W-18</t>
        </is>
      </c>
      <c r="E1121" s="24" t="inlineStr">
        <is>
          <t>Grading</t>
        </is>
      </c>
      <c r="F1121" s="5" t="inlineStr">
        <is>
          <t>Laporan Periode Stasiun (LP-)</t>
        </is>
      </c>
      <c r="G1121" s="24" t="inlineStr">
        <is>
          <t>Ekspor mengikuti periode dan line yang terpilih</t>
        </is>
      </c>
      <c r="H1121" s="5" t="inlineStr">
        <is>
          <t>SPV-A</t>
        </is>
      </c>
      <c r="I1121" s="5" t="inlineStr">
        <is>
          <t>—</t>
        </is>
      </c>
      <c r="J1121" s="5" t="inlineStr">
        <is>
          <t>1. Login di web, sidebar &gt; Laporan Stasiun (/reports), tekan tile Grading (/reports/grading),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21" s="5" t="inlineStr">
        <is>
          <t>- Berkas pertama memuat data Periode A / Line 1 saja.
- Berkas kedua berbeda isinya, mengikuti pilihan baru.
- Nama periode dan Production Line tertulis di dalam berkas, bukan hanya di layar.
- Tidak ada baris dari periode atau line yang tidak terpilih.</t>
        </is>
      </c>
      <c r="L1121" s="16" t="inlineStr">
        <is>
          <t>Tinggi</t>
        </is>
      </c>
      <c r="M1121" s="5" t="inlineStr"/>
      <c r="N1121" s="17" t="n"/>
      <c r="O1121" s="17" t="n"/>
      <c r="P1121" s="17" t="n"/>
      <c r="Q1121" s="17" t="n"/>
      <c r="R1121" s="17" t="n"/>
    </row>
    <row r="1122" ht="175.6" customHeight="1">
      <c r="A1122" s="18" t="n">
        <v>1118</v>
      </c>
      <c r="B1122" s="18" t="n">
        <v>3</v>
      </c>
      <c r="C1122" s="19" t="inlineStr">
        <is>
          <t>LP-W-18 / Cages Track</t>
        </is>
      </c>
      <c r="D1122" s="19" t="inlineStr">
        <is>
          <t>LP-W-18</t>
        </is>
      </c>
      <c r="E1122" s="20" t="inlineStr">
        <is>
          <t>Cages Track</t>
        </is>
      </c>
      <c r="F1122" s="21" t="inlineStr">
        <is>
          <t>Laporan Periode Stasiun (LP-)</t>
        </is>
      </c>
      <c r="G1122" s="20" t="inlineStr">
        <is>
          <t>Ekspor mengikuti periode dan line yang terpilih</t>
        </is>
      </c>
      <c r="H1122" s="21" t="inlineStr">
        <is>
          <t>SPV-A</t>
        </is>
      </c>
      <c r="I1122" s="21" t="inlineStr">
        <is>
          <t>—</t>
        </is>
      </c>
      <c r="J1122" s="21" t="inlineStr">
        <is>
          <t>1. Login di web, sidebar &gt; Laporan Stasiun (/reports), tekan tile Cages Track (/reports/cages-track),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22" s="21" t="inlineStr">
        <is>
          <t>- Berkas pertama memuat data Periode A / Line 1 saja.
- Berkas kedua berbeda isinya, mengikuti pilihan baru.
- Nama periode dan Production Line tertulis di dalam berkas, bukan hanya di layar.
- Tidak ada baris dari periode atau line yang tidak terpilih.</t>
        </is>
      </c>
      <c r="L1122" s="16" t="inlineStr">
        <is>
          <t>Tinggi</t>
        </is>
      </c>
      <c r="M1122" s="21" t="inlineStr"/>
      <c r="N1122" s="17" t="n"/>
      <c r="O1122" s="17" t="n"/>
      <c r="P1122" s="17" t="n"/>
      <c r="Q1122" s="17" t="n"/>
      <c r="R1122" s="17" t="n"/>
    </row>
    <row r="1123" ht="175.6" customHeight="1">
      <c r="A1123" s="22" t="n">
        <v>1119</v>
      </c>
      <c r="B1123" s="22" t="n">
        <v>3</v>
      </c>
      <c r="C1123" s="23" t="inlineStr">
        <is>
          <t>LP-W-18 / Sterilizer</t>
        </is>
      </c>
      <c r="D1123" s="23" t="inlineStr">
        <is>
          <t>LP-W-18</t>
        </is>
      </c>
      <c r="E1123" s="24" t="inlineStr">
        <is>
          <t>Sterilizer</t>
        </is>
      </c>
      <c r="F1123" s="5" t="inlineStr">
        <is>
          <t>Laporan Periode Stasiun (LP-)</t>
        </is>
      </c>
      <c r="G1123" s="24" t="inlineStr">
        <is>
          <t>Ekspor mengikuti periode dan line yang terpilih</t>
        </is>
      </c>
      <c r="H1123" s="5" t="inlineStr">
        <is>
          <t>SPV-A</t>
        </is>
      </c>
      <c r="I1123" s="5" t="inlineStr">
        <is>
          <t>—</t>
        </is>
      </c>
      <c r="J1123" s="5" t="inlineStr">
        <is>
          <t>1. Login di web, sidebar &gt; Laporan Stasiun (/reports), tekan tile Sterilizer (/reports/sterilizer),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23" s="5" t="inlineStr">
        <is>
          <t>- Berkas pertama memuat data Periode A / Line 1 saja.
- Berkas kedua berbeda isinya, mengikuti pilihan baru.
- Nama periode dan Production Line tertulis di dalam berkas, bukan hanya di layar.
- Tidak ada baris dari periode atau line yang tidak terpilih.</t>
        </is>
      </c>
      <c r="L1123" s="16" t="inlineStr">
        <is>
          <t>Tinggi</t>
        </is>
      </c>
      <c r="M1123" s="5" t="inlineStr"/>
      <c r="N1123" s="17" t="n"/>
      <c r="O1123" s="17" t="n"/>
      <c r="P1123" s="17" t="n"/>
      <c r="Q1123" s="17" t="n"/>
      <c r="R1123" s="17" t="n"/>
    </row>
    <row r="1124" ht="175.6" customHeight="1">
      <c r="A1124" s="18" t="n">
        <v>1120</v>
      </c>
      <c r="B1124" s="18" t="n">
        <v>3</v>
      </c>
      <c r="C1124" s="19" t="inlineStr">
        <is>
          <t>LP-W-18 / Threshing</t>
        </is>
      </c>
      <c r="D1124" s="19" t="inlineStr">
        <is>
          <t>LP-W-18</t>
        </is>
      </c>
      <c r="E1124" s="20" t="inlineStr">
        <is>
          <t>Threshing</t>
        </is>
      </c>
      <c r="F1124" s="21" t="inlineStr">
        <is>
          <t>Laporan Periode Stasiun (LP-)</t>
        </is>
      </c>
      <c r="G1124" s="20" t="inlineStr">
        <is>
          <t>Ekspor mengikuti periode dan line yang terpilih</t>
        </is>
      </c>
      <c r="H1124" s="21" t="inlineStr">
        <is>
          <t>SPV-A</t>
        </is>
      </c>
      <c r="I1124" s="21" t="inlineStr">
        <is>
          <t>—</t>
        </is>
      </c>
      <c r="J1124" s="21" t="inlineStr">
        <is>
          <t>1. Login di web, sidebar &gt; Laporan Stasiun (/reports), tekan tile Threshing (/reports/threshing),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24" s="21" t="inlineStr">
        <is>
          <t>- Berkas pertama memuat data Periode A / Line 1 saja.
- Berkas kedua berbeda isinya, mengikuti pilihan baru.
- Nama periode dan Production Line tertulis di dalam berkas, bukan hanya di layar.
- Tidak ada baris dari periode atau line yang tidak terpilih.</t>
        </is>
      </c>
      <c r="L1124" s="16" t="inlineStr">
        <is>
          <t>Tinggi</t>
        </is>
      </c>
      <c r="M1124" s="21" t="inlineStr"/>
      <c r="N1124" s="17" t="n"/>
      <c r="O1124" s="17" t="n"/>
      <c r="P1124" s="17" t="n"/>
      <c r="Q1124" s="17" t="n"/>
      <c r="R1124" s="17" t="n"/>
    </row>
    <row r="1125" ht="175.6" customHeight="1">
      <c r="A1125" s="22" t="n">
        <v>1121</v>
      </c>
      <c r="B1125" s="22" t="n">
        <v>3</v>
      </c>
      <c r="C1125" s="23" t="inlineStr">
        <is>
          <t>LP-W-18 / Pressing</t>
        </is>
      </c>
      <c r="D1125" s="23" t="inlineStr">
        <is>
          <t>LP-W-18</t>
        </is>
      </c>
      <c r="E1125" s="24" t="inlineStr">
        <is>
          <t>Pressing</t>
        </is>
      </c>
      <c r="F1125" s="5" t="inlineStr">
        <is>
          <t>Laporan Periode Stasiun (LP-)</t>
        </is>
      </c>
      <c r="G1125" s="24" t="inlineStr">
        <is>
          <t>Ekspor mengikuti periode dan line yang terpilih</t>
        </is>
      </c>
      <c r="H1125" s="5" t="inlineStr">
        <is>
          <t>SPV-A</t>
        </is>
      </c>
      <c r="I1125" s="5" t="inlineStr">
        <is>
          <t>—</t>
        </is>
      </c>
      <c r="J1125" s="5" t="inlineStr">
        <is>
          <t>1. Login di web, sidebar &gt; Laporan Stasiun (/reports), tekan tile Pressing (/reports/pressing),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25" s="5" t="inlineStr">
        <is>
          <t>- Berkas pertama memuat data Periode A / Line 1 saja.
- Berkas kedua berbeda isinya, mengikuti pilihan baru.
- Nama periode dan Production Line tertulis di dalam berkas, bukan hanya di layar.
- Tidak ada baris dari periode atau line yang tidak terpilih.</t>
        </is>
      </c>
      <c r="L1125" s="16" t="inlineStr">
        <is>
          <t>Tinggi</t>
        </is>
      </c>
      <c r="M1125" s="5" t="inlineStr"/>
      <c r="N1125" s="17" t="n"/>
      <c r="O1125" s="17" t="n"/>
      <c r="P1125" s="17" t="n"/>
      <c r="Q1125" s="17" t="n"/>
      <c r="R1125" s="17" t="n"/>
    </row>
    <row r="1126" ht="175.6" customHeight="1">
      <c r="A1126" s="18" t="n">
        <v>1122</v>
      </c>
      <c r="B1126" s="18" t="n">
        <v>3</v>
      </c>
      <c r="C1126" s="19" t="inlineStr">
        <is>
          <t>LP-W-18 / Clarification</t>
        </is>
      </c>
      <c r="D1126" s="19" t="inlineStr">
        <is>
          <t>LP-W-18</t>
        </is>
      </c>
      <c r="E1126" s="20" t="inlineStr">
        <is>
          <t>Clarification</t>
        </is>
      </c>
      <c r="F1126" s="21" t="inlineStr">
        <is>
          <t>Laporan Periode Stasiun (LP-)</t>
        </is>
      </c>
      <c r="G1126" s="20" t="inlineStr">
        <is>
          <t>Ekspor mengikuti periode dan line yang terpilih</t>
        </is>
      </c>
      <c r="H1126" s="21" t="inlineStr">
        <is>
          <t>SPV-A</t>
        </is>
      </c>
      <c r="I1126" s="21" t="inlineStr">
        <is>
          <t>—</t>
        </is>
      </c>
      <c r="J1126" s="21" t="inlineStr">
        <is>
          <t>1. Login di web, sidebar &gt; Laporan Stasiun (/reports), tekan tile Clarification (/reports/clarification),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26" s="21" t="inlineStr">
        <is>
          <t>- Berkas pertama memuat data Periode A / Line 1 saja.
- Berkas kedua berbeda isinya, mengikuti pilihan baru.
- Nama periode dan Production Line tertulis di dalam berkas, bukan hanya di layar.
- Tidak ada baris dari periode atau line yang tidak terpilih.</t>
        </is>
      </c>
      <c r="L1126" s="16" t="inlineStr">
        <is>
          <t>Tinggi</t>
        </is>
      </c>
      <c r="M1126" s="21" t="inlineStr"/>
      <c r="N1126" s="17" t="n"/>
      <c r="O1126" s="17" t="n"/>
      <c r="P1126" s="17" t="n"/>
      <c r="Q1126" s="17" t="n"/>
      <c r="R1126" s="17" t="n"/>
    </row>
    <row r="1127" ht="175.6" customHeight="1">
      <c r="A1127" s="11" t="n">
        <v>1123</v>
      </c>
      <c r="B1127" s="12" t="n">
        <v>1</v>
      </c>
      <c r="C1127" s="13" t="inlineStr">
        <is>
          <t>LP-W-18 / Kernel Plant</t>
        </is>
      </c>
      <c r="D1127" s="13" t="inlineStr">
        <is>
          <t>LP-W-18</t>
        </is>
      </c>
      <c r="E1127" s="15" t="inlineStr">
        <is>
          <t>Kernel Plant</t>
        </is>
      </c>
      <c r="F1127" s="14" t="inlineStr">
        <is>
          <t>Laporan Periode Stasiun (LP-)</t>
        </is>
      </c>
      <c r="G1127" s="15" t="inlineStr">
        <is>
          <t>Ekspor mengikuti periode dan line yang terpilih</t>
        </is>
      </c>
      <c r="H1127" s="14" t="inlineStr">
        <is>
          <t>SPV-A</t>
        </is>
      </c>
      <c r="I1127" s="14" t="inlineStr">
        <is>
          <t>—</t>
        </is>
      </c>
      <c r="J1127" s="14" t="inlineStr">
        <is>
          <t>1. Login di web, sidebar &gt; Laporan Stasiun (/reports), tekan tile Kernel Plant (/reports/kernel-plant),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27" s="14" t="inlineStr">
        <is>
          <t>- Berkas pertama memuat data Periode A / Line 1 saja.
- Berkas kedua berbeda isinya, mengikuti pilihan baru.
- Nama periode dan Production Line tertulis di dalam berkas, bukan hanya di layar.
- Tidak ada baris dari periode atau line yang tidak terpilih.</t>
        </is>
      </c>
      <c r="L1127" s="16" t="inlineStr">
        <is>
          <t>Tinggi</t>
        </is>
      </c>
      <c r="M1127" s="14" t="inlineStr"/>
      <c r="N1127" s="17" t="n"/>
      <c r="O1127" s="17" t="n"/>
      <c r="P1127" s="17" t="n"/>
      <c r="Q1127" s="17" t="n"/>
      <c r="R1127" s="17" t="n"/>
    </row>
    <row r="1128" ht="175.6" customHeight="1">
      <c r="A1128" s="18" t="n">
        <v>1124</v>
      </c>
      <c r="B1128" s="18" t="n">
        <v>3</v>
      </c>
      <c r="C1128" s="19" t="inlineStr">
        <is>
          <t>LP-W-18 / Boiler Room</t>
        </is>
      </c>
      <c r="D1128" s="19" t="inlineStr">
        <is>
          <t>LP-W-18</t>
        </is>
      </c>
      <c r="E1128" s="20" t="inlineStr">
        <is>
          <t>Boiler Room</t>
        </is>
      </c>
      <c r="F1128" s="21" t="inlineStr">
        <is>
          <t>Laporan Periode Stasiun (LP-)</t>
        </is>
      </c>
      <c r="G1128" s="20" t="inlineStr">
        <is>
          <t>Ekspor mengikuti periode dan line yang terpilih</t>
        </is>
      </c>
      <c r="H1128" s="21" t="inlineStr">
        <is>
          <t>SPV-A</t>
        </is>
      </c>
      <c r="I1128" s="21" t="inlineStr">
        <is>
          <t>—</t>
        </is>
      </c>
      <c r="J1128" s="21" t="inlineStr">
        <is>
          <t>1. Login di web, sidebar &gt; Laporan Stasiun (/reports), tekan tile Boiler Room (/reports/boiler-room),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28" s="21" t="inlineStr">
        <is>
          <t>- Berkas pertama memuat data Periode A / Line 1 saja.
- Berkas kedua berbeda isinya, mengikuti pilihan baru.
- Nama periode dan Production Line tertulis di dalam berkas, bukan hanya di layar.
- Tidak ada baris dari periode atau line yang tidak terpilih.</t>
        </is>
      </c>
      <c r="L1128" s="16" t="inlineStr">
        <is>
          <t>Tinggi</t>
        </is>
      </c>
      <c r="M1128" s="21" t="inlineStr"/>
      <c r="N1128" s="17" t="n"/>
      <c r="O1128" s="17" t="n"/>
      <c r="P1128" s="17" t="n"/>
      <c r="Q1128" s="17" t="n"/>
      <c r="R1128" s="17" t="n"/>
    </row>
    <row r="1129" ht="175.6" customHeight="1">
      <c r="A1129" s="22" t="n">
        <v>1125</v>
      </c>
      <c r="B1129" s="22" t="n">
        <v>3</v>
      </c>
      <c r="C1129" s="23" t="inlineStr">
        <is>
          <t>LP-W-18 / Depricarping</t>
        </is>
      </c>
      <c r="D1129" s="23" t="inlineStr">
        <is>
          <t>LP-W-18</t>
        </is>
      </c>
      <c r="E1129" s="24" t="inlineStr">
        <is>
          <t>Depricarping</t>
        </is>
      </c>
      <c r="F1129" s="5" t="inlineStr">
        <is>
          <t>Laporan Periode Stasiun (LP-)</t>
        </is>
      </c>
      <c r="G1129" s="24" t="inlineStr">
        <is>
          <t>Ekspor mengikuti periode dan line yang terpilih</t>
        </is>
      </c>
      <c r="H1129" s="5" t="inlineStr">
        <is>
          <t>SPV-A</t>
        </is>
      </c>
      <c r="I1129" s="5" t="inlineStr">
        <is>
          <t>—</t>
        </is>
      </c>
      <c r="J1129" s="5" t="inlineStr">
        <is>
          <t>1. Login di web, sidebar &gt; Laporan Stasiun (/reports), tekan tile Depricarping (/reports/depricarping),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29" s="5" t="inlineStr">
        <is>
          <t>- Berkas pertama memuat data Periode A / Line 1 saja.
- Berkas kedua berbeda isinya, mengikuti pilihan baru.
- Nama periode dan Production Line tertulis di dalam berkas, bukan hanya di layar.
- Tidak ada baris dari periode atau line yang tidak terpilih.</t>
        </is>
      </c>
      <c r="L1129" s="16" t="inlineStr">
        <is>
          <t>Tinggi</t>
        </is>
      </c>
      <c r="M1129" s="5" t="inlineStr"/>
      <c r="N1129" s="17" t="n"/>
      <c r="O1129" s="17" t="n"/>
      <c r="P1129" s="17" t="n"/>
      <c r="Q1129" s="17" t="n"/>
      <c r="R1129" s="17" t="n"/>
    </row>
    <row r="1130" ht="175.6" customHeight="1">
      <c r="A1130" s="18" t="n">
        <v>1126</v>
      </c>
      <c r="B1130" s="18" t="n">
        <v>3</v>
      </c>
      <c r="C1130" s="19" t="inlineStr">
        <is>
          <t>LP-W-18 / Storage Tank</t>
        </is>
      </c>
      <c r="D1130" s="19" t="inlineStr">
        <is>
          <t>LP-W-18</t>
        </is>
      </c>
      <c r="E1130" s="20" t="inlineStr">
        <is>
          <t>Storage Tank</t>
        </is>
      </c>
      <c r="F1130" s="21" t="inlineStr">
        <is>
          <t>Laporan Periode Stasiun (LP-)</t>
        </is>
      </c>
      <c r="G1130" s="20" t="inlineStr">
        <is>
          <t>Ekspor mengikuti periode dan line yang terpilih</t>
        </is>
      </c>
      <c r="H1130" s="21" t="inlineStr">
        <is>
          <t>SPV-A</t>
        </is>
      </c>
      <c r="I1130" s="21" t="inlineStr">
        <is>
          <t>—</t>
        </is>
      </c>
      <c r="J1130" s="21" t="inlineStr">
        <is>
          <t>1. Login di web, sidebar &gt; Laporan Stasiun (/reports), tekan tile Storage Tank (/reports/storage-tank),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30" s="21" t="inlineStr">
        <is>
          <t>- Berkas pertama memuat data Periode A / Line 1 saja.
- Berkas kedua berbeda isinya, mengikuti pilihan baru.
- Nama periode dan Production Line tertulis di dalam berkas, bukan hanya di layar.
- Tidak ada baris dari periode atau line yang tidak terpilih.</t>
        </is>
      </c>
      <c r="L1130" s="16" t="inlineStr">
        <is>
          <t>Tinggi</t>
        </is>
      </c>
      <c r="M1130" s="21" t="inlineStr"/>
      <c r="N1130" s="17" t="n"/>
      <c r="O1130" s="17" t="n"/>
      <c r="P1130" s="17" t="n"/>
      <c r="Q1130" s="17" t="n"/>
      <c r="R1130" s="17" t="n"/>
    </row>
    <row r="1131" ht="202" customHeight="1">
      <c r="A1131" s="22" t="n">
        <v>1127</v>
      </c>
      <c r="B1131" s="22" t="n">
        <v>3</v>
      </c>
      <c r="C1131" s="23" t="inlineStr">
        <is>
          <t>LP-W-19 / Weighbridge</t>
        </is>
      </c>
      <c r="D1131" s="23" t="inlineStr">
        <is>
          <t>LP-W-19</t>
        </is>
      </c>
      <c r="E1131" s="24" t="inlineStr">
        <is>
          <t>Weighbridge</t>
        </is>
      </c>
      <c r="F1131" s="5" t="inlineStr">
        <is>
          <t>Laporan Periode Stasiun (LP-)</t>
        </is>
      </c>
      <c r="G1131" s="24" t="inlineStr">
        <is>
          <t>Laporan tidak pernah mengubah data</t>
        </is>
      </c>
      <c r="H1131" s="5" t="inlineStr">
        <is>
          <t>SPV-A</t>
        </is>
      </c>
      <c r="I1131" s="5" t="inlineStr">
        <is>
          <t>—</t>
        </is>
      </c>
      <c r="J1131" s="5" t="inlineStr">
        <is>
          <t>1. Login di web, lalu sidebar &gt; Data &gt; Weighbridge (/data/weighbridge). Catat jumlah data dan status beberapa record.
2. Login di web, sidebar &gt; Laporan Stasiun (/reports), tekan tile Weighbridge (/reports/weighbridge), lalu pilih Periode dan Production Line. Ganti periode dan line beberapa kali, buka-tutup rekap harian, dan lakukan ekspor.
3. Cari tombol apa pun di layar laporan yang mengubah data (Simpan, Edit, Hapus, Verifikasi).
4. Kembali ke Login di web, lalu sidebar &gt; Data &gt; Weighbridge (/data/weighbridge) dan bandingkan dengan catatan langkah 1.</t>
        </is>
      </c>
      <c r="K1131" s="5" t="inlineStr">
        <is>
          <t>- Layar laporan tidak punya satu pun tombol yang mengubah data — hanya pemilih, pengulang, dan ekspor.
- Jumlah data dan status seluruh record tidak berubah.
- Ekspor tidak mengubah status record menjadi apa pun.</t>
        </is>
      </c>
      <c r="L1131" s="16" t="inlineStr">
        <is>
          <t>Tinggi</t>
        </is>
      </c>
      <c r="M1131" s="5" t="inlineStr"/>
      <c r="N1131" s="17" t="n"/>
      <c r="O1131" s="17" t="n"/>
      <c r="P1131" s="17" t="n"/>
      <c r="Q1131" s="17" t="n"/>
      <c r="R1131" s="17" t="n"/>
    </row>
    <row r="1132" ht="188.8" customHeight="1">
      <c r="A1132" s="18" t="n">
        <v>1128</v>
      </c>
      <c r="B1132" s="18" t="n">
        <v>3</v>
      </c>
      <c r="C1132" s="19" t="inlineStr">
        <is>
          <t>LP-W-19 / Grading</t>
        </is>
      </c>
      <c r="D1132" s="19" t="inlineStr">
        <is>
          <t>LP-W-19</t>
        </is>
      </c>
      <c r="E1132" s="20" t="inlineStr">
        <is>
          <t>Grading</t>
        </is>
      </c>
      <c r="F1132" s="21" t="inlineStr">
        <is>
          <t>Laporan Periode Stasiun (LP-)</t>
        </is>
      </c>
      <c r="G1132" s="20" t="inlineStr">
        <is>
          <t>Laporan tidak pernah mengubah data</t>
        </is>
      </c>
      <c r="H1132" s="21" t="inlineStr">
        <is>
          <t>SPV-A</t>
        </is>
      </c>
      <c r="I1132" s="21" t="inlineStr">
        <is>
          <t>—</t>
        </is>
      </c>
      <c r="J1132" s="21" t="inlineStr">
        <is>
          <t>1. Login di web, lalu sidebar &gt; Data &gt; Grading (/data/grading). Catat jumlah data dan status beberapa record.
2. Login di web, sidebar &gt; Laporan Stasiun (/reports), tekan tile Grading (/reports/grading), lalu pilih Periode dan Production Line. Ganti periode dan line beberapa kali, buka-tutup rekap harian, dan lakukan ekspor.
3. Cari tombol apa pun di layar laporan yang mengubah data (Simpan, Edit, Hapus, Verifikasi).
4. Kembali ke Login di web, lalu sidebar &gt; Data &gt; Grading (/data/grading) dan bandingkan dengan catatan langkah 1.</t>
        </is>
      </c>
      <c r="K1132" s="21" t="inlineStr">
        <is>
          <t>- Layar laporan tidak punya satu pun tombol yang mengubah data — hanya pemilih, pengulang, dan ekspor.
- Jumlah data dan status seluruh record tidak berubah.
- Ekspor tidak mengubah status record menjadi apa pun.</t>
        </is>
      </c>
      <c r="L1132" s="16" t="inlineStr">
        <is>
          <t>Tinggi</t>
        </is>
      </c>
      <c r="M1132" s="21" t="inlineStr"/>
      <c r="N1132" s="17" t="n"/>
      <c r="O1132" s="17" t="n"/>
      <c r="P1132" s="17" t="n"/>
      <c r="Q1132" s="17" t="n"/>
      <c r="R1132" s="17" t="n"/>
    </row>
    <row r="1133" ht="202" customHeight="1">
      <c r="A1133" s="22" t="n">
        <v>1129</v>
      </c>
      <c r="B1133" s="22" t="n">
        <v>3</v>
      </c>
      <c r="C1133" s="23" t="inlineStr">
        <is>
          <t>LP-W-19 / Cages Track</t>
        </is>
      </c>
      <c r="D1133" s="23" t="inlineStr">
        <is>
          <t>LP-W-19</t>
        </is>
      </c>
      <c r="E1133" s="24" t="inlineStr">
        <is>
          <t>Cages Track</t>
        </is>
      </c>
      <c r="F1133" s="5" t="inlineStr">
        <is>
          <t>Laporan Periode Stasiun (LP-)</t>
        </is>
      </c>
      <c r="G1133" s="24" t="inlineStr">
        <is>
          <t>Laporan tidak pernah mengubah data</t>
        </is>
      </c>
      <c r="H1133" s="5" t="inlineStr">
        <is>
          <t>SPV-A</t>
        </is>
      </c>
      <c r="I1133" s="5" t="inlineStr">
        <is>
          <t>—</t>
        </is>
      </c>
      <c r="J1133" s="5" t="inlineStr">
        <is>
          <t>1. Login di web, lalu sidebar &gt; Data &gt; Cages Track (/data/cages-track). Catat jumlah data dan status beberapa record.
2. Login di web, sidebar &gt; Laporan Stasiun (/reports), tekan tile Cages Track (/reports/cages-track), lalu pilih Periode dan Production Line. Ganti periode dan line beberapa kali, buka-tutup rekap harian, dan lakukan ekspor.
3. Cari tombol apa pun di layar laporan yang mengubah data (Simpan, Edit, Hapus, Verifikasi).
4. Kembali ke Login di web, lalu sidebar &gt; Data &gt; Cages Track (/data/cages-track) dan bandingkan dengan catatan langkah 1.</t>
        </is>
      </c>
      <c r="K1133" s="5" t="inlineStr">
        <is>
          <t>- Layar laporan tidak punya satu pun tombol yang mengubah data — hanya pemilih, pengulang, dan ekspor.
- Jumlah data dan status seluruh record tidak berubah.
- Ekspor tidak mengubah status record menjadi apa pun.</t>
        </is>
      </c>
      <c r="L1133" s="16" t="inlineStr">
        <is>
          <t>Tinggi</t>
        </is>
      </c>
      <c r="M1133" s="5" t="inlineStr"/>
      <c r="N1133" s="17" t="n"/>
      <c r="O1133" s="17" t="n"/>
      <c r="P1133" s="17" t="n"/>
      <c r="Q1133" s="17" t="n"/>
      <c r="R1133" s="17" t="n"/>
    </row>
    <row r="1134" ht="202" customHeight="1">
      <c r="A1134" s="18" t="n">
        <v>1130</v>
      </c>
      <c r="B1134" s="18" t="n">
        <v>3</v>
      </c>
      <c r="C1134" s="19" t="inlineStr">
        <is>
          <t>LP-W-19 / Sterilizer</t>
        </is>
      </c>
      <c r="D1134" s="19" t="inlineStr">
        <is>
          <t>LP-W-19</t>
        </is>
      </c>
      <c r="E1134" s="20" t="inlineStr">
        <is>
          <t>Sterilizer</t>
        </is>
      </c>
      <c r="F1134" s="21" t="inlineStr">
        <is>
          <t>Laporan Periode Stasiun (LP-)</t>
        </is>
      </c>
      <c r="G1134" s="20" t="inlineStr">
        <is>
          <t>Laporan tidak pernah mengubah data</t>
        </is>
      </c>
      <c r="H1134" s="21" t="inlineStr">
        <is>
          <t>SPV-A</t>
        </is>
      </c>
      <c r="I1134" s="21" t="inlineStr">
        <is>
          <t>—</t>
        </is>
      </c>
      <c r="J1134" s="21" t="inlineStr">
        <is>
          <t>1. Login di web, lalu sidebar &gt; Data &gt; Sterilizer (/data/sterilizer). Catat jumlah data dan status beberapa record.
2. Login di web, sidebar &gt; Laporan Stasiun (/reports), tekan tile Sterilizer (/reports/sterilizer), lalu pilih Periode dan Production Line. Ganti periode dan line beberapa kali, buka-tutup rekap harian, dan lakukan ekspor.
3. Cari tombol apa pun di layar laporan yang mengubah data (Simpan, Edit, Hapus, Verifikasi).
4. Kembali ke Login di web, lalu sidebar &gt; Data &gt; Sterilizer (/data/sterilizer) dan bandingkan dengan catatan langkah 1.</t>
        </is>
      </c>
      <c r="K1134" s="21" t="inlineStr">
        <is>
          <t>- Layar laporan tidak punya satu pun tombol yang mengubah data — hanya pemilih, pengulang, dan ekspor.
- Jumlah data dan status seluruh record tidak berubah.
- Ekspor tidak mengubah status record menjadi apa pun.</t>
        </is>
      </c>
      <c r="L1134" s="16" t="inlineStr">
        <is>
          <t>Tinggi</t>
        </is>
      </c>
      <c r="M1134" s="21" t="inlineStr"/>
      <c r="N1134" s="17" t="n"/>
      <c r="O1134" s="17" t="n"/>
      <c r="P1134" s="17" t="n"/>
      <c r="Q1134" s="17" t="n"/>
      <c r="R1134" s="17" t="n"/>
    </row>
    <row r="1135" ht="188.8" customHeight="1">
      <c r="A1135" s="22" t="n">
        <v>1131</v>
      </c>
      <c r="B1135" s="22" t="n">
        <v>3</v>
      </c>
      <c r="C1135" s="23" t="inlineStr">
        <is>
          <t>LP-W-19 / Threshing</t>
        </is>
      </c>
      <c r="D1135" s="23" t="inlineStr">
        <is>
          <t>LP-W-19</t>
        </is>
      </c>
      <c r="E1135" s="24" t="inlineStr">
        <is>
          <t>Threshing</t>
        </is>
      </c>
      <c r="F1135" s="5" t="inlineStr">
        <is>
          <t>Laporan Periode Stasiun (LP-)</t>
        </is>
      </c>
      <c r="G1135" s="24" t="inlineStr">
        <is>
          <t>Laporan tidak pernah mengubah data</t>
        </is>
      </c>
      <c r="H1135" s="5" t="inlineStr">
        <is>
          <t>SPV-A</t>
        </is>
      </c>
      <c r="I1135" s="5" t="inlineStr">
        <is>
          <t>—</t>
        </is>
      </c>
      <c r="J1135" s="5" t="inlineStr">
        <is>
          <t>1. Login di web, lalu sidebar &gt; Data &gt; Threshing (/data/threshing). Catat jumlah data dan status beberapa record.
2. Login di web, sidebar &gt; Laporan Stasiun (/reports), tekan tile Threshing (/reports/threshing), lalu pilih Periode dan Production Line. Ganti periode dan line beberapa kali, buka-tutup rekap harian, dan lakukan ekspor.
3. Cari tombol apa pun di layar laporan yang mengubah data (Simpan, Edit, Hapus, Verifikasi).
4. Kembali ke Login di web, lalu sidebar &gt; Data &gt; Threshing (/data/threshing) dan bandingkan dengan catatan langkah 1.</t>
        </is>
      </c>
      <c r="K1135" s="5" t="inlineStr">
        <is>
          <t>- Layar laporan tidak punya satu pun tombol yang mengubah data — hanya pemilih, pengulang, dan ekspor.
- Jumlah data dan status seluruh record tidak berubah.
- Ekspor tidak mengubah status record menjadi apa pun.</t>
        </is>
      </c>
      <c r="L1135" s="16" t="inlineStr">
        <is>
          <t>Tinggi</t>
        </is>
      </c>
      <c r="M1135" s="5" t="inlineStr"/>
      <c r="N1135" s="17" t="n"/>
      <c r="O1135" s="17" t="n"/>
      <c r="P1135" s="17" t="n"/>
      <c r="Q1135" s="17" t="n"/>
      <c r="R1135" s="17" t="n"/>
    </row>
    <row r="1136" ht="188.8" customHeight="1">
      <c r="A1136" s="18" t="n">
        <v>1132</v>
      </c>
      <c r="B1136" s="18" t="n">
        <v>3</v>
      </c>
      <c r="C1136" s="19" t="inlineStr">
        <is>
          <t>LP-W-19 / Pressing</t>
        </is>
      </c>
      <c r="D1136" s="19" t="inlineStr">
        <is>
          <t>LP-W-19</t>
        </is>
      </c>
      <c r="E1136" s="20" t="inlineStr">
        <is>
          <t>Pressing</t>
        </is>
      </c>
      <c r="F1136" s="21" t="inlineStr">
        <is>
          <t>Laporan Periode Stasiun (LP-)</t>
        </is>
      </c>
      <c r="G1136" s="20" t="inlineStr">
        <is>
          <t>Laporan tidak pernah mengubah data</t>
        </is>
      </c>
      <c r="H1136" s="21" t="inlineStr">
        <is>
          <t>SPV-A</t>
        </is>
      </c>
      <c r="I1136" s="21" t="inlineStr">
        <is>
          <t>—</t>
        </is>
      </c>
      <c r="J1136" s="21" t="inlineStr">
        <is>
          <t>1. Login di web, lalu sidebar &gt; Data &gt; Pressing (/data/pressing). Catat jumlah data dan status beberapa record.
2. Login di web, sidebar &gt; Laporan Stasiun (/reports), tekan tile Pressing (/reports/pressing), lalu pilih Periode dan Production Line. Ganti periode dan line beberapa kali, buka-tutup rekap harian, dan lakukan ekspor.
3. Cari tombol apa pun di layar laporan yang mengubah data (Simpan, Edit, Hapus, Verifikasi).
4. Kembali ke Login di web, lalu sidebar &gt; Data &gt; Pressing (/data/pressing) dan bandingkan dengan catatan langkah 1.</t>
        </is>
      </c>
      <c r="K1136" s="21" t="inlineStr">
        <is>
          <t>- Layar laporan tidak punya satu pun tombol yang mengubah data — hanya pemilih, pengulang, dan ekspor.
- Jumlah data dan status seluruh record tidak berubah.
- Ekspor tidak mengubah status record menjadi apa pun.</t>
        </is>
      </c>
      <c r="L1136" s="16" t="inlineStr">
        <is>
          <t>Tinggi</t>
        </is>
      </c>
      <c r="M1136" s="21" t="inlineStr"/>
      <c r="N1136" s="17" t="n"/>
      <c r="O1136" s="17" t="n"/>
      <c r="P1136" s="17" t="n"/>
      <c r="Q1136" s="17" t="n"/>
      <c r="R1136" s="17" t="n"/>
    </row>
    <row r="1137" ht="202" customHeight="1">
      <c r="A1137" s="22" t="n">
        <v>1133</v>
      </c>
      <c r="B1137" s="22" t="n">
        <v>3</v>
      </c>
      <c r="C1137" s="23" t="inlineStr">
        <is>
          <t>LP-W-19 / Clarification</t>
        </is>
      </c>
      <c r="D1137" s="23" t="inlineStr">
        <is>
          <t>LP-W-19</t>
        </is>
      </c>
      <c r="E1137" s="24" t="inlineStr">
        <is>
          <t>Clarification</t>
        </is>
      </c>
      <c r="F1137" s="5" t="inlineStr">
        <is>
          <t>Laporan Periode Stasiun (LP-)</t>
        </is>
      </c>
      <c r="G1137" s="24" t="inlineStr">
        <is>
          <t>Laporan tidak pernah mengubah data</t>
        </is>
      </c>
      <c r="H1137" s="5" t="inlineStr">
        <is>
          <t>SPV-A</t>
        </is>
      </c>
      <c r="I1137" s="5" t="inlineStr">
        <is>
          <t>—</t>
        </is>
      </c>
      <c r="J1137" s="5" t="inlineStr">
        <is>
          <t>1. Login di web, lalu sidebar &gt; Data &gt; Clarification (/data/clarification). Catat jumlah data dan status beberapa record.
2. Login di web, sidebar &gt; Laporan Stasiun (/reports), tekan tile Clarification (/reports/clarification), lalu pilih Periode dan Production Line. Ganti periode dan line beberapa kali, buka-tutup rekap harian, dan lakukan ekspor.
3. Cari tombol apa pun di layar laporan yang mengubah data (Simpan, Edit, Hapus, Verifikasi).
4. Kembali ke Login di web, lalu sidebar &gt; Data &gt; Clarification (/data/clarification) dan bandingkan dengan catatan langkah 1.</t>
        </is>
      </c>
      <c r="K1137" s="5" t="inlineStr">
        <is>
          <t>- Layar laporan tidak punya satu pun tombol yang mengubah data — hanya pemilih, pengulang, dan ekspor.
- Jumlah data dan status seluruh record tidak berubah.
- Ekspor tidak mengubah status record menjadi apa pun.</t>
        </is>
      </c>
      <c r="L1137" s="16" t="inlineStr">
        <is>
          <t>Tinggi</t>
        </is>
      </c>
      <c r="M1137" s="5" t="inlineStr"/>
      <c r="N1137" s="17" t="n"/>
      <c r="O1137" s="17" t="n"/>
      <c r="P1137" s="17" t="n"/>
      <c r="Q1137" s="17" t="n"/>
      <c r="R1137" s="17" t="n"/>
    </row>
    <row r="1138" ht="202" customHeight="1">
      <c r="A1138" s="11" t="n">
        <v>1134</v>
      </c>
      <c r="B1138" s="12" t="n">
        <v>1</v>
      </c>
      <c r="C1138" s="13" t="inlineStr">
        <is>
          <t>LP-W-19 / Kernel Plant</t>
        </is>
      </c>
      <c r="D1138" s="13" t="inlineStr">
        <is>
          <t>LP-W-19</t>
        </is>
      </c>
      <c r="E1138" s="15" t="inlineStr">
        <is>
          <t>Kernel Plant</t>
        </is>
      </c>
      <c r="F1138" s="14" t="inlineStr">
        <is>
          <t>Laporan Periode Stasiun (LP-)</t>
        </is>
      </c>
      <c r="G1138" s="15" t="inlineStr">
        <is>
          <t>Laporan tidak pernah mengubah data</t>
        </is>
      </c>
      <c r="H1138" s="14" t="inlineStr">
        <is>
          <t>SPV-A</t>
        </is>
      </c>
      <c r="I1138" s="14" t="inlineStr">
        <is>
          <t>—</t>
        </is>
      </c>
      <c r="J1138" s="14" t="inlineStr">
        <is>
          <t>1. Login di web, lalu sidebar &gt; Data &gt; Kernel Plant (/data/kernel-plant). Catat jumlah data dan status beberapa record.
2. Login di web, sidebar &gt; Laporan Stasiun (/reports), tekan tile Kernel Plant (/reports/kernel-plant), lalu pilih Periode dan Production Line. Ganti periode dan line beberapa kali, buka-tutup rekap harian, dan lakukan ekspor.
3. Cari tombol apa pun di layar laporan yang mengubah data (Simpan, Edit, Hapus, Verifikasi).
4. Kembali ke Login di web, lalu sidebar &gt; Data &gt; Kernel Plant (/data/kernel-plant) dan bandingkan dengan catatan langkah 1.</t>
        </is>
      </c>
      <c r="K1138" s="14" t="inlineStr">
        <is>
          <t>- Layar laporan tidak punya satu pun tombol yang mengubah data — hanya pemilih, pengulang, dan ekspor.
- Jumlah data dan status seluruh record tidak berubah.
- Ekspor tidak mengubah status record menjadi apa pun.</t>
        </is>
      </c>
      <c r="L1138" s="16" t="inlineStr">
        <is>
          <t>Tinggi</t>
        </is>
      </c>
      <c r="M1138" s="14" t="inlineStr"/>
      <c r="N1138" s="17" t="n"/>
      <c r="O1138" s="17" t="n"/>
      <c r="P1138" s="17" t="n"/>
      <c r="Q1138" s="17" t="n"/>
      <c r="R1138" s="17" t="n"/>
    </row>
    <row r="1139" ht="202" customHeight="1">
      <c r="A1139" s="22" t="n">
        <v>1135</v>
      </c>
      <c r="B1139" s="22" t="n">
        <v>3</v>
      </c>
      <c r="C1139" s="23" t="inlineStr">
        <is>
          <t>LP-W-19 / Boiler Room</t>
        </is>
      </c>
      <c r="D1139" s="23" t="inlineStr">
        <is>
          <t>LP-W-19</t>
        </is>
      </c>
      <c r="E1139" s="24" t="inlineStr">
        <is>
          <t>Boiler Room</t>
        </is>
      </c>
      <c r="F1139" s="5" t="inlineStr">
        <is>
          <t>Laporan Periode Stasiun (LP-)</t>
        </is>
      </c>
      <c r="G1139" s="24" t="inlineStr">
        <is>
          <t>Laporan tidak pernah mengubah data</t>
        </is>
      </c>
      <c r="H1139" s="5" t="inlineStr">
        <is>
          <t>SPV-A</t>
        </is>
      </c>
      <c r="I1139" s="5" t="inlineStr">
        <is>
          <t>—</t>
        </is>
      </c>
      <c r="J1139" s="5" t="inlineStr">
        <is>
          <t>1. Login di web, lalu sidebar &gt; Data &gt; Boiler Room (/data/boiler-room). Catat jumlah data dan status beberapa record.
2. Login di web, sidebar &gt; Laporan Stasiun (/reports), tekan tile Boiler Room (/reports/boiler-room), lalu pilih Periode dan Production Line. Ganti periode dan line beberapa kali, buka-tutup rekap harian, dan lakukan ekspor.
3. Cari tombol apa pun di layar laporan yang mengubah data (Simpan, Edit, Hapus, Verifikasi).
4. Kembali ke Login di web, lalu sidebar &gt; Data &gt; Boiler Room (/data/boiler-room) dan bandingkan dengan catatan langkah 1.</t>
        </is>
      </c>
      <c r="K1139" s="5" t="inlineStr">
        <is>
          <t>- Layar laporan tidak punya satu pun tombol yang mengubah data — hanya pemilih, pengulang, dan ekspor.
- Jumlah data dan status seluruh record tidak berubah.
- Ekspor tidak mengubah status record menjadi apa pun.</t>
        </is>
      </c>
      <c r="L1139" s="16" t="inlineStr">
        <is>
          <t>Tinggi</t>
        </is>
      </c>
      <c r="M1139" s="5" t="inlineStr"/>
      <c r="N1139" s="17" t="n"/>
      <c r="O1139" s="17" t="n"/>
      <c r="P1139" s="17" t="n"/>
      <c r="Q1139" s="17" t="n"/>
      <c r="R1139" s="17" t="n"/>
    </row>
    <row r="1140" ht="202" customHeight="1">
      <c r="A1140" s="18" t="n">
        <v>1136</v>
      </c>
      <c r="B1140" s="18" t="n">
        <v>3</v>
      </c>
      <c r="C1140" s="19" t="inlineStr">
        <is>
          <t>LP-W-19 / Depricarping</t>
        </is>
      </c>
      <c r="D1140" s="19" t="inlineStr">
        <is>
          <t>LP-W-19</t>
        </is>
      </c>
      <c r="E1140" s="20" t="inlineStr">
        <is>
          <t>Depricarping</t>
        </is>
      </c>
      <c r="F1140" s="21" t="inlineStr">
        <is>
          <t>Laporan Periode Stasiun (LP-)</t>
        </is>
      </c>
      <c r="G1140" s="20" t="inlineStr">
        <is>
          <t>Laporan tidak pernah mengubah data</t>
        </is>
      </c>
      <c r="H1140" s="21" t="inlineStr">
        <is>
          <t>SPV-A</t>
        </is>
      </c>
      <c r="I1140" s="21" t="inlineStr">
        <is>
          <t>—</t>
        </is>
      </c>
      <c r="J1140" s="21" t="inlineStr">
        <is>
          <t>1. Login di web, lalu sidebar &gt; Data &gt; Depricarping (/data/depricarping). Catat jumlah data dan status beberapa record.
2. Login di web, sidebar &gt; Laporan Stasiun (/reports), tekan tile Depricarping (/reports/depricarping), lalu pilih Periode dan Production Line. Ganti periode dan line beberapa kali, buka-tutup rekap harian, dan lakukan ekspor.
3. Cari tombol apa pun di layar laporan yang mengubah data (Simpan, Edit, Hapus, Verifikasi).
4. Kembali ke Login di web, lalu sidebar &gt; Data &gt; Depricarping (/data/depricarping) dan bandingkan dengan catatan langkah 1.</t>
        </is>
      </c>
      <c r="K1140" s="21" t="inlineStr">
        <is>
          <t>- Layar laporan tidak punya satu pun tombol yang mengubah data — hanya pemilih, pengulang, dan ekspor.
- Jumlah data dan status seluruh record tidak berubah.
- Ekspor tidak mengubah status record menjadi apa pun.</t>
        </is>
      </c>
      <c r="L1140" s="16" t="inlineStr">
        <is>
          <t>Tinggi</t>
        </is>
      </c>
      <c r="M1140" s="21" t="inlineStr"/>
      <c r="N1140" s="17" t="n"/>
      <c r="O1140" s="17" t="n"/>
      <c r="P1140" s="17" t="n"/>
      <c r="Q1140" s="17" t="n"/>
      <c r="R1140" s="17" t="n"/>
    </row>
    <row r="1141" ht="202" customHeight="1">
      <c r="A1141" s="22" t="n">
        <v>1137</v>
      </c>
      <c r="B1141" s="22" t="n">
        <v>3</v>
      </c>
      <c r="C1141" s="23" t="inlineStr">
        <is>
          <t>LP-W-19 / Storage Tank</t>
        </is>
      </c>
      <c r="D1141" s="23" t="inlineStr">
        <is>
          <t>LP-W-19</t>
        </is>
      </c>
      <c r="E1141" s="24" t="inlineStr">
        <is>
          <t>Storage Tank</t>
        </is>
      </c>
      <c r="F1141" s="5" t="inlineStr">
        <is>
          <t>Laporan Periode Stasiun (LP-)</t>
        </is>
      </c>
      <c r="G1141" s="24" t="inlineStr">
        <is>
          <t>Laporan tidak pernah mengubah data</t>
        </is>
      </c>
      <c r="H1141" s="5" t="inlineStr">
        <is>
          <t>SPV-A</t>
        </is>
      </c>
      <c r="I1141" s="5" t="inlineStr">
        <is>
          <t>—</t>
        </is>
      </c>
      <c r="J1141" s="5" t="inlineStr">
        <is>
          <t>1. Login di web, lalu sidebar &gt; Data &gt; Storage Tank (/data/storage-tank). Catat jumlah data dan status beberapa record.
2. Login di web, sidebar &gt; Laporan Stasiun (/reports), tekan tile Storage Tank (/reports/storage-tank), lalu pilih Periode dan Production Line. Ganti periode dan line beberapa kali, buka-tutup rekap harian, dan lakukan ekspor.
3. Cari tombol apa pun di layar laporan yang mengubah data (Simpan, Edit, Hapus, Verifikasi).
4. Kembali ke Login di web, lalu sidebar &gt; Data &gt; Storage Tank (/data/storage-tank) dan bandingkan dengan catatan langkah 1.</t>
        </is>
      </c>
      <c r="K1141" s="5" t="inlineStr">
        <is>
          <t>- Layar laporan tidak punya satu pun tombol yang mengubah data — hanya pemilih, pengulang, dan ekspor.
- Jumlah data dan status seluruh record tidak berubah.
- Ekspor tidak mengubah status record menjadi apa pun.</t>
        </is>
      </c>
      <c r="L1141" s="16" t="inlineStr">
        <is>
          <t>Tinggi</t>
        </is>
      </c>
      <c r="M1141" s="5" t="inlineStr"/>
      <c r="N1141" s="17" t="n"/>
      <c r="O1141" s="17" t="n"/>
      <c r="P1141" s="17" t="n"/>
      <c r="Q1141" s="17" t="n"/>
      <c r="R1141" s="17" t="n"/>
    </row>
    <row r="1142" ht="202" customHeight="1">
      <c r="A1142" s="18" t="n">
        <v>1138</v>
      </c>
      <c r="B1142" s="18" t="n">
        <v>3</v>
      </c>
      <c r="C1142" s="19" t="inlineStr">
        <is>
          <t>LP-M-01 / Weighbridge</t>
        </is>
      </c>
      <c r="D1142" s="19" t="inlineStr">
        <is>
          <t>LP-M-01</t>
        </is>
      </c>
      <c r="E1142" s="20" t="inlineStr">
        <is>
          <t>Weighbridge</t>
        </is>
      </c>
      <c r="F1142" s="21" t="inlineStr">
        <is>
          <t>Laporan Periode Stasiun (LP-)</t>
        </is>
      </c>
      <c r="G1142" s="20" t="inlineStr">
        <is>
          <t>Isi laporan sama dengan versi web</t>
        </is>
      </c>
      <c r="H1142" s="21" t="inlineStr">
        <is>
          <t>OPR-A (mobile) + SPV-A (web)</t>
        </is>
      </c>
      <c r="I1142" s="21" t="inlineStr">
        <is>
          <t>periode &amp; line yang sama tersedia di keduanya</t>
        </is>
      </c>
      <c r="J1142" s="21" t="inlineStr">
        <is>
          <t>1. Login di web, sidebar &gt; Laporan Stasiun (/reports), tekan tile Weighbridge (/reports/weighbridge), lalu pilih Periode dan Production Line. Pilih satu periode dan satu line. Catat seluruh angka: cakupan, setiap kartu parameter beserta penyebutnya, dan baris total periode.
2. Login di mobile, Dashboard &amp; Reporting &gt; Reporting, tekan tile Weighbridge (/reports/weighbridge), lalu pilih Periode dan Production Line. Pilih periode dan line yang sama.
3. Bandingkan angka satu per satu dengan catatan langkah 1.
4. Bandingkan juga jumlah kartu parameter dan jumlah baris rekap.</t>
        </is>
      </c>
      <c r="K1142" s="21" t="inlineStr">
        <is>
          <t>- Setiap angka sama antara web dan mobile — termasuk penyebut tiap kartu.
- Jumlah kartu parameter sama.
- Keterangan cakupannya menyampaikan hal yang sama.
- Perbedaan angka mana pun adalah temuan, dan sebutkan angka mana yang berbeda.</t>
        </is>
      </c>
      <c r="L1142" s="16" t="inlineStr">
        <is>
          <t>Tinggi</t>
        </is>
      </c>
      <c r="M1142" s="21" t="inlineStr">
        <is>
          <t>ini kasus terpenting di bagian ini. Kalau satu angka berbeda, laporkan sebagai temuan prioritas tinggi beserta nama kolomnya.</t>
        </is>
      </c>
      <c r="N1142" s="17" t="n"/>
      <c r="O1142" s="17" t="n"/>
      <c r="P1142" s="17" t="n"/>
      <c r="Q1142" s="17" t="n"/>
      <c r="R1142" s="17" t="n"/>
    </row>
    <row r="1143" ht="202" customHeight="1">
      <c r="A1143" s="22" t="n">
        <v>1139</v>
      </c>
      <c r="B1143" s="22" t="n">
        <v>3</v>
      </c>
      <c r="C1143" s="23" t="inlineStr">
        <is>
          <t>LP-M-01 / Grading</t>
        </is>
      </c>
      <c r="D1143" s="23" t="inlineStr">
        <is>
          <t>LP-M-01</t>
        </is>
      </c>
      <c r="E1143" s="24" t="inlineStr">
        <is>
          <t>Grading</t>
        </is>
      </c>
      <c r="F1143" s="5" t="inlineStr">
        <is>
          <t>Laporan Periode Stasiun (LP-)</t>
        </is>
      </c>
      <c r="G1143" s="24" t="inlineStr">
        <is>
          <t>Isi laporan sama dengan versi web</t>
        </is>
      </c>
      <c r="H1143" s="5" t="inlineStr">
        <is>
          <t>OPR-A (mobile) + SPV-A (web)</t>
        </is>
      </c>
      <c r="I1143" s="5" t="inlineStr">
        <is>
          <t>periode &amp; line yang sama tersedia di keduanya</t>
        </is>
      </c>
      <c r="J1143" s="5" t="inlineStr">
        <is>
          <t>1. Login di web, sidebar &gt; Laporan Stasiun (/reports), tekan tile Grading (/reports/grading), lalu pilih Periode dan Production Line. Pilih satu periode dan satu line. Catat seluruh angka: cakupan, setiap kartu parameter beserta penyebutnya, dan baris total periode.
2. Login di mobile, Dashboard &amp; Reporting &gt; Reporting, tekan tile Grading (/reports/grading), lalu pilih Periode dan Production Line. Pilih periode dan line yang sama.
3. Bandingkan angka satu per satu dengan catatan langkah 1.
4. Bandingkan juga jumlah kartu parameter dan jumlah baris rekap.</t>
        </is>
      </c>
      <c r="K1143" s="5" t="inlineStr">
        <is>
          <t>- Setiap angka sama antara web dan mobile — termasuk penyebut tiap kartu.
- Jumlah kartu parameter sama.
- Keterangan cakupannya menyampaikan hal yang sama.
- Perbedaan angka mana pun adalah temuan, dan sebutkan angka mana yang berbeda.</t>
        </is>
      </c>
      <c r="L1143" s="16" t="inlineStr">
        <is>
          <t>Tinggi</t>
        </is>
      </c>
      <c r="M1143" s="5" t="inlineStr">
        <is>
          <t>ini kasus terpenting di bagian ini. Kalau satu angka berbeda, laporkan sebagai temuan prioritas tinggi beserta nama kolomnya.</t>
        </is>
      </c>
      <c r="N1143" s="17" t="n"/>
      <c r="O1143" s="17" t="n"/>
      <c r="P1143" s="17" t="n"/>
      <c r="Q1143" s="17" t="n"/>
      <c r="R1143" s="17" t="n"/>
    </row>
    <row r="1144" ht="202" customHeight="1">
      <c r="A1144" s="18" t="n">
        <v>1140</v>
      </c>
      <c r="B1144" s="18" t="n">
        <v>3</v>
      </c>
      <c r="C1144" s="19" t="inlineStr">
        <is>
          <t>LP-M-01 / Cages Track</t>
        </is>
      </c>
      <c r="D1144" s="19" t="inlineStr">
        <is>
          <t>LP-M-01</t>
        </is>
      </c>
      <c r="E1144" s="20" t="inlineStr">
        <is>
          <t>Cages Track</t>
        </is>
      </c>
      <c r="F1144" s="21" t="inlineStr">
        <is>
          <t>Laporan Periode Stasiun (LP-)</t>
        </is>
      </c>
      <c r="G1144" s="20" t="inlineStr">
        <is>
          <t>Isi laporan sama dengan versi web</t>
        </is>
      </c>
      <c r="H1144" s="21" t="inlineStr">
        <is>
          <t>OPR-A (mobile) + SPV-A (web)</t>
        </is>
      </c>
      <c r="I1144" s="21" t="inlineStr">
        <is>
          <t>periode &amp; line yang sama tersedia di keduanya</t>
        </is>
      </c>
      <c r="J1144" s="21" t="inlineStr">
        <is>
          <t>1. Login di web, sidebar &gt; Laporan Stasiun (/reports), tekan tile Cages Track (/reports/cages-track), lalu pilih Periode dan Production Line. Pilih satu periode dan satu line. Catat seluruh angka: cakupan, setiap kartu parameter beserta penyebutnya, dan baris total periode.
2. Login di mobile, Dashboard &amp; Reporting &gt; Reporting, tekan tile Cages Track (/reports/cages-track), lalu pilih Periode dan Production Line. Pilih periode dan line yang sama.
3. Bandingkan angka satu per satu dengan catatan langkah 1.
4. Bandingkan juga jumlah kartu parameter dan jumlah baris rekap.</t>
        </is>
      </c>
      <c r="K1144" s="21" t="inlineStr">
        <is>
          <t>- Setiap angka sama antara web dan mobile — termasuk penyebut tiap kartu.
- Jumlah kartu parameter sama.
- Keterangan cakupannya menyampaikan hal yang sama.
- Perbedaan angka mana pun adalah temuan, dan sebutkan angka mana yang berbeda.</t>
        </is>
      </c>
      <c r="L1144" s="16" t="inlineStr">
        <is>
          <t>Tinggi</t>
        </is>
      </c>
      <c r="M1144" s="21" t="inlineStr">
        <is>
          <t>ini kasus terpenting di bagian ini. Kalau satu angka berbeda, laporkan sebagai temuan prioritas tinggi beserta nama kolomnya.</t>
        </is>
      </c>
      <c r="N1144" s="17" t="n"/>
      <c r="O1144" s="17" t="n"/>
      <c r="P1144" s="17" t="n"/>
      <c r="Q1144" s="17" t="n"/>
      <c r="R1144" s="17" t="n"/>
    </row>
    <row r="1145" ht="202" customHeight="1">
      <c r="A1145" s="22" t="n">
        <v>1141</v>
      </c>
      <c r="B1145" s="22" t="n">
        <v>3</v>
      </c>
      <c r="C1145" s="23" t="inlineStr">
        <is>
          <t>LP-M-01 / Sterilizer</t>
        </is>
      </c>
      <c r="D1145" s="23" t="inlineStr">
        <is>
          <t>LP-M-01</t>
        </is>
      </c>
      <c r="E1145" s="24" t="inlineStr">
        <is>
          <t>Sterilizer</t>
        </is>
      </c>
      <c r="F1145" s="5" t="inlineStr">
        <is>
          <t>Laporan Periode Stasiun (LP-)</t>
        </is>
      </c>
      <c r="G1145" s="24" t="inlineStr">
        <is>
          <t>Isi laporan sama dengan versi web</t>
        </is>
      </c>
      <c r="H1145" s="5" t="inlineStr">
        <is>
          <t>OPR-A (mobile) + SPV-A (web)</t>
        </is>
      </c>
      <c r="I1145" s="5" t="inlineStr">
        <is>
          <t>periode &amp; line yang sama tersedia di keduanya</t>
        </is>
      </c>
      <c r="J1145" s="5" t="inlineStr">
        <is>
          <t>1. Login di web, sidebar &gt; Laporan Stasiun (/reports), tekan tile Sterilizer (/reports/sterilizer), lalu pilih Periode dan Production Line. Pilih satu periode dan satu line. Catat seluruh angka: cakupan, setiap kartu parameter beserta penyebutnya, dan baris total periode.
2. Login di mobile, Dashboard &amp; Reporting &gt; Reporting, tekan tile Sterilizer (/reports/sterilizer), lalu pilih Periode dan Production Line. Pilih periode dan line yang sama.
3. Bandingkan angka satu per satu dengan catatan langkah 1.
4. Bandingkan juga jumlah kartu parameter dan jumlah baris rekap.</t>
        </is>
      </c>
      <c r="K1145" s="5" t="inlineStr">
        <is>
          <t>- Setiap angka sama antara web dan mobile — termasuk penyebut tiap kartu.
- Jumlah kartu parameter sama.
- Keterangan cakupannya menyampaikan hal yang sama.
- Perbedaan angka mana pun adalah temuan, dan sebutkan angka mana yang berbeda.</t>
        </is>
      </c>
      <c r="L1145" s="16" t="inlineStr">
        <is>
          <t>Tinggi</t>
        </is>
      </c>
      <c r="M1145" s="5" t="inlineStr">
        <is>
          <t>ini kasus terpenting di bagian ini. Kalau satu angka berbeda, laporkan sebagai temuan prioritas tinggi beserta nama kolomnya.</t>
        </is>
      </c>
      <c r="N1145" s="17" t="n"/>
      <c r="O1145" s="17" t="n"/>
      <c r="P1145" s="17" t="n"/>
      <c r="Q1145" s="17" t="n"/>
      <c r="R1145" s="17" t="n"/>
    </row>
    <row r="1146" ht="202" customHeight="1">
      <c r="A1146" s="18" t="n">
        <v>1142</v>
      </c>
      <c r="B1146" s="18" t="n">
        <v>3</v>
      </c>
      <c r="C1146" s="19" t="inlineStr">
        <is>
          <t>LP-M-01 / Threshing</t>
        </is>
      </c>
      <c r="D1146" s="19" t="inlineStr">
        <is>
          <t>LP-M-01</t>
        </is>
      </c>
      <c r="E1146" s="20" t="inlineStr">
        <is>
          <t>Threshing</t>
        </is>
      </c>
      <c r="F1146" s="21" t="inlineStr">
        <is>
          <t>Laporan Periode Stasiun (LP-)</t>
        </is>
      </c>
      <c r="G1146" s="20" t="inlineStr">
        <is>
          <t>Isi laporan sama dengan versi web</t>
        </is>
      </c>
      <c r="H1146" s="21" t="inlineStr">
        <is>
          <t>OPR-A (mobile) + SPV-A (web)</t>
        </is>
      </c>
      <c r="I1146" s="21" t="inlineStr">
        <is>
          <t>periode &amp; line yang sama tersedia di keduanya</t>
        </is>
      </c>
      <c r="J1146" s="21" t="inlineStr">
        <is>
          <t>1. Login di web, sidebar &gt; Laporan Stasiun (/reports), tekan tile Threshing (/reports/threshing), lalu pilih Periode dan Production Line. Pilih satu periode dan satu line. Catat seluruh angka: cakupan, setiap kartu parameter beserta penyebutnya, dan baris total periode.
2. Login di mobile, Dashboard &amp; Reporting &gt; Reporting, tekan tile Threshing (/reports/threshing), lalu pilih Periode dan Production Line. Pilih periode dan line yang sama.
3. Bandingkan angka satu per satu dengan catatan langkah 1.
4. Bandingkan juga jumlah kartu parameter dan jumlah baris rekap.</t>
        </is>
      </c>
      <c r="K1146" s="21" t="inlineStr">
        <is>
          <t>- Setiap angka sama antara web dan mobile — termasuk penyebut tiap kartu.
- Jumlah kartu parameter sama.
- Keterangan cakupannya menyampaikan hal yang sama.
- Perbedaan angka mana pun adalah temuan, dan sebutkan angka mana yang berbeda.</t>
        </is>
      </c>
      <c r="L1146" s="16" t="inlineStr">
        <is>
          <t>Tinggi</t>
        </is>
      </c>
      <c r="M1146" s="21" t="inlineStr">
        <is>
          <t>ini kasus terpenting di bagian ini. Kalau satu angka berbeda, laporkan sebagai temuan prioritas tinggi beserta nama kolomnya.</t>
        </is>
      </c>
      <c r="N1146" s="17" t="n"/>
      <c r="O1146" s="17" t="n"/>
      <c r="P1146" s="17" t="n"/>
      <c r="Q1146" s="17" t="n"/>
      <c r="R1146" s="17" t="n"/>
    </row>
    <row r="1147" ht="202" customHeight="1">
      <c r="A1147" s="22" t="n">
        <v>1143</v>
      </c>
      <c r="B1147" s="22" t="n">
        <v>3</v>
      </c>
      <c r="C1147" s="23" t="inlineStr">
        <is>
          <t>LP-M-01 / Pressing</t>
        </is>
      </c>
      <c r="D1147" s="23" t="inlineStr">
        <is>
          <t>LP-M-01</t>
        </is>
      </c>
      <c r="E1147" s="24" t="inlineStr">
        <is>
          <t>Pressing</t>
        </is>
      </c>
      <c r="F1147" s="5" t="inlineStr">
        <is>
          <t>Laporan Periode Stasiun (LP-)</t>
        </is>
      </c>
      <c r="G1147" s="24" t="inlineStr">
        <is>
          <t>Isi laporan sama dengan versi web</t>
        </is>
      </c>
      <c r="H1147" s="5" t="inlineStr">
        <is>
          <t>OPR-A (mobile) + SPV-A (web)</t>
        </is>
      </c>
      <c r="I1147" s="5" t="inlineStr">
        <is>
          <t>periode &amp; line yang sama tersedia di keduanya</t>
        </is>
      </c>
      <c r="J1147" s="5" t="inlineStr">
        <is>
          <t>1. Login di web, sidebar &gt; Laporan Stasiun (/reports), tekan tile Pressing (/reports/pressing), lalu pilih Periode dan Production Line. Pilih satu periode dan satu line. Catat seluruh angka: cakupan, setiap kartu parameter beserta penyebutnya, dan baris total periode.
2. Login di mobile, Dashboard &amp; Reporting &gt; Reporting, tekan tile Pressing (/reports/pressing), lalu pilih Periode dan Production Line. Pilih periode dan line yang sama.
3. Bandingkan angka satu per satu dengan catatan langkah 1.
4. Bandingkan juga jumlah kartu parameter dan jumlah baris rekap.</t>
        </is>
      </c>
      <c r="K1147" s="5" t="inlineStr">
        <is>
          <t>- Setiap angka sama antara web dan mobile — termasuk penyebut tiap kartu.
- Jumlah kartu parameter sama.
- Keterangan cakupannya menyampaikan hal yang sama.
- Perbedaan angka mana pun adalah temuan, dan sebutkan angka mana yang berbeda.</t>
        </is>
      </c>
      <c r="L1147" s="16" t="inlineStr">
        <is>
          <t>Tinggi</t>
        </is>
      </c>
      <c r="M1147" s="5" t="inlineStr">
        <is>
          <t>ini kasus terpenting di bagian ini. Kalau satu angka berbeda, laporkan sebagai temuan prioritas tinggi beserta nama kolomnya.</t>
        </is>
      </c>
      <c r="N1147" s="17" t="n"/>
      <c r="O1147" s="17" t="n"/>
      <c r="P1147" s="17" t="n"/>
      <c r="Q1147" s="17" t="n"/>
      <c r="R1147" s="17" t="n"/>
    </row>
    <row r="1148" ht="215.2" customHeight="1">
      <c r="A1148" s="18" t="n">
        <v>1144</v>
      </c>
      <c r="B1148" s="18" t="n">
        <v>3</v>
      </c>
      <c r="C1148" s="19" t="inlineStr">
        <is>
          <t>LP-M-01 / Clarification</t>
        </is>
      </c>
      <c r="D1148" s="19" t="inlineStr">
        <is>
          <t>LP-M-01</t>
        </is>
      </c>
      <c r="E1148" s="20" t="inlineStr">
        <is>
          <t>Clarification</t>
        </is>
      </c>
      <c r="F1148" s="21" t="inlineStr">
        <is>
          <t>Laporan Periode Stasiun (LP-)</t>
        </is>
      </c>
      <c r="G1148" s="20" t="inlineStr">
        <is>
          <t>Isi laporan sama dengan versi web</t>
        </is>
      </c>
      <c r="H1148" s="21" t="inlineStr">
        <is>
          <t>OPR-A (mobile) + SPV-A (web)</t>
        </is>
      </c>
      <c r="I1148" s="21" t="inlineStr">
        <is>
          <t>periode &amp; line yang sama tersedia di keduanya</t>
        </is>
      </c>
      <c r="J1148" s="21" t="inlineStr">
        <is>
          <t>1. Login di web, sidebar &gt; Laporan Stasiun (/reports), tekan tile Clarification (/reports/clarification), lalu pilih Periode dan Production Line. Pilih satu periode dan satu line. Catat seluruh angka: cakupan, setiap kartu parameter beserta penyebutnya, dan baris total periode.
2. Login di mobile, Dashboard &amp; Reporting &gt; Reporting, tekan tile Clarification (/reports/clarification), lalu pilih Periode dan Production Line. Pilih periode dan line yang sama.
3. Bandingkan angka satu per satu dengan catatan langkah 1.
4. Bandingkan juga jumlah kartu parameter dan jumlah baris rekap.</t>
        </is>
      </c>
      <c r="K1148" s="21" t="inlineStr">
        <is>
          <t>- Setiap angka sama antara web dan mobile — termasuk penyebut tiap kartu.
- Jumlah kartu parameter sama.
- Keterangan cakupannya menyampaikan hal yang sama.
- Perbedaan angka mana pun adalah temuan, dan sebutkan angka mana yang berbeda.</t>
        </is>
      </c>
      <c r="L1148" s="16" t="inlineStr">
        <is>
          <t>Tinggi</t>
        </is>
      </c>
      <c r="M1148" s="21" t="inlineStr">
        <is>
          <t>ini kasus terpenting di bagian ini. Kalau satu angka berbeda, laporkan sebagai temuan prioritas tinggi beserta nama kolomnya.</t>
        </is>
      </c>
      <c r="N1148" s="17" t="n"/>
      <c r="O1148" s="17" t="n"/>
      <c r="P1148" s="17" t="n"/>
      <c r="Q1148" s="17" t="n"/>
      <c r="R1148" s="17" t="n"/>
    </row>
    <row r="1149" ht="215.2" customHeight="1">
      <c r="A1149" s="11" t="n">
        <v>1145</v>
      </c>
      <c r="B1149" s="12" t="n">
        <v>1</v>
      </c>
      <c r="C1149" s="13" t="inlineStr">
        <is>
          <t>LP-M-01 / Kernel Plant</t>
        </is>
      </c>
      <c r="D1149" s="13" t="inlineStr">
        <is>
          <t>LP-M-01</t>
        </is>
      </c>
      <c r="E1149" s="15" t="inlineStr">
        <is>
          <t>Kernel Plant</t>
        </is>
      </c>
      <c r="F1149" s="14" t="inlineStr">
        <is>
          <t>Laporan Periode Stasiun (LP-)</t>
        </is>
      </c>
      <c r="G1149" s="15" t="inlineStr">
        <is>
          <t>Isi laporan sama dengan versi web</t>
        </is>
      </c>
      <c r="H1149" s="14" t="inlineStr">
        <is>
          <t>OPR-A (mobile) + SPV-A (web)</t>
        </is>
      </c>
      <c r="I1149" s="14" t="inlineStr">
        <is>
          <t>periode &amp; line yang sama tersedia di keduanya</t>
        </is>
      </c>
      <c r="J1149" s="14" t="inlineStr">
        <is>
          <t>1. Login di web, sidebar &gt; Laporan Stasiun (/reports), tekan tile Kernel Plant (/reports/kernel-plant), lalu pilih Periode dan Production Line. Pilih satu periode dan satu line. Catat seluruh angka: cakupan, setiap kartu parameter beserta penyebutnya, dan baris total periode.
2. Login di mobile, Dashboard &amp; Reporting &gt; Reporting, tekan tile Kernel Plant (/reports/kernel-plant), lalu pilih Periode dan Production Line. Pilih periode dan line yang sama.
3. Bandingkan angka satu per satu dengan catatan langkah 1.
4. Bandingkan juga jumlah kartu parameter dan jumlah baris rekap.</t>
        </is>
      </c>
      <c r="K1149" s="14" t="inlineStr">
        <is>
          <t>- Setiap angka sama antara web dan mobile — termasuk penyebut tiap kartu.
- Jumlah kartu parameter sama.
- Keterangan cakupannya menyampaikan hal yang sama.
- Perbedaan angka mana pun adalah temuan, dan sebutkan angka mana yang berbeda.</t>
        </is>
      </c>
      <c r="L1149" s="16" t="inlineStr">
        <is>
          <t>Tinggi</t>
        </is>
      </c>
      <c r="M1149" s="14" t="inlineStr">
        <is>
          <t>ini kasus terpenting di bagian ini. Kalau satu angka berbeda, laporkan sebagai temuan prioritas tinggi beserta nama kolomnya.</t>
        </is>
      </c>
      <c r="N1149" s="17" t="n"/>
      <c r="O1149" s="17" t="n"/>
      <c r="P1149" s="17" t="n"/>
      <c r="Q1149" s="17" t="n"/>
      <c r="R1149" s="17" t="n"/>
    </row>
    <row r="1150" ht="202" customHeight="1">
      <c r="A1150" s="18" t="n">
        <v>1146</v>
      </c>
      <c r="B1150" s="18" t="n">
        <v>3</v>
      </c>
      <c r="C1150" s="19" t="inlineStr">
        <is>
          <t>LP-M-01 / Boiler Room</t>
        </is>
      </c>
      <c r="D1150" s="19" t="inlineStr">
        <is>
          <t>LP-M-01</t>
        </is>
      </c>
      <c r="E1150" s="20" t="inlineStr">
        <is>
          <t>Boiler Room</t>
        </is>
      </c>
      <c r="F1150" s="21" t="inlineStr">
        <is>
          <t>Laporan Periode Stasiun (LP-)</t>
        </is>
      </c>
      <c r="G1150" s="20" t="inlineStr">
        <is>
          <t>Isi laporan sama dengan versi web</t>
        </is>
      </c>
      <c r="H1150" s="21" t="inlineStr">
        <is>
          <t>OPR-A (mobile) + SPV-A (web)</t>
        </is>
      </c>
      <c r="I1150" s="21" t="inlineStr">
        <is>
          <t>periode &amp; line yang sama tersedia di keduanya</t>
        </is>
      </c>
      <c r="J1150" s="21" t="inlineStr">
        <is>
          <t>1. Login di web, sidebar &gt; Laporan Stasiun (/reports), tekan tile Boiler Room (/reports/boiler-room), lalu pilih Periode dan Production Line. Pilih satu periode dan satu line. Catat seluruh angka: cakupan, setiap kartu parameter beserta penyebutnya, dan baris total periode.
2. Login di mobile, Dashboard &amp; Reporting &gt; Reporting, tekan tile Boiler Room (/reports/boiler-room), lalu pilih Periode dan Production Line. Pilih periode dan line yang sama.
3. Bandingkan angka satu per satu dengan catatan langkah 1.
4. Bandingkan juga jumlah kartu parameter dan jumlah baris rekap.</t>
        </is>
      </c>
      <c r="K1150" s="21" t="inlineStr">
        <is>
          <t>- Setiap angka sama antara web dan mobile — termasuk penyebut tiap kartu.
- Jumlah kartu parameter sama.
- Keterangan cakupannya menyampaikan hal yang sama.
- Perbedaan angka mana pun adalah temuan, dan sebutkan angka mana yang berbeda.</t>
        </is>
      </c>
      <c r="L1150" s="16" t="inlineStr">
        <is>
          <t>Tinggi</t>
        </is>
      </c>
      <c r="M1150" s="21" t="inlineStr">
        <is>
          <t>ini kasus terpenting di bagian ini. Kalau satu angka berbeda, laporkan sebagai temuan prioritas tinggi beserta nama kolomnya.</t>
        </is>
      </c>
      <c r="N1150" s="17" t="n"/>
      <c r="O1150" s="17" t="n"/>
      <c r="P1150" s="17" t="n"/>
      <c r="Q1150" s="17" t="n"/>
      <c r="R1150" s="17" t="n"/>
    </row>
    <row r="1151" ht="215.2" customHeight="1">
      <c r="A1151" s="22" t="n">
        <v>1147</v>
      </c>
      <c r="B1151" s="22" t="n">
        <v>3</v>
      </c>
      <c r="C1151" s="23" t="inlineStr">
        <is>
          <t>LP-M-01 / Depricarping</t>
        </is>
      </c>
      <c r="D1151" s="23" t="inlineStr">
        <is>
          <t>LP-M-01</t>
        </is>
      </c>
      <c r="E1151" s="24" t="inlineStr">
        <is>
          <t>Depricarping</t>
        </is>
      </c>
      <c r="F1151" s="5" t="inlineStr">
        <is>
          <t>Laporan Periode Stasiun (LP-)</t>
        </is>
      </c>
      <c r="G1151" s="24" t="inlineStr">
        <is>
          <t>Isi laporan sama dengan versi web</t>
        </is>
      </c>
      <c r="H1151" s="5" t="inlineStr">
        <is>
          <t>OPR-A (mobile) + SPV-A (web)</t>
        </is>
      </c>
      <c r="I1151" s="5" t="inlineStr">
        <is>
          <t>periode &amp; line yang sama tersedia di keduanya</t>
        </is>
      </c>
      <c r="J1151" s="5" t="inlineStr">
        <is>
          <t>1. Login di web, sidebar &gt; Laporan Stasiun (/reports), tekan tile Depricarping (/reports/depricarping), lalu pilih Periode dan Production Line. Pilih satu periode dan satu line. Catat seluruh angka: cakupan, setiap kartu parameter beserta penyebutnya, dan baris total periode.
2. Login di mobile, Dashboard &amp; Reporting &gt; Reporting, tekan tile Depricarping (/reports/depricarping), lalu pilih Periode dan Production Line. Pilih periode dan line yang sama.
3. Bandingkan angka satu per satu dengan catatan langkah 1.
4. Bandingkan juga jumlah kartu parameter dan jumlah baris rekap.</t>
        </is>
      </c>
      <c r="K1151" s="5" t="inlineStr">
        <is>
          <t>- Setiap angka sama antara web dan mobile — termasuk penyebut tiap kartu.
- Jumlah kartu parameter sama.
- Keterangan cakupannya menyampaikan hal yang sama.
- Perbedaan angka mana pun adalah temuan, dan sebutkan angka mana yang berbeda.</t>
        </is>
      </c>
      <c r="L1151" s="16" t="inlineStr">
        <is>
          <t>Tinggi</t>
        </is>
      </c>
      <c r="M1151" s="5" t="inlineStr">
        <is>
          <t>ini kasus terpenting di bagian ini. Kalau satu angka berbeda, laporkan sebagai temuan prioritas tinggi beserta nama kolomnya.</t>
        </is>
      </c>
      <c r="N1151" s="17" t="n"/>
      <c r="O1151" s="17" t="n"/>
      <c r="P1151" s="17" t="n"/>
      <c r="Q1151" s="17" t="n"/>
      <c r="R1151" s="17" t="n"/>
    </row>
    <row r="1152" ht="215.2" customHeight="1">
      <c r="A1152" s="18" t="n">
        <v>1148</v>
      </c>
      <c r="B1152" s="18" t="n">
        <v>3</v>
      </c>
      <c r="C1152" s="19" t="inlineStr">
        <is>
          <t>LP-M-01 / Storage Tank</t>
        </is>
      </c>
      <c r="D1152" s="19" t="inlineStr">
        <is>
          <t>LP-M-01</t>
        </is>
      </c>
      <c r="E1152" s="20" t="inlineStr">
        <is>
          <t>Storage Tank</t>
        </is>
      </c>
      <c r="F1152" s="21" t="inlineStr">
        <is>
          <t>Laporan Periode Stasiun (LP-)</t>
        </is>
      </c>
      <c r="G1152" s="20" t="inlineStr">
        <is>
          <t>Isi laporan sama dengan versi web</t>
        </is>
      </c>
      <c r="H1152" s="21" t="inlineStr">
        <is>
          <t>OPR-A (mobile) + SPV-A (web)</t>
        </is>
      </c>
      <c r="I1152" s="21" t="inlineStr">
        <is>
          <t>periode &amp; line yang sama tersedia di keduanya</t>
        </is>
      </c>
      <c r="J1152" s="21" t="inlineStr">
        <is>
          <t>1. Login di web, sidebar &gt; Laporan Stasiun (/reports), tekan tile Storage Tank (/reports/storage-tank), lalu pilih Periode dan Production Line. Pilih satu periode dan satu line. Catat seluruh angka: cakupan, setiap kartu parameter beserta penyebutnya, dan baris total periode.
2. Login di mobile, Dashboard &amp; Reporting &gt; Reporting, tekan tile Storage Tank (/reports/storage-tank), lalu pilih Periode dan Production Line. Pilih periode dan line yang sama.
3. Bandingkan angka satu per satu dengan catatan langkah 1.
4. Bandingkan juga jumlah kartu parameter dan jumlah baris rekap.</t>
        </is>
      </c>
      <c r="K1152" s="21" t="inlineStr">
        <is>
          <t>- Setiap angka sama antara web dan mobile — termasuk penyebut tiap kartu.
- Jumlah kartu parameter sama.
- Keterangan cakupannya menyampaikan hal yang sama.
- Perbedaan angka mana pun adalah temuan, dan sebutkan angka mana yang berbeda.</t>
        </is>
      </c>
      <c r="L1152" s="16" t="inlineStr">
        <is>
          <t>Tinggi</t>
        </is>
      </c>
      <c r="M1152" s="21" t="inlineStr">
        <is>
          <t>ini kasus terpenting di bagian ini. Kalau satu angka berbeda, laporkan sebagai temuan prioritas tinggi beserta nama kolomnya.</t>
        </is>
      </c>
      <c r="N1152" s="17" t="n"/>
      <c r="O1152" s="17" t="n"/>
      <c r="P1152" s="17" t="n"/>
      <c r="Q1152" s="17" t="n"/>
      <c r="R1152" s="17" t="n"/>
    </row>
    <row r="1153" ht="188.8" customHeight="1">
      <c r="A1153" s="22" t="n">
        <v>1149</v>
      </c>
      <c r="B1153" s="22" t="n">
        <v>3</v>
      </c>
      <c r="C1153" s="23" t="inlineStr">
        <is>
          <t>LP-M-02 / Weighbridge</t>
        </is>
      </c>
      <c r="D1153" s="23" t="inlineStr">
        <is>
          <t>LP-M-02</t>
        </is>
      </c>
      <c r="E1153" s="24" t="inlineStr">
        <is>
          <t>Weighbridge</t>
        </is>
      </c>
      <c r="F1153" s="5" t="inlineStr">
        <is>
          <t>Laporan Periode Stasiun (LP-)</t>
        </is>
      </c>
      <c r="G1153" s="24" t="inlineStr">
        <is>
          <t>Tabel menjadi kartu bertumpuk, isinya tidak berkurang</t>
        </is>
      </c>
      <c r="H1153" s="5" t="inlineStr">
        <is>
          <t>OPR-A</t>
        </is>
      </c>
      <c r="I1153" s="5" t="inlineStr">
        <is>
          <t>—</t>
        </is>
      </c>
      <c r="J1153" s="5" t="inlineStr">
        <is>
          <t>1. Login di web, sidebar &gt; Laporan Stasiun (/reports), tekan tile Weighbridge (/reports/weighbridge), lalu pilih Periode dan Production Line. Catat judul setiap kolom pada rekap harian dan rekap per unit.
2. Login di mobile, Dashboard &amp; Reporting &gt; Reporting, tekan tile Weighbridge (/reports/weighbridge), lalu pilih Periode dan Production Line dengan periode dan line yang sama.
3. Periksa bentuk rekapnya: tabel melebar, atau kartu bertumpuk?
4. Pada satu kartu, hitung berapa nilai yang ditampilkan dan cocokkan labelnya dengan catatan langkah 1.</t>
        </is>
      </c>
      <c r="K1153" s="5" t="inlineStr">
        <is>
          <t>- Di mobile, tabel berubah menjadi kartu bertumpuk (satu kartu per hari / per unit).
- Setiap kolom web punya padanan berlabel di dalam kartu — tidak ada kolom yang dibuang demi ruang.
- Labelnya terbaca, bukan disingkat sampai tidak jelas.</t>
        </is>
      </c>
      <c r="L1153" s="16" t="inlineStr">
        <is>
          <t>Tinggi</t>
        </is>
      </c>
      <c r="M1153" s="5" t="inlineStr"/>
      <c r="N1153" s="17" t="n"/>
      <c r="O1153" s="17" t="n"/>
      <c r="P1153" s="17" t="n"/>
      <c r="Q1153" s="17" t="n"/>
      <c r="R1153" s="17" t="n"/>
    </row>
    <row r="1154" ht="188.8" customHeight="1">
      <c r="A1154" s="18" t="n">
        <v>1150</v>
      </c>
      <c r="B1154" s="18" t="n">
        <v>3</v>
      </c>
      <c r="C1154" s="19" t="inlineStr">
        <is>
          <t>LP-M-02 / Grading</t>
        </is>
      </c>
      <c r="D1154" s="19" t="inlineStr">
        <is>
          <t>LP-M-02</t>
        </is>
      </c>
      <c r="E1154" s="20" t="inlineStr">
        <is>
          <t>Grading</t>
        </is>
      </c>
      <c r="F1154" s="21" t="inlineStr">
        <is>
          <t>Laporan Periode Stasiun (LP-)</t>
        </is>
      </c>
      <c r="G1154" s="20" t="inlineStr">
        <is>
          <t>Tabel menjadi kartu bertumpuk, isinya tidak berkurang</t>
        </is>
      </c>
      <c r="H1154" s="21" t="inlineStr">
        <is>
          <t>OPR-A</t>
        </is>
      </c>
      <c r="I1154" s="21" t="inlineStr">
        <is>
          <t>—</t>
        </is>
      </c>
      <c r="J1154" s="21" t="inlineStr">
        <is>
          <t>1. Login di web, sidebar &gt; Laporan Stasiun (/reports), tekan tile Grading (/reports/grading), lalu pilih Periode dan Production Line. Catat judul setiap kolom pada rekap harian dan rekap per unit.
2. Login di mobile, Dashboard &amp; Reporting &gt; Reporting, tekan tile Grading (/reports/grading), lalu pilih Periode dan Production Line dengan periode dan line yang sama.
3. Periksa bentuk rekapnya: tabel melebar, atau kartu bertumpuk?
4. Pada satu kartu, hitung berapa nilai yang ditampilkan dan cocokkan labelnya dengan catatan langkah 1.</t>
        </is>
      </c>
      <c r="K1154" s="21" t="inlineStr">
        <is>
          <t>- Di mobile, tabel berubah menjadi kartu bertumpuk (satu kartu per hari / per unit).
- Setiap kolom web punya padanan berlabel di dalam kartu — tidak ada kolom yang dibuang demi ruang.
- Labelnya terbaca, bukan disingkat sampai tidak jelas.</t>
        </is>
      </c>
      <c r="L1154" s="16" t="inlineStr">
        <is>
          <t>Tinggi</t>
        </is>
      </c>
      <c r="M1154" s="21" t="inlineStr"/>
      <c r="N1154" s="17" t="n"/>
      <c r="O1154" s="17" t="n"/>
      <c r="P1154" s="17" t="n"/>
      <c r="Q1154" s="17" t="n"/>
      <c r="R1154" s="17" t="n"/>
    </row>
    <row r="1155" ht="188.8" customHeight="1">
      <c r="A1155" s="22" t="n">
        <v>1151</v>
      </c>
      <c r="B1155" s="22" t="n">
        <v>3</v>
      </c>
      <c r="C1155" s="23" t="inlineStr">
        <is>
          <t>LP-M-02 / Cages Track</t>
        </is>
      </c>
      <c r="D1155" s="23" t="inlineStr">
        <is>
          <t>LP-M-02</t>
        </is>
      </c>
      <c r="E1155" s="24" t="inlineStr">
        <is>
          <t>Cages Track</t>
        </is>
      </c>
      <c r="F1155" s="5" t="inlineStr">
        <is>
          <t>Laporan Periode Stasiun (LP-)</t>
        </is>
      </c>
      <c r="G1155" s="24" t="inlineStr">
        <is>
          <t>Tabel menjadi kartu bertumpuk, isinya tidak berkurang</t>
        </is>
      </c>
      <c r="H1155" s="5" t="inlineStr">
        <is>
          <t>OPR-A</t>
        </is>
      </c>
      <c r="I1155" s="5" t="inlineStr">
        <is>
          <t>—</t>
        </is>
      </c>
      <c r="J1155" s="5" t="inlineStr">
        <is>
          <t>1. Login di web, sidebar &gt; Laporan Stasiun (/reports), tekan tile Cages Track (/reports/cages-track), lalu pilih Periode dan Production Line. Catat judul setiap kolom pada rekap harian dan rekap per unit.
2. Login di mobile, Dashboard &amp; Reporting &gt; Reporting, tekan tile Cages Track (/reports/cages-track), lalu pilih Periode dan Production Line dengan periode dan line yang sama.
3. Periksa bentuk rekapnya: tabel melebar, atau kartu bertumpuk?
4. Pada satu kartu, hitung berapa nilai yang ditampilkan dan cocokkan labelnya dengan catatan langkah 1.</t>
        </is>
      </c>
      <c r="K1155" s="5" t="inlineStr">
        <is>
          <t>- Di mobile, tabel berubah menjadi kartu bertumpuk (satu kartu per hari / per unit).
- Setiap kolom web punya padanan berlabel di dalam kartu — tidak ada kolom yang dibuang demi ruang.
- Labelnya terbaca, bukan disingkat sampai tidak jelas.</t>
        </is>
      </c>
      <c r="L1155" s="16" t="inlineStr">
        <is>
          <t>Tinggi</t>
        </is>
      </c>
      <c r="M1155" s="5" t="inlineStr"/>
      <c r="N1155" s="17" t="n"/>
      <c r="O1155" s="17" t="n"/>
      <c r="P1155" s="17" t="n"/>
      <c r="Q1155" s="17" t="n"/>
      <c r="R1155" s="17" t="n"/>
    </row>
    <row r="1156" ht="188.8" customHeight="1">
      <c r="A1156" s="18" t="n">
        <v>1152</v>
      </c>
      <c r="B1156" s="18" t="n">
        <v>3</v>
      </c>
      <c r="C1156" s="19" t="inlineStr">
        <is>
          <t>LP-M-02 / Sterilizer</t>
        </is>
      </c>
      <c r="D1156" s="19" t="inlineStr">
        <is>
          <t>LP-M-02</t>
        </is>
      </c>
      <c r="E1156" s="20" t="inlineStr">
        <is>
          <t>Sterilizer</t>
        </is>
      </c>
      <c r="F1156" s="21" t="inlineStr">
        <is>
          <t>Laporan Periode Stasiun (LP-)</t>
        </is>
      </c>
      <c r="G1156" s="20" t="inlineStr">
        <is>
          <t>Tabel menjadi kartu bertumpuk, isinya tidak berkurang</t>
        </is>
      </c>
      <c r="H1156" s="21" t="inlineStr">
        <is>
          <t>OPR-A</t>
        </is>
      </c>
      <c r="I1156" s="21" t="inlineStr">
        <is>
          <t>—</t>
        </is>
      </c>
      <c r="J1156" s="21" t="inlineStr">
        <is>
          <t>1. Login di web, sidebar &gt; Laporan Stasiun (/reports), tekan tile Sterilizer (/reports/sterilizer), lalu pilih Periode dan Production Line. Catat judul setiap kolom pada rekap harian dan rekap per unit.
2. Login di mobile, Dashboard &amp; Reporting &gt; Reporting, tekan tile Sterilizer (/reports/sterilizer), lalu pilih Periode dan Production Line dengan periode dan line yang sama.
3. Periksa bentuk rekapnya: tabel melebar, atau kartu bertumpuk?
4. Pada satu kartu, hitung berapa nilai yang ditampilkan dan cocokkan labelnya dengan catatan langkah 1.</t>
        </is>
      </c>
      <c r="K1156" s="21" t="inlineStr">
        <is>
          <t>- Di mobile, tabel berubah menjadi kartu bertumpuk (satu kartu per hari / per unit).
- Setiap kolom web punya padanan berlabel di dalam kartu — tidak ada kolom yang dibuang demi ruang.
- Labelnya terbaca, bukan disingkat sampai tidak jelas.</t>
        </is>
      </c>
      <c r="L1156" s="16" t="inlineStr">
        <is>
          <t>Tinggi</t>
        </is>
      </c>
      <c r="M1156" s="21" t="inlineStr"/>
      <c r="N1156" s="17" t="n"/>
      <c r="O1156" s="17" t="n"/>
      <c r="P1156" s="17" t="n"/>
      <c r="Q1156" s="17" t="n"/>
      <c r="R1156" s="17" t="n"/>
    </row>
    <row r="1157" ht="188.8" customHeight="1">
      <c r="A1157" s="22" t="n">
        <v>1153</v>
      </c>
      <c r="B1157" s="22" t="n">
        <v>3</v>
      </c>
      <c r="C1157" s="23" t="inlineStr">
        <is>
          <t>LP-M-02 / Threshing</t>
        </is>
      </c>
      <c r="D1157" s="23" t="inlineStr">
        <is>
          <t>LP-M-02</t>
        </is>
      </c>
      <c r="E1157" s="24" t="inlineStr">
        <is>
          <t>Threshing</t>
        </is>
      </c>
      <c r="F1157" s="5" t="inlineStr">
        <is>
          <t>Laporan Periode Stasiun (LP-)</t>
        </is>
      </c>
      <c r="G1157" s="24" t="inlineStr">
        <is>
          <t>Tabel menjadi kartu bertumpuk, isinya tidak berkurang</t>
        </is>
      </c>
      <c r="H1157" s="5" t="inlineStr">
        <is>
          <t>OPR-A</t>
        </is>
      </c>
      <c r="I1157" s="5" t="inlineStr">
        <is>
          <t>—</t>
        </is>
      </c>
      <c r="J1157" s="5" t="inlineStr">
        <is>
          <t>1. Login di web, sidebar &gt; Laporan Stasiun (/reports), tekan tile Threshing (/reports/threshing), lalu pilih Periode dan Production Line. Catat judul setiap kolom pada rekap harian dan rekap per unit.
2. Login di mobile, Dashboard &amp; Reporting &gt; Reporting, tekan tile Threshing (/reports/threshing), lalu pilih Periode dan Production Line dengan periode dan line yang sama.
3. Periksa bentuk rekapnya: tabel melebar, atau kartu bertumpuk?
4. Pada satu kartu, hitung berapa nilai yang ditampilkan dan cocokkan labelnya dengan catatan langkah 1.</t>
        </is>
      </c>
      <c r="K1157" s="5" t="inlineStr">
        <is>
          <t>- Di mobile, tabel berubah menjadi kartu bertumpuk (satu kartu per hari / per unit).
- Setiap kolom web punya padanan berlabel di dalam kartu — tidak ada kolom yang dibuang demi ruang.
- Labelnya terbaca, bukan disingkat sampai tidak jelas.</t>
        </is>
      </c>
      <c r="L1157" s="16" t="inlineStr">
        <is>
          <t>Tinggi</t>
        </is>
      </c>
      <c r="M1157" s="5" t="inlineStr"/>
      <c r="N1157" s="17" t="n"/>
      <c r="O1157" s="17" t="n"/>
      <c r="P1157" s="17" t="n"/>
      <c r="Q1157" s="17" t="n"/>
      <c r="R1157" s="17" t="n"/>
    </row>
    <row r="1158" ht="188.8" customHeight="1">
      <c r="A1158" s="18" t="n">
        <v>1154</v>
      </c>
      <c r="B1158" s="18" t="n">
        <v>3</v>
      </c>
      <c r="C1158" s="19" t="inlineStr">
        <is>
          <t>LP-M-02 / Pressing</t>
        </is>
      </c>
      <c r="D1158" s="19" t="inlineStr">
        <is>
          <t>LP-M-02</t>
        </is>
      </c>
      <c r="E1158" s="20" t="inlineStr">
        <is>
          <t>Pressing</t>
        </is>
      </c>
      <c r="F1158" s="21" t="inlineStr">
        <is>
          <t>Laporan Periode Stasiun (LP-)</t>
        </is>
      </c>
      <c r="G1158" s="20" t="inlineStr">
        <is>
          <t>Tabel menjadi kartu bertumpuk, isinya tidak berkurang</t>
        </is>
      </c>
      <c r="H1158" s="21" t="inlineStr">
        <is>
          <t>OPR-A</t>
        </is>
      </c>
      <c r="I1158" s="21" t="inlineStr">
        <is>
          <t>—</t>
        </is>
      </c>
      <c r="J1158" s="21" t="inlineStr">
        <is>
          <t>1. Login di web, sidebar &gt; Laporan Stasiun (/reports), tekan tile Pressing (/reports/pressing), lalu pilih Periode dan Production Line. Catat judul setiap kolom pada rekap harian dan rekap per unit.
2. Login di mobile, Dashboard &amp; Reporting &gt; Reporting, tekan tile Pressing (/reports/pressing), lalu pilih Periode dan Production Line dengan periode dan line yang sama.
3. Periksa bentuk rekapnya: tabel melebar, atau kartu bertumpuk?
4. Pada satu kartu, hitung berapa nilai yang ditampilkan dan cocokkan labelnya dengan catatan langkah 1.</t>
        </is>
      </c>
      <c r="K1158" s="21" t="inlineStr">
        <is>
          <t>- Di mobile, tabel berubah menjadi kartu bertumpuk (satu kartu per hari / per unit).
- Setiap kolom web punya padanan berlabel di dalam kartu — tidak ada kolom yang dibuang demi ruang.
- Labelnya terbaca, bukan disingkat sampai tidak jelas.</t>
        </is>
      </c>
      <c r="L1158" s="16" t="inlineStr">
        <is>
          <t>Tinggi</t>
        </is>
      </c>
      <c r="M1158" s="21" t="inlineStr"/>
      <c r="N1158" s="17" t="n"/>
      <c r="O1158" s="17" t="n"/>
      <c r="P1158" s="17" t="n"/>
      <c r="Q1158" s="17" t="n"/>
      <c r="R1158" s="17" t="n"/>
    </row>
    <row r="1159" ht="202" customHeight="1">
      <c r="A1159" s="22" t="n">
        <v>1155</v>
      </c>
      <c r="B1159" s="22" t="n">
        <v>3</v>
      </c>
      <c r="C1159" s="23" t="inlineStr">
        <is>
          <t>LP-M-02 / Clarification</t>
        </is>
      </c>
      <c r="D1159" s="23" t="inlineStr">
        <is>
          <t>LP-M-02</t>
        </is>
      </c>
      <c r="E1159" s="24" t="inlineStr">
        <is>
          <t>Clarification</t>
        </is>
      </c>
      <c r="F1159" s="5" t="inlineStr">
        <is>
          <t>Laporan Periode Stasiun (LP-)</t>
        </is>
      </c>
      <c r="G1159" s="24" t="inlineStr">
        <is>
          <t>Tabel menjadi kartu bertumpuk, isinya tidak berkurang</t>
        </is>
      </c>
      <c r="H1159" s="5" t="inlineStr">
        <is>
          <t>OPR-A</t>
        </is>
      </c>
      <c r="I1159" s="5" t="inlineStr">
        <is>
          <t>—</t>
        </is>
      </c>
      <c r="J1159" s="5" t="inlineStr">
        <is>
          <t>1. Login di web, sidebar &gt; Laporan Stasiun (/reports), tekan tile Clarification (/reports/clarification), lalu pilih Periode dan Production Line. Catat judul setiap kolom pada rekap harian dan rekap per unit.
2. Login di mobile, Dashboard &amp; Reporting &gt; Reporting, tekan tile Clarification (/reports/clarification), lalu pilih Periode dan Production Line dengan periode dan line yang sama.
3. Periksa bentuk rekapnya: tabel melebar, atau kartu bertumpuk?
4. Pada satu kartu, hitung berapa nilai yang ditampilkan dan cocokkan labelnya dengan catatan langkah 1.</t>
        </is>
      </c>
      <c r="K1159" s="5" t="inlineStr">
        <is>
          <t>- Di mobile, tabel berubah menjadi kartu bertumpuk (satu kartu per hari / per unit).
- Setiap kolom web punya padanan berlabel di dalam kartu — tidak ada kolom yang dibuang demi ruang.
- Labelnya terbaca, bukan disingkat sampai tidak jelas.</t>
        </is>
      </c>
      <c r="L1159" s="16" t="inlineStr">
        <is>
          <t>Tinggi</t>
        </is>
      </c>
      <c r="M1159" s="5" t="inlineStr"/>
      <c r="N1159" s="17" t="n"/>
      <c r="O1159" s="17" t="n"/>
      <c r="P1159" s="17" t="n"/>
      <c r="Q1159" s="17" t="n"/>
      <c r="R1159" s="17" t="n"/>
    </row>
    <row r="1160" ht="202" customHeight="1">
      <c r="A1160" s="11" t="n">
        <v>1156</v>
      </c>
      <c r="B1160" s="12" t="n">
        <v>1</v>
      </c>
      <c r="C1160" s="13" t="inlineStr">
        <is>
          <t>LP-M-02 / Kernel Plant</t>
        </is>
      </c>
      <c r="D1160" s="13" t="inlineStr">
        <is>
          <t>LP-M-02</t>
        </is>
      </c>
      <c r="E1160" s="15" t="inlineStr">
        <is>
          <t>Kernel Plant</t>
        </is>
      </c>
      <c r="F1160" s="14" t="inlineStr">
        <is>
          <t>Laporan Periode Stasiun (LP-)</t>
        </is>
      </c>
      <c r="G1160" s="15" t="inlineStr">
        <is>
          <t>Tabel menjadi kartu bertumpuk, isinya tidak berkurang</t>
        </is>
      </c>
      <c r="H1160" s="14" t="inlineStr">
        <is>
          <t>OPR-A</t>
        </is>
      </c>
      <c r="I1160" s="14" t="inlineStr">
        <is>
          <t>—</t>
        </is>
      </c>
      <c r="J1160" s="14" t="inlineStr">
        <is>
          <t>1. Login di web, sidebar &gt; Laporan Stasiun (/reports), tekan tile Kernel Plant (/reports/kernel-plant), lalu pilih Periode dan Production Line. Catat judul setiap kolom pada rekap harian dan rekap per unit.
2. Login di mobile, Dashboard &amp; Reporting &gt; Reporting, tekan tile Kernel Plant (/reports/kernel-plant), lalu pilih Periode dan Production Line dengan periode dan line yang sama.
3. Periksa bentuk rekapnya: tabel melebar, atau kartu bertumpuk?
4. Pada satu kartu, hitung berapa nilai yang ditampilkan dan cocokkan labelnya dengan catatan langkah 1.</t>
        </is>
      </c>
      <c r="K1160" s="14" t="inlineStr">
        <is>
          <t>- Di mobile, tabel berubah menjadi kartu bertumpuk (satu kartu per hari / per unit).
- Setiap kolom web punya padanan berlabel di dalam kartu — tidak ada kolom yang dibuang demi ruang.
- Labelnya terbaca, bukan disingkat sampai tidak jelas.</t>
        </is>
      </c>
      <c r="L1160" s="16" t="inlineStr">
        <is>
          <t>Tinggi</t>
        </is>
      </c>
      <c r="M1160" s="14" t="inlineStr"/>
      <c r="N1160" s="17" t="n"/>
      <c r="O1160" s="17" t="n"/>
      <c r="P1160" s="17" t="n"/>
      <c r="Q1160" s="17" t="n"/>
      <c r="R1160" s="17" t="n"/>
    </row>
    <row r="1161" ht="188.8" customHeight="1">
      <c r="A1161" s="22" t="n">
        <v>1157</v>
      </c>
      <c r="B1161" s="22" t="n">
        <v>3</v>
      </c>
      <c r="C1161" s="23" t="inlineStr">
        <is>
          <t>LP-M-02 / Boiler Room</t>
        </is>
      </c>
      <c r="D1161" s="23" t="inlineStr">
        <is>
          <t>LP-M-02</t>
        </is>
      </c>
      <c r="E1161" s="24" t="inlineStr">
        <is>
          <t>Boiler Room</t>
        </is>
      </c>
      <c r="F1161" s="5" t="inlineStr">
        <is>
          <t>Laporan Periode Stasiun (LP-)</t>
        </is>
      </c>
      <c r="G1161" s="24" t="inlineStr">
        <is>
          <t>Tabel menjadi kartu bertumpuk, isinya tidak berkurang</t>
        </is>
      </c>
      <c r="H1161" s="5" t="inlineStr">
        <is>
          <t>OPR-A</t>
        </is>
      </c>
      <c r="I1161" s="5" t="inlineStr">
        <is>
          <t>—</t>
        </is>
      </c>
      <c r="J1161" s="5" t="inlineStr">
        <is>
          <t>1. Login di web, sidebar &gt; Laporan Stasiun (/reports), tekan tile Boiler Room (/reports/boiler-room), lalu pilih Periode dan Production Line. Catat judul setiap kolom pada rekap harian dan rekap per unit.
2. Login di mobile, Dashboard &amp; Reporting &gt; Reporting, tekan tile Boiler Room (/reports/boiler-room), lalu pilih Periode dan Production Line dengan periode dan line yang sama.
3. Periksa bentuk rekapnya: tabel melebar, atau kartu bertumpuk?
4. Pada satu kartu, hitung berapa nilai yang ditampilkan dan cocokkan labelnya dengan catatan langkah 1.</t>
        </is>
      </c>
      <c r="K1161" s="5" t="inlineStr">
        <is>
          <t>- Di mobile, tabel berubah menjadi kartu bertumpuk (satu kartu per hari / per unit).
- Setiap kolom web punya padanan berlabel di dalam kartu — tidak ada kolom yang dibuang demi ruang.
- Labelnya terbaca, bukan disingkat sampai tidak jelas.</t>
        </is>
      </c>
      <c r="L1161" s="16" t="inlineStr">
        <is>
          <t>Tinggi</t>
        </is>
      </c>
      <c r="M1161" s="5" t="inlineStr"/>
      <c r="N1161" s="17" t="n"/>
      <c r="O1161" s="17" t="n"/>
      <c r="P1161" s="17" t="n"/>
      <c r="Q1161" s="17" t="n"/>
      <c r="R1161" s="17" t="n"/>
    </row>
    <row r="1162" ht="202" customHeight="1">
      <c r="A1162" s="18" t="n">
        <v>1158</v>
      </c>
      <c r="B1162" s="18" t="n">
        <v>3</v>
      </c>
      <c r="C1162" s="19" t="inlineStr">
        <is>
          <t>LP-M-02 / Depricarping</t>
        </is>
      </c>
      <c r="D1162" s="19" t="inlineStr">
        <is>
          <t>LP-M-02</t>
        </is>
      </c>
      <c r="E1162" s="20" t="inlineStr">
        <is>
          <t>Depricarping</t>
        </is>
      </c>
      <c r="F1162" s="21" t="inlineStr">
        <is>
          <t>Laporan Periode Stasiun (LP-)</t>
        </is>
      </c>
      <c r="G1162" s="20" t="inlineStr">
        <is>
          <t>Tabel menjadi kartu bertumpuk, isinya tidak berkurang</t>
        </is>
      </c>
      <c r="H1162" s="21" t="inlineStr">
        <is>
          <t>OPR-A</t>
        </is>
      </c>
      <c r="I1162" s="21" t="inlineStr">
        <is>
          <t>—</t>
        </is>
      </c>
      <c r="J1162" s="21" t="inlineStr">
        <is>
          <t>1. Login di web, sidebar &gt; Laporan Stasiun (/reports), tekan tile Depricarping (/reports/depricarping), lalu pilih Periode dan Production Line. Catat judul setiap kolom pada rekap harian dan rekap per unit.
2. Login di mobile, Dashboard &amp; Reporting &gt; Reporting, tekan tile Depricarping (/reports/depricarping), lalu pilih Periode dan Production Line dengan periode dan line yang sama.
3. Periksa bentuk rekapnya: tabel melebar, atau kartu bertumpuk?
4. Pada satu kartu, hitung berapa nilai yang ditampilkan dan cocokkan labelnya dengan catatan langkah 1.</t>
        </is>
      </c>
      <c r="K1162" s="21" t="inlineStr">
        <is>
          <t>- Di mobile, tabel berubah menjadi kartu bertumpuk (satu kartu per hari / per unit).
- Setiap kolom web punya padanan berlabel di dalam kartu — tidak ada kolom yang dibuang demi ruang.
- Labelnya terbaca, bukan disingkat sampai tidak jelas.</t>
        </is>
      </c>
      <c r="L1162" s="16" t="inlineStr">
        <is>
          <t>Tinggi</t>
        </is>
      </c>
      <c r="M1162" s="21" t="inlineStr"/>
      <c r="N1162" s="17" t="n"/>
      <c r="O1162" s="17" t="n"/>
      <c r="P1162" s="17" t="n"/>
      <c r="Q1162" s="17" t="n"/>
      <c r="R1162" s="17" t="n"/>
    </row>
    <row r="1163" ht="202" customHeight="1">
      <c r="A1163" s="22" t="n">
        <v>1159</v>
      </c>
      <c r="B1163" s="22" t="n">
        <v>3</v>
      </c>
      <c r="C1163" s="23" t="inlineStr">
        <is>
          <t>LP-M-02 / Storage Tank</t>
        </is>
      </c>
      <c r="D1163" s="23" t="inlineStr">
        <is>
          <t>LP-M-02</t>
        </is>
      </c>
      <c r="E1163" s="24" t="inlineStr">
        <is>
          <t>Storage Tank</t>
        </is>
      </c>
      <c r="F1163" s="5" t="inlineStr">
        <is>
          <t>Laporan Periode Stasiun (LP-)</t>
        </is>
      </c>
      <c r="G1163" s="24" t="inlineStr">
        <is>
          <t>Tabel menjadi kartu bertumpuk, isinya tidak berkurang</t>
        </is>
      </c>
      <c r="H1163" s="5" t="inlineStr">
        <is>
          <t>OPR-A</t>
        </is>
      </c>
      <c r="I1163" s="5" t="inlineStr">
        <is>
          <t>—</t>
        </is>
      </c>
      <c r="J1163" s="5" t="inlineStr">
        <is>
          <t>1. Login di web, sidebar &gt; Laporan Stasiun (/reports), tekan tile Storage Tank (/reports/storage-tank), lalu pilih Periode dan Production Line. Catat judul setiap kolom pada rekap harian dan rekap per unit.
2. Login di mobile, Dashboard &amp; Reporting &gt; Reporting, tekan tile Storage Tank (/reports/storage-tank), lalu pilih Periode dan Production Line dengan periode dan line yang sama.
3. Periksa bentuk rekapnya: tabel melebar, atau kartu bertumpuk?
4. Pada satu kartu, hitung berapa nilai yang ditampilkan dan cocokkan labelnya dengan catatan langkah 1.</t>
        </is>
      </c>
      <c r="K1163" s="5" t="inlineStr">
        <is>
          <t>- Di mobile, tabel berubah menjadi kartu bertumpuk (satu kartu per hari / per unit).
- Setiap kolom web punya padanan berlabel di dalam kartu — tidak ada kolom yang dibuang demi ruang.
- Labelnya terbaca, bukan disingkat sampai tidak jelas.</t>
        </is>
      </c>
      <c r="L1163" s="16" t="inlineStr">
        <is>
          <t>Tinggi</t>
        </is>
      </c>
      <c r="M1163" s="5" t="inlineStr"/>
      <c r="N1163" s="17" t="n"/>
      <c r="O1163" s="17" t="n"/>
      <c r="P1163" s="17" t="n"/>
      <c r="Q1163" s="17" t="n"/>
      <c r="R1163" s="17" t="n"/>
    </row>
    <row r="1164" ht="136" customHeight="1">
      <c r="A1164" s="18" t="n">
        <v>1160</v>
      </c>
      <c r="B1164" s="18" t="n">
        <v>3</v>
      </c>
      <c r="C1164" s="19" t="inlineStr">
        <is>
          <t>LP-M-03 / Weighbridge</t>
        </is>
      </c>
      <c r="D1164" s="19" t="inlineStr">
        <is>
          <t>LP-M-03</t>
        </is>
      </c>
      <c r="E1164" s="20" t="inlineStr">
        <is>
          <t>Weighbridge</t>
        </is>
      </c>
      <c r="F1164" s="21" t="inlineStr">
        <is>
          <t>Laporan Periode Stasiun (LP-)</t>
        </is>
      </c>
      <c r="G1164" s="20" t="inlineStr">
        <is>
          <t>Halaman tidak menggulir mendatar pada lebar 390px</t>
        </is>
      </c>
      <c r="H1164" s="21" t="inlineStr">
        <is>
          <t>OPR-A</t>
        </is>
      </c>
      <c r="I1164" s="21" t="inlineStr">
        <is>
          <t>lebar layar 390px</t>
        </is>
      </c>
      <c r="J1164" s="21" t="inlineStr">
        <is>
          <t>1. Atur lebar layar perangkat/emulator ke 390px.
2. Login di mobile, Dashboard &amp; Reporting &gt; Reporting, tekan tile Weighbridge (/reports/weighbridge), lalu pilih Periode dan Production Line dengan data penuh.
3. Gulir dari atas ke bawah seluruh layar.
4. Pada setiap bagian, coba gulir ke kanan.
5. Perhatikan apakah ada teks atau angka yang terpotong di tepi kanan.</t>
        </is>
      </c>
      <c r="K1164" s="21" t="inlineStr">
        <is>
          <t>- Halaman tidak dapat digulir mendatar sama sekali.
- Tidak ada isi yang terpotong di tepi kanan.
- Tabel yang lebar di web sudah berubah bentuk, bukan dibiarkan melebar.
- Kalau ada satu bagian saja yang memaksa gulir mendatar, catat bagian mana.</t>
        </is>
      </c>
      <c r="L1164" s="18" t="inlineStr">
        <is>
          <t>Sedang</t>
        </is>
      </c>
      <c r="M1164" s="21" t="inlineStr"/>
      <c r="N1164" s="17" t="n"/>
      <c r="O1164" s="17" t="n"/>
      <c r="P1164" s="17" t="n"/>
      <c r="Q1164" s="17" t="n"/>
      <c r="R1164" s="17" t="n"/>
    </row>
    <row r="1165" ht="136" customHeight="1">
      <c r="A1165" s="22" t="n">
        <v>1161</v>
      </c>
      <c r="B1165" s="22" t="n">
        <v>3</v>
      </c>
      <c r="C1165" s="23" t="inlineStr">
        <is>
          <t>LP-M-03 / Grading</t>
        </is>
      </c>
      <c r="D1165" s="23" t="inlineStr">
        <is>
          <t>LP-M-03</t>
        </is>
      </c>
      <c r="E1165" s="24" t="inlineStr">
        <is>
          <t>Grading</t>
        </is>
      </c>
      <c r="F1165" s="5" t="inlineStr">
        <is>
          <t>Laporan Periode Stasiun (LP-)</t>
        </is>
      </c>
      <c r="G1165" s="24" t="inlineStr">
        <is>
          <t>Halaman tidak menggulir mendatar pada lebar 390px</t>
        </is>
      </c>
      <c r="H1165" s="5" t="inlineStr">
        <is>
          <t>OPR-A</t>
        </is>
      </c>
      <c r="I1165" s="5" t="inlineStr">
        <is>
          <t>lebar layar 390px</t>
        </is>
      </c>
      <c r="J1165" s="5" t="inlineStr">
        <is>
          <t>1. Atur lebar layar perangkat/emulator ke 390px.
2. Login di mobile, Dashboard &amp; Reporting &gt; Reporting, tekan tile Grading (/reports/grading), lalu pilih Periode dan Production Line dengan data penuh.
3. Gulir dari atas ke bawah seluruh layar.
4. Pada setiap bagian, coba gulir ke kanan.
5. Perhatikan apakah ada teks atau angka yang terpotong di tepi kanan.</t>
        </is>
      </c>
      <c r="K1165" s="5" t="inlineStr">
        <is>
          <t>- Halaman tidak dapat digulir mendatar sama sekali.
- Tidak ada isi yang terpotong di tepi kanan.
- Tabel yang lebar di web sudah berubah bentuk, bukan dibiarkan melebar.
- Kalau ada satu bagian saja yang memaksa gulir mendatar, catat bagian mana.</t>
        </is>
      </c>
      <c r="L1165" s="22" t="inlineStr">
        <is>
          <t>Sedang</t>
        </is>
      </c>
      <c r="M1165" s="5" t="inlineStr"/>
      <c r="N1165" s="17" t="n"/>
      <c r="O1165" s="17" t="n"/>
      <c r="P1165" s="17" t="n"/>
      <c r="Q1165" s="17" t="n"/>
      <c r="R1165" s="17" t="n"/>
    </row>
    <row r="1166" ht="136" customHeight="1">
      <c r="A1166" s="18" t="n">
        <v>1162</v>
      </c>
      <c r="B1166" s="18" t="n">
        <v>3</v>
      </c>
      <c r="C1166" s="19" t="inlineStr">
        <is>
          <t>LP-M-03 / Cages Track</t>
        </is>
      </c>
      <c r="D1166" s="19" t="inlineStr">
        <is>
          <t>LP-M-03</t>
        </is>
      </c>
      <c r="E1166" s="20" t="inlineStr">
        <is>
          <t>Cages Track</t>
        </is>
      </c>
      <c r="F1166" s="21" t="inlineStr">
        <is>
          <t>Laporan Periode Stasiun (LP-)</t>
        </is>
      </c>
      <c r="G1166" s="20" t="inlineStr">
        <is>
          <t>Halaman tidak menggulir mendatar pada lebar 390px</t>
        </is>
      </c>
      <c r="H1166" s="21" t="inlineStr">
        <is>
          <t>OPR-A</t>
        </is>
      </c>
      <c r="I1166" s="21" t="inlineStr">
        <is>
          <t>lebar layar 390px</t>
        </is>
      </c>
      <c r="J1166" s="21" t="inlineStr">
        <is>
          <t>1. Atur lebar layar perangkat/emulator ke 390px.
2. Login di mobile, Dashboard &amp; Reporting &gt; Reporting, tekan tile Cages Track (/reports/cages-track), lalu pilih Periode dan Production Line dengan data penuh.
3. Gulir dari atas ke bawah seluruh layar.
4. Pada setiap bagian, coba gulir ke kanan.
5. Perhatikan apakah ada teks atau angka yang terpotong di tepi kanan.</t>
        </is>
      </c>
      <c r="K1166" s="21" t="inlineStr">
        <is>
          <t>- Halaman tidak dapat digulir mendatar sama sekali.
- Tidak ada isi yang terpotong di tepi kanan.
- Tabel yang lebar di web sudah berubah bentuk, bukan dibiarkan melebar.
- Kalau ada satu bagian saja yang memaksa gulir mendatar, catat bagian mana.</t>
        </is>
      </c>
      <c r="L1166" s="18" t="inlineStr">
        <is>
          <t>Sedang</t>
        </is>
      </c>
      <c r="M1166" s="21" t="inlineStr"/>
      <c r="N1166" s="17" t="n"/>
      <c r="O1166" s="17" t="n"/>
      <c r="P1166" s="17" t="n"/>
      <c r="Q1166" s="17" t="n"/>
      <c r="R1166" s="17" t="n"/>
    </row>
    <row r="1167" ht="136" customHeight="1">
      <c r="A1167" s="22" t="n">
        <v>1163</v>
      </c>
      <c r="B1167" s="22" t="n">
        <v>3</v>
      </c>
      <c r="C1167" s="23" t="inlineStr">
        <is>
          <t>LP-M-03 / Sterilizer</t>
        </is>
      </c>
      <c r="D1167" s="23" t="inlineStr">
        <is>
          <t>LP-M-03</t>
        </is>
      </c>
      <c r="E1167" s="24" t="inlineStr">
        <is>
          <t>Sterilizer</t>
        </is>
      </c>
      <c r="F1167" s="5" t="inlineStr">
        <is>
          <t>Laporan Periode Stasiun (LP-)</t>
        </is>
      </c>
      <c r="G1167" s="24" t="inlineStr">
        <is>
          <t>Halaman tidak menggulir mendatar pada lebar 390px</t>
        </is>
      </c>
      <c r="H1167" s="5" t="inlineStr">
        <is>
          <t>OPR-A</t>
        </is>
      </c>
      <c r="I1167" s="5" t="inlineStr">
        <is>
          <t>lebar layar 390px</t>
        </is>
      </c>
      <c r="J1167" s="5" t="inlineStr">
        <is>
          <t>1. Atur lebar layar perangkat/emulator ke 390px.
2. Login di mobile, Dashboard &amp; Reporting &gt; Reporting, tekan tile Sterilizer (/reports/sterilizer), lalu pilih Periode dan Production Line dengan data penuh.
3. Gulir dari atas ke bawah seluruh layar.
4. Pada setiap bagian, coba gulir ke kanan.
5. Perhatikan apakah ada teks atau angka yang terpotong di tepi kanan.</t>
        </is>
      </c>
      <c r="K1167" s="5" t="inlineStr">
        <is>
          <t>- Halaman tidak dapat digulir mendatar sama sekali.
- Tidak ada isi yang terpotong di tepi kanan.
- Tabel yang lebar di web sudah berubah bentuk, bukan dibiarkan melebar.
- Kalau ada satu bagian saja yang memaksa gulir mendatar, catat bagian mana.</t>
        </is>
      </c>
      <c r="L1167" s="22" t="inlineStr">
        <is>
          <t>Sedang</t>
        </is>
      </c>
      <c r="M1167" s="5" t="inlineStr"/>
      <c r="N1167" s="17" t="n"/>
      <c r="O1167" s="17" t="n"/>
      <c r="P1167" s="17" t="n"/>
      <c r="Q1167" s="17" t="n"/>
      <c r="R1167" s="17" t="n"/>
    </row>
    <row r="1168" ht="136" customHeight="1">
      <c r="A1168" s="18" t="n">
        <v>1164</v>
      </c>
      <c r="B1168" s="18" t="n">
        <v>3</v>
      </c>
      <c r="C1168" s="19" t="inlineStr">
        <is>
          <t>LP-M-03 / Threshing</t>
        </is>
      </c>
      <c r="D1168" s="19" t="inlineStr">
        <is>
          <t>LP-M-03</t>
        </is>
      </c>
      <c r="E1168" s="20" t="inlineStr">
        <is>
          <t>Threshing</t>
        </is>
      </c>
      <c r="F1168" s="21" t="inlineStr">
        <is>
          <t>Laporan Periode Stasiun (LP-)</t>
        </is>
      </c>
      <c r="G1168" s="20" t="inlineStr">
        <is>
          <t>Halaman tidak menggulir mendatar pada lebar 390px</t>
        </is>
      </c>
      <c r="H1168" s="21" t="inlineStr">
        <is>
          <t>OPR-A</t>
        </is>
      </c>
      <c r="I1168" s="21" t="inlineStr">
        <is>
          <t>lebar layar 390px</t>
        </is>
      </c>
      <c r="J1168" s="21" t="inlineStr">
        <is>
          <t>1. Atur lebar layar perangkat/emulator ke 390px.
2. Login di mobile, Dashboard &amp; Reporting &gt; Reporting, tekan tile Threshing (/reports/threshing), lalu pilih Periode dan Production Line dengan data penuh.
3. Gulir dari atas ke bawah seluruh layar.
4. Pada setiap bagian, coba gulir ke kanan.
5. Perhatikan apakah ada teks atau angka yang terpotong di tepi kanan.</t>
        </is>
      </c>
      <c r="K1168" s="21" t="inlineStr">
        <is>
          <t>- Halaman tidak dapat digulir mendatar sama sekali.
- Tidak ada isi yang terpotong di tepi kanan.
- Tabel yang lebar di web sudah berubah bentuk, bukan dibiarkan melebar.
- Kalau ada satu bagian saja yang memaksa gulir mendatar, catat bagian mana.</t>
        </is>
      </c>
      <c r="L1168" s="18" t="inlineStr">
        <is>
          <t>Sedang</t>
        </is>
      </c>
      <c r="M1168" s="21" t="inlineStr"/>
      <c r="N1168" s="17" t="n"/>
      <c r="O1168" s="17" t="n"/>
      <c r="P1168" s="17" t="n"/>
      <c r="Q1168" s="17" t="n"/>
      <c r="R1168" s="17" t="n"/>
    </row>
    <row r="1169" ht="136" customHeight="1">
      <c r="A1169" s="22" t="n">
        <v>1165</v>
      </c>
      <c r="B1169" s="22" t="n">
        <v>3</v>
      </c>
      <c r="C1169" s="23" t="inlineStr">
        <is>
          <t>LP-M-03 / Pressing</t>
        </is>
      </c>
      <c r="D1169" s="23" t="inlineStr">
        <is>
          <t>LP-M-03</t>
        </is>
      </c>
      <c r="E1169" s="24" t="inlineStr">
        <is>
          <t>Pressing</t>
        </is>
      </c>
      <c r="F1169" s="5" t="inlineStr">
        <is>
          <t>Laporan Periode Stasiun (LP-)</t>
        </is>
      </c>
      <c r="G1169" s="24" t="inlineStr">
        <is>
          <t>Halaman tidak menggulir mendatar pada lebar 390px</t>
        </is>
      </c>
      <c r="H1169" s="5" t="inlineStr">
        <is>
          <t>OPR-A</t>
        </is>
      </c>
      <c r="I1169" s="5" t="inlineStr">
        <is>
          <t>lebar layar 390px</t>
        </is>
      </c>
      <c r="J1169" s="5" t="inlineStr">
        <is>
          <t>1. Atur lebar layar perangkat/emulator ke 390px.
2. Login di mobile, Dashboard &amp; Reporting &gt; Reporting, tekan tile Pressing (/reports/pressing), lalu pilih Periode dan Production Line dengan data penuh.
3. Gulir dari atas ke bawah seluruh layar.
4. Pada setiap bagian, coba gulir ke kanan.
5. Perhatikan apakah ada teks atau angka yang terpotong di tepi kanan.</t>
        </is>
      </c>
      <c r="K1169" s="5" t="inlineStr">
        <is>
          <t>- Halaman tidak dapat digulir mendatar sama sekali.
- Tidak ada isi yang terpotong di tepi kanan.
- Tabel yang lebar di web sudah berubah bentuk, bukan dibiarkan melebar.
- Kalau ada satu bagian saja yang memaksa gulir mendatar, catat bagian mana.</t>
        </is>
      </c>
      <c r="L1169" s="22" t="inlineStr">
        <is>
          <t>Sedang</t>
        </is>
      </c>
      <c r="M1169" s="5" t="inlineStr"/>
      <c r="N1169" s="17" t="n"/>
      <c r="O1169" s="17" t="n"/>
      <c r="P1169" s="17" t="n"/>
      <c r="Q1169" s="17" t="n"/>
      <c r="R1169" s="17" t="n"/>
    </row>
    <row r="1170" ht="136" customHeight="1">
      <c r="A1170" s="18" t="n">
        <v>1166</v>
      </c>
      <c r="B1170" s="18" t="n">
        <v>3</v>
      </c>
      <c r="C1170" s="19" t="inlineStr">
        <is>
          <t>LP-M-03 / Clarification</t>
        </is>
      </c>
      <c r="D1170" s="19" t="inlineStr">
        <is>
          <t>LP-M-03</t>
        </is>
      </c>
      <c r="E1170" s="20" t="inlineStr">
        <is>
          <t>Clarification</t>
        </is>
      </c>
      <c r="F1170" s="21" t="inlineStr">
        <is>
          <t>Laporan Periode Stasiun (LP-)</t>
        </is>
      </c>
      <c r="G1170" s="20" t="inlineStr">
        <is>
          <t>Halaman tidak menggulir mendatar pada lebar 390px</t>
        </is>
      </c>
      <c r="H1170" s="21" t="inlineStr">
        <is>
          <t>OPR-A</t>
        </is>
      </c>
      <c r="I1170" s="21" t="inlineStr">
        <is>
          <t>lebar layar 390px</t>
        </is>
      </c>
      <c r="J1170" s="21" t="inlineStr">
        <is>
          <t>1. Atur lebar layar perangkat/emulator ke 390px.
2. Login di mobile, Dashboard &amp; Reporting &gt; Reporting, tekan tile Clarification (/reports/clarification), lalu pilih Periode dan Production Line dengan data penuh.
3. Gulir dari atas ke bawah seluruh layar.
4. Pada setiap bagian, coba gulir ke kanan.
5. Perhatikan apakah ada teks atau angka yang terpotong di tepi kanan.</t>
        </is>
      </c>
      <c r="K1170" s="21" t="inlineStr">
        <is>
          <t>- Halaman tidak dapat digulir mendatar sama sekali.
- Tidak ada isi yang terpotong di tepi kanan.
- Tabel yang lebar di web sudah berubah bentuk, bukan dibiarkan melebar.
- Kalau ada satu bagian saja yang memaksa gulir mendatar, catat bagian mana.</t>
        </is>
      </c>
      <c r="L1170" s="18" t="inlineStr">
        <is>
          <t>Sedang</t>
        </is>
      </c>
      <c r="M1170" s="21" t="inlineStr"/>
      <c r="N1170" s="17" t="n"/>
      <c r="O1170" s="17" t="n"/>
      <c r="P1170" s="17" t="n"/>
      <c r="Q1170" s="17" t="n"/>
      <c r="R1170" s="17" t="n"/>
    </row>
    <row r="1171" ht="136" customHeight="1">
      <c r="A1171" s="11" t="n">
        <v>1167</v>
      </c>
      <c r="B1171" s="12" t="n">
        <v>1</v>
      </c>
      <c r="C1171" s="13" t="inlineStr">
        <is>
          <t>LP-M-03 / Kernel Plant</t>
        </is>
      </c>
      <c r="D1171" s="13" t="inlineStr">
        <is>
          <t>LP-M-03</t>
        </is>
      </c>
      <c r="E1171" s="15" t="inlineStr">
        <is>
          <t>Kernel Plant</t>
        </is>
      </c>
      <c r="F1171" s="14" t="inlineStr">
        <is>
          <t>Laporan Periode Stasiun (LP-)</t>
        </is>
      </c>
      <c r="G1171" s="15" t="inlineStr">
        <is>
          <t>Halaman tidak menggulir mendatar pada lebar 390px</t>
        </is>
      </c>
      <c r="H1171" s="14" t="inlineStr">
        <is>
          <t>OPR-A</t>
        </is>
      </c>
      <c r="I1171" s="14" t="inlineStr">
        <is>
          <t>lebar layar 390px</t>
        </is>
      </c>
      <c r="J1171" s="14" t="inlineStr">
        <is>
          <t>1. Atur lebar layar perangkat/emulator ke 390px.
2. Login di mobile, Dashboard &amp; Reporting &gt; Reporting, tekan tile Kernel Plant (/reports/kernel-plant), lalu pilih Periode dan Production Line dengan data penuh.
3. Gulir dari atas ke bawah seluruh layar.
4. Pada setiap bagian, coba gulir ke kanan.
5. Perhatikan apakah ada teks atau angka yang terpotong di tepi kanan.</t>
        </is>
      </c>
      <c r="K1171" s="14" t="inlineStr">
        <is>
          <t>- Halaman tidak dapat digulir mendatar sama sekali.
- Tidak ada isi yang terpotong di tepi kanan.
- Tabel yang lebar di web sudah berubah bentuk, bukan dibiarkan melebar.
- Kalau ada satu bagian saja yang memaksa gulir mendatar, catat bagian mana.</t>
        </is>
      </c>
      <c r="L1171" s="11" t="inlineStr">
        <is>
          <t>Sedang</t>
        </is>
      </c>
      <c r="M1171" s="14" t="inlineStr"/>
      <c r="N1171" s="17" t="n"/>
      <c r="O1171" s="17" t="n"/>
      <c r="P1171" s="17" t="n"/>
      <c r="Q1171" s="17" t="n"/>
      <c r="R1171" s="17" t="n"/>
    </row>
    <row r="1172" ht="136" customHeight="1">
      <c r="A1172" s="18" t="n">
        <v>1168</v>
      </c>
      <c r="B1172" s="18" t="n">
        <v>3</v>
      </c>
      <c r="C1172" s="19" t="inlineStr">
        <is>
          <t>LP-M-03 / Boiler Room</t>
        </is>
      </c>
      <c r="D1172" s="19" t="inlineStr">
        <is>
          <t>LP-M-03</t>
        </is>
      </c>
      <c r="E1172" s="20" t="inlineStr">
        <is>
          <t>Boiler Room</t>
        </is>
      </c>
      <c r="F1172" s="21" t="inlineStr">
        <is>
          <t>Laporan Periode Stasiun (LP-)</t>
        </is>
      </c>
      <c r="G1172" s="20" t="inlineStr">
        <is>
          <t>Halaman tidak menggulir mendatar pada lebar 390px</t>
        </is>
      </c>
      <c r="H1172" s="21" t="inlineStr">
        <is>
          <t>OPR-A</t>
        </is>
      </c>
      <c r="I1172" s="21" t="inlineStr">
        <is>
          <t>lebar layar 390px</t>
        </is>
      </c>
      <c r="J1172" s="21" t="inlineStr">
        <is>
          <t>1. Atur lebar layar perangkat/emulator ke 390px.
2. Login di mobile, Dashboard &amp; Reporting &gt; Reporting, tekan tile Boiler Room (/reports/boiler-room), lalu pilih Periode dan Production Line dengan data penuh.
3. Gulir dari atas ke bawah seluruh layar.
4. Pada setiap bagian, coba gulir ke kanan.
5. Perhatikan apakah ada teks atau angka yang terpotong di tepi kanan.</t>
        </is>
      </c>
      <c r="K1172" s="21" t="inlineStr">
        <is>
          <t>- Halaman tidak dapat digulir mendatar sama sekali.
- Tidak ada isi yang terpotong di tepi kanan.
- Tabel yang lebar di web sudah berubah bentuk, bukan dibiarkan melebar.
- Kalau ada satu bagian saja yang memaksa gulir mendatar, catat bagian mana.</t>
        </is>
      </c>
      <c r="L1172" s="18" t="inlineStr">
        <is>
          <t>Sedang</t>
        </is>
      </c>
      <c r="M1172" s="21" t="inlineStr"/>
      <c r="N1172" s="17" t="n"/>
      <c r="O1172" s="17" t="n"/>
      <c r="P1172" s="17" t="n"/>
      <c r="Q1172" s="17" t="n"/>
      <c r="R1172" s="17" t="n"/>
    </row>
    <row r="1173" ht="136" customHeight="1">
      <c r="A1173" s="22" t="n">
        <v>1169</v>
      </c>
      <c r="B1173" s="22" t="n">
        <v>3</v>
      </c>
      <c r="C1173" s="23" t="inlineStr">
        <is>
          <t>LP-M-03 / Depricarping</t>
        </is>
      </c>
      <c r="D1173" s="23" t="inlineStr">
        <is>
          <t>LP-M-03</t>
        </is>
      </c>
      <c r="E1173" s="24" t="inlineStr">
        <is>
          <t>Depricarping</t>
        </is>
      </c>
      <c r="F1173" s="5" t="inlineStr">
        <is>
          <t>Laporan Periode Stasiun (LP-)</t>
        </is>
      </c>
      <c r="G1173" s="24" t="inlineStr">
        <is>
          <t>Halaman tidak menggulir mendatar pada lebar 390px</t>
        </is>
      </c>
      <c r="H1173" s="5" t="inlineStr">
        <is>
          <t>OPR-A</t>
        </is>
      </c>
      <c r="I1173" s="5" t="inlineStr">
        <is>
          <t>lebar layar 390px</t>
        </is>
      </c>
      <c r="J1173" s="5" t="inlineStr">
        <is>
          <t>1. Atur lebar layar perangkat/emulator ke 390px.
2. Login di mobile, Dashboard &amp; Reporting &gt; Reporting, tekan tile Depricarping (/reports/depricarping), lalu pilih Periode dan Production Line dengan data penuh.
3. Gulir dari atas ke bawah seluruh layar.
4. Pada setiap bagian, coba gulir ke kanan.
5. Perhatikan apakah ada teks atau angka yang terpotong di tepi kanan.</t>
        </is>
      </c>
      <c r="K1173" s="5" t="inlineStr">
        <is>
          <t>- Halaman tidak dapat digulir mendatar sama sekali.
- Tidak ada isi yang terpotong di tepi kanan.
- Tabel yang lebar di web sudah berubah bentuk, bukan dibiarkan melebar.
- Kalau ada satu bagian saja yang memaksa gulir mendatar, catat bagian mana.</t>
        </is>
      </c>
      <c r="L1173" s="22" t="inlineStr">
        <is>
          <t>Sedang</t>
        </is>
      </c>
      <c r="M1173" s="5" t="inlineStr"/>
      <c r="N1173" s="17" t="n"/>
      <c r="O1173" s="17" t="n"/>
      <c r="P1173" s="17" t="n"/>
      <c r="Q1173" s="17" t="n"/>
      <c r="R1173" s="17" t="n"/>
    </row>
    <row r="1174" ht="136" customHeight="1">
      <c r="A1174" s="18" t="n">
        <v>1170</v>
      </c>
      <c r="B1174" s="18" t="n">
        <v>3</v>
      </c>
      <c r="C1174" s="19" t="inlineStr">
        <is>
          <t>LP-M-03 / Storage Tank</t>
        </is>
      </c>
      <c r="D1174" s="19" t="inlineStr">
        <is>
          <t>LP-M-03</t>
        </is>
      </c>
      <c r="E1174" s="20" t="inlineStr">
        <is>
          <t>Storage Tank</t>
        </is>
      </c>
      <c r="F1174" s="21" t="inlineStr">
        <is>
          <t>Laporan Periode Stasiun (LP-)</t>
        </is>
      </c>
      <c r="G1174" s="20" t="inlineStr">
        <is>
          <t>Halaman tidak menggulir mendatar pada lebar 390px</t>
        </is>
      </c>
      <c r="H1174" s="21" t="inlineStr">
        <is>
          <t>OPR-A</t>
        </is>
      </c>
      <c r="I1174" s="21" t="inlineStr">
        <is>
          <t>lebar layar 390px</t>
        </is>
      </c>
      <c r="J1174" s="21" t="inlineStr">
        <is>
          <t>1. Atur lebar layar perangkat/emulator ke 390px.
2. Login di mobile, Dashboard &amp; Reporting &gt; Reporting, tekan tile Storage Tank (/reports/storage-tank), lalu pilih Periode dan Production Line dengan data penuh.
3. Gulir dari atas ke bawah seluruh layar.
4. Pada setiap bagian, coba gulir ke kanan.
5. Perhatikan apakah ada teks atau angka yang terpotong di tepi kanan.</t>
        </is>
      </c>
      <c r="K1174" s="21" t="inlineStr">
        <is>
          <t>- Halaman tidak dapat digulir mendatar sama sekali.
- Tidak ada isi yang terpotong di tepi kanan.
- Tabel yang lebar di web sudah berubah bentuk, bukan dibiarkan melebar.
- Kalau ada satu bagian saja yang memaksa gulir mendatar, catat bagian mana.</t>
        </is>
      </c>
      <c r="L1174" s="18" t="inlineStr">
        <is>
          <t>Sedang</t>
        </is>
      </c>
      <c r="M1174" s="21" t="inlineStr"/>
      <c r="N1174" s="17" t="n"/>
      <c r="O1174" s="17" t="n"/>
      <c r="P1174" s="17" t="n"/>
      <c r="Q1174" s="17" t="n"/>
      <c r="R1174" s="17" t="n"/>
    </row>
    <row r="1175" ht="122.8" customHeight="1">
      <c r="A1175" s="22" t="n">
        <v>1171</v>
      </c>
      <c r="B1175" s="22" t="n">
        <v>3</v>
      </c>
      <c r="C1175" s="23" t="inlineStr">
        <is>
          <t>LP-M-04 / Weighbridge</t>
        </is>
      </c>
      <c r="D1175" s="23" t="inlineStr">
        <is>
          <t>LP-M-04</t>
        </is>
      </c>
      <c r="E1175" s="24" t="inlineStr">
        <is>
          <t>Weighbridge</t>
        </is>
      </c>
      <c r="F1175" s="5" t="inlineStr">
        <is>
          <t>Laporan Periode Stasiun (LP-)</t>
        </is>
      </c>
      <c r="G1175" s="24" t="inlineStr">
        <is>
          <t>Production Line wajib, termasuk saat hanya satu</t>
        </is>
      </c>
      <c r="H1175" s="5" t="inlineStr">
        <is>
          <t>OPR-A</t>
        </is>
      </c>
      <c r="I1175" s="5" t="inlineStr">
        <is>
          <t>—</t>
        </is>
      </c>
      <c r="J1175" s="5" t="inlineStr">
        <is>
          <t>1. Siapkan satu mill dengan satu Production Line saja.
2. Login di mobile, Dashboard &amp; Reporting &gt; Reporting, tekan tile Weighbridge (/reports/weighbridge), lalu pilih Periode dan Production Line pada mill itu. Pilih periode, jangan pilih line.
3. Baca layar: ada angka atau tidak?
4. Pilih line satu-satunya itu.</t>
        </is>
      </c>
      <c r="K1175" s="5" t="inlineStr">
        <is>
          <t>- Sebelum line dipilih: tidak ada satu angka pun, dan ada permintaan memilih Production Line.
- Line tunggal tidak terpilih otomatis.
- Sesudah dipilih, angkanya muncul.
- Perilakunya sama dengan LS-08 di web.</t>
        </is>
      </c>
      <c r="L1175" s="16" t="inlineStr">
        <is>
          <t>Tinggi</t>
        </is>
      </c>
      <c r="M1175" s="5" t="inlineStr"/>
      <c r="N1175" s="17" t="n"/>
      <c r="O1175" s="17" t="n"/>
      <c r="P1175" s="17" t="n"/>
      <c r="Q1175" s="17" t="n"/>
      <c r="R1175" s="17" t="n"/>
    </row>
    <row r="1176" ht="122.8" customHeight="1">
      <c r="A1176" s="18" t="n">
        <v>1172</v>
      </c>
      <c r="B1176" s="18" t="n">
        <v>3</v>
      </c>
      <c r="C1176" s="19" t="inlineStr">
        <is>
          <t>LP-M-04 / Grading</t>
        </is>
      </c>
      <c r="D1176" s="19" t="inlineStr">
        <is>
          <t>LP-M-04</t>
        </is>
      </c>
      <c r="E1176" s="20" t="inlineStr">
        <is>
          <t>Grading</t>
        </is>
      </c>
      <c r="F1176" s="21" t="inlineStr">
        <is>
          <t>Laporan Periode Stasiun (LP-)</t>
        </is>
      </c>
      <c r="G1176" s="20" t="inlineStr">
        <is>
          <t>Production Line wajib, termasuk saat hanya satu</t>
        </is>
      </c>
      <c r="H1176" s="21" t="inlineStr">
        <is>
          <t>OPR-A</t>
        </is>
      </c>
      <c r="I1176" s="21" t="inlineStr">
        <is>
          <t>—</t>
        </is>
      </c>
      <c r="J1176" s="21" t="inlineStr">
        <is>
          <t>1. Siapkan satu mill dengan satu Production Line saja.
2. Login di mobile, Dashboard &amp; Reporting &gt; Reporting, tekan tile Grading (/reports/grading), lalu pilih Periode dan Production Line pada mill itu. Pilih periode, jangan pilih line.
3. Baca layar: ada angka atau tidak?
4. Pilih line satu-satunya itu.</t>
        </is>
      </c>
      <c r="K1176" s="21" t="inlineStr">
        <is>
          <t>- Sebelum line dipilih: tidak ada satu angka pun, dan ada permintaan memilih Production Line.
- Line tunggal tidak terpilih otomatis.
- Sesudah dipilih, angkanya muncul.
- Perilakunya sama dengan LS-08 di web.</t>
        </is>
      </c>
      <c r="L1176" s="16" t="inlineStr">
        <is>
          <t>Tinggi</t>
        </is>
      </c>
      <c r="M1176" s="21" t="inlineStr"/>
      <c r="N1176" s="17" t="n"/>
      <c r="O1176" s="17" t="n"/>
      <c r="P1176" s="17" t="n"/>
      <c r="Q1176" s="17" t="n"/>
      <c r="R1176" s="17" t="n"/>
    </row>
    <row r="1177" ht="122.8" customHeight="1">
      <c r="A1177" s="22" t="n">
        <v>1173</v>
      </c>
      <c r="B1177" s="22" t="n">
        <v>3</v>
      </c>
      <c r="C1177" s="23" t="inlineStr">
        <is>
          <t>LP-M-04 / Cages Track</t>
        </is>
      </c>
      <c r="D1177" s="23" t="inlineStr">
        <is>
          <t>LP-M-04</t>
        </is>
      </c>
      <c r="E1177" s="24" t="inlineStr">
        <is>
          <t>Cages Track</t>
        </is>
      </c>
      <c r="F1177" s="5" t="inlineStr">
        <is>
          <t>Laporan Periode Stasiun (LP-)</t>
        </is>
      </c>
      <c r="G1177" s="24" t="inlineStr">
        <is>
          <t>Production Line wajib, termasuk saat hanya satu</t>
        </is>
      </c>
      <c r="H1177" s="5" t="inlineStr">
        <is>
          <t>OPR-A</t>
        </is>
      </c>
      <c r="I1177" s="5" t="inlineStr">
        <is>
          <t>—</t>
        </is>
      </c>
      <c r="J1177" s="5" t="inlineStr">
        <is>
          <t>1. Siapkan satu mill dengan satu Production Line saja.
2. Login di mobile, Dashboard &amp; Reporting &gt; Reporting, tekan tile Cages Track (/reports/cages-track), lalu pilih Periode dan Production Line pada mill itu. Pilih periode, jangan pilih line.
3. Baca layar: ada angka atau tidak?
4. Pilih line satu-satunya itu.</t>
        </is>
      </c>
      <c r="K1177" s="5" t="inlineStr">
        <is>
          <t>- Sebelum line dipilih: tidak ada satu angka pun, dan ada permintaan memilih Production Line.
- Line tunggal tidak terpilih otomatis.
- Sesudah dipilih, angkanya muncul.
- Perilakunya sama dengan LS-08 di web.</t>
        </is>
      </c>
      <c r="L1177" s="16" t="inlineStr">
        <is>
          <t>Tinggi</t>
        </is>
      </c>
      <c r="M1177" s="5" t="inlineStr"/>
      <c r="N1177" s="17" t="n"/>
      <c r="O1177" s="17" t="n"/>
      <c r="P1177" s="17" t="n"/>
      <c r="Q1177" s="17" t="n"/>
      <c r="R1177" s="17" t="n"/>
    </row>
    <row r="1178" ht="122.8" customHeight="1">
      <c r="A1178" s="18" t="n">
        <v>1174</v>
      </c>
      <c r="B1178" s="18" t="n">
        <v>3</v>
      </c>
      <c r="C1178" s="19" t="inlineStr">
        <is>
          <t>LP-M-04 / Sterilizer</t>
        </is>
      </c>
      <c r="D1178" s="19" t="inlineStr">
        <is>
          <t>LP-M-04</t>
        </is>
      </c>
      <c r="E1178" s="20" t="inlineStr">
        <is>
          <t>Sterilizer</t>
        </is>
      </c>
      <c r="F1178" s="21" t="inlineStr">
        <is>
          <t>Laporan Periode Stasiun (LP-)</t>
        </is>
      </c>
      <c r="G1178" s="20" t="inlineStr">
        <is>
          <t>Production Line wajib, termasuk saat hanya satu</t>
        </is>
      </c>
      <c r="H1178" s="21" t="inlineStr">
        <is>
          <t>OPR-A</t>
        </is>
      </c>
      <c r="I1178" s="21" t="inlineStr">
        <is>
          <t>—</t>
        </is>
      </c>
      <c r="J1178" s="21" t="inlineStr">
        <is>
          <t>1. Siapkan satu mill dengan satu Production Line saja.
2. Login di mobile, Dashboard &amp; Reporting &gt; Reporting, tekan tile Sterilizer (/reports/sterilizer), lalu pilih Periode dan Production Line pada mill itu. Pilih periode, jangan pilih line.
3. Baca layar: ada angka atau tidak?
4. Pilih line satu-satunya itu.</t>
        </is>
      </c>
      <c r="K1178" s="21" t="inlineStr">
        <is>
          <t>- Sebelum line dipilih: tidak ada satu angka pun, dan ada permintaan memilih Production Line.
- Line tunggal tidak terpilih otomatis.
- Sesudah dipilih, angkanya muncul.
- Perilakunya sama dengan LS-08 di web.</t>
        </is>
      </c>
      <c r="L1178" s="16" t="inlineStr">
        <is>
          <t>Tinggi</t>
        </is>
      </c>
      <c r="M1178" s="21" t="inlineStr"/>
      <c r="N1178" s="17" t="n"/>
      <c r="O1178" s="17" t="n"/>
      <c r="P1178" s="17" t="n"/>
      <c r="Q1178" s="17" t="n"/>
      <c r="R1178" s="17" t="n"/>
    </row>
    <row r="1179" ht="122.8" customHeight="1">
      <c r="A1179" s="22" t="n">
        <v>1175</v>
      </c>
      <c r="B1179" s="22" t="n">
        <v>3</v>
      </c>
      <c r="C1179" s="23" t="inlineStr">
        <is>
          <t>LP-M-04 / Threshing</t>
        </is>
      </c>
      <c r="D1179" s="23" t="inlineStr">
        <is>
          <t>LP-M-04</t>
        </is>
      </c>
      <c r="E1179" s="24" t="inlineStr">
        <is>
          <t>Threshing</t>
        </is>
      </c>
      <c r="F1179" s="5" t="inlineStr">
        <is>
          <t>Laporan Periode Stasiun (LP-)</t>
        </is>
      </c>
      <c r="G1179" s="24" t="inlineStr">
        <is>
          <t>Production Line wajib, termasuk saat hanya satu</t>
        </is>
      </c>
      <c r="H1179" s="5" t="inlineStr">
        <is>
          <t>OPR-A</t>
        </is>
      </c>
      <c r="I1179" s="5" t="inlineStr">
        <is>
          <t>—</t>
        </is>
      </c>
      <c r="J1179" s="5" t="inlineStr">
        <is>
          <t>1. Siapkan satu mill dengan satu Production Line saja.
2. Login di mobile, Dashboard &amp; Reporting &gt; Reporting, tekan tile Threshing (/reports/threshing), lalu pilih Periode dan Production Line pada mill itu. Pilih periode, jangan pilih line.
3. Baca layar: ada angka atau tidak?
4. Pilih line satu-satunya itu.</t>
        </is>
      </c>
      <c r="K1179" s="5" t="inlineStr">
        <is>
          <t>- Sebelum line dipilih: tidak ada satu angka pun, dan ada permintaan memilih Production Line.
- Line tunggal tidak terpilih otomatis.
- Sesudah dipilih, angkanya muncul.
- Perilakunya sama dengan LS-08 di web.</t>
        </is>
      </c>
      <c r="L1179" s="16" t="inlineStr">
        <is>
          <t>Tinggi</t>
        </is>
      </c>
      <c r="M1179" s="5" t="inlineStr"/>
      <c r="N1179" s="17" t="n"/>
      <c r="O1179" s="17" t="n"/>
      <c r="P1179" s="17" t="n"/>
      <c r="Q1179" s="17" t="n"/>
      <c r="R1179" s="17" t="n"/>
    </row>
    <row r="1180" ht="122.8" customHeight="1">
      <c r="A1180" s="18" t="n">
        <v>1176</v>
      </c>
      <c r="B1180" s="18" t="n">
        <v>3</v>
      </c>
      <c r="C1180" s="19" t="inlineStr">
        <is>
          <t>LP-M-04 / Pressing</t>
        </is>
      </c>
      <c r="D1180" s="19" t="inlineStr">
        <is>
          <t>LP-M-04</t>
        </is>
      </c>
      <c r="E1180" s="20" t="inlineStr">
        <is>
          <t>Pressing</t>
        </is>
      </c>
      <c r="F1180" s="21" t="inlineStr">
        <is>
          <t>Laporan Periode Stasiun (LP-)</t>
        </is>
      </c>
      <c r="G1180" s="20" t="inlineStr">
        <is>
          <t>Production Line wajib, termasuk saat hanya satu</t>
        </is>
      </c>
      <c r="H1180" s="21" t="inlineStr">
        <is>
          <t>OPR-A</t>
        </is>
      </c>
      <c r="I1180" s="21" t="inlineStr">
        <is>
          <t>—</t>
        </is>
      </c>
      <c r="J1180" s="21" t="inlineStr">
        <is>
          <t>1. Siapkan satu mill dengan satu Production Line saja.
2. Login di mobile, Dashboard &amp; Reporting &gt; Reporting, tekan tile Pressing (/reports/pressing), lalu pilih Periode dan Production Line pada mill itu. Pilih periode, jangan pilih line.
3. Baca layar: ada angka atau tidak?
4. Pilih line satu-satunya itu.</t>
        </is>
      </c>
      <c r="K1180" s="21" t="inlineStr">
        <is>
          <t>- Sebelum line dipilih: tidak ada satu angka pun, dan ada permintaan memilih Production Line.
- Line tunggal tidak terpilih otomatis.
- Sesudah dipilih, angkanya muncul.
- Perilakunya sama dengan LS-08 di web.</t>
        </is>
      </c>
      <c r="L1180" s="16" t="inlineStr">
        <is>
          <t>Tinggi</t>
        </is>
      </c>
      <c r="M1180" s="21" t="inlineStr"/>
      <c r="N1180" s="17" t="n"/>
      <c r="O1180" s="17" t="n"/>
      <c r="P1180" s="17" t="n"/>
      <c r="Q1180" s="17" t="n"/>
      <c r="R1180" s="17" t="n"/>
    </row>
    <row r="1181" ht="122.8" customHeight="1">
      <c r="A1181" s="22" t="n">
        <v>1177</v>
      </c>
      <c r="B1181" s="22" t="n">
        <v>3</v>
      </c>
      <c r="C1181" s="23" t="inlineStr">
        <is>
          <t>LP-M-04 / Clarification</t>
        </is>
      </c>
      <c r="D1181" s="23" t="inlineStr">
        <is>
          <t>LP-M-04</t>
        </is>
      </c>
      <c r="E1181" s="24" t="inlineStr">
        <is>
          <t>Clarification</t>
        </is>
      </c>
      <c r="F1181" s="5" t="inlineStr">
        <is>
          <t>Laporan Periode Stasiun (LP-)</t>
        </is>
      </c>
      <c r="G1181" s="24" t="inlineStr">
        <is>
          <t>Production Line wajib, termasuk saat hanya satu</t>
        </is>
      </c>
      <c r="H1181" s="5" t="inlineStr">
        <is>
          <t>OPR-A</t>
        </is>
      </c>
      <c r="I1181" s="5" t="inlineStr">
        <is>
          <t>—</t>
        </is>
      </c>
      <c r="J1181" s="5" t="inlineStr">
        <is>
          <t>1. Siapkan satu mill dengan satu Production Line saja.
2. Login di mobile, Dashboard &amp; Reporting &gt; Reporting, tekan tile Clarification (/reports/clarification), lalu pilih Periode dan Production Line pada mill itu. Pilih periode, jangan pilih line.
3. Baca layar: ada angka atau tidak?
4. Pilih line satu-satunya itu.</t>
        </is>
      </c>
      <c r="K1181" s="5" t="inlineStr">
        <is>
          <t>- Sebelum line dipilih: tidak ada satu angka pun, dan ada permintaan memilih Production Line.
- Line tunggal tidak terpilih otomatis.
- Sesudah dipilih, angkanya muncul.
- Perilakunya sama dengan LS-08 di web.</t>
        </is>
      </c>
      <c r="L1181" s="16" t="inlineStr">
        <is>
          <t>Tinggi</t>
        </is>
      </c>
      <c r="M1181" s="5" t="inlineStr"/>
      <c r="N1181" s="17" t="n"/>
      <c r="O1181" s="17" t="n"/>
      <c r="P1181" s="17" t="n"/>
      <c r="Q1181" s="17" t="n"/>
      <c r="R1181" s="17" t="n"/>
    </row>
    <row r="1182" ht="122.8" customHeight="1">
      <c r="A1182" s="11" t="n">
        <v>1178</v>
      </c>
      <c r="B1182" s="12" t="n">
        <v>1</v>
      </c>
      <c r="C1182" s="13" t="inlineStr">
        <is>
          <t>LP-M-04 / Kernel Plant</t>
        </is>
      </c>
      <c r="D1182" s="13" t="inlineStr">
        <is>
          <t>LP-M-04</t>
        </is>
      </c>
      <c r="E1182" s="15" t="inlineStr">
        <is>
          <t>Kernel Plant</t>
        </is>
      </c>
      <c r="F1182" s="14" t="inlineStr">
        <is>
          <t>Laporan Periode Stasiun (LP-)</t>
        </is>
      </c>
      <c r="G1182" s="15" t="inlineStr">
        <is>
          <t>Production Line wajib, termasuk saat hanya satu</t>
        </is>
      </c>
      <c r="H1182" s="14" t="inlineStr">
        <is>
          <t>OPR-A</t>
        </is>
      </c>
      <c r="I1182" s="14" t="inlineStr">
        <is>
          <t>—</t>
        </is>
      </c>
      <c r="J1182" s="14" t="inlineStr">
        <is>
          <t>1. Siapkan satu mill dengan satu Production Line saja.
2. Login di mobile, Dashboard &amp; Reporting &gt; Reporting, tekan tile Kernel Plant (/reports/kernel-plant), lalu pilih Periode dan Production Line pada mill itu. Pilih periode, jangan pilih line.
3. Baca layar: ada angka atau tidak?
4. Pilih line satu-satunya itu.</t>
        </is>
      </c>
      <c r="K1182" s="14" t="inlineStr">
        <is>
          <t>- Sebelum line dipilih: tidak ada satu angka pun, dan ada permintaan memilih Production Line.
- Line tunggal tidak terpilih otomatis.
- Sesudah dipilih, angkanya muncul.
- Perilakunya sama dengan LS-08 di web.</t>
        </is>
      </c>
      <c r="L1182" s="16" t="inlineStr">
        <is>
          <t>Tinggi</t>
        </is>
      </c>
      <c r="M1182" s="14" t="inlineStr"/>
      <c r="N1182" s="17" t="n"/>
      <c r="O1182" s="17" t="n"/>
      <c r="P1182" s="17" t="n"/>
      <c r="Q1182" s="17" t="n"/>
      <c r="R1182" s="17" t="n"/>
    </row>
    <row r="1183" ht="122.8" customHeight="1">
      <c r="A1183" s="22" t="n">
        <v>1179</v>
      </c>
      <c r="B1183" s="22" t="n">
        <v>3</v>
      </c>
      <c r="C1183" s="23" t="inlineStr">
        <is>
          <t>LP-M-04 / Boiler Room</t>
        </is>
      </c>
      <c r="D1183" s="23" t="inlineStr">
        <is>
          <t>LP-M-04</t>
        </is>
      </c>
      <c r="E1183" s="24" t="inlineStr">
        <is>
          <t>Boiler Room</t>
        </is>
      </c>
      <c r="F1183" s="5" t="inlineStr">
        <is>
          <t>Laporan Periode Stasiun (LP-)</t>
        </is>
      </c>
      <c r="G1183" s="24" t="inlineStr">
        <is>
          <t>Production Line wajib, termasuk saat hanya satu</t>
        </is>
      </c>
      <c r="H1183" s="5" t="inlineStr">
        <is>
          <t>OPR-A</t>
        </is>
      </c>
      <c r="I1183" s="5" t="inlineStr">
        <is>
          <t>—</t>
        </is>
      </c>
      <c r="J1183" s="5" t="inlineStr">
        <is>
          <t>1. Siapkan satu mill dengan satu Production Line saja.
2. Login di mobile, Dashboard &amp; Reporting &gt; Reporting, tekan tile Boiler Room (/reports/boiler-room), lalu pilih Periode dan Production Line pada mill itu. Pilih periode, jangan pilih line.
3. Baca layar: ada angka atau tidak?
4. Pilih line satu-satunya itu.</t>
        </is>
      </c>
      <c r="K1183" s="5" t="inlineStr">
        <is>
          <t>- Sebelum line dipilih: tidak ada satu angka pun, dan ada permintaan memilih Production Line.
- Line tunggal tidak terpilih otomatis.
- Sesudah dipilih, angkanya muncul.
- Perilakunya sama dengan LS-08 di web.</t>
        </is>
      </c>
      <c r="L1183" s="16" t="inlineStr">
        <is>
          <t>Tinggi</t>
        </is>
      </c>
      <c r="M1183" s="5" t="inlineStr"/>
      <c r="N1183" s="17" t="n"/>
      <c r="O1183" s="17" t="n"/>
      <c r="P1183" s="17" t="n"/>
      <c r="Q1183" s="17" t="n"/>
      <c r="R1183" s="17" t="n"/>
    </row>
    <row r="1184" ht="122.8" customHeight="1">
      <c r="A1184" s="18" t="n">
        <v>1180</v>
      </c>
      <c r="B1184" s="18" t="n">
        <v>3</v>
      </c>
      <c r="C1184" s="19" t="inlineStr">
        <is>
          <t>LP-M-04 / Depricarping</t>
        </is>
      </c>
      <c r="D1184" s="19" t="inlineStr">
        <is>
          <t>LP-M-04</t>
        </is>
      </c>
      <c r="E1184" s="20" t="inlineStr">
        <is>
          <t>Depricarping</t>
        </is>
      </c>
      <c r="F1184" s="21" t="inlineStr">
        <is>
          <t>Laporan Periode Stasiun (LP-)</t>
        </is>
      </c>
      <c r="G1184" s="20" t="inlineStr">
        <is>
          <t>Production Line wajib, termasuk saat hanya satu</t>
        </is>
      </c>
      <c r="H1184" s="21" t="inlineStr">
        <is>
          <t>OPR-A</t>
        </is>
      </c>
      <c r="I1184" s="21" t="inlineStr">
        <is>
          <t>—</t>
        </is>
      </c>
      <c r="J1184" s="21" t="inlineStr">
        <is>
          <t>1. Siapkan satu mill dengan satu Production Line saja.
2. Login di mobile, Dashboard &amp; Reporting &gt; Reporting, tekan tile Depricarping (/reports/depricarping), lalu pilih Periode dan Production Line pada mill itu. Pilih periode, jangan pilih line.
3. Baca layar: ada angka atau tidak?
4. Pilih line satu-satunya itu.</t>
        </is>
      </c>
      <c r="K1184" s="21" t="inlineStr">
        <is>
          <t>- Sebelum line dipilih: tidak ada satu angka pun, dan ada permintaan memilih Production Line.
- Line tunggal tidak terpilih otomatis.
- Sesudah dipilih, angkanya muncul.
- Perilakunya sama dengan LS-08 di web.</t>
        </is>
      </c>
      <c r="L1184" s="16" t="inlineStr">
        <is>
          <t>Tinggi</t>
        </is>
      </c>
      <c r="M1184" s="21" t="inlineStr"/>
      <c r="N1184" s="17" t="n"/>
      <c r="O1184" s="17" t="n"/>
      <c r="P1184" s="17" t="n"/>
      <c r="Q1184" s="17" t="n"/>
      <c r="R1184" s="17" t="n"/>
    </row>
    <row r="1185" ht="122.8" customHeight="1">
      <c r="A1185" s="22" t="n">
        <v>1181</v>
      </c>
      <c r="B1185" s="22" t="n">
        <v>3</v>
      </c>
      <c r="C1185" s="23" t="inlineStr">
        <is>
          <t>LP-M-04 / Storage Tank</t>
        </is>
      </c>
      <c r="D1185" s="23" t="inlineStr">
        <is>
          <t>LP-M-04</t>
        </is>
      </c>
      <c r="E1185" s="24" t="inlineStr">
        <is>
          <t>Storage Tank</t>
        </is>
      </c>
      <c r="F1185" s="5" t="inlineStr">
        <is>
          <t>Laporan Periode Stasiun (LP-)</t>
        </is>
      </c>
      <c r="G1185" s="24" t="inlineStr">
        <is>
          <t>Production Line wajib, termasuk saat hanya satu</t>
        </is>
      </c>
      <c r="H1185" s="5" t="inlineStr">
        <is>
          <t>OPR-A</t>
        </is>
      </c>
      <c r="I1185" s="5" t="inlineStr">
        <is>
          <t>—</t>
        </is>
      </c>
      <c r="J1185" s="5" t="inlineStr">
        <is>
          <t>1. Siapkan satu mill dengan satu Production Line saja.
2. Login di mobile, Dashboard &amp; Reporting &gt; Reporting, tekan tile Storage Tank (/reports/storage-tank), lalu pilih Periode dan Production Line pada mill itu. Pilih periode, jangan pilih line.
3. Baca layar: ada angka atau tidak?
4. Pilih line satu-satunya itu.</t>
        </is>
      </c>
      <c r="K1185" s="5" t="inlineStr">
        <is>
          <t>- Sebelum line dipilih: tidak ada satu angka pun, dan ada permintaan memilih Production Line.
- Line tunggal tidak terpilih otomatis.
- Sesudah dipilih, angkanya muncul.
- Perilakunya sama dengan LS-08 di web.</t>
        </is>
      </c>
      <c r="L1185" s="16" t="inlineStr">
        <is>
          <t>Tinggi</t>
        </is>
      </c>
      <c r="M1185" s="5" t="inlineStr"/>
      <c r="N1185" s="17" t="n"/>
      <c r="O1185" s="17" t="n"/>
      <c r="P1185" s="17" t="n"/>
      <c r="Q1185" s="17" t="n"/>
      <c r="R1185" s="17" t="n"/>
    </row>
    <row r="1186" ht="162.4" customHeight="1">
      <c r="A1186" s="18" t="n">
        <v>1182</v>
      </c>
      <c r="B1186" s="18" t="n">
        <v>3</v>
      </c>
      <c r="C1186" s="19" t="inlineStr">
        <is>
          <t>LP-M-05 / Weighbridge</t>
        </is>
      </c>
      <c r="D1186" s="19" t="inlineStr">
        <is>
          <t>LP-M-05</t>
        </is>
      </c>
      <c r="E1186" s="20" t="inlineStr">
        <is>
          <t>Weighbridge</t>
        </is>
      </c>
      <c r="F1186" s="21" t="inlineStr">
        <is>
          <t>Laporan Periode Stasiun (LP-)</t>
        </is>
      </c>
      <c r="G1186" s="20" t="inlineStr">
        <is>
          <t>Penjagaan line tidak bisa dilewati lewat coba-lagi atau ganti periode</t>
        </is>
      </c>
      <c r="H1186" s="21" t="inlineStr">
        <is>
          <t>OPR-A</t>
        </is>
      </c>
      <c r="I1186" s="21" t="inlineStr">
        <is>
          <t>mill dengan 2 line, belum ada yang terpilih</t>
        </is>
      </c>
      <c r="J1186" s="21" t="inlineStr">
        <is>
          <t>1. Siapkan mill dengan 2 Production Line, dan pastikan belum ada line yang diingat perangkat (hapus data aplikasi bila perlu).
2. Login di mobile, Dashboard &amp; Reporting &gt; Reporting, tekan tile Weighbridge (/reports/weighbridge), lalu pilih Periode dan Production Line. Pilih periode, jangan pilih line.
3. Tekan tombol Coba Lagi bila ada. Baca layar.
4. Ganti ke periode lain. Baca layar.
5. Ganti kembali ke periode pertama. Baca layar.</t>
        </is>
      </c>
      <c r="K1186" s="21" t="inlineStr">
        <is>
          <t>- Tidak satu pun dari langkah 3–5 memunculkan angka.
- Permintaan memilih Production Line tetap berdiri di setiap langkah.
- Penjagaan ini tidak dapat dilewati dengan memutar lewat Coba Lagi atau ganti periode.</t>
        </is>
      </c>
      <c r="L1186" s="16" t="inlineStr">
        <is>
          <t>Tinggi</t>
        </is>
      </c>
      <c r="M1186" s="21" t="inlineStr"/>
      <c r="N1186" s="17" t="n"/>
      <c r="O1186" s="17" t="n"/>
      <c r="P1186" s="17" t="n"/>
      <c r="Q1186" s="17" t="n"/>
      <c r="R1186" s="17" t="n"/>
    </row>
    <row r="1187" ht="162.4" customHeight="1">
      <c r="A1187" s="22" t="n">
        <v>1183</v>
      </c>
      <c r="B1187" s="22" t="n">
        <v>3</v>
      </c>
      <c r="C1187" s="23" t="inlineStr">
        <is>
          <t>LP-M-05 / Grading</t>
        </is>
      </c>
      <c r="D1187" s="23" t="inlineStr">
        <is>
          <t>LP-M-05</t>
        </is>
      </c>
      <c r="E1187" s="24" t="inlineStr">
        <is>
          <t>Grading</t>
        </is>
      </c>
      <c r="F1187" s="5" t="inlineStr">
        <is>
          <t>Laporan Periode Stasiun (LP-)</t>
        </is>
      </c>
      <c r="G1187" s="24" t="inlineStr">
        <is>
          <t>Penjagaan line tidak bisa dilewati lewat coba-lagi atau ganti periode</t>
        </is>
      </c>
      <c r="H1187" s="5" t="inlineStr">
        <is>
          <t>OPR-A</t>
        </is>
      </c>
      <c r="I1187" s="5" t="inlineStr">
        <is>
          <t>mill dengan 2 line, belum ada yang terpilih</t>
        </is>
      </c>
      <c r="J1187" s="5" t="inlineStr">
        <is>
          <t>1. Siapkan mill dengan 2 Production Line, dan pastikan belum ada line yang diingat perangkat (hapus data aplikasi bila perlu).
2. Login di mobile, Dashboard &amp; Reporting &gt; Reporting, tekan tile Grading (/reports/grading), lalu pilih Periode dan Production Line. Pilih periode, jangan pilih line.
3. Tekan tombol Coba Lagi bila ada. Baca layar.
4. Ganti ke periode lain. Baca layar.
5. Ganti kembali ke periode pertama. Baca layar.</t>
        </is>
      </c>
      <c r="K1187" s="5" t="inlineStr">
        <is>
          <t>- Tidak satu pun dari langkah 3–5 memunculkan angka.
- Permintaan memilih Production Line tetap berdiri di setiap langkah.
- Penjagaan ini tidak dapat dilewati dengan memutar lewat Coba Lagi atau ganti periode.</t>
        </is>
      </c>
      <c r="L1187" s="16" t="inlineStr">
        <is>
          <t>Tinggi</t>
        </is>
      </c>
      <c r="M1187" s="5" t="inlineStr"/>
      <c r="N1187" s="17" t="n"/>
      <c r="O1187" s="17" t="n"/>
      <c r="P1187" s="17" t="n"/>
      <c r="Q1187" s="17" t="n"/>
      <c r="R1187" s="17" t="n"/>
    </row>
    <row r="1188" ht="162.4" customHeight="1">
      <c r="A1188" s="18" t="n">
        <v>1184</v>
      </c>
      <c r="B1188" s="18" t="n">
        <v>3</v>
      </c>
      <c r="C1188" s="19" t="inlineStr">
        <is>
          <t>LP-M-05 / Cages Track</t>
        </is>
      </c>
      <c r="D1188" s="19" t="inlineStr">
        <is>
          <t>LP-M-05</t>
        </is>
      </c>
      <c r="E1188" s="20" t="inlineStr">
        <is>
          <t>Cages Track</t>
        </is>
      </c>
      <c r="F1188" s="21" t="inlineStr">
        <is>
          <t>Laporan Periode Stasiun (LP-)</t>
        </is>
      </c>
      <c r="G1188" s="20" t="inlineStr">
        <is>
          <t>Penjagaan line tidak bisa dilewati lewat coba-lagi atau ganti periode</t>
        </is>
      </c>
      <c r="H1188" s="21" t="inlineStr">
        <is>
          <t>OPR-A</t>
        </is>
      </c>
      <c r="I1188" s="21" t="inlineStr">
        <is>
          <t>mill dengan 2 line, belum ada yang terpilih</t>
        </is>
      </c>
      <c r="J1188" s="21" t="inlineStr">
        <is>
          <t>1. Siapkan mill dengan 2 Production Line, dan pastikan belum ada line yang diingat perangkat (hapus data aplikasi bila perlu).
2. Login di mobile, Dashboard &amp; Reporting &gt; Reporting, tekan tile Cages Track (/reports/cages-track), lalu pilih Periode dan Production Line. Pilih periode, jangan pilih line.
3. Tekan tombol Coba Lagi bila ada. Baca layar.
4. Ganti ke periode lain. Baca layar.
5. Ganti kembali ke periode pertama. Baca layar.</t>
        </is>
      </c>
      <c r="K1188" s="21" t="inlineStr">
        <is>
          <t>- Tidak satu pun dari langkah 3–5 memunculkan angka.
- Permintaan memilih Production Line tetap berdiri di setiap langkah.
- Penjagaan ini tidak dapat dilewati dengan memutar lewat Coba Lagi atau ganti periode.</t>
        </is>
      </c>
      <c r="L1188" s="16" t="inlineStr">
        <is>
          <t>Tinggi</t>
        </is>
      </c>
      <c r="M1188" s="21" t="inlineStr"/>
      <c r="N1188" s="17" t="n"/>
      <c r="O1188" s="17" t="n"/>
      <c r="P1188" s="17" t="n"/>
      <c r="Q1188" s="17" t="n"/>
      <c r="R1188" s="17" t="n"/>
    </row>
    <row r="1189" ht="162.4" customHeight="1">
      <c r="A1189" s="22" t="n">
        <v>1185</v>
      </c>
      <c r="B1189" s="22" t="n">
        <v>3</v>
      </c>
      <c r="C1189" s="23" t="inlineStr">
        <is>
          <t>LP-M-05 / Sterilizer</t>
        </is>
      </c>
      <c r="D1189" s="23" t="inlineStr">
        <is>
          <t>LP-M-05</t>
        </is>
      </c>
      <c r="E1189" s="24" t="inlineStr">
        <is>
          <t>Sterilizer</t>
        </is>
      </c>
      <c r="F1189" s="5" t="inlineStr">
        <is>
          <t>Laporan Periode Stasiun (LP-)</t>
        </is>
      </c>
      <c r="G1189" s="24" t="inlineStr">
        <is>
          <t>Penjagaan line tidak bisa dilewati lewat coba-lagi atau ganti periode</t>
        </is>
      </c>
      <c r="H1189" s="5" t="inlineStr">
        <is>
          <t>OPR-A</t>
        </is>
      </c>
      <c r="I1189" s="5" t="inlineStr">
        <is>
          <t>mill dengan 2 line, belum ada yang terpilih</t>
        </is>
      </c>
      <c r="J1189" s="5" t="inlineStr">
        <is>
          <t>1. Siapkan mill dengan 2 Production Line, dan pastikan belum ada line yang diingat perangkat (hapus data aplikasi bila perlu).
2. Login di mobile, Dashboard &amp; Reporting &gt; Reporting, tekan tile Sterilizer (/reports/sterilizer), lalu pilih Periode dan Production Line. Pilih periode, jangan pilih line.
3. Tekan tombol Coba Lagi bila ada. Baca layar.
4. Ganti ke periode lain. Baca layar.
5. Ganti kembali ke periode pertama. Baca layar.</t>
        </is>
      </c>
      <c r="K1189" s="5" t="inlineStr">
        <is>
          <t>- Tidak satu pun dari langkah 3–5 memunculkan angka.
- Permintaan memilih Production Line tetap berdiri di setiap langkah.
- Penjagaan ini tidak dapat dilewati dengan memutar lewat Coba Lagi atau ganti periode.</t>
        </is>
      </c>
      <c r="L1189" s="16" t="inlineStr">
        <is>
          <t>Tinggi</t>
        </is>
      </c>
      <c r="M1189" s="5" t="inlineStr"/>
      <c r="N1189" s="17" t="n"/>
      <c r="O1189" s="17" t="n"/>
      <c r="P1189" s="17" t="n"/>
      <c r="Q1189" s="17" t="n"/>
      <c r="R1189" s="17" t="n"/>
    </row>
    <row r="1190" ht="162.4" customHeight="1">
      <c r="A1190" s="18" t="n">
        <v>1186</v>
      </c>
      <c r="B1190" s="18" t="n">
        <v>3</v>
      </c>
      <c r="C1190" s="19" t="inlineStr">
        <is>
          <t>LP-M-05 / Threshing</t>
        </is>
      </c>
      <c r="D1190" s="19" t="inlineStr">
        <is>
          <t>LP-M-05</t>
        </is>
      </c>
      <c r="E1190" s="20" t="inlineStr">
        <is>
          <t>Threshing</t>
        </is>
      </c>
      <c r="F1190" s="21" t="inlineStr">
        <is>
          <t>Laporan Periode Stasiun (LP-)</t>
        </is>
      </c>
      <c r="G1190" s="20" t="inlineStr">
        <is>
          <t>Penjagaan line tidak bisa dilewati lewat coba-lagi atau ganti periode</t>
        </is>
      </c>
      <c r="H1190" s="21" t="inlineStr">
        <is>
          <t>OPR-A</t>
        </is>
      </c>
      <c r="I1190" s="21" t="inlineStr">
        <is>
          <t>mill dengan 2 line, belum ada yang terpilih</t>
        </is>
      </c>
      <c r="J1190" s="21" t="inlineStr">
        <is>
          <t>1. Siapkan mill dengan 2 Production Line, dan pastikan belum ada line yang diingat perangkat (hapus data aplikasi bila perlu).
2. Login di mobile, Dashboard &amp; Reporting &gt; Reporting, tekan tile Threshing (/reports/threshing), lalu pilih Periode dan Production Line. Pilih periode, jangan pilih line.
3. Tekan tombol Coba Lagi bila ada. Baca layar.
4. Ganti ke periode lain. Baca layar.
5. Ganti kembali ke periode pertama. Baca layar.</t>
        </is>
      </c>
      <c r="K1190" s="21" t="inlineStr">
        <is>
          <t>- Tidak satu pun dari langkah 3–5 memunculkan angka.
- Permintaan memilih Production Line tetap berdiri di setiap langkah.
- Penjagaan ini tidak dapat dilewati dengan memutar lewat Coba Lagi atau ganti periode.</t>
        </is>
      </c>
      <c r="L1190" s="16" t="inlineStr">
        <is>
          <t>Tinggi</t>
        </is>
      </c>
      <c r="M1190" s="21" t="inlineStr"/>
      <c r="N1190" s="17" t="n"/>
      <c r="O1190" s="17" t="n"/>
      <c r="P1190" s="17" t="n"/>
      <c r="Q1190" s="17" t="n"/>
      <c r="R1190" s="17" t="n"/>
    </row>
    <row r="1191" ht="162.4" customHeight="1">
      <c r="A1191" s="22" t="n">
        <v>1187</v>
      </c>
      <c r="B1191" s="22" t="n">
        <v>3</v>
      </c>
      <c r="C1191" s="23" t="inlineStr">
        <is>
          <t>LP-M-05 / Pressing</t>
        </is>
      </c>
      <c r="D1191" s="23" t="inlineStr">
        <is>
          <t>LP-M-05</t>
        </is>
      </c>
      <c r="E1191" s="24" t="inlineStr">
        <is>
          <t>Pressing</t>
        </is>
      </c>
      <c r="F1191" s="5" t="inlineStr">
        <is>
          <t>Laporan Periode Stasiun (LP-)</t>
        </is>
      </c>
      <c r="G1191" s="24" t="inlineStr">
        <is>
          <t>Penjagaan line tidak bisa dilewati lewat coba-lagi atau ganti periode</t>
        </is>
      </c>
      <c r="H1191" s="5" t="inlineStr">
        <is>
          <t>OPR-A</t>
        </is>
      </c>
      <c r="I1191" s="5" t="inlineStr">
        <is>
          <t>mill dengan 2 line, belum ada yang terpilih</t>
        </is>
      </c>
      <c r="J1191" s="5" t="inlineStr">
        <is>
          <t>1. Siapkan mill dengan 2 Production Line, dan pastikan belum ada line yang diingat perangkat (hapus data aplikasi bila perlu).
2. Login di mobile, Dashboard &amp; Reporting &gt; Reporting, tekan tile Pressing (/reports/pressing), lalu pilih Periode dan Production Line. Pilih periode, jangan pilih line.
3. Tekan tombol Coba Lagi bila ada. Baca layar.
4. Ganti ke periode lain. Baca layar.
5. Ganti kembali ke periode pertama. Baca layar.</t>
        </is>
      </c>
      <c r="K1191" s="5" t="inlineStr">
        <is>
          <t>- Tidak satu pun dari langkah 3–5 memunculkan angka.
- Permintaan memilih Production Line tetap berdiri di setiap langkah.
- Penjagaan ini tidak dapat dilewati dengan memutar lewat Coba Lagi atau ganti periode.</t>
        </is>
      </c>
      <c r="L1191" s="16" t="inlineStr">
        <is>
          <t>Tinggi</t>
        </is>
      </c>
      <c r="M1191" s="5" t="inlineStr"/>
      <c r="N1191" s="17" t="n"/>
      <c r="O1191" s="17" t="n"/>
      <c r="P1191" s="17" t="n"/>
      <c r="Q1191" s="17" t="n"/>
      <c r="R1191" s="17" t="n"/>
    </row>
    <row r="1192" ht="175.6" customHeight="1">
      <c r="A1192" s="18" t="n">
        <v>1188</v>
      </c>
      <c r="B1192" s="18" t="n">
        <v>3</v>
      </c>
      <c r="C1192" s="19" t="inlineStr">
        <is>
          <t>LP-M-05 / Clarification</t>
        </is>
      </c>
      <c r="D1192" s="19" t="inlineStr">
        <is>
          <t>LP-M-05</t>
        </is>
      </c>
      <c r="E1192" s="20" t="inlineStr">
        <is>
          <t>Clarification</t>
        </is>
      </c>
      <c r="F1192" s="21" t="inlineStr">
        <is>
          <t>Laporan Periode Stasiun (LP-)</t>
        </is>
      </c>
      <c r="G1192" s="20" t="inlineStr">
        <is>
          <t>Penjagaan line tidak bisa dilewati lewat coba-lagi atau ganti periode</t>
        </is>
      </c>
      <c r="H1192" s="21" t="inlineStr">
        <is>
          <t>OPR-A</t>
        </is>
      </c>
      <c r="I1192" s="21" t="inlineStr">
        <is>
          <t>mill dengan 2 line, belum ada yang terpilih</t>
        </is>
      </c>
      <c r="J1192" s="21" t="inlineStr">
        <is>
          <t>1. Siapkan mill dengan 2 Production Line, dan pastikan belum ada line yang diingat perangkat (hapus data aplikasi bila perlu).
2. Login di mobile, Dashboard &amp; Reporting &gt; Reporting, tekan tile Clarification (/reports/clarification), lalu pilih Periode dan Production Line. Pilih periode, jangan pilih line.
3. Tekan tombol Coba Lagi bila ada. Baca layar.
4. Ganti ke periode lain. Baca layar.
5. Ganti kembali ke periode pertama. Baca layar.</t>
        </is>
      </c>
      <c r="K1192" s="21" t="inlineStr">
        <is>
          <t>- Tidak satu pun dari langkah 3–5 memunculkan angka.
- Permintaan memilih Production Line tetap berdiri di setiap langkah.
- Penjagaan ini tidak dapat dilewati dengan memutar lewat Coba Lagi atau ganti periode.</t>
        </is>
      </c>
      <c r="L1192" s="16" t="inlineStr">
        <is>
          <t>Tinggi</t>
        </is>
      </c>
      <c r="M1192" s="21" t="inlineStr"/>
      <c r="N1192" s="17" t="n"/>
      <c r="O1192" s="17" t="n"/>
      <c r="P1192" s="17" t="n"/>
      <c r="Q1192" s="17" t="n"/>
      <c r="R1192" s="17" t="n"/>
    </row>
    <row r="1193" ht="175.6" customHeight="1">
      <c r="A1193" s="11" t="n">
        <v>1189</v>
      </c>
      <c r="B1193" s="12" t="n">
        <v>1</v>
      </c>
      <c r="C1193" s="13" t="inlineStr">
        <is>
          <t>LP-M-05 / Kernel Plant</t>
        </is>
      </c>
      <c r="D1193" s="13" t="inlineStr">
        <is>
          <t>LP-M-05</t>
        </is>
      </c>
      <c r="E1193" s="15" t="inlineStr">
        <is>
          <t>Kernel Plant</t>
        </is>
      </c>
      <c r="F1193" s="14" t="inlineStr">
        <is>
          <t>Laporan Periode Stasiun (LP-)</t>
        </is>
      </c>
      <c r="G1193" s="15" t="inlineStr">
        <is>
          <t>Penjagaan line tidak bisa dilewati lewat coba-lagi atau ganti periode</t>
        </is>
      </c>
      <c r="H1193" s="14" t="inlineStr">
        <is>
          <t>OPR-A</t>
        </is>
      </c>
      <c r="I1193" s="14" t="inlineStr">
        <is>
          <t>mill dengan 2 line, belum ada yang terpilih</t>
        </is>
      </c>
      <c r="J1193" s="14" t="inlineStr">
        <is>
          <t>1. Siapkan mill dengan 2 Production Line, dan pastikan belum ada line yang diingat perangkat (hapus data aplikasi bila perlu).
2. Login di mobile, Dashboard &amp; Reporting &gt; Reporting, tekan tile Kernel Plant (/reports/kernel-plant), lalu pilih Periode dan Production Line. Pilih periode, jangan pilih line.
3. Tekan tombol Coba Lagi bila ada. Baca layar.
4. Ganti ke periode lain. Baca layar.
5. Ganti kembali ke periode pertama. Baca layar.</t>
        </is>
      </c>
      <c r="K1193" s="14" t="inlineStr">
        <is>
          <t>- Tidak satu pun dari langkah 3–5 memunculkan angka.
- Permintaan memilih Production Line tetap berdiri di setiap langkah.
- Penjagaan ini tidak dapat dilewati dengan memutar lewat Coba Lagi atau ganti periode.</t>
        </is>
      </c>
      <c r="L1193" s="16" t="inlineStr">
        <is>
          <t>Tinggi</t>
        </is>
      </c>
      <c r="M1193" s="14" t="inlineStr"/>
      <c r="N1193" s="17" t="n"/>
      <c r="O1193" s="17" t="n"/>
      <c r="P1193" s="17" t="n"/>
      <c r="Q1193" s="17" t="n"/>
      <c r="R1193" s="17" t="n"/>
    </row>
    <row r="1194" ht="162.4" customHeight="1">
      <c r="A1194" s="18" t="n">
        <v>1190</v>
      </c>
      <c r="B1194" s="18" t="n">
        <v>3</v>
      </c>
      <c r="C1194" s="19" t="inlineStr">
        <is>
          <t>LP-M-05 / Boiler Room</t>
        </is>
      </c>
      <c r="D1194" s="19" t="inlineStr">
        <is>
          <t>LP-M-05</t>
        </is>
      </c>
      <c r="E1194" s="20" t="inlineStr">
        <is>
          <t>Boiler Room</t>
        </is>
      </c>
      <c r="F1194" s="21" t="inlineStr">
        <is>
          <t>Laporan Periode Stasiun (LP-)</t>
        </is>
      </c>
      <c r="G1194" s="20" t="inlineStr">
        <is>
          <t>Penjagaan line tidak bisa dilewati lewat coba-lagi atau ganti periode</t>
        </is>
      </c>
      <c r="H1194" s="21" t="inlineStr">
        <is>
          <t>OPR-A</t>
        </is>
      </c>
      <c r="I1194" s="21" t="inlineStr">
        <is>
          <t>mill dengan 2 line, belum ada yang terpilih</t>
        </is>
      </c>
      <c r="J1194" s="21" t="inlineStr">
        <is>
          <t>1. Siapkan mill dengan 2 Production Line, dan pastikan belum ada line yang diingat perangkat (hapus data aplikasi bila perlu).
2. Login di mobile, Dashboard &amp; Reporting &gt; Reporting, tekan tile Boiler Room (/reports/boiler-room), lalu pilih Periode dan Production Line. Pilih periode, jangan pilih line.
3. Tekan tombol Coba Lagi bila ada. Baca layar.
4. Ganti ke periode lain. Baca layar.
5. Ganti kembali ke periode pertama. Baca layar.</t>
        </is>
      </c>
      <c r="K1194" s="21" t="inlineStr">
        <is>
          <t>- Tidak satu pun dari langkah 3–5 memunculkan angka.
- Permintaan memilih Production Line tetap berdiri di setiap langkah.
- Penjagaan ini tidak dapat dilewati dengan memutar lewat Coba Lagi atau ganti periode.</t>
        </is>
      </c>
      <c r="L1194" s="16" t="inlineStr">
        <is>
          <t>Tinggi</t>
        </is>
      </c>
      <c r="M1194" s="21" t="inlineStr"/>
      <c r="N1194" s="17" t="n"/>
      <c r="O1194" s="17" t="n"/>
      <c r="P1194" s="17" t="n"/>
      <c r="Q1194" s="17" t="n"/>
      <c r="R1194" s="17" t="n"/>
    </row>
    <row r="1195" ht="175.6" customHeight="1">
      <c r="A1195" s="22" t="n">
        <v>1191</v>
      </c>
      <c r="B1195" s="22" t="n">
        <v>3</v>
      </c>
      <c r="C1195" s="23" t="inlineStr">
        <is>
          <t>LP-M-05 / Depricarping</t>
        </is>
      </c>
      <c r="D1195" s="23" t="inlineStr">
        <is>
          <t>LP-M-05</t>
        </is>
      </c>
      <c r="E1195" s="24" t="inlineStr">
        <is>
          <t>Depricarping</t>
        </is>
      </c>
      <c r="F1195" s="5" t="inlineStr">
        <is>
          <t>Laporan Periode Stasiun (LP-)</t>
        </is>
      </c>
      <c r="G1195" s="24" t="inlineStr">
        <is>
          <t>Penjagaan line tidak bisa dilewati lewat coba-lagi atau ganti periode</t>
        </is>
      </c>
      <c r="H1195" s="5" t="inlineStr">
        <is>
          <t>OPR-A</t>
        </is>
      </c>
      <c r="I1195" s="5" t="inlineStr">
        <is>
          <t>mill dengan 2 line, belum ada yang terpilih</t>
        </is>
      </c>
      <c r="J1195" s="5" t="inlineStr">
        <is>
          <t>1. Siapkan mill dengan 2 Production Line, dan pastikan belum ada line yang diingat perangkat (hapus data aplikasi bila perlu).
2. Login di mobile, Dashboard &amp; Reporting &gt; Reporting, tekan tile Depricarping (/reports/depricarping), lalu pilih Periode dan Production Line. Pilih periode, jangan pilih line.
3. Tekan tombol Coba Lagi bila ada. Baca layar.
4. Ganti ke periode lain. Baca layar.
5. Ganti kembali ke periode pertama. Baca layar.</t>
        </is>
      </c>
      <c r="K1195" s="5" t="inlineStr">
        <is>
          <t>- Tidak satu pun dari langkah 3–5 memunculkan angka.
- Permintaan memilih Production Line tetap berdiri di setiap langkah.
- Penjagaan ini tidak dapat dilewati dengan memutar lewat Coba Lagi atau ganti periode.</t>
        </is>
      </c>
      <c r="L1195" s="16" t="inlineStr">
        <is>
          <t>Tinggi</t>
        </is>
      </c>
      <c r="M1195" s="5" t="inlineStr"/>
      <c r="N1195" s="17" t="n"/>
      <c r="O1195" s="17" t="n"/>
      <c r="P1195" s="17" t="n"/>
      <c r="Q1195" s="17" t="n"/>
      <c r="R1195" s="17" t="n"/>
    </row>
    <row r="1196" ht="175.6" customHeight="1">
      <c r="A1196" s="18" t="n">
        <v>1192</v>
      </c>
      <c r="B1196" s="18" t="n">
        <v>3</v>
      </c>
      <c r="C1196" s="19" t="inlineStr">
        <is>
          <t>LP-M-05 / Storage Tank</t>
        </is>
      </c>
      <c r="D1196" s="19" t="inlineStr">
        <is>
          <t>LP-M-05</t>
        </is>
      </c>
      <c r="E1196" s="20" t="inlineStr">
        <is>
          <t>Storage Tank</t>
        </is>
      </c>
      <c r="F1196" s="21" t="inlineStr">
        <is>
          <t>Laporan Periode Stasiun (LP-)</t>
        </is>
      </c>
      <c r="G1196" s="20" t="inlineStr">
        <is>
          <t>Penjagaan line tidak bisa dilewati lewat coba-lagi atau ganti periode</t>
        </is>
      </c>
      <c r="H1196" s="21" t="inlineStr">
        <is>
          <t>OPR-A</t>
        </is>
      </c>
      <c r="I1196" s="21" t="inlineStr">
        <is>
          <t>mill dengan 2 line, belum ada yang terpilih</t>
        </is>
      </c>
      <c r="J1196" s="21" t="inlineStr">
        <is>
          <t>1. Siapkan mill dengan 2 Production Line, dan pastikan belum ada line yang diingat perangkat (hapus data aplikasi bila perlu).
2. Login di mobile, Dashboard &amp; Reporting &gt; Reporting, tekan tile Storage Tank (/reports/storage-tank), lalu pilih Periode dan Production Line. Pilih periode, jangan pilih line.
3. Tekan tombol Coba Lagi bila ada. Baca layar.
4. Ganti ke periode lain. Baca layar.
5. Ganti kembali ke periode pertama. Baca layar.</t>
        </is>
      </c>
      <c r="K1196" s="21" t="inlineStr">
        <is>
          <t>- Tidak satu pun dari langkah 3–5 memunculkan angka.
- Permintaan memilih Production Line tetap berdiri di setiap langkah.
- Penjagaan ini tidak dapat dilewati dengan memutar lewat Coba Lagi atau ganti periode.</t>
        </is>
      </c>
      <c r="L1196" s="16" t="inlineStr">
        <is>
          <t>Tinggi</t>
        </is>
      </c>
      <c r="M1196" s="21" t="inlineStr"/>
      <c r="N1196" s="17" t="n"/>
      <c r="O1196" s="17" t="n"/>
      <c r="P1196" s="17" t="n"/>
      <c r="Q1196" s="17" t="n"/>
      <c r="R1196" s="17" t="n"/>
    </row>
    <row r="1197" ht="136" customHeight="1">
      <c r="A1197" s="22" t="n">
        <v>1193</v>
      </c>
      <c r="B1197" s="22" t="n">
        <v>3</v>
      </c>
      <c r="C1197" s="23" t="inlineStr">
        <is>
          <t>LP-M-06 / Weighbridge</t>
        </is>
      </c>
      <c r="D1197" s="23" t="inlineStr">
        <is>
          <t>LP-M-06</t>
        </is>
      </c>
      <c r="E1197" s="24" t="inlineStr">
        <is>
          <t>Weighbridge</t>
        </is>
      </c>
      <c r="F1197" s="5" t="inlineStr">
        <is>
          <t>Laporan Periode Stasiun (LP-)</t>
        </is>
      </c>
      <c r="G1197" s="24" t="inlineStr">
        <is>
          <t>Line yang diingat perangkat dipakai tanpa diminta memilih lagi</t>
        </is>
      </c>
      <c r="H1197" s="5" t="inlineStr">
        <is>
          <t>OPR-A</t>
        </is>
      </c>
      <c r="I1197" s="5" t="inlineStr">
        <is>
          <t>—</t>
        </is>
      </c>
      <c r="J1197" s="5" t="inlineStr">
        <is>
          <t>1. Login di mobile, Dashboard &amp; Reporting &gt; Reporting, tekan tile Weighbridge (/reports/weighbridge), lalu pilih Periode dan Production Line. Pilih periode dan Line 1. Catat angkanya.
2. Tekan Back ke Reporting, lalu masuk lagi ke laporan stasiun yang sama.
3. Perhatikan pemilih line.
4. Tutup aplikasi sepenuhnya, buka lagi, login, dan masuk ke laporan itu lagi.</t>
        </is>
      </c>
      <c r="K1197" s="5" t="inlineStr">
        <is>
          <t>- Langkah 3: Line 1 sudah terpilih — tidak diminta memilih lagi.
- Langkah 4: masih Line 1 — pilihannya diingat perangkat.
- Angkanya langsung muncul sesudah periode dipilih, tanpa langkah memilih line lagi.</t>
        </is>
      </c>
      <c r="L1197" s="22" t="inlineStr">
        <is>
          <t>Sedang</t>
        </is>
      </c>
      <c r="M1197" s="5" t="inlineStr"/>
      <c r="N1197" s="17" t="n"/>
      <c r="O1197" s="17" t="n"/>
      <c r="P1197" s="17" t="n"/>
      <c r="Q1197" s="17" t="n"/>
      <c r="R1197" s="17" t="n"/>
    </row>
    <row r="1198" ht="122.8" customHeight="1">
      <c r="A1198" s="18" t="n">
        <v>1194</v>
      </c>
      <c r="B1198" s="18" t="n">
        <v>3</v>
      </c>
      <c r="C1198" s="19" t="inlineStr">
        <is>
          <t>LP-M-06 / Grading</t>
        </is>
      </c>
      <c r="D1198" s="19" t="inlineStr">
        <is>
          <t>LP-M-06</t>
        </is>
      </c>
      <c r="E1198" s="20" t="inlineStr">
        <is>
          <t>Grading</t>
        </is>
      </c>
      <c r="F1198" s="21" t="inlineStr">
        <is>
          <t>Laporan Periode Stasiun (LP-)</t>
        </is>
      </c>
      <c r="G1198" s="20" t="inlineStr">
        <is>
          <t>Line yang diingat perangkat dipakai tanpa diminta memilih lagi</t>
        </is>
      </c>
      <c r="H1198" s="21" t="inlineStr">
        <is>
          <t>OPR-A</t>
        </is>
      </c>
      <c r="I1198" s="21" t="inlineStr">
        <is>
          <t>—</t>
        </is>
      </c>
      <c r="J1198" s="21" t="inlineStr">
        <is>
          <t>1. Login di mobile, Dashboard &amp; Reporting &gt; Reporting, tekan tile Grading (/reports/grading), lalu pilih Periode dan Production Line. Pilih periode dan Line 1. Catat angkanya.
2. Tekan Back ke Reporting, lalu masuk lagi ke laporan stasiun yang sama.
3. Perhatikan pemilih line.
4. Tutup aplikasi sepenuhnya, buka lagi, login, dan masuk ke laporan itu lagi.</t>
        </is>
      </c>
      <c r="K1198" s="21" t="inlineStr">
        <is>
          <t>- Langkah 3: Line 1 sudah terpilih — tidak diminta memilih lagi.
- Langkah 4: masih Line 1 — pilihannya diingat perangkat.
- Angkanya langsung muncul sesudah periode dipilih, tanpa langkah memilih line lagi.</t>
        </is>
      </c>
      <c r="L1198" s="18" t="inlineStr">
        <is>
          <t>Sedang</t>
        </is>
      </c>
      <c r="M1198" s="21" t="inlineStr"/>
      <c r="N1198" s="17" t="n"/>
      <c r="O1198" s="17" t="n"/>
      <c r="P1198" s="17" t="n"/>
      <c r="Q1198" s="17" t="n"/>
      <c r="R1198" s="17" t="n"/>
    </row>
    <row r="1199" ht="136" customHeight="1">
      <c r="A1199" s="22" t="n">
        <v>1195</v>
      </c>
      <c r="B1199" s="22" t="n">
        <v>3</v>
      </c>
      <c r="C1199" s="23" t="inlineStr">
        <is>
          <t>LP-M-06 / Cages Track</t>
        </is>
      </c>
      <c r="D1199" s="23" t="inlineStr">
        <is>
          <t>LP-M-06</t>
        </is>
      </c>
      <c r="E1199" s="24" t="inlineStr">
        <is>
          <t>Cages Track</t>
        </is>
      </c>
      <c r="F1199" s="5" t="inlineStr">
        <is>
          <t>Laporan Periode Stasiun (LP-)</t>
        </is>
      </c>
      <c r="G1199" s="24" t="inlineStr">
        <is>
          <t>Line yang diingat perangkat dipakai tanpa diminta memilih lagi</t>
        </is>
      </c>
      <c r="H1199" s="5" t="inlineStr">
        <is>
          <t>OPR-A</t>
        </is>
      </c>
      <c r="I1199" s="5" t="inlineStr">
        <is>
          <t>—</t>
        </is>
      </c>
      <c r="J1199" s="5" t="inlineStr">
        <is>
          <t>1. Login di mobile, Dashboard &amp; Reporting &gt; Reporting, tekan tile Cages Track (/reports/cages-track), lalu pilih Periode dan Production Line. Pilih periode dan Line 1. Catat angkanya.
2. Tekan Back ke Reporting, lalu masuk lagi ke laporan stasiun yang sama.
3. Perhatikan pemilih line.
4. Tutup aplikasi sepenuhnya, buka lagi, login, dan masuk ke laporan itu lagi.</t>
        </is>
      </c>
      <c r="K1199" s="5" t="inlineStr">
        <is>
          <t>- Langkah 3: Line 1 sudah terpilih — tidak diminta memilih lagi.
- Langkah 4: masih Line 1 — pilihannya diingat perangkat.
- Angkanya langsung muncul sesudah periode dipilih, tanpa langkah memilih line lagi.</t>
        </is>
      </c>
      <c r="L1199" s="22" t="inlineStr">
        <is>
          <t>Sedang</t>
        </is>
      </c>
      <c r="M1199" s="5" t="inlineStr"/>
      <c r="N1199" s="17" t="n"/>
      <c r="O1199" s="17" t="n"/>
      <c r="P1199" s="17" t="n"/>
      <c r="Q1199" s="17" t="n"/>
      <c r="R1199" s="17" t="n"/>
    </row>
    <row r="1200" ht="136" customHeight="1">
      <c r="A1200" s="18" t="n">
        <v>1196</v>
      </c>
      <c r="B1200" s="18" t="n">
        <v>3</v>
      </c>
      <c r="C1200" s="19" t="inlineStr">
        <is>
          <t>LP-M-06 / Sterilizer</t>
        </is>
      </c>
      <c r="D1200" s="19" t="inlineStr">
        <is>
          <t>LP-M-06</t>
        </is>
      </c>
      <c r="E1200" s="20" t="inlineStr">
        <is>
          <t>Sterilizer</t>
        </is>
      </c>
      <c r="F1200" s="21" t="inlineStr">
        <is>
          <t>Laporan Periode Stasiun (LP-)</t>
        </is>
      </c>
      <c r="G1200" s="20" t="inlineStr">
        <is>
          <t>Line yang diingat perangkat dipakai tanpa diminta memilih lagi</t>
        </is>
      </c>
      <c r="H1200" s="21" t="inlineStr">
        <is>
          <t>OPR-A</t>
        </is>
      </c>
      <c r="I1200" s="21" t="inlineStr">
        <is>
          <t>—</t>
        </is>
      </c>
      <c r="J1200" s="21" t="inlineStr">
        <is>
          <t>1. Login di mobile, Dashboard &amp; Reporting &gt; Reporting, tekan tile Sterilizer (/reports/sterilizer), lalu pilih Periode dan Production Line. Pilih periode dan Line 1. Catat angkanya.
2. Tekan Back ke Reporting, lalu masuk lagi ke laporan stasiun yang sama.
3. Perhatikan pemilih line.
4. Tutup aplikasi sepenuhnya, buka lagi, login, dan masuk ke laporan itu lagi.</t>
        </is>
      </c>
      <c r="K1200" s="21" t="inlineStr">
        <is>
          <t>- Langkah 3: Line 1 sudah terpilih — tidak diminta memilih lagi.
- Langkah 4: masih Line 1 — pilihannya diingat perangkat.
- Angkanya langsung muncul sesudah periode dipilih, tanpa langkah memilih line lagi.</t>
        </is>
      </c>
      <c r="L1200" s="18" t="inlineStr">
        <is>
          <t>Sedang</t>
        </is>
      </c>
      <c r="M1200" s="21" t="inlineStr"/>
      <c r="N1200" s="17" t="n"/>
      <c r="O1200" s="17" t="n"/>
      <c r="P1200" s="17" t="n"/>
      <c r="Q1200" s="17" t="n"/>
      <c r="R1200" s="17" t="n"/>
    </row>
    <row r="1201" ht="136" customHeight="1">
      <c r="A1201" s="22" t="n">
        <v>1197</v>
      </c>
      <c r="B1201" s="22" t="n">
        <v>3</v>
      </c>
      <c r="C1201" s="23" t="inlineStr">
        <is>
          <t>LP-M-06 / Threshing</t>
        </is>
      </c>
      <c r="D1201" s="23" t="inlineStr">
        <is>
          <t>LP-M-06</t>
        </is>
      </c>
      <c r="E1201" s="24" t="inlineStr">
        <is>
          <t>Threshing</t>
        </is>
      </c>
      <c r="F1201" s="5" t="inlineStr">
        <is>
          <t>Laporan Periode Stasiun (LP-)</t>
        </is>
      </c>
      <c r="G1201" s="24" t="inlineStr">
        <is>
          <t>Line yang diingat perangkat dipakai tanpa diminta memilih lagi</t>
        </is>
      </c>
      <c r="H1201" s="5" t="inlineStr">
        <is>
          <t>OPR-A</t>
        </is>
      </c>
      <c r="I1201" s="5" t="inlineStr">
        <is>
          <t>—</t>
        </is>
      </c>
      <c r="J1201" s="5" t="inlineStr">
        <is>
          <t>1. Login di mobile, Dashboard &amp; Reporting &gt; Reporting, tekan tile Threshing (/reports/threshing), lalu pilih Periode dan Production Line. Pilih periode dan Line 1. Catat angkanya.
2. Tekan Back ke Reporting, lalu masuk lagi ke laporan stasiun yang sama.
3. Perhatikan pemilih line.
4. Tutup aplikasi sepenuhnya, buka lagi, login, dan masuk ke laporan itu lagi.</t>
        </is>
      </c>
      <c r="K1201" s="5" t="inlineStr">
        <is>
          <t>- Langkah 3: Line 1 sudah terpilih — tidak diminta memilih lagi.
- Langkah 4: masih Line 1 — pilihannya diingat perangkat.
- Angkanya langsung muncul sesudah periode dipilih, tanpa langkah memilih line lagi.</t>
        </is>
      </c>
      <c r="L1201" s="22" t="inlineStr">
        <is>
          <t>Sedang</t>
        </is>
      </c>
      <c r="M1201" s="5" t="inlineStr"/>
      <c r="N1201" s="17" t="n"/>
      <c r="O1201" s="17" t="n"/>
      <c r="P1201" s="17" t="n"/>
      <c r="Q1201" s="17" t="n"/>
      <c r="R1201" s="17" t="n"/>
    </row>
    <row r="1202" ht="136" customHeight="1">
      <c r="A1202" s="18" t="n">
        <v>1198</v>
      </c>
      <c r="B1202" s="18" t="n">
        <v>3</v>
      </c>
      <c r="C1202" s="19" t="inlineStr">
        <is>
          <t>LP-M-06 / Pressing</t>
        </is>
      </c>
      <c r="D1202" s="19" t="inlineStr">
        <is>
          <t>LP-M-06</t>
        </is>
      </c>
      <c r="E1202" s="20" t="inlineStr">
        <is>
          <t>Pressing</t>
        </is>
      </c>
      <c r="F1202" s="21" t="inlineStr">
        <is>
          <t>Laporan Periode Stasiun (LP-)</t>
        </is>
      </c>
      <c r="G1202" s="20" t="inlineStr">
        <is>
          <t>Line yang diingat perangkat dipakai tanpa diminta memilih lagi</t>
        </is>
      </c>
      <c r="H1202" s="21" t="inlineStr">
        <is>
          <t>OPR-A</t>
        </is>
      </c>
      <c r="I1202" s="21" t="inlineStr">
        <is>
          <t>—</t>
        </is>
      </c>
      <c r="J1202" s="21" t="inlineStr">
        <is>
          <t>1. Login di mobile, Dashboard &amp; Reporting &gt; Reporting, tekan tile Pressing (/reports/pressing), lalu pilih Periode dan Production Line. Pilih periode dan Line 1. Catat angkanya.
2. Tekan Back ke Reporting, lalu masuk lagi ke laporan stasiun yang sama.
3. Perhatikan pemilih line.
4. Tutup aplikasi sepenuhnya, buka lagi, login, dan masuk ke laporan itu lagi.</t>
        </is>
      </c>
      <c r="K1202" s="21" t="inlineStr">
        <is>
          <t>- Langkah 3: Line 1 sudah terpilih — tidak diminta memilih lagi.
- Langkah 4: masih Line 1 — pilihannya diingat perangkat.
- Angkanya langsung muncul sesudah periode dipilih, tanpa langkah memilih line lagi.</t>
        </is>
      </c>
      <c r="L1202" s="18" t="inlineStr">
        <is>
          <t>Sedang</t>
        </is>
      </c>
      <c r="M1202" s="21" t="inlineStr"/>
      <c r="N1202" s="17" t="n"/>
      <c r="O1202" s="17" t="n"/>
      <c r="P1202" s="17" t="n"/>
      <c r="Q1202" s="17" t="n"/>
      <c r="R1202" s="17" t="n"/>
    </row>
    <row r="1203" ht="136" customHeight="1">
      <c r="A1203" s="22" t="n">
        <v>1199</v>
      </c>
      <c r="B1203" s="22" t="n">
        <v>3</v>
      </c>
      <c r="C1203" s="23" t="inlineStr">
        <is>
          <t>LP-M-06 / Clarification</t>
        </is>
      </c>
      <c r="D1203" s="23" t="inlineStr">
        <is>
          <t>LP-M-06</t>
        </is>
      </c>
      <c r="E1203" s="24" t="inlineStr">
        <is>
          <t>Clarification</t>
        </is>
      </c>
      <c r="F1203" s="5" t="inlineStr">
        <is>
          <t>Laporan Periode Stasiun (LP-)</t>
        </is>
      </c>
      <c r="G1203" s="24" t="inlineStr">
        <is>
          <t>Line yang diingat perangkat dipakai tanpa diminta memilih lagi</t>
        </is>
      </c>
      <c r="H1203" s="5" t="inlineStr">
        <is>
          <t>OPR-A</t>
        </is>
      </c>
      <c r="I1203" s="5" t="inlineStr">
        <is>
          <t>—</t>
        </is>
      </c>
      <c r="J1203" s="5" t="inlineStr">
        <is>
          <t>1. Login di mobile, Dashboard &amp; Reporting &gt; Reporting, tekan tile Clarification (/reports/clarification), lalu pilih Periode dan Production Line. Pilih periode dan Line 1. Catat angkanya.
2. Tekan Back ke Reporting, lalu masuk lagi ke laporan stasiun yang sama.
3. Perhatikan pemilih line.
4. Tutup aplikasi sepenuhnya, buka lagi, login, dan masuk ke laporan itu lagi.</t>
        </is>
      </c>
      <c r="K1203" s="5" t="inlineStr">
        <is>
          <t>- Langkah 3: Line 1 sudah terpilih — tidak diminta memilih lagi.
- Langkah 4: masih Line 1 — pilihannya diingat perangkat.
- Angkanya langsung muncul sesudah periode dipilih, tanpa langkah memilih line lagi.</t>
        </is>
      </c>
      <c r="L1203" s="22" t="inlineStr">
        <is>
          <t>Sedang</t>
        </is>
      </c>
      <c r="M1203" s="5" t="inlineStr"/>
      <c r="N1203" s="17" t="n"/>
      <c r="O1203" s="17" t="n"/>
      <c r="P1203" s="17" t="n"/>
      <c r="Q1203" s="17" t="n"/>
      <c r="R1203" s="17" t="n"/>
    </row>
    <row r="1204" ht="136" customHeight="1">
      <c r="A1204" s="11" t="n">
        <v>1200</v>
      </c>
      <c r="B1204" s="12" t="n">
        <v>1</v>
      </c>
      <c r="C1204" s="13" t="inlineStr">
        <is>
          <t>LP-M-06 / Kernel Plant</t>
        </is>
      </c>
      <c r="D1204" s="13" t="inlineStr">
        <is>
          <t>LP-M-06</t>
        </is>
      </c>
      <c r="E1204" s="15" t="inlineStr">
        <is>
          <t>Kernel Plant</t>
        </is>
      </c>
      <c r="F1204" s="14" t="inlineStr">
        <is>
          <t>Laporan Periode Stasiun (LP-)</t>
        </is>
      </c>
      <c r="G1204" s="15" t="inlineStr">
        <is>
          <t>Line yang diingat perangkat dipakai tanpa diminta memilih lagi</t>
        </is>
      </c>
      <c r="H1204" s="14" t="inlineStr">
        <is>
          <t>OPR-A</t>
        </is>
      </c>
      <c r="I1204" s="14" t="inlineStr">
        <is>
          <t>—</t>
        </is>
      </c>
      <c r="J1204" s="14" t="inlineStr">
        <is>
          <t>1. Login di mobile, Dashboard &amp; Reporting &gt; Reporting, tekan tile Kernel Plant (/reports/kernel-plant), lalu pilih Periode dan Production Line. Pilih periode dan Line 1. Catat angkanya.
2. Tekan Back ke Reporting, lalu masuk lagi ke laporan stasiun yang sama.
3. Perhatikan pemilih line.
4. Tutup aplikasi sepenuhnya, buka lagi, login, dan masuk ke laporan itu lagi.</t>
        </is>
      </c>
      <c r="K1204" s="14" t="inlineStr">
        <is>
          <t>- Langkah 3: Line 1 sudah terpilih — tidak diminta memilih lagi.
- Langkah 4: masih Line 1 — pilihannya diingat perangkat.
- Angkanya langsung muncul sesudah periode dipilih, tanpa langkah memilih line lagi.</t>
        </is>
      </c>
      <c r="L1204" s="11" t="inlineStr">
        <is>
          <t>Sedang</t>
        </is>
      </c>
      <c r="M1204" s="14" t="inlineStr"/>
      <c r="N1204" s="17" t="n"/>
      <c r="O1204" s="17" t="n"/>
      <c r="P1204" s="17" t="n"/>
      <c r="Q1204" s="17" t="n"/>
      <c r="R1204" s="17" t="n"/>
    </row>
    <row r="1205" ht="136" customHeight="1">
      <c r="A1205" s="22" t="n">
        <v>1201</v>
      </c>
      <c r="B1205" s="22" t="n">
        <v>3</v>
      </c>
      <c r="C1205" s="23" t="inlineStr">
        <is>
          <t>LP-M-06 / Boiler Room</t>
        </is>
      </c>
      <c r="D1205" s="23" t="inlineStr">
        <is>
          <t>LP-M-06</t>
        </is>
      </c>
      <c r="E1205" s="24" t="inlineStr">
        <is>
          <t>Boiler Room</t>
        </is>
      </c>
      <c r="F1205" s="5" t="inlineStr">
        <is>
          <t>Laporan Periode Stasiun (LP-)</t>
        </is>
      </c>
      <c r="G1205" s="24" t="inlineStr">
        <is>
          <t>Line yang diingat perangkat dipakai tanpa diminta memilih lagi</t>
        </is>
      </c>
      <c r="H1205" s="5" t="inlineStr">
        <is>
          <t>OPR-A</t>
        </is>
      </c>
      <c r="I1205" s="5" t="inlineStr">
        <is>
          <t>—</t>
        </is>
      </c>
      <c r="J1205" s="5" t="inlineStr">
        <is>
          <t>1. Login di mobile, Dashboard &amp; Reporting &gt; Reporting, tekan tile Boiler Room (/reports/boiler-room), lalu pilih Periode dan Production Line. Pilih periode dan Line 1. Catat angkanya.
2. Tekan Back ke Reporting, lalu masuk lagi ke laporan stasiun yang sama.
3. Perhatikan pemilih line.
4. Tutup aplikasi sepenuhnya, buka lagi, login, dan masuk ke laporan itu lagi.</t>
        </is>
      </c>
      <c r="K1205" s="5" t="inlineStr">
        <is>
          <t>- Langkah 3: Line 1 sudah terpilih — tidak diminta memilih lagi.
- Langkah 4: masih Line 1 — pilihannya diingat perangkat.
- Angkanya langsung muncul sesudah periode dipilih, tanpa langkah memilih line lagi.</t>
        </is>
      </c>
      <c r="L1205" s="22" t="inlineStr">
        <is>
          <t>Sedang</t>
        </is>
      </c>
      <c r="M1205" s="5" t="inlineStr"/>
      <c r="N1205" s="17" t="n"/>
      <c r="O1205" s="17" t="n"/>
      <c r="P1205" s="17" t="n"/>
      <c r="Q1205" s="17" t="n"/>
      <c r="R1205" s="17" t="n"/>
    </row>
    <row r="1206" ht="136" customHeight="1">
      <c r="A1206" s="18" t="n">
        <v>1202</v>
      </c>
      <c r="B1206" s="18" t="n">
        <v>3</v>
      </c>
      <c r="C1206" s="19" t="inlineStr">
        <is>
          <t>LP-M-06 / Depricarping</t>
        </is>
      </c>
      <c r="D1206" s="19" t="inlineStr">
        <is>
          <t>LP-M-06</t>
        </is>
      </c>
      <c r="E1206" s="20" t="inlineStr">
        <is>
          <t>Depricarping</t>
        </is>
      </c>
      <c r="F1206" s="21" t="inlineStr">
        <is>
          <t>Laporan Periode Stasiun (LP-)</t>
        </is>
      </c>
      <c r="G1206" s="20" t="inlineStr">
        <is>
          <t>Line yang diingat perangkat dipakai tanpa diminta memilih lagi</t>
        </is>
      </c>
      <c r="H1206" s="21" t="inlineStr">
        <is>
          <t>OPR-A</t>
        </is>
      </c>
      <c r="I1206" s="21" t="inlineStr">
        <is>
          <t>—</t>
        </is>
      </c>
      <c r="J1206" s="21" t="inlineStr">
        <is>
          <t>1. Login di mobile, Dashboard &amp; Reporting &gt; Reporting, tekan tile Depricarping (/reports/depricarping), lalu pilih Periode dan Production Line. Pilih periode dan Line 1. Catat angkanya.
2. Tekan Back ke Reporting, lalu masuk lagi ke laporan stasiun yang sama.
3. Perhatikan pemilih line.
4. Tutup aplikasi sepenuhnya, buka lagi, login, dan masuk ke laporan itu lagi.</t>
        </is>
      </c>
      <c r="K1206" s="21" t="inlineStr">
        <is>
          <t>- Langkah 3: Line 1 sudah terpilih — tidak diminta memilih lagi.
- Langkah 4: masih Line 1 — pilihannya diingat perangkat.
- Angkanya langsung muncul sesudah periode dipilih, tanpa langkah memilih line lagi.</t>
        </is>
      </c>
      <c r="L1206" s="18" t="inlineStr">
        <is>
          <t>Sedang</t>
        </is>
      </c>
      <c r="M1206" s="21" t="inlineStr"/>
      <c r="N1206" s="17" t="n"/>
      <c r="O1206" s="17" t="n"/>
      <c r="P1206" s="17" t="n"/>
      <c r="Q1206" s="17" t="n"/>
      <c r="R1206" s="17" t="n"/>
    </row>
    <row r="1207" ht="136" customHeight="1">
      <c r="A1207" s="22" t="n">
        <v>1203</v>
      </c>
      <c r="B1207" s="22" t="n">
        <v>3</v>
      </c>
      <c r="C1207" s="23" t="inlineStr">
        <is>
          <t>LP-M-06 / Storage Tank</t>
        </is>
      </c>
      <c r="D1207" s="23" t="inlineStr">
        <is>
          <t>LP-M-06</t>
        </is>
      </c>
      <c r="E1207" s="24" t="inlineStr">
        <is>
          <t>Storage Tank</t>
        </is>
      </c>
      <c r="F1207" s="5" t="inlineStr">
        <is>
          <t>Laporan Periode Stasiun (LP-)</t>
        </is>
      </c>
      <c r="G1207" s="24" t="inlineStr">
        <is>
          <t>Line yang diingat perangkat dipakai tanpa diminta memilih lagi</t>
        </is>
      </c>
      <c r="H1207" s="5" t="inlineStr">
        <is>
          <t>OPR-A</t>
        </is>
      </c>
      <c r="I1207" s="5" t="inlineStr">
        <is>
          <t>—</t>
        </is>
      </c>
      <c r="J1207" s="5" t="inlineStr">
        <is>
          <t>1. Login di mobile, Dashboard &amp; Reporting &gt; Reporting, tekan tile Storage Tank (/reports/storage-tank), lalu pilih Periode dan Production Line. Pilih periode dan Line 1. Catat angkanya.
2. Tekan Back ke Reporting, lalu masuk lagi ke laporan stasiun yang sama.
3. Perhatikan pemilih line.
4. Tutup aplikasi sepenuhnya, buka lagi, login, dan masuk ke laporan itu lagi.</t>
        </is>
      </c>
      <c r="K1207" s="5" t="inlineStr">
        <is>
          <t>- Langkah 3: Line 1 sudah terpilih — tidak diminta memilih lagi.
- Langkah 4: masih Line 1 — pilihannya diingat perangkat.
- Angkanya langsung muncul sesudah periode dipilih, tanpa langkah memilih line lagi.</t>
        </is>
      </c>
      <c r="L1207" s="22" t="inlineStr">
        <is>
          <t>Sedang</t>
        </is>
      </c>
      <c r="M1207" s="5" t="inlineStr"/>
      <c r="N1207" s="17" t="n"/>
      <c r="O1207" s="17" t="n"/>
      <c r="P1207" s="17" t="n"/>
      <c r="Q1207" s="17" t="n"/>
      <c r="R1207" s="17" t="n"/>
    </row>
    <row r="1208" ht="122.8" customHeight="1">
      <c r="A1208" s="18" t="n">
        <v>1204</v>
      </c>
      <c r="B1208" s="18" t="n">
        <v>3</v>
      </c>
      <c r="C1208" s="19" t="inlineStr">
        <is>
          <t>LP-M-07 / Weighbridge</t>
        </is>
      </c>
      <c r="D1208" s="19" t="inlineStr">
        <is>
          <t>LP-M-07</t>
        </is>
      </c>
      <c r="E1208" s="20" t="inlineStr">
        <is>
          <t>Weighbridge</t>
        </is>
      </c>
      <c r="F1208" s="21" t="inlineStr">
        <is>
          <t>Laporan Periode Stasiun (LP-)</t>
        </is>
      </c>
      <c r="G1208" s="20" t="inlineStr">
        <is>
          <t>Line yang diingat sudah tidak ada: pemilih muncul lagi, tanpa menebak</t>
        </is>
      </c>
      <c r="H1208" s="21" t="inlineStr">
        <is>
          <t>OPR-A + ADM</t>
        </is>
      </c>
      <c r="I1208" s="21" t="inlineStr">
        <is>
          <t>line sudah diingat perangkat</t>
        </is>
      </c>
      <c r="J1208" s="21" t="inlineStr">
        <is>
          <t>1. Jalankan LP-M-06 lebih dulu sehingga Line 1 diingat perangkat untuk Weighbridge.
2. Sebagai ADM di web, hapus atau nonaktifkan Line 1 itu.
3. Login di mobile, Dashboard &amp; Reporting &gt; Reporting, tekan tile Weighbridge (/reports/weighbridge), lalu pilih Periode dan Production Line lagi. Pilih periode.
4. Baca layar dan pemilih line.</t>
        </is>
      </c>
      <c r="K1208" s="21" t="inlineStr">
        <is>
          <t>- Pemilih Production Line muncul kembali dan dalam keadaan belum terpilih.
- Sistem tidak menebak line lain untuk menggantinya.
- Tidak ada angka yang tampil sampai penguji memilih line yang masih ada.
- Tidak ada pesan galat teknis tentang line yang hilang.</t>
        </is>
      </c>
      <c r="L1208" s="18" t="inlineStr">
        <is>
          <t>Sedang</t>
        </is>
      </c>
      <c r="M1208" s="21" t="inlineStr"/>
      <c r="N1208" s="17" t="n"/>
      <c r="O1208" s="17" t="n"/>
      <c r="P1208" s="17" t="n"/>
      <c r="Q1208" s="17" t="n"/>
      <c r="R1208" s="17" t="n"/>
    </row>
    <row r="1209" ht="122.8" customHeight="1">
      <c r="A1209" s="22" t="n">
        <v>1205</v>
      </c>
      <c r="B1209" s="22" t="n">
        <v>3</v>
      </c>
      <c r="C1209" s="23" t="inlineStr">
        <is>
          <t>LP-M-07 / Grading</t>
        </is>
      </c>
      <c r="D1209" s="23" t="inlineStr">
        <is>
          <t>LP-M-07</t>
        </is>
      </c>
      <c r="E1209" s="24" t="inlineStr">
        <is>
          <t>Grading</t>
        </is>
      </c>
      <c r="F1209" s="5" t="inlineStr">
        <is>
          <t>Laporan Periode Stasiun (LP-)</t>
        </is>
      </c>
      <c r="G1209" s="24" t="inlineStr">
        <is>
          <t>Line yang diingat sudah tidak ada: pemilih muncul lagi, tanpa menebak</t>
        </is>
      </c>
      <c r="H1209" s="5" t="inlineStr">
        <is>
          <t>OPR-A + ADM</t>
        </is>
      </c>
      <c r="I1209" s="5" t="inlineStr">
        <is>
          <t>line sudah diingat perangkat</t>
        </is>
      </c>
      <c r="J1209" s="5" t="inlineStr">
        <is>
          <t>1. Jalankan LP-M-06 lebih dulu sehingga Line 1 diingat perangkat untuk Grading.
2. Sebagai ADM di web, hapus atau nonaktifkan Line 1 itu.
3. Login di mobile, Dashboard &amp; Reporting &gt; Reporting, tekan tile Grading (/reports/grading), lalu pilih Periode dan Production Line lagi. Pilih periode.
4. Baca layar dan pemilih line.</t>
        </is>
      </c>
      <c r="K1209" s="5" t="inlineStr">
        <is>
          <t>- Pemilih Production Line muncul kembali dan dalam keadaan belum terpilih.
- Sistem tidak menebak line lain untuk menggantinya.
- Tidak ada angka yang tampil sampai penguji memilih line yang masih ada.
- Tidak ada pesan galat teknis tentang line yang hilang.</t>
        </is>
      </c>
      <c r="L1209" s="22" t="inlineStr">
        <is>
          <t>Sedang</t>
        </is>
      </c>
      <c r="M1209" s="5" t="inlineStr"/>
      <c r="N1209" s="17" t="n"/>
      <c r="O1209" s="17" t="n"/>
      <c r="P1209" s="17" t="n"/>
      <c r="Q1209" s="17" t="n"/>
      <c r="R1209" s="17" t="n"/>
    </row>
    <row r="1210" ht="122.8" customHeight="1">
      <c r="A1210" s="18" t="n">
        <v>1206</v>
      </c>
      <c r="B1210" s="18" t="n">
        <v>3</v>
      </c>
      <c r="C1210" s="19" t="inlineStr">
        <is>
          <t>LP-M-07 / Cages Track</t>
        </is>
      </c>
      <c r="D1210" s="19" t="inlineStr">
        <is>
          <t>LP-M-07</t>
        </is>
      </c>
      <c r="E1210" s="20" t="inlineStr">
        <is>
          <t>Cages Track</t>
        </is>
      </c>
      <c r="F1210" s="21" t="inlineStr">
        <is>
          <t>Laporan Periode Stasiun (LP-)</t>
        </is>
      </c>
      <c r="G1210" s="20" t="inlineStr">
        <is>
          <t>Line yang diingat sudah tidak ada: pemilih muncul lagi, tanpa menebak</t>
        </is>
      </c>
      <c r="H1210" s="21" t="inlineStr">
        <is>
          <t>OPR-A + ADM</t>
        </is>
      </c>
      <c r="I1210" s="21" t="inlineStr">
        <is>
          <t>line sudah diingat perangkat</t>
        </is>
      </c>
      <c r="J1210" s="21" t="inlineStr">
        <is>
          <t>1. Jalankan LP-M-06 lebih dulu sehingga Line 1 diingat perangkat untuk Cages Track.
2. Sebagai ADM di web, hapus atau nonaktifkan Line 1 itu.
3. Login di mobile, Dashboard &amp; Reporting &gt; Reporting, tekan tile Cages Track (/reports/cages-track), lalu pilih Periode dan Production Line lagi. Pilih periode.
4. Baca layar dan pemilih line.</t>
        </is>
      </c>
      <c r="K1210" s="21" t="inlineStr">
        <is>
          <t>- Pemilih Production Line muncul kembali dan dalam keadaan belum terpilih.
- Sistem tidak menebak line lain untuk menggantinya.
- Tidak ada angka yang tampil sampai penguji memilih line yang masih ada.
- Tidak ada pesan galat teknis tentang line yang hilang.</t>
        </is>
      </c>
      <c r="L1210" s="18" t="inlineStr">
        <is>
          <t>Sedang</t>
        </is>
      </c>
      <c r="M1210" s="21" t="inlineStr"/>
      <c r="N1210" s="17" t="n"/>
      <c r="O1210" s="17" t="n"/>
      <c r="P1210" s="17" t="n"/>
      <c r="Q1210" s="17" t="n"/>
      <c r="R1210" s="17" t="n"/>
    </row>
    <row r="1211" ht="122.8" customHeight="1">
      <c r="A1211" s="22" t="n">
        <v>1207</v>
      </c>
      <c r="B1211" s="22" t="n">
        <v>3</v>
      </c>
      <c r="C1211" s="23" t="inlineStr">
        <is>
          <t>LP-M-07 / Sterilizer</t>
        </is>
      </c>
      <c r="D1211" s="23" t="inlineStr">
        <is>
          <t>LP-M-07</t>
        </is>
      </c>
      <c r="E1211" s="24" t="inlineStr">
        <is>
          <t>Sterilizer</t>
        </is>
      </c>
      <c r="F1211" s="5" t="inlineStr">
        <is>
          <t>Laporan Periode Stasiun (LP-)</t>
        </is>
      </c>
      <c r="G1211" s="24" t="inlineStr">
        <is>
          <t>Line yang diingat sudah tidak ada: pemilih muncul lagi, tanpa menebak</t>
        </is>
      </c>
      <c r="H1211" s="5" t="inlineStr">
        <is>
          <t>OPR-A + ADM</t>
        </is>
      </c>
      <c r="I1211" s="5" t="inlineStr">
        <is>
          <t>line sudah diingat perangkat</t>
        </is>
      </c>
      <c r="J1211" s="5" t="inlineStr">
        <is>
          <t>1. Jalankan LP-M-06 lebih dulu sehingga Line 1 diingat perangkat untuk Sterilizer.
2. Sebagai ADM di web, hapus atau nonaktifkan Line 1 itu.
3. Login di mobile, Dashboard &amp; Reporting &gt; Reporting, tekan tile Sterilizer (/reports/sterilizer), lalu pilih Periode dan Production Line lagi. Pilih periode.
4. Baca layar dan pemilih line.</t>
        </is>
      </c>
      <c r="K1211" s="5" t="inlineStr">
        <is>
          <t>- Pemilih Production Line muncul kembali dan dalam keadaan belum terpilih.
- Sistem tidak menebak line lain untuk menggantinya.
- Tidak ada angka yang tampil sampai penguji memilih line yang masih ada.
- Tidak ada pesan galat teknis tentang line yang hilang.</t>
        </is>
      </c>
      <c r="L1211" s="22" t="inlineStr">
        <is>
          <t>Sedang</t>
        </is>
      </c>
      <c r="M1211" s="5" t="inlineStr"/>
      <c r="N1211" s="17" t="n"/>
      <c r="O1211" s="17" t="n"/>
      <c r="P1211" s="17" t="n"/>
      <c r="Q1211" s="17" t="n"/>
      <c r="R1211" s="17" t="n"/>
    </row>
    <row r="1212" ht="122.8" customHeight="1">
      <c r="A1212" s="18" t="n">
        <v>1208</v>
      </c>
      <c r="B1212" s="18" t="n">
        <v>3</v>
      </c>
      <c r="C1212" s="19" t="inlineStr">
        <is>
          <t>LP-M-07 / Threshing</t>
        </is>
      </c>
      <c r="D1212" s="19" t="inlineStr">
        <is>
          <t>LP-M-07</t>
        </is>
      </c>
      <c r="E1212" s="20" t="inlineStr">
        <is>
          <t>Threshing</t>
        </is>
      </c>
      <c r="F1212" s="21" t="inlineStr">
        <is>
          <t>Laporan Periode Stasiun (LP-)</t>
        </is>
      </c>
      <c r="G1212" s="20" t="inlineStr">
        <is>
          <t>Line yang diingat sudah tidak ada: pemilih muncul lagi, tanpa menebak</t>
        </is>
      </c>
      <c r="H1212" s="21" t="inlineStr">
        <is>
          <t>OPR-A + ADM</t>
        </is>
      </c>
      <c r="I1212" s="21" t="inlineStr">
        <is>
          <t>line sudah diingat perangkat</t>
        </is>
      </c>
      <c r="J1212" s="21" t="inlineStr">
        <is>
          <t>1. Jalankan LP-M-06 lebih dulu sehingga Line 1 diingat perangkat untuk Threshing.
2. Sebagai ADM di web, hapus atau nonaktifkan Line 1 itu.
3. Login di mobile, Dashboard &amp; Reporting &gt; Reporting, tekan tile Threshing (/reports/threshing), lalu pilih Periode dan Production Line lagi. Pilih periode.
4. Baca layar dan pemilih line.</t>
        </is>
      </c>
      <c r="K1212" s="21" t="inlineStr">
        <is>
          <t>- Pemilih Production Line muncul kembali dan dalam keadaan belum terpilih.
- Sistem tidak menebak line lain untuk menggantinya.
- Tidak ada angka yang tampil sampai penguji memilih line yang masih ada.
- Tidak ada pesan galat teknis tentang line yang hilang.</t>
        </is>
      </c>
      <c r="L1212" s="18" t="inlineStr">
        <is>
          <t>Sedang</t>
        </is>
      </c>
      <c r="M1212" s="21" t="inlineStr"/>
      <c r="N1212" s="17" t="n"/>
      <c r="O1212" s="17" t="n"/>
      <c r="P1212" s="17" t="n"/>
      <c r="Q1212" s="17" t="n"/>
      <c r="R1212" s="17" t="n"/>
    </row>
    <row r="1213" ht="122.8" customHeight="1">
      <c r="A1213" s="22" t="n">
        <v>1209</v>
      </c>
      <c r="B1213" s="22" t="n">
        <v>3</v>
      </c>
      <c r="C1213" s="23" t="inlineStr">
        <is>
          <t>LP-M-07 / Pressing</t>
        </is>
      </c>
      <c r="D1213" s="23" t="inlineStr">
        <is>
          <t>LP-M-07</t>
        </is>
      </c>
      <c r="E1213" s="24" t="inlineStr">
        <is>
          <t>Pressing</t>
        </is>
      </c>
      <c r="F1213" s="5" t="inlineStr">
        <is>
          <t>Laporan Periode Stasiun (LP-)</t>
        </is>
      </c>
      <c r="G1213" s="24" t="inlineStr">
        <is>
          <t>Line yang diingat sudah tidak ada: pemilih muncul lagi, tanpa menebak</t>
        </is>
      </c>
      <c r="H1213" s="5" t="inlineStr">
        <is>
          <t>OPR-A + ADM</t>
        </is>
      </c>
      <c r="I1213" s="5" t="inlineStr">
        <is>
          <t>line sudah diingat perangkat</t>
        </is>
      </c>
      <c r="J1213" s="5" t="inlineStr">
        <is>
          <t>1. Jalankan LP-M-06 lebih dulu sehingga Line 1 diingat perangkat untuk Pressing.
2. Sebagai ADM di web, hapus atau nonaktifkan Line 1 itu.
3. Login di mobile, Dashboard &amp; Reporting &gt; Reporting, tekan tile Pressing (/reports/pressing), lalu pilih Periode dan Production Line lagi. Pilih periode.
4. Baca layar dan pemilih line.</t>
        </is>
      </c>
      <c r="K1213" s="5" t="inlineStr">
        <is>
          <t>- Pemilih Production Line muncul kembali dan dalam keadaan belum terpilih.
- Sistem tidak menebak line lain untuk menggantinya.
- Tidak ada angka yang tampil sampai penguji memilih line yang masih ada.
- Tidak ada pesan galat teknis tentang line yang hilang.</t>
        </is>
      </c>
      <c r="L1213" s="22" t="inlineStr">
        <is>
          <t>Sedang</t>
        </is>
      </c>
      <c r="M1213" s="5" t="inlineStr"/>
      <c r="N1213" s="17" t="n"/>
      <c r="O1213" s="17" t="n"/>
      <c r="P1213" s="17" t="n"/>
      <c r="Q1213" s="17" t="n"/>
      <c r="R1213" s="17" t="n"/>
    </row>
    <row r="1214" ht="122.8" customHeight="1">
      <c r="A1214" s="18" t="n">
        <v>1210</v>
      </c>
      <c r="B1214" s="18" t="n">
        <v>3</v>
      </c>
      <c r="C1214" s="19" t="inlineStr">
        <is>
          <t>LP-M-07 / Clarification</t>
        </is>
      </c>
      <c r="D1214" s="19" t="inlineStr">
        <is>
          <t>LP-M-07</t>
        </is>
      </c>
      <c r="E1214" s="20" t="inlineStr">
        <is>
          <t>Clarification</t>
        </is>
      </c>
      <c r="F1214" s="21" t="inlineStr">
        <is>
          <t>Laporan Periode Stasiun (LP-)</t>
        </is>
      </c>
      <c r="G1214" s="20" t="inlineStr">
        <is>
          <t>Line yang diingat sudah tidak ada: pemilih muncul lagi, tanpa menebak</t>
        </is>
      </c>
      <c r="H1214" s="21" t="inlineStr">
        <is>
          <t>OPR-A + ADM</t>
        </is>
      </c>
      <c r="I1214" s="21" t="inlineStr">
        <is>
          <t>line sudah diingat perangkat</t>
        </is>
      </c>
      <c r="J1214" s="21" t="inlineStr">
        <is>
          <t>1. Jalankan LP-M-06 lebih dulu sehingga Line 1 diingat perangkat untuk Clarification.
2. Sebagai ADM di web, hapus atau nonaktifkan Line 1 itu.
3. Login di mobile, Dashboard &amp; Reporting &gt; Reporting, tekan tile Clarification (/reports/clarification), lalu pilih Periode dan Production Line lagi. Pilih periode.
4. Baca layar dan pemilih line.</t>
        </is>
      </c>
      <c r="K1214" s="21" t="inlineStr">
        <is>
          <t>- Pemilih Production Line muncul kembali dan dalam keadaan belum terpilih.
- Sistem tidak menebak line lain untuk menggantinya.
- Tidak ada angka yang tampil sampai penguji memilih line yang masih ada.
- Tidak ada pesan galat teknis tentang line yang hilang.</t>
        </is>
      </c>
      <c r="L1214" s="18" t="inlineStr">
        <is>
          <t>Sedang</t>
        </is>
      </c>
      <c r="M1214" s="21" t="inlineStr"/>
      <c r="N1214" s="17" t="n"/>
      <c r="O1214" s="17" t="n"/>
      <c r="P1214" s="17" t="n"/>
      <c r="Q1214" s="17" t="n"/>
      <c r="R1214" s="17" t="n"/>
    </row>
    <row r="1215" ht="122.8" customHeight="1">
      <c r="A1215" s="11" t="n">
        <v>1211</v>
      </c>
      <c r="B1215" s="12" t="n">
        <v>1</v>
      </c>
      <c r="C1215" s="13" t="inlineStr">
        <is>
          <t>LP-M-07 / Kernel Plant</t>
        </is>
      </c>
      <c r="D1215" s="13" t="inlineStr">
        <is>
          <t>LP-M-07</t>
        </is>
      </c>
      <c r="E1215" s="15" t="inlineStr">
        <is>
          <t>Kernel Plant</t>
        </is>
      </c>
      <c r="F1215" s="14" t="inlineStr">
        <is>
          <t>Laporan Periode Stasiun (LP-)</t>
        </is>
      </c>
      <c r="G1215" s="15" t="inlineStr">
        <is>
          <t>Line yang diingat sudah tidak ada: pemilih muncul lagi, tanpa menebak</t>
        </is>
      </c>
      <c r="H1215" s="14" t="inlineStr">
        <is>
          <t>OPR-A + ADM</t>
        </is>
      </c>
      <c r="I1215" s="14" t="inlineStr">
        <is>
          <t>line sudah diingat perangkat</t>
        </is>
      </c>
      <c r="J1215" s="14" t="inlineStr">
        <is>
          <t>1. Jalankan LP-M-06 lebih dulu sehingga Line 1 diingat perangkat untuk Kernel Plant.
2. Sebagai ADM di web, hapus atau nonaktifkan Line 1 itu.
3. Login di mobile, Dashboard &amp; Reporting &gt; Reporting, tekan tile Kernel Plant (/reports/kernel-plant), lalu pilih Periode dan Production Line lagi. Pilih periode.
4. Baca layar dan pemilih line.</t>
        </is>
      </c>
      <c r="K1215" s="14" t="inlineStr">
        <is>
          <t>- Pemilih Production Line muncul kembali dan dalam keadaan belum terpilih.
- Sistem tidak menebak line lain untuk menggantinya.
- Tidak ada angka yang tampil sampai penguji memilih line yang masih ada.
- Tidak ada pesan galat teknis tentang line yang hilang.</t>
        </is>
      </c>
      <c r="L1215" s="11" t="inlineStr">
        <is>
          <t>Sedang</t>
        </is>
      </c>
      <c r="M1215" s="14" t="inlineStr"/>
      <c r="N1215" s="17" t="n"/>
      <c r="O1215" s="17" t="n"/>
      <c r="P1215" s="17" t="n"/>
      <c r="Q1215" s="17" t="n"/>
      <c r="R1215" s="17" t="n"/>
    </row>
    <row r="1216" ht="122.8" customHeight="1">
      <c r="A1216" s="18" t="n">
        <v>1212</v>
      </c>
      <c r="B1216" s="18" t="n">
        <v>3</v>
      </c>
      <c r="C1216" s="19" t="inlineStr">
        <is>
          <t>LP-M-07 / Boiler Room</t>
        </is>
      </c>
      <c r="D1216" s="19" t="inlineStr">
        <is>
          <t>LP-M-07</t>
        </is>
      </c>
      <c r="E1216" s="20" t="inlineStr">
        <is>
          <t>Boiler Room</t>
        </is>
      </c>
      <c r="F1216" s="21" t="inlineStr">
        <is>
          <t>Laporan Periode Stasiun (LP-)</t>
        </is>
      </c>
      <c r="G1216" s="20" t="inlineStr">
        <is>
          <t>Line yang diingat sudah tidak ada: pemilih muncul lagi, tanpa menebak</t>
        </is>
      </c>
      <c r="H1216" s="21" t="inlineStr">
        <is>
          <t>OPR-A + ADM</t>
        </is>
      </c>
      <c r="I1216" s="21" t="inlineStr">
        <is>
          <t>line sudah diingat perangkat</t>
        </is>
      </c>
      <c r="J1216" s="21" t="inlineStr">
        <is>
          <t>1. Jalankan LP-M-06 lebih dulu sehingga Line 1 diingat perangkat untuk Boiler Room.
2. Sebagai ADM di web, hapus atau nonaktifkan Line 1 itu.
3. Login di mobile, Dashboard &amp; Reporting &gt; Reporting, tekan tile Boiler Room (/reports/boiler-room), lalu pilih Periode dan Production Line lagi. Pilih periode.
4. Baca layar dan pemilih line.</t>
        </is>
      </c>
      <c r="K1216" s="21" t="inlineStr">
        <is>
          <t>- Pemilih Production Line muncul kembali dan dalam keadaan belum terpilih.
- Sistem tidak menebak line lain untuk menggantinya.
- Tidak ada angka yang tampil sampai penguji memilih line yang masih ada.
- Tidak ada pesan galat teknis tentang line yang hilang.</t>
        </is>
      </c>
      <c r="L1216" s="18" t="inlineStr">
        <is>
          <t>Sedang</t>
        </is>
      </c>
      <c r="M1216" s="21" t="inlineStr"/>
      <c r="N1216" s="17" t="n"/>
      <c r="O1216" s="17" t="n"/>
      <c r="P1216" s="17" t="n"/>
      <c r="Q1216" s="17" t="n"/>
      <c r="R1216" s="17" t="n"/>
    </row>
    <row r="1217" ht="122.8" customHeight="1">
      <c r="A1217" s="22" t="n">
        <v>1213</v>
      </c>
      <c r="B1217" s="22" t="n">
        <v>3</v>
      </c>
      <c r="C1217" s="23" t="inlineStr">
        <is>
          <t>LP-M-07 / Depricarping</t>
        </is>
      </c>
      <c r="D1217" s="23" t="inlineStr">
        <is>
          <t>LP-M-07</t>
        </is>
      </c>
      <c r="E1217" s="24" t="inlineStr">
        <is>
          <t>Depricarping</t>
        </is>
      </c>
      <c r="F1217" s="5" t="inlineStr">
        <is>
          <t>Laporan Periode Stasiun (LP-)</t>
        </is>
      </c>
      <c r="G1217" s="24" t="inlineStr">
        <is>
          <t>Line yang diingat sudah tidak ada: pemilih muncul lagi, tanpa menebak</t>
        </is>
      </c>
      <c r="H1217" s="5" t="inlineStr">
        <is>
          <t>OPR-A + ADM</t>
        </is>
      </c>
      <c r="I1217" s="5" t="inlineStr">
        <is>
          <t>line sudah diingat perangkat</t>
        </is>
      </c>
      <c r="J1217" s="5" t="inlineStr">
        <is>
          <t>1. Jalankan LP-M-06 lebih dulu sehingga Line 1 diingat perangkat untuk Depricarping.
2. Sebagai ADM di web, hapus atau nonaktifkan Line 1 itu.
3. Login di mobile, Dashboard &amp; Reporting &gt; Reporting, tekan tile Depricarping (/reports/depricarping), lalu pilih Periode dan Production Line lagi. Pilih periode.
4. Baca layar dan pemilih line.</t>
        </is>
      </c>
      <c r="K1217" s="5" t="inlineStr">
        <is>
          <t>- Pemilih Production Line muncul kembali dan dalam keadaan belum terpilih.
- Sistem tidak menebak line lain untuk menggantinya.
- Tidak ada angka yang tampil sampai penguji memilih line yang masih ada.
- Tidak ada pesan galat teknis tentang line yang hilang.</t>
        </is>
      </c>
      <c r="L1217" s="22" t="inlineStr">
        <is>
          <t>Sedang</t>
        </is>
      </c>
      <c r="M1217" s="5" t="inlineStr"/>
      <c r="N1217" s="17" t="n"/>
      <c r="O1217" s="17" t="n"/>
      <c r="P1217" s="17" t="n"/>
      <c r="Q1217" s="17" t="n"/>
      <c r="R1217" s="17" t="n"/>
    </row>
    <row r="1218" ht="122.8" customHeight="1">
      <c r="A1218" s="18" t="n">
        <v>1214</v>
      </c>
      <c r="B1218" s="18" t="n">
        <v>3</v>
      </c>
      <c r="C1218" s="19" t="inlineStr">
        <is>
          <t>LP-M-07 / Storage Tank</t>
        </is>
      </c>
      <c r="D1218" s="19" t="inlineStr">
        <is>
          <t>LP-M-07</t>
        </is>
      </c>
      <c r="E1218" s="20" t="inlineStr">
        <is>
          <t>Storage Tank</t>
        </is>
      </c>
      <c r="F1218" s="21" t="inlineStr">
        <is>
          <t>Laporan Periode Stasiun (LP-)</t>
        </is>
      </c>
      <c r="G1218" s="20" t="inlineStr">
        <is>
          <t>Line yang diingat sudah tidak ada: pemilih muncul lagi, tanpa menebak</t>
        </is>
      </c>
      <c r="H1218" s="21" t="inlineStr">
        <is>
          <t>OPR-A + ADM</t>
        </is>
      </c>
      <c r="I1218" s="21" t="inlineStr">
        <is>
          <t>line sudah diingat perangkat</t>
        </is>
      </c>
      <c r="J1218" s="21" t="inlineStr">
        <is>
          <t>1. Jalankan LP-M-06 lebih dulu sehingga Line 1 diingat perangkat untuk Storage Tank.
2. Sebagai ADM di web, hapus atau nonaktifkan Line 1 itu.
3. Login di mobile, Dashboard &amp; Reporting &gt; Reporting, tekan tile Storage Tank (/reports/storage-tank), lalu pilih Periode dan Production Line lagi. Pilih periode.
4. Baca layar dan pemilih line.</t>
        </is>
      </c>
      <c r="K1218" s="21" t="inlineStr">
        <is>
          <t>- Pemilih Production Line muncul kembali dan dalam keadaan belum terpilih.
- Sistem tidak menebak line lain untuk menggantinya.
- Tidak ada angka yang tampil sampai penguji memilih line yang masih ada.
- Tidak ada pesan galat teknis tentang line yang hilang.</t>
        </is>
      </c>
      <c r="L1218" s="18" t="inlineStr">
        <is>
          <t>Sedang</t>
        </is>
      </c>
      <c r="M1218" s="21" t="inlineStr"/>
      <c r="N1218" s="17" t="n"/>
      <c r="O1218" s="17" t="n"/>
      <c r="P1218" s="17" t="n"/>
      <c r="Q1218" s="17" t="n"/>
      <c r="R1218" s="17" t="n"/>
    </row>
    <row r="1219" ht="202" customHeight="1">
      <c r="A1219" s="22" t="n">
        <v>1215</v>
      </c>
      <c r="B1219" s="22" t="n">
        <v>3</v>
      </c>
      <c r="C1219" s="23" t="inlineStr">
        <is>
          <t>LP-M-08 / Weighbridge</t>
        </is>
      </c>
      <c r="D1219" s="23" t="inlineStr">
        <is>
          <t>LP-M-08</t>
        </is>
      </c>
      <c r="E1219" s="24" t="inlineStr">
        <is>
          <t>Weighbridge</t>
        </is>
      </c>
      <c r="F1219" s="5" t="inlineStr">
        <is>
          <t>Laporan Periode Stasiun (LP-)</t>
        </is>
      </c>
      <c r="G1219" s="24" t="inlineStr">
        <is>
          <t>Dua pesan yang harus berbeda: mill tanpa line vs daftar line gagal dimuat</t>
        </is>
      </c>
      <c r="H1219" s="5" t="inlineStr">
        <is>
          <t>OPR-A</t>
        </is>
      </c>
      <c r="I1219" s="5" t="inlineStr">
        <is>
          <t>—</t>
        </is>
      </c>
      <c r="J1219" s="5" t="inlineStr">
        <is>
          <t>1. Siapkan satu mill yang belum punya Production Line, dan satu akun yang terikat mill itu.
2. Login di mobile, Dashboard &amp; Reporting &gt; Reporting, tekan tile Weighbridge (/reports/weighbridge),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19" s="5"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19" s="22" t="inlineStr">
        <is>
          <t>Sedang</t>
        </is>
      </c>
      <c r="M1219" s="5" t="inlineStr">
        <is>
          <t>menyatukan keduanya akan menyuruh pengguna menelepon Admin untuk masalah jaringan.</t>
        </is>
      </c>
      <c r="N1219" s="17" t="n"/>
      <c r="O1219" s="17" t="n"/>
      <c r="P1219" s="17" t="n"/>
      <c r="Q1219" s="17" t="n"/>
      <c r="R1219" s="17" t="n"/>
    </row>
    <row r="1220" ht="202" customHeight="1">
      <c r="A1220" s="18" t="n">
        <v>1216</v>
      </c>
      <c r="B1220" s="18" t="n">
        <v>3</v>
      </c>
      <c r="C1220" s="19" t="inlineStr">
        <is>
          <t>LP-M-08 / Grading</t>
        </is>
      </c>
      <c r="D1220" s="19" t="inlineStr">
        <is>
          <t>LP-M-08</t>
        </is>
      </c>
      <c r="E1220" s="20" t="inlineStr">
        <is>
          <t>Grading</t>
        </is>
      </c>
      <c r="F1220" s="21" t="inlineStr">
        <is>
          <t>Laporan Periode Stasiun (LP-)</t>
        </is>
      </c>
      <c r="G1220" s="20" t="inlineStr">
        <is>
          <t>Dua pesan yang harus berbeda: mill tanpa line vs daftar line gagal dimuat</t>
        </is>
      </c>
      <c r="H1220" s="21" t="inlineStr">
        <is>
          <t>OPR-A</t>
        </is>
      </c>
      <c r="I1220" s="21" t="inlineStr">
        <is>
          <t>—</t>
        </is>
      </c>
      <c r="J1220" s="21" t="inlineStr">
        <is>
          <t>1. Siapkan satu mill yang belum punya Production Line, dan satu akun yang terikat mill itu.
2. Login di mobile, Dashboard &amp; Reporting &gt; Reporting, tekan tile Grading (/reports/grading),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20" s="21"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20" s="18" t="inlineStr">
        <is>
          <t>Sedang</t>
        </is>
      </c>
      <c r="M1220" s="21" t="inlineStr">
        <is>
          <t>menyatukan keduanya akan menyuruh pengguna menelepon Admin untuk masalah jaringan.</t>
        </is>
      </c>
      <c r="N1220" s="17" t="n"/>
      <c r="O1220" s="17" t="n"/>
      <c r="P1220" s="17" t="n"/>
      <c r="Q1220" s="17" t="n"/>
      <c r="R1220" s="17" t="n"/>
    </row>
    <row r="1221" ht="202" customHeight="1">
      <c r="A1221" s="22" t="n">
        <v>1217</v>
      </c>
      <c r="B1221" s="22" t="n">
        <v>3</v>
      </c>
      <c r="C1221" s="23" t="inlineStr">
        <is>
          <t>LP-M-08 / Cages Track</t>
        </is>
      </c>
      <c r="D1221" s="23" t="inlineStr">
        <is>
          <t>LP-M-08</t>
        </is>
      </c>
      <c r="E1221" s="24" t="inlineStr">
        <is>
          <t>Cages Track</t>
        </is>
      </c>
      <c r="F1221" s="5" t="inlineStr">
        <is>
          <t>Laporan Periode Stasiun (LP-)</t>
        </is>
      </c>
      <c r="G1221" s="24" t="inlineStr">
        <is>
          <t>Dua pesan yang harus berbeda: mill tanpa line vs daftar line gagal dimuat</t>
        </is>
      </c>
      <c r="H1221" s="5" t="inlineStr">
        <is>
          <t>OPR-A</t>
        </is>
      </c>
      <c r="I1221" s="5" t="inlineStr">
        <is>
          <t>—</t>
        </is>
      </c>
      <c r="J1221" s="5" t="inlineStr">
        <is>
          <t>1. Siapkan satu mill yang belum punya Production Line, dan satu akun yang terikat mill itu.
2. Login di mobile, Dashboard &amp; Reporting &gt; Reporting, tekan tile Cages Track (/reports/cages-track),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21" s="5"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21" s="22" t="inlineStr">
        <is>
          <t>Sedang</t>
        </is>
      </c>
      <c r="M1221" s="5" t="inlineStr">
        <is>
          <t>menyatukan keduanya akan menyuruh pengguna menelepon Admin untuk masalah jaringan.</t>
        </is>
      </c>
      <c r="N1221" s="17" t="n"/>
      <c r="O1221" s="17" t="n"/>
      <c r="P1221" s="17" t="n"/>
      <c r="Q1221" s="17" t="n"/>
      <c r="R1221" s="17" t="n"/>
    </row>
    <row r="1222" ht="202" customHeight="1">
      <c r="A1222" s="18" t="n">
        <v>1218</v>
      </c>
      <c r="B1222" s="18" t="n">
        <v>3</v>
      </c>
      <c r="C1222" s="19" t="inlineStr">
        <is>
          <t>LP-M-08 / Sterilizer</t>
        </is>
      </c>
      <c r="D1222" s="19" t="inlineStr">
        <is>
          <t>LP-M-08</t>
        </is>
      </c>
      <c r="E1222" s="20" t="inlineStr">
        <is>
          <t>Sterilizer</t>
        </is>
      </c>
      <c r="F1222" s="21" t="inlineStr">
        <is>
          <t>Laporan Periode Stasiun (LP-)</t>
        </is>
      </c>
      <c r="G1222" s="20" t="inlineStr">
        <is>
          <t>Dua pesan yang harus berbeda: mill tanpa line vs daftar line gagal dimuat</t>
        </is>
      </c>
      <c r="H1222" s="21" t="inlineStr">
        <is>
          <t>OPR-A</t>
        </is>
      </c>
      <c r="I1222" s="21" t="inlineStr">
        <is>
          <t>—</t>
        </is>
      </c>
      <c r="J1222" s="21" t="inlineStr">
        <is>
          <t>1. Siapkan satu mill yang belum punya Production Line, dan satu akun yang terikat mill itu.
2. Login di mobile, Dashboard &amp; Reporting &gt; Reporting, tekan tile Sterilizer (/reports/sterilizer),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22" s="21"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22" s="18" t="inlineStr">
        <is>
          <t>Sedang</t>
        </is>
      </c>
      <c r="M1222" s="21" t="inlineStr">
        <is>
          <t>menyatukan keduanya akan menyuruh pengguna menelepon Admin untuk masalah jaringan.</t>
        </is>
      </c>
      <c r="N1222" s="17" t="n"/>
      <c r="O1222" s="17" t="n"/>
      <c r="P1222" s="17" t="n"/>
      <c r="Q1222" s="17" t="n"/>
      <c r="R1222" s="17" t="n"/>
    </row>
    <row r="1223" ht="202" customHeight="1">
      <c r="A1223" s="22" t="n">
        <v>1219</v>
      </c>
      <c r="B1223" s="22" t="n">
        <v>3</v>
      </c>
      <c r="C1223" s="23" t="inlineStr">
        <is>
          <t>LP-M-08 / Threshing</t>
        </is>
      </c>
      <c r="D1223" s="23" t="inlineStr">
        <is>
          <t>LP-M-08</t>
        </is>
      </c>
      <c r="E1223" s="24" t="inlineStr">
        <is>
          <t>Threshing</t>
        </is>
      </c>
      <c r="F1223" s="5" t="inlineStr">
        <is>
          <t>Laporan Periode Stasiun (LP-)</t>
        </is>
      </c>
      <c r="G1223" s="24" t="inlineStr">
        <is>
          <t>Dua pesan yang harus berbeda: mill tanpa line vs daftar line gagal dimuat</t>
        </is>
      </c>
      <c r="H1223" s="5" t="inlineStr">
        <is>
          <t>OPR-A</t>
        </is>
      </c>
      <c r="I1223" s="5" t="inlineStr">
        <is>
          <t>—</t>
        </is>
      </c>
      <c r="J1223" s="5" t="inlineStr">
        <is>
          <t>1. Siapkan satu mill yang belum punya Production Line, dan satu akun yang terikat mill itu.
2. Login di mobile, Dashboard &amp; Reporting &gt; Reporting, tekan tile Threshing (/reports/threshing),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23" s="5"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23" s="22" t="inlineStr">
        <is>
          <t>Sedang</t>
        </is>
      </c>
      <c r="M1223" s="5" t="inlineStr">
        <is>
          <t>menyatukan keduanya akan menyuruh pengguna menelepon Admin untuk masalah jaringan.</t>
        </is>
      </c>
      <c r="N1223" s="17" t="n"/>
      <c r="O1223" s="17" t="n"/>
      <c r="P1223" s="17" t="n"/>
      <c r="Q1223" s="17" t="n"/>
      <c r="R1223" s="17" t="n"/>
    </row>
    <row r="1224" ht="202" customHeight="1">
      <c r="A1224" s="18" t="n">
        <v>1220</v>
      </c>
      <c r="B1224" s="18" t="n">
        <v>3</v>
      </c>
      <c r="C1224" s="19" t="inlineStr">
        <is>
          <t>LP-M-08 / Pressing</t>
        </is>
      </c>
      <c r="D1224" s="19" t="inlineStr">
        <is>
          <t>LP-M-08</t>
        </is>
      </c>
      <c r="E1224" s="20" t="inlineStr">
        <is>
          <t>Pressing</t>
        </is>
      </c>
      <c r="F1224" s="21" t="inlineStr">
        <is>
          <t>Laporan Periode Stasiun (LP-)</t>
        </is>
      </c>
      <c r="G1224" s="20" t="inlineStr">
        <is>
          <t>Dua pesan yang harus berbeda: mill tanpa line vs daftar line gagal dimuat</t>
        </is>
      </c>
      <c r="H1224" s="21" t="inlineStr">
        <is>
          <t>OPR-A</t>
        </is>
      </c>
      <c r="I1224" s="21" t="inlineStr">
        <is>
          <t>—</t>
        </is>
      </c>
      <c r="J1224" s="21" t="inlineStr">
        <is>
          <t>1. Siapkan satu mill yang belum punya Production Line, dan satu akun yang terikat mill itu.
2. Login di mobile, Dashboard &amp; Reporting &gt; Reporting, tekan tile Pressing (/reports/pressing),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24" s="21"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24" s="18" t="inlineStr">
        <is>
          <t>Sedang</t>
        </is>
      </c>
      <c r="M1224" s="21" t="inlineStr">
        <is>
          <t>menyatukan keduanya akan menyuruh pengguna menelepon Admin untuk masalah jaringan.</t>
        </is>
      </c>
      <c r="N1224" s="17" t="n"/>
      <c r="O1224" s="17" t="n"/>
      <c r="P1224" s="17" t="n"/>
      <c r="Q1224" s="17" t="n"/>
      <c r="R1224" s="17" t="n"/>
    </row>
    <row r="1225" ht="202" customHeight="1">
      <c r="A1225" s="22" t="n">
        <v>1221</v>
      </c>
      <c r="B1225" s="22" t="n">
        <v>3</v>
      </c>
      <c r="C1225" s="23" t="inlineStr">
        <is>
          <t>LP-M-08 / Clarification</t>
        </is>
      </c>
      <c r="D1225" s="23" t="inlineStr">
        <is>
          <t>LP-M-08</t>
        </is>
      </c>
      <c r="E1225" s="24" t="inlineStr">
        <is>
          <t>Clarification</t>
        </is>
      </c>
      <c r="F1225" s="5" t="inlineStr">
        <is>
          <t>Laporan Periode Stasiun (LP-)</t>
        </is>
      </c>
      <c r="G1225" s="24" t="inlineStr">
        <is>
          <t>Dua pesan yang harus berbeda: mill tanpa line vs daftar line gagal dimuat</t>
        </is>
      </c>
      <c r="H1225" s="5" t="inlineStr">
        <is>
          <t>OPR-A</t>
        </is>
      </c>
      <c r="I1225" s="5" t="inlineStr">
        <is>
          <t>—</t>
        </is>
      </c>
      <c r="J1225" s="5" t="inlineStr">
        <is>
          <t>1. Siapkan satu mill yang belum punya Production Line, dan satu akun yang terikat mill itu.
2. Login di mobile, Dashboard &amp; Reporting &gt; Reporting, tekan tile Clarification (/reports/clarification),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25" s="5"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25" s="22" t="inlineStr">
        <is>
          <t>Sedang</t>
        </is>
      </c>
      <c r="M1225" s="5" t="inlineStr">
        <is>
          <t>menyatukan keduanya akan menyuruh pengguna menelepon Admin untuk masalah jaringan.</t>
        </is>
      </c>
      <c r="N1225" s="17" t="n"/>
      <c r="O1225" s="17" t="n"/>
      <c r="P1225" s="17" t="n"/>
      <c r="Q1225" s="17" t="n"/>
      <c r="R1225" s="17" t="n"/>
    </row>
    <row r="1226" ht="202" customHeight="1">
      <c r="A1226" s="11" t="n">
        <v>1222</v>
      </c>
      <c r="B1226" s="12" t="n">
        <v>1</v>
      </c>
      <c r="C1226" s="13" t="inlineStr">
        <is>
          <t>LP-M-08 / Kernel Plant</t>
        </is>
      </c>
      <c r="D1226" s="13" t="inlineStr">
        <is>
          <t>LP-M-08</t>
        </is>
      </c>
      <c r="E1226" s="15" t="inlineStr">
        <is>
          <t>Kernel Plant</t>
        </is>
      </c>
      <c r="F1226" s="14" t="inlineStr">
        <is>
          <t>Laporan Periode Stasiun (LP-)</t>
        </is>
      </c>
      <c r="G1226" s="15" t="inlineStr">
        <is>
          <t>Dua pesan yang harus berbeda: mill tanpa line vs daftar line gagal dimuat</t>
        </is>
      </c>
      <c r="H1226" s="14" t="inlineStr">
        <is>
          <t>OPR-A</t>
        </is>
      </c>
      <c r="I1226" s="14" t="inlineStr">
        <is>
          <t>—</t>
        </is>
      </c>
      <c r="J1226" s="14" t="inlineStr">
        <is>
          <t>1. Siapkan satu mill yang belum punya Production Line, dan satu akun yang terikat mill itu.
2. Login di mobile, Dashboard &amp; Reporting &gt; Reporting, tekan tile Kernel Plant (/reports/kernel-plant),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26" s="14"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26" s="11" t="inlineStr">
        <is>
          <t>Sedang</t>
        </is>
      </c>
      <c r="M1226" s="14" t="inlineStr">
        <is>
          <t>menyatukan keduanya akan menyuruh pengguna menelepon Admin untuk masalah jaringan.</t>
        </is>
      </c>
      <c r="N1226" s="17" t="n"/>
      <c r="O1226" s="17" t="n"/>
      <c r="P1226" s="17" t="n"/>
      <c r="Q1226" s="17" t="n"/>
      <c r="R1226" s="17" t="n"/>
    </row>
    <row r="1227" ht="202" customHeight="1">
      <c r="A1227" s="22" t="n">
        <v>1223</v>
      </c>
      <c r="B1227" s="22" t="n">
        <v>3</v>
      </c>
      <c r="C1227" s="23" t="inlineStr">
        <is>
          <t>LP-M-08 / Boiler Room</t>
        </is>
      </c>
      <c r="D1227" s="23" t="inlineStr">
        <is>
          <t>LP-M-08</t>
        </is>
      </c>
      <c r="E1227" s="24" t="inlineStr">
        <is>
          <t>Boiler Room</t>
        </is>
      </c>
      <c r="F1227" s="5" t="inlineStr">
        <is>
          <t>Laporan Periode Stasiun (LP-)</t>
        </is>
      </c>
      <c r="G1227" s="24" t="inlineStr">
        <is>
          <t>Dua pesan yang harus berbeda: mill tanpa line vs daftar line gagal dimuat</t>
        </is>
      </c>
      <c r="H1227" s="5" t="inlineStr">
        <is>
          <t>OPR-A</t>
        </is>
      </c>
      <c r="I1227" s="5" t="inlineStr">
        <is>
          <t>—</t>
        </is>
      </c>
      <c r="J1227" s="5" t="inlineStr">
        <is>
          <t>1. Siapkan satu mill yang belum punya Production Line, dan satu akun yang terikat mill itu.
2. Login di mobile, Dashboard &amp; Reporting &gt; Reporting, tekan tile Boiler Room (/reports/boiler-room),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27" s="5"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27" s="22" t="inlineStr">
        <is>
          <t>Sedang</t>
        </is>
      </c>
      <c r="M1227" s="5" t="inlineStr">
        <is>
          <t>menyatukan keduanya akan menyuruh pengguna menelepon Admin untuk masalah jaringan.</t>
        </is>
      </c>
      <c r="N1227" s="17" t="n"/>
      <c r="O1227" s="17" t="n"/>
      <c r="P1227" s="17" t="n"/>
      <c r="Q1227" s="17" t="n"/>
      <c r="R1227" s="17" t="n"/>
    </row>
    <row r="1228" ht="202" customHeight="1">
      <c r="A1228" s="18" t="n">
        <v>1224</v>
      </c>
      <c r="B1228" s="18" t="n">
        <v>3</v>
      </c>
      <c r="C1228" s="19" t="inlineStr">
        <is>
          <t>LP-M-08 / Depricarping</t>
        </is>
      </c>
      <c r="D1228" s="19" t="inlineStr">
        <is>
          <t>LP-M-08</t>
        </is>
      </c>
      <c r="E1228" s="20" t="inlineStr">
        <is>
          <t>Depricarping</t>
        </is>
      </c>
      <c r="F1228" s="21" t="inlineStr">
        <is>
          <t>Laporan Periode Stasiun (LP-)</t>
        </is>
      </c>
      <c r="G1228" s="20" t="inlineStr">
        <is>
          <t>Dua pesan yang harus berbeda: mill tanpa line vs daftar line gagal dimuat</t>
        </is>
      </c>
      <c r="H1228" s="21" t="inlineStr">
        <is>
          <t>OPR-A</t>
        </is>
      </c>
      <c r="I1228" s="21" t="inlineStr">
        <is>
          <t>—</t>
        </is>
      </c>
      <c r="J1228" s="21" t="inlineStr">
        <is>
          <t>1. Siapkan satu mill yang belum punya Production Line, dan satu akun yang terikat mill itu.
2. Login di mobile, Dashboard &amp; Reporting &gt; Reporting, tekan tile Depricarping (/reports/depricarping),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28" s="21"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28" s="18" t="inlineStr">
        <is>
          <t>Sedang</t>
        </is>
      </c>
      <c r="M1228" s="21" t="inlineStr">
        <is>
          <t>menyatukan keduanya akan menyuruh pengguna menelepon Admin untuk masalah jaringan.</t>
        </is>
      </c>
      <c r="N1228" s="17" t="n"/>
      <c r="O1228" s="17" t="n"/>
      <c r="P1228" s="17" t="n"/>
      <c r="Q1228" s="17" t="n"/>
      <c r="R1228" s="17" t="n"/>
    </row>
    <row r="1229" ht="202" customHeight="1">
      <c r="A1229" s="22" t="n">
        <v>1225</v>
      </c>
      <c r="B1229" s="22" t="n">
        <v>3</v>
      </c>
      <c r="C1229" s="23" t="inlineStr">
        <is>
          <t>LP-M-08 / Storage Tank</t>
        </is>
      </c>
      <c r="D1229" s="23" t="inlineStr">
        <is>
          <t>LP-M-08</t>
        </is>
      </c>
      <c r="E1229" s="24" t="inlineStr">
        <is>
          <t>Storage Tank</t>
        </is>
      </c>
      <c r="F1229" s="5" t="inlineStr">
        <is>
          <t>Laporan Periode Stasiun (LP-)</t>
        </is>
      </c>
      <c r="G1229" s="24" t="inlineStr">
        <is>
          <t>Dua pesan yang harus berbeda: mill tanpa line vs daftar line gagal dimuat</t>
        </is>
      </c>
      <c r="H1229" s="5" t="inlineStr">
        <is>
          <t>OPR-A</t>
        </is>
      </c>
      <c r="I1229" s="5" t="inlineStr">
        <is>
          <t>—</t>
        </is>
      </c>
      <c r="J1229" s="5" t="inlineStr">
        <is>
          <t>1. Siapkan satu mill yang belum punya Production Line, dan satu akun yang terikat mill itu.
2. Login di mobile, Dashboard &amp; Reporting &gt; Reporting, tekan tile Storage Tank (/reports/storage-tank),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29" s="5"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29" s="22" t="inlineStr">
        <is>
          <t>Sedang</t>
        </is>
      </c>
      <c r="M1229" s="5" t="inlineStr">
        <is>
          <t>menyatukan keduanya akan menyuruh pengguna menelepon Admin untuk masalah jaringan.</t>
        </is>
      </c>
      <c r="N1229" s="17" t="n"/>
      <c r="O1229" s="17" t="n"/>
      <c r="P1229" s="17" t="n"/>
      <c r="Q1229" s="17" t="n"/>
      <c r="R1229" s="17" t="n"/>
    </row>
    <row r="1230" ht="215.2" customHeight="1">
      <c r="A1230" s="18" t="n">
        <v>1226</v>
      </c>
      <c r="B1230" s="18" t="n">
        <v>3</v>
      </c>
      <c r="C1230" s="19" t="inlineStr">
        <is>
          <t>LP-M-09 / Weighbridge</t>
        </is>
      </c>
      <c r="D1230" s="19" t="inlineStr">
        <is>
          <t>LP-M-09</t>
        </is>
      </c>
      <c r="E1230" s="20" t="inlineStr">
        <is>
          <t>Weighbridge</t>
        </is>
      </c>
      <c r="F1230" s="21" t="inlineStr">
        <is>
          <t>Laporan Periode Stasiun (LP-)</t>
        </is>
      </c>
      <c r="G1230" s="20" t="inlineStr">
        <is>
          <t>Ganti periode cepat: hanya hasil terakhir yang tampil</t>
        </is>
      </c>
      <c r="H1230" s="21" t="inlineStr">
        <is>
          <t>OPR-A</t>
        </is>
      </c>
      <c r="I1230" s="21" t="inlineStr">
        <is>
          <t>2 periode dengan angka yang berbeda jelas; koneksi lambat (gunakan throttling bila tersedia)</t>
        </is>
      </c>
      <c r="J1230" s="21" t="inlineStr">
        <is>
          <t>1. Siapkan 2 periode dengan angka yang berbeda jelas.
2. Aktifkan pembatasan kecepatan jaringan bila tersedia (throttling), supaya pemuatan terasa lambat.
3. Login di mobile, Dashboard &amp; Reporting &gt; Reporting, tekan tile Weighbridge (/reports/weighbridge), lalu pilih Periode dan Production Line. Pilih Periode A, lalu segera ganti ke Periode B sebelum angka A selesai muncul.
4. Tunggu sampai layar tenang.
5. Bandingkan angka yang tampil dengan angka Periode B.
6. Ulangi beberapa kali dengan urutan dibalik.</t>
        </is>
      </c>
      <c r="K1230" s="21"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30" s="18" t="inlineStr">
        <is>
          <t>Sedang</t>
        </is>
      </c>
      <c r="M1230" s="21" t="inlineStr"/>
      <c r="N1230" s="17" t="n"/>
      <c r="O1230" s="17" t="n"/>
      <c r="P1230" s="17" t="n"/>
      <c r="Q1230" s="17" t="n"/>
      <c r="R1230" s="17" t="n"/>
    </row>
    <row r="1231" ht="202" customHeight="1">
      <c r="A1231" s="22" t="n">
        <v>1227</v>
      </c>
      <c r="B1231" s="22" t="n">
        <v>3</v>
      </c>
      <c r="C1231" s="23" t="inlineStr">
        <is>
          <t>LP-M-09 / Grading</t>
        </is>
      </c>
      <c r="D1231" s="23" t="inlineStr">
        <is>
          <t>LP-M-09</t>
        </is>
      </c>
      <c r="E1231" s="24" t="inlineStr">
        <is>
          <t>Grading</t>
        </is>
      </c>
      <c r="F1231" s="5" t="inlineStr">
        <is>
          <t>Laporan Periode Stasiun (LP-)</t>
        </is>
      </c>
      <c r="G1231" s="24" t="inlineStr">
        <is>
          <t>Ganti periode cepat: hanya hasil terakhir yang tampil</t>
        </is>
      </c>
      <c r="H1231" s="5" t="inlineStr">
        <is>
          <t>OPR-A</t>
        </is>
      </c>
      <c r="I1231" s="5" t="inlineStr">
        <is>
          <t>2 periode dengan angka yang berbeda jelas; koneksi lambat (gunakan throttling bila tersedia)</t>
        </is>
      </c>
      <c r="J1231" s="5" t="inlineStr">
        <is>
          <t>1. Siapkan 2 periode dengan angka yang berbeda jelas.
2. Aktifkan pembatasan kecepatan jaringan bila tersedia (throttling), supaya pemuatan terasa lambat.
3. Login di mobile, Dashboard &amp; Reporting &gt; Reporting, tekan tile Grading (/reports/grading), lalu pilih Periode dan Production Line. Pilih Periode A, lalu segera ganti ke Periode B sebelum angka A selesai muncul.
4. Tunggu sampai layar tenang.
5. Bandingkan angka yang tampil dengan angka Periode B.
6. Ulangi beberapa kali dengan urutan dibalik.</t>
        </is>
      </c>
      <c r="K1231" s="5"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31" s="22" t="inlineStr">
        <is>
          <t>Sedang</t>
        </is>
      </c>
      <c r="M1231" s="5" t="inlineStr"/>
      <c r="N1231" s="17" t="n"/>
      <c r="O1231" s="17" t="n"/>
      <c r="P1231" s="17" t="n"/>
      <c r="Q1231" s="17" t="n"/>
      <c r="R1231" s="17" t="n"/>
    </row>
    <row r="1232" ht="215.2" customHeight="1">
      <c r="A1232" s="18" t="n">
        <v>1228</v>
      </c>
      <c r="B1232" s="18" t="n">
        <v>3</v>
      </c>
      <c r="C1232" s="19" t="inlineStr">
        <is>
          <t>LP-M-09 / Cages Track</t>
        </is>
      </c>
      <c r="D1232" s="19" t="inlineStr">
        <is>
          <t>LP-M-09</t>
        </is>
      </c>
      <c r="E1232" s="20" t="inlineStr">
        <is>
          <t>Cages Track</t>
        </is>
      </c>
      <c r="F1232" s="21" t="inlineStr">
        <is>
          <t>Laporan Periode Stasiun (LP-)</t>
        </is>
      </c>
      <c r="G1232" s="20" t="inlineStr">
        <is>
          <t>Ganti periode cepat: hanya hasil terakhir yang tampil</t>
        </is>
      </c>
      <c r="H1232" s="21" t="inlineStr">
        <is>
          <t>OPR-A</t>
        </is>
      </c>
      <c r="I1232" s="21" t="inlineStr">
        <is>
          <t>2 periode dengan angka yang berbeda jelas; koneksi lambat (gunakan throttling bila tersedia)</t>
        </is>
      </c>
      <c r="J1232" s="21" t="inlineStr">
        <is>
          <t>1. Siapkan 2 periode dengan angka yang berbeda jelas.
2. Aktifkan pembatasan kecepatan jaringan bila tersedia (throttling), supaya pemuatan terasa lambat.
3. Login di mobile, Dashboard &amp; Reporting &gt; Reporting, tekan tile Cages Track (/reports/cages-track), lalu pilih Periode dan Production Line. Pilih Periode A, lalu segera ganti ke Periode B sebelum angka A selesai muncul.
4. Tunggu sampai layar tenang.
5. Bandingkan angka yang tampil dengan angka Periode B.
6. Ulangi beberapa kali dengan urutan dibalik.</t>
        </is>
      </c>
      <c r="K1232" s="21"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32" s="18" t="inlineStr">
        <is>
          <t>Sedang</t>
        </is>
      </c>
      <c r="M1232" s="21" t="inlineStr"/>
      <c r="N1232" s="17" t="n"/>
      <c r="O1232" s="17" t="n"/>
      <c r="P1232" s="17" t="n"/>
      <c r="Q1232" s="17" t="n"/>
      <c r="R1232" s="17" t="n"/>
    </row>
    <row r="1233" ht="202" customHeight="1">
      <c r="A1233" s="22" t="n">
        <v>1229</v>
      </c>
      <c r="B1233" s="22" t="n">
        <v>3</v>
      </c>
      <c r="C1233" s="23" t="inlineStr">
        <is>
          <t>LP-M-09 / Sterilizer</t>
        </is>
      </c>
      <c r="D1233" s="23" t="inlineStr">
        <is>
          <t>LP-M-09</t>
        </is>
      </c>
      <c r="E1233" s="24" t="inlineStr">
        <is>
          <t>Sterilizer</t>
        </is>
      </c>
      <c r="F1233" s="5" t="inlineStr">
        <is>
          <t>Laporan Periode Stasiun (LP-)</t>
        </is>
      </c>
      <c r="G1233" s="24" t="inlineStr">
        <is>
          <t>Ganti periode cepat: hanya hasil terakhir yang tampil</t>
        </is>
      </c>
      <c r="H1233" s="5" t="inlineStr">
        <is>
          <t>OPR-A</t>
        </is>
      </c>
      <c r="I1233" s="5" t="inlineStr">
        <is>
          <t>2 periode dengan angka yang berbeda jelas; koneksi lambat (gunakan throttling bila tersedia)</t>
        </is>
      </c>
      <c r="J1233" s="5" t="inlineStr">
        <is>
          <t>1. Siapkan 2 periode dengan angka yang berbeda jelas.
2. Aktifkan pembatasan kecepatan jaringan bila tersedia (throttling), supaya pemuatan terasa lambat.
3. Login di mobile, Dashboard &amp; Reporting &gt; Reporting, tekan tile Sterilizer (/reports/sterilizer), lalu pilih Periode dan Production Line. Pilih Periode A, lalu segera ganti ke Periode B sebelum angka A selesai muncul.
4. Tunggu sampai layar tenang.
5. Bandingkan angka yang tampil dengan angka Periode B.
6. Ulangi beberapa kali dengan urutan dibalik.</t>
        </is>
      </c>
      <c r="K1233" s="5"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33" s="22" t="inlineStr">
        <is>
          <t>Sedang</t>
        </is>
      </c>
      <c r="M1233" s="5" t="inlineStr"/>
      <c r="N1233" s="17" t="n"/>
      <c r="O1233" s="17" t="n"/>
      <c r="P1233" s="17" t="n"/>
      <c r="Q1233" s="17" t="n"/>
      <c r="R1233" s="17" t="n"/>
    </row>
    <row r="1234" ht="202" customHeight="1">
      <c r="A1234" s="18" t="n">
        <v>1230</v>
      </c>
      <c r="B1234" s="18" t="n">
        <v>3</v>
      </c>
      <c r="C1234" s="19" t="inlineStr">
        <is>
          <t>LP-M-09 / Threshing</t>
        </is>
      </c>
      <c r="D1234" s="19" t="inlineStr">
        <is>
          <t>LP-M-09</t>
        </is>
      </c>
      <c r="E1234" s="20" t="inlineStr">
        <is>
          <t>Threshing</t>
        </is>
      </c>
      <c r="F1234" s="21" t="inlineStr">
        <is>
          <t>Laporan Periode Stasiun (LP-)</t>
        </is>
      </c>
      <c r="G1234" s="20" t="inlineStr">
        <is>
          <t>Ganti periode cepat: hanya hasil terakhir yang tampil</t>
        </is>
      </c>
      <c r="H1234" s="21" t="inlineStr">
        <is>
          <t>OPR-A</t>
        </is>
      </c>
      <c r="I1234" s="21" t="inlineStr">
        <is>
          <t>2 periode dengan angka yang berbeda jelas; koneksi lambat (gunakan throttling bila tersedia)</t>
        </is>
      </c>
      <c r="J1234" s="21" t="inlineStr">
        <is>
          <t>1. Siapkan 2 periode dengan angka yang berbeda jelas.
2. Aktifkan pembatasan kecepatan jaringan bila tersedia (throttling), supaya pemuatan terasa lambat.
3. Login di mobile, Dashboard &amp; Reporting &gt; Reporting, tekan tile Threshing (/reports/threshing), lalu pilih Periode dan Production Line. Pilih Periode A, lalu segera ganti ke Periode B sebelum angka A selesai muncul.
4. Tunggu sampai layar tenang.
5. Bandingkan angka yang tampil dengan angka Periode B.
6. Ulangi beberapa kali dengan urutan dibalik.</t>
        </is>
      </c>
      <c r="K1234" s="21"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34" s="18" t="inlineStr">
        <is>
          <t>Sedang</t>
        </is>
      </c>
      <c r="M1234" s="21" t="inlineStr"/>
      <c r="N1234" s="17" t="n"/>
      <c r="O1234" s="17" t="n"/>
      <c r="P1234" s="17" t="n"/>
      <c r="Q1234" s="17" t="n"/>
      <c r="R1234" s="17" t="n"/>
    </row>
    <row r="1235" ht="202" customHeight="1">
      <c r="A1235" s="22" t="n">
        <v>1231</v>
      </c>
      <c r="B1235" s="22" t="n">
        <v>3</v>
      </c>
      <c r="C1235" s="23" t="inlineStr">
        <is>
          <t>LP-M-09 / Pressing</t>
        </is>
      </c>
      <c r="D1235" s="23" t="inlineStr">
        <is>
          <t>LP-M-09</t>
        </is>
      </c>
      <c r="E1235" s="24" t="inlineStr">
        <is>
          <t>Pressing</t>
        </is>
      </c>
      <c r="F1235" s="5" t="inlineStr">
        <is>
          <t>Laporan Periode Stasiun (LP-)</t>
        </is>
      </c>
      <c r="G1235" s="24" t="inlineStr">
        <is>
          <t>Ganti periode cepat: hanya hasil terakhir yang tampil</t>
        </is>
      </c>
      <c r="H1235" s="5" t="inlineStr">
        <is>
          <t>OPR-A</t>
        </is>
      </c>
      <c r="I1235" s="5" t="inlineStr">
        <is>
          <t>2 periode dengan angka yang berbeda jelas; koneksi lambat (gunakan throttling bila tersedia)</t>
        </is>
      </c>
      <c r="J1235" s="5" t="inlineStr">
        <is>
          <t>1. Siapkan 2 periode dengan angka yang berbeda jelas.
2. Aktifkan pembatasan kecepatan jaringan bila tersedia (throttling), supaya pemuatan terasa lambat.
3. Login di mobile, Dashboard &amp; Reporting &gt; Reporting, tekan tile Pressing (/reports/pressing), lalu pilih Periode dan Production Line. Pilih Periode A, lalu segera ganti ke Periode B sebelum angka A selesai muncul.
4. Tunggu sampai layar tenang.
5. Bandingkan angka yang tampil dengan angka Periode B.
6. Ulangi beberapa kali dengan urutan dibalik.</t>
        </is>
      </c>
      <c r="K1235" s="5"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35" s="22" t="inlineStr">
        <is>
          <t>Sedang</t>
        </is>
      </c>
      <c r="M1235" s="5" t="inlineStr"/>
      <c r="N1235" s="17" t="n"/>
      <c r="O1235" s="17" t="n"/>
      <c r="P1235" s="17" t="n"/>
      <c r="Q1235" s="17" t="n"/>
      <c r="R1235" s="17" t="n"/>
    </row>
    <row r="1236" ht="215.2" customHeight="1">
      <c r="A1236" s="18" t="n">
        <v>1232</v>
      </c>
      <c r="B1236" s="18" t="n">
        <v>3</v>
      </c>
      <c r="C1236" s="19" t="inlineStr">
        <is>
          <t>LP-M-09 / Clarification</t>
        </is>
      </c>
      <c r="D1236" s="19" t="inlineStr">
        <is>
          <t>LP-M-09</t>
        </is>
      </c>
      <c r="E1236" s="20" t="inlineStr">
        <is>
          <t>Clarification</t>
        </is>
      </c>
      <c r="F1236" s="21" t="inlineStr">
        <is>
          <t>Laporan Periode Stasiun (LP-)</t>
        </is>
      </c>
      <c r="G1236" s="20" t="inlineStr">
        <is>
          <t>Ganti periode cepat: hanya hasil terakhir yang tampil</t>
        </is>
      </c>
      <c r="H1236" s="21" t="inlineStr">
        <is>
          <t>OPR-A</t>
        </is>
      </c>
      <c r="I1236" s="21" t="inlineStr">
        <is>
          <t>2 periode dengan angka yang berbeda jelas; koneksi lambat (gunakan throttling bila tersedia)</t>
        </is>
      </c>
      <c r="J1236" s="21" t="inlineStr">
        <is>
          <t>1. Siapkan 2 periode dengan angka yang berbeda jelas.
2. Aktifkan pembatasan kecepatan jaringan bila tersedia (throttling), supaya pemuatan terasa lambat.
3. Login di mobile, Dashboard &amp; Reporting &gt; Reporting, tekan tile Clarification (/reports/clarification), lalu pilih Periode dan Production Line. Pilih Periode A, lalu segera ganti ke Periode B sebelum angka A selesai muncul.
4. Tunggu sampai layar tenang.
5. Bandingkan angka yang tampil dengan angka Periode B.
6. Ulangi beberapa kali dengan urutan dibalik.</t>
        </is>
      </c>
      <c r="K1236" s="21"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36" s="18" t="inlineStr">
        <is>
          <t>Sedang</t>
        </is>
      </c>
      <c r="M1236" s="21" t="inlineStr"/>
      <c r="N1236" s="17" t="n"/>
      <c r="O1236" s="17" t="n"/>
      <c r="P1236" s="17" t="n"/>
      <c r="Q1236" s="17" t="n"/>
      <c r="R1236" s="17" t="n"/>
    </row>
    <row r="1237" ht="215.2" customHeight="1">
      <c r="A1237" s="11" t="n">
        <v>1233</v>
      </c>
      <c r="B1237" s="12" t="n">
        <v>1</v>
      </c>
      <c r="C1237" s="13" t="inlineStr">
        <is>
          <t>LP-M-09 / Kernel Plant</t>
        </is>
      </c>
      <c r="D1237" s="13" t="inlineStr">
        <is>
          <t>LP-M-09</t>
        </is>
      </c>
      <c r="E1237" s="15" t="inlineStr">
        <is>
          <t>Kernel Plant</t>
        </is>
      </c>
      <c r="F1237" s="14" t="inlineStr">
        <is>
          <t>Laporan Periode Stasiun (LP-)</t>
        </is>
      </c>
      <c r="G1237" s="15" t="inlineStr">
        <is>
          <t>Ganti periode cepat: hanya hasil terakhir yang tampil</t>
        </is>
      </c>
      <c r="H1237" s="14" t="inlineStr">
        <is>
          <t>OPR-A</t>
        </is>
      </c>
      <c r="I1237" s="14" t="inlineStr">
        <is>
          <t>2 periode dengan angka yang berbeda jelas; koneksi lambat (gunakan throttling bila tersedia)</t>
        </is>
      </c>
      <c r="J1237" s="14" t="inlineStr">
        <is>
          <t>1. Siapkan 2 periode dengan angka yang berbeda jelas.
2. Aktifkan pembatasan kecepatan jaringan bila tersedia (throttling), supaya pemuatan terasa lambat.
3. Login di mobile, Dashboard &amp; Reporting &gt; Reporting, tekan tile Kernel Plant (/reports/kernel-plant), lalu pilih Periode dan Production Line. Pilih Periode A, lalu segera ganti ke Periode B sebelum angka A selesai muncul.
4. Tunggu sampai layar tenang.
5. Bandingkan angka yang tampil dengan angka Periode B.
6. Ulangi beberapa kali dengan urutan dibalik.</t>
        </is>
      </c>
      <c r="K1237" s="14"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37" s="11" t="inlineStr">
        <is>
          <t>Sedang</t>
        </is>
      </c>
      <c r="M1237" s="14" t="inlineStr"/>
      <c r="N1237" s="17" t="n"/>
      <c r="O1237" s="17" t="n"/>
      <c r="P1237" s="17" t="n"/>
      <c r="Q1237" s="17" t="n"/>
      <c r="R1237" s="17" t="n"/>
    </row>
    <row r="1238" ht="215.2" customHeight="1">
      <c r="A1238" s="18" t="n">
        <v>1234</v>
      </c>
      <c r="B1238" s="18" t="n">
        <v>3</v>
      </c>
      <c r="C1238" s="19" t="inlineStr">
        <is>
          <t>LP-M-09 / Boiler Room</t>
        </is>
      </c>
      <c r="D1238" s="19" t="inlineStr">
        <is>
          <t>LP-M-09</t>
        </is>
      </c>
      <c r="E1238" s="20" t="inlineStr">
        <is>
          <t>Boiler Room</t>
        </is>
      </c>
      <c r="F1238" s="21" t="inlineStr">
        <is>
          <t>Laporan Periode Stasiun (LP-)</t>
        </is>
      </c>
      <c r="G1238" s="20" t="inlineStr">
        <is>
          <t>Ganti periode cepat: hanya hasil terakhir yang tampil</t>
        </is>
      </c>
      <c r="H1238" s="21" t="inlineStr">
        <is>
          <t>OPR-A</t>
        </is>
      </c>
      <c r="I1238" s="21" t="inlineStr">
        <is>
          <t>2 periode dengan angka yang berbeda jelas; koneksi lambat (gunakan throttling bila tersedia)</t>
        </is>
      </c>
      <c r="J1238" s="21" t="inlineStr">
        <is>
          <t>1. Siapkan 2 periode dengan angka yang berbeda jelas.
2. Aktifkan pembatasan kecepatan jaringan bila tersedia (throttling), supaya pemuatan terasa lambat.
3. Login di mobile, Dashboard &amp; Reporting &gt; Reporting, tekan tile Boiler Room (/reports/boiler-room), lalu pilih Periode dan Production Line. Pilih Periode A, lalu segera ganti ke Periode B sebelum angka A selesai muncul.
4. Tunggu sampai layar tenang.
5. Bandingkan angka yang tampil dengan angka Periode B.
6. Ulangi beberapa kali dengan urutan dibalik.</t>
        </is>
      </c>
      <c r="K1238" s="21"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38" s="18" t="inlineStr">
        <is>
          <t>Sedang</t>
        </is>
      </c>
      <c r="M1238" s="21" t="inlineStr"/>
      <c r="N1238" s="17" t="n"/>
      <c r="O1238" s="17" t="n"/>
      <c r="P1238" s="17" t="n"/>
      <c r="Q1238" s="17" t="n"/>
      <c r="R1238" s="17" t="n"/>
    </row>
    <row r="1239" ht="215.2" customHeight="1">
      <c r="A1239" s="22" t="n">
        <v>1235</v>
      </c>
      <c r="B1239" s="22" t="n">
        <v>3</v>
      </c>
      <c r="C1239" s="23" t="inlineStr">
        <is>
          <t>LP-M-09 / Depricarping</t>
        </is>
      </c>
      <c r="D1239" s="23" t="inlineStr">
        <is>
          <t>LP-M-09</t>
        </is>
      </c>
      <c r="E1239" s="24" t="inlineStr">
        <is>
          <t>Depricarping</t>
        </is>
      </c>
      <c r="F1239" s="5" t="inlineStr">
        <is>
          <t>Laporan Periode Stasiun (LP-)</t>
        </is>
      </c>
      <c r="G1239" s="24" t="inlineStr">
        <is>
          <t>Ganti periode cepat: hanya hasil terakhir yang tampil</t>
        </is>
      </c>
      <c r="H1239" s="5" t="inlineStr">
        <is>
          <t>OPR-A</t>
        </is>
      </c>
      <c r="I1239" s="5" t="inlineStr">
        <is>
          <t>2 periode dengan angka yang berbeda jelas; koneksi lambat (gunakan throttling bila tersedia)</t>
        </is>
      </c>
      <c r="J1239" s="5" t="inlineStr">
        <is>
          <t>1. Siapkan 2 periode dengan angka yang berbeda jelas.
2. Aktifkan pembatasan kecepatan jaringan bila tersedia (throttling), supaya pemuatan terasa lambat.
3. Login di mobile, Dashboard &amp; Reporting &gt; Reporting, tekan tile Depricarping (/reports/depricarping), lalu pilih Periode dan Production Line. Pilih Periode A, lalu segera ganti ke Periode B sebelum angka A selesai muncul.
4. Tunggu sampai layar tenang.
5. Bandingkan angka yang tampil dengan angka Periode B.
6. Ulangi beberapa kali dengan urutan dibalik.</t>
        </is>
      </c>
      <c r="K1239" s="5"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39" s="22" t="inlineStr">
        <is>
          <t>Sedang</t>
        </is>
      </c>
      <c r="M1239" s="5" t="inlineStr"/>
      <c r="N1239" s="17" t="n"/>
      <c r="O1239" s="17" t="n"/>
      <c r="P1239" s="17" t="n"/>
      <c r="Q1239" s="17" t="n"/>
      <c r="R1239" s="17" t="n"/>
    </row>
    <row r="1240" ht="215.2" customHeight="1">
      <c r="A1240" s="18" t="n">
        <v>1236</v>
      </c>
      <c r="B1240" s="18" t="n">
        <v>3</v>
      </c>
      <c r="C1240" s="19" t="inlineStr">
        <is>
          <t>LP-M-09 / Storage Tank</t>
        </is>
      </c>
      <c r="D1240" s="19" t="inlineStr">
        <is>
          <t>LP-M-09</t>
        </is>
      </c>
      <c r="E1240" s="20" t="inlineStr">
        <is>
          <t>Storage Tank</t>
        </is>
      </c>
      <c r="F1240" s="21" t="inlineStr">
        <is>
          <t>Laporan Periode Stasiun (LP-)</t>
        </is>
      </c>
      <c r="G1240" s="20" t="inlineStr">
        <is>
          <t>Ganti periode cepat: hanya hasil terakhir yang tampil</t>
        </is>
      </c>
      <c r="H1240" s="21" t="inlineStr">
        <is>
          <t>OPR-A</t>
        </is>
      </c>
      <c r="I1240" s="21" t="inlineStr">
        <is>
          <t>2 periode dengan angka yang berbeda jelas; koneksi lambat (gunakan throttling bila tersedia)</t>
        </is>
      </c>
      <c r="J1240" s="21" t="inlineStr">
        <is>
          <t>1. Siapkan 2 periode dengan angka yang berbeda jelas.
2. Aktifkan pembatasan kecepatan jaringan bila tersedia (throttling), supaya pemuatan terasa lambat.
3. Login di mobile, Dashboard &amp; Reporting &gt; Reporting, tekan tile Storage Tank (/reports/storage-tank), lalu pilih Periode dan Production Line. Pilih Periode A, lalu segera ganti ke Periode B sebelum angka A selesai muncul.
4. Tunggu sampai layar tenang.
5. Bandingkan angka yang tampil dengan angka Periode B.
6. Ulangi beberapa kali dengan urutan dibalik.</t>
        </is>
      </c>
      <c r="K1240" s="21"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40" s="18" t="inlineStr">
        <is>
          <t>Sedang</t>
        </is>
      </c>
      <c r="M1240" s="21" t="inlineStr"/>
      <c r="N1240" s="17" t="n"/>
      <c r="O1240" s="17" t="n"/>
      <c r="P1240" s="17" t="n"/>
      <c r="Q1240" s="17" t="n"/>
      <c r="R1240" s="17" t="n"/>
    </row>
    <row r="1241" ht="149.2" customHeight="1">
      <c r="A1241" s="22" t="n">
        <v>1237</v>
      </c>
      <c r="B1241" s="22" t="n">
        <v>3</v>
      </c>
      <c r="C1241" s="23" t="inlineStr">
        <is>
          <t>LP-M-10 / Weighbridge</t>
        </is>
      </c>
      <c r="D1241" s="23" t="inlineStr">
        <is>
          <t>LP-M-10</t>
        </is>
      </c>
      <c r="E1241" s="24" t="inlineStr">
        <is>
          <t>Weighbridge</t>
        </is>
      </c>
      <c r="F1241" s="5" t="inlineStr">
        <is>
          <t>Laporan Periode Stasiun (LP-)</t>
        </is>
      </c>
      <c r="G1241" s="24" t="inlineStr">
        <is>
          <t>Gagal jaringan tidak menghapus pilihan</t>
        </is>
      </c>
      <c r="H1241" s="5" t="inlineStr">
        <is>
          <t>OPR-A</t>
        </is>
      </c>
      <c r="I1241" s="5" t="inlineStr">
        <is>
          <t>—</t>
        </is>
      </c>
      <c r="J1241" s="5" t="inlineStr">
        <is>
          <t>1. Login di mobile, Dashboard &amp; Reporting &gt; Reporting, tekan tile Weighbridge (/reports/weighbridge), lalu pilih Periode dan Production Line. Pilih periode dan line. Catat keduanya.
2. Matikan koneksi perangkat.
3. Tekan Coba Lagi, atau ganti filter supaya pemuatan dipicu.
4. Baca pesannya, lalu periksa pemilih periode dan pemilih line.
5. Nyalakan koneksi dan tekan Coba Lagi.</t>
        </is>
      </c>
      <c r="K1241" s="5" t="inlineStr">
        <is>
          <t>- Muncul pesan jaringan beserta tombol Coba Lagi.
- Pilihan periode dan line tidak hilang — keduanya masih seperti catatan langkah 1.
- Sesudah koneksi kembali, Coba Lagi memuat laporan untuk pilihan yang sama tanpa diminta memilih ulang.</t>
        </is>
      </c>
      <c r="L1241" s="22" t="inlineStr">
        <is>
          <t>Sedang</t>
        </is>
      </c>
      <c r="M1241" s="5" t="inlineStr"/>
      <c r="N1241" s="17" t="n"/>
      <c r="O1241" s="17" t="n"/>
      <c r="P1241" s="17" t="n"/>
      <c r="Q1241" s="17" t="n"/>
      <c r="R1241" s="17" t="n"/>
    </row>
    <row r="1242" ht="136" customHeight="1">
      <c r="A1242" s="18" t="n">
        <v>1238</v>
      </c>
      <c r="B1242" s="18" t="n">
        <v>3</v>
      </c>
      <c r="C1242" s="19" t="inlineStr">
        <is>
          <t>LP-M-10 / Grading</t>
        </is>
      </c>
      <c r="D1242" s="19" t="inlineStr">
        <is>
          <t>LP-M-10</t>
        </is>
      </c>
      <c r="E1242" s="20" t="inlineStr">
        <is>
          <t>Grading</t>
        </is>
      </c>
      <c r="F1242" s="21" t="inlineStr">
        <is>
          <t>Laporan Periode Stasiun (LP-)</t>
        </is>
      </c>
      <c r="G1242" s="20" t="inlineStr">
        <is>
          <t>Gagal jaringan tidak menghapus pilihan</t>
        </is>
      </c>
      <c r="H1242" s="21" t="inlineStr">
        <is>
          <t>OPR-A</t>
        </is>
      </c>
      <c r="I1242" s="21" t="inlineStr">
        <is>
          <t>—</t>
        </is>
      </c>
      <c r="J1242" s="21" t="inlineStr">
        <is>
          <t>1. Login di mobile, Dashboard &amp; Reporting &gt; Reporting, tekan tile Grading (/reports/grading), lalu pilih Periode dan Production Line. Pilih periode dan line. Catat keduanya.
2. Matikan koneksi perangkat.
3. Tekan Coba Lagi, atau ganti filter supaya pemuatan dipicu.
4. Baca pesannya, lalu periksa pemilih periode dan pemilih line.
5. Nyalakan koneksi dan tekan Coba Lagi.</t>
        </is>
      </c>
      <c r="K1242" s="21" t="inlineStr">
        <is>
          <t>- Muncul pesan jaringan beserta tombol Coba Lagi.
- Pilihan periode dan line tidak hilang — keduanya masih seperti catatan langkah 1.
- Sesudah koneksi kembali, Coba Lagi memuat laporan untuk pilihan yang sama tanpa diminta memilih ulang.</t>
        </is>
      </c>
      <c r="L1242" s="18" t="inlineStr">
        <is>
          <t>Sedang</t>
        </is>
      </c>
      <c r="M1242" s="21" t="inlineStr"/>
      <c r="N1242" s="17" t="n"/>
      <c r="O1242" s="17" t="n"/>
      <c r="P1242" s="17" t="n"/>
      <c r="Q1242" s="17" t="n"/>
      <c r="R1242" s="17" t="n"/>
    </row>
    <row r="1243" ht="149.2" customHeight="1">
      <c r="A1243" s="22" t="n">
        <v>1239</v>
      </c>
      <c r="B1243" s="22" t="n">
        <v>3</v>
      </c>
      <c r="C1243" s="23" t="inlineStr">
        <is>
          <t>LP-M-10 / Cages Track</t>
        </is>
      </c>
      <c r="D1243" s="23" t="inlineStr">
        <is>
          <t>LP-M-10</t>
        </is>
      </c>
      <c r="E1243" s="24" t="inlineStr">
        <is>
          <t>Cages Track</t>
        </is>
      </c>
      <c r="F1243" s="5" t="inlineStr">
        <is>
          <t>Laporan Periode Stasiun (LP-)</t>
        </is>
      </c>
      <c r="G1243" s="24" t="inlineStr">
        <is>
          <t>Gagal jaringan tidak menghapus pilihan</t>
        </is>
      </c>
      <c r="H1243" s="5" t="inlineStr">
        <is>
          <t>OPR-A</t>
        </is>
      </c>
      <c r="I1243" s="5" t="inlineStr">
        <is>
          <t>—</t>
        </is>
      </c>
      <c r="J1243" s="5" t="inlineStr">
        <is>
          <t>1. Login di mobile, Dashboard &amp; Reporting &gt; Reporting, tekan tile Cages Track (/reports/cages-track), lalu pilih Periode dan Production Line. Pilih periode dan line. Catat keduanya.
2. Matikan koneksi perangkat.
3. Tekan Coba Lagi, atau ganti filter supaya pemuatan dipicu.
4. Baca pesannya, lalu periksa pemilih periode dan pemilih line.
5. Nyalakan koneksi dan tekan Coba Lagi.</t>
        </is>
      </c>
      <c r="K1243" s="5" t="inlineStr">
        <is>
          <t>- Muncul pesan jaringan beserta tombol Coba Lagi.
- Pilihan periode dan line tidak hilang — keduanya masih seperti catatan langkah 1.
- Sesudah koneksi kembali, Coba Lagi memuat laporan untuk pilihan yang sama tanpa diminta memilih ulang.</t>
        </is>
      </c>
      <c r="L1243" s="22" t="inlineStr">
        <is>
          <t>Sedang</t>
        </is>
      </c>
      <c r="M1243" s="5" t="inlineStr"/>
      <c r="N1243" s="17" t="n"/>
      <c r="O1243" s="17" t="n"/>
      <c r="P1243" s="17" t="n"/>
      <c r="Q1243" s="17" t="n"/>
      <c r="R1243" s="17" t="n"/>
    </row>
    <row r="1244" ht="149.2" customHeight="1">
      <c r="A1244" s="18" t="n">
        <v>1240</v>
      </c>
      <c r="B1244" s="18" t="n">
        <v>3</v>
      </c>
      <c r="C1244" s="19" t="inlineStr">
        <is>
          <t>LP-M-10 / Sterilizer</t>
        </is>
      </c>
      <c r="D1244" s="19" t="inlineStr">
        <is>
          <t>LP-M-10</t>
        </is>
      </c>
      <c r="E1244" s="20" t="inlineStr">
        <is>
          <t>Sterilizer</t>
        </is>
      </c>
      <c r="F1244" s="21" t="inlineStr">
        <is>
          <t>Laporan Periode Stasiun (LP-)</t>
        </is>
      </c>
      <c r="G1244" s="20" t="inlineStr">
        <is>
          <t>Gagal jaringan tidak menghapus pilihan</t>
        </is>
      </c>
      <c r="H1244" s="21" t="inlineStr">
        <is>
          <t>OPR-A</t>
        </is>
      </c>
      <c r="I1244" s="21" t="inlineStr">
        <is>
          <t>—</t>
        </is>
      </c>
      <c r="J1244" s="21" t="inlineStr">
        <is>
          <t>1. Login di mobile, Dashboard &amp; Reporting &gt; Reporting, tekan tile Sterilizer (/reports/sterilizer), lalu pilih Periode dan Production Line. Pilih periode dan line. Catat keduanya.
2. Matikan koneksi perangkat.
3. Tekan Coba Lagi, atau ganti filter supaya pemuatan dipicu.
4. Baca pesannya, lalu periksa pemilih periode dan pemilih line.
5. Nyalakan koneksi dan tekan Coba Lagi.</t>
        </is>
      </c>
      <c r="K1244" s="21" t="inlineStr">
        <is>
          <t>- Muncul pesan jaringan beserta tombol Coba Lagi.
- Pilihan periode dan line tidak hilang — keduanya masih seperti catatan langkah 1.
- Sesudah koneksi kembali, Coba Lagi memuat laporan untuk pilihan yang sama tanpa diminta memilih ulang.</t>
        </is>
      </c>
      <c r="L1244" s="18" t="inlineStr">
        <is>
          <t>Sedang</t>
        </is>
      </c>
      <c r="M1244" s="21" t="inlineStr"/>
      <c r="N1244" s="17" t="n"/>
      <c r="O1244" s="17" t="n"/>
      <c r="P1244" s="17" t="n"/>
      <c r="Q1244" s="17" t="n"/>
      <c r="R1244" s="17" t="n"/>
    </row>
    <row r="1245" ht="149.2" customHeight="1">
      <c r="A1245" s="22" t="n">
        <v>1241</v>
      </c>
      <c r="B1245" s="22" t="n">
        <v>3</v>
      </c>
      <c r="C1245" s="23" t="inlineStr">
        <is>
          <t>LP-M-10 / Threshing</t>
        </is>
      </c>
      <c r="D1245" s="23" t="inlineStr">
        <is>
          <t>LP-M-10</t>
        </is>
      </c>
      <c r="E1245" s="24" t="inlineStr">
        <is>
          <t>Threshing</t>
        </is>
      </c>
      <c r="F1245" s="5" t="inlineStr">
        <is>
          <t>Laporan Periode Stasiun (LP-)</t>
        </is>
      </c>
      <c r="G1245" s="24" t="inlineStr">
        <is>
          <t>Gagal jaringan tidak menghapus pilihan</t>
        </is>
      </c>
      <c r="H1245" s="5" t="inlineStr">
        <is>
          <t>OPR-A</t>
        </is>
      </c>
      <c r="I1245" s="5" t="inlineStr">
        <is>
          <t>—</t>
        </is>
      </c>
      <c r="J1245" s="5" t="inlineStr">
        <is>
          <t>1. Login di mobile, Dashboard &amp; Reporting &gt; Reporting, tekan tile Threshing (/reports/threshing), lalu pilih Periode dan Production Line. Pilih periode dan line. Catat keduanya.
2. Matikan koneksi perangkat.
3. Tekan Coba Lagi, atau ganti filter supaya pemuatan dipicu.
4. Baca pesannya, lalu periksa pemilih periode dan pemilih line.
5. Nyalakan koneksi dan tekan Coba Lagi.</t>
        </is>
      </c>
      <c r="K1245" s="5" t="inlineStr">
        <is>
          <t>- Muncul pesan jaringan beserta tombol Coba Lagi.
- Pilihan periode dan line tidak hilang — keduanya masih seperti catatan langkah 1.
- Sesudah koneksi kembali, Coba Lagi memuat laporan untuk pilihan yang sama tanpa diminta memilih ulang.</t>
        </is>
      </c>
      <c r="L1245" s="22" t="inlineStr">
        <is>
          <t>Sedang</t>
        </is>
      </c>
      <c r="M1245" s="5" t="inlineStr"/>
      <c r="N1245" s="17" t="n"/>
      <c r="O1245" s="17" t="n"/>
      <c r="P1245" s="17" t="n"/>
      <c r="Q1245" s="17" t="n"/>
      <c r="R1245" s="17" t="n"/>
    </row>
    <row r="1246" ht="136" customHeight="1">
      <c r="A1246" s="18" t="n">
        <v>1242</v>
      </c>
      <c r="B1246" s="18" t="n">
        <v>3</v>
      </c>
      <c r="C1246" s="19" t="inlineStr">
        <is>
          <t>LP-M-10 / Pressing</t>
        </is>
      </c>
      <c r="D1246" s="19" t="inlineStr">
        <is>
          <t>LP-M-10</t>
        </is>
      </c>
      <c r="E1246" s="20" t="inlineStr">
        <is>
          <t>Pressing</t>
        </is>
      </c>
      <c r="F1246" s="21" t="inlineStr">
        <is>
          <t>Laporan Periode Stasiun (LP-)</t>
        </is>
      </c>
      <c r="G1246" s="20" t="inlineStr">
        <is>
          <t>Gagal jaringan tidak menghapus pilihan</t>
        </is>
      </c>
      <c r="H1246" s="21" t="inlineStr">
        <is>
          <t>OPR-A</t>
        </is>
      </c>
      <c r="I1246" s="21" t="inlineStr">
        <is>
          <t>—</t>
        </is>
      </c>
      <c r="J1246" s="21" t="inlineStr">
        <is>
          <t>1. Login di mobile, Dashboard &amp; Reporting &gt; Reporting, tekan tile Pressing (/reports/pressing), lalu pilih Periode dan Production Line. Pilih periode dan line. Catat keduanya.
2. Matikan koneksi perangkat.
3. Tekan Coba Lagi, atau ganti filter supaya pemuatan dipicu.
4. Baca pesannya, lalu periksa pemilih periode dan pemilih line.
5. Nyalakan koneksi dan tekan Coba Lagi.</t>
        </is>
      </c>
      <c r="K1246" s="21" t="inlineStr">
        <is>
          <t>- Muncul pesan jaringan beserta tombol Coba Lagi.
- Pilihan periode dan line tidak hilang — keduanya masih seperti catatan langkah 1.
- Sesudah koneksi kembali, Coba Lagi memuat laporan untuk pilihan yang sama tanpa diminta memilih ulang.</t>
        </is>
      </c>
      <c r="L1246" s="18" t="inlineStr">
        <is>
          <t>Sedang</t>
        </is>
      </c>
      <c r="M1246" s="21" t="inlineStr"/>
      <c r="N1246" s="17" t="n"/>
      <c r="O1246" s="17" t="n"/>
      <c r="P1246" s="17" t="n"/>
      <c r="Q1246" s="17" t="n"/>
      <c r="R1246" s="17" t="n"/>
    </row>
    <row r="1247" ht="149.2" customHeight="1">
      <c r="A1247" s="22" t="n">
        <v>1243</v>
      </c>
      <c r="B1247" s="22" t="n">
        <v>3</v>
      </c>
      <c r="C1247" s="23" t="inlineStr">
        <is>
          <t>LP-M-10 / Clarification</t>
        </is>
      </c>
      <c r="D1247" s="23" t="inlineStr">
        <is>
          <t>LP-M-10</t>
        </is>
      </c>
      <c r="E1247" s="24" t="inlineStr">
        <is>
          <t>Clarification</t>
        </is>
      </c>
      <c r="F1247" s="5" t="inlineStr">
        <is>
          <t>Laporan Periode Stasiun (LP-)</t>
        </is>
      </c>
      <c r="G1247" s="24" t="inlineStr">
        <is>
          <t>Gagal jaringan tidak menghapus pilihan</t>
        </is>
      </c>
      <c r="H1247" s="5" t="inlineStr">
        <is>
          <t>OPR-A</t>
        </is>
      </c>
      <c r="I1247" s="5" t="inlineStr">
        <is>
          <t>—</t>
        </is>
      </c>
      <c r="J1247" s="5" t="inlineStr">
        <is>
          <t>1. Login di mobile, Dashboard &amp; Reporting &gt; Reporting, tekan tile Clarification (/reports/clarification), lalu pilih Periode dan Production Line. Pilih periode dan line. Catat keduanya.
2. Matikan koneksi perangkat.
3. Tekan Coba Lagi, atau ganti filter supaya pemuatan dipicu.
4. Baca pesannya, lalu periksa pemilih periode dan pemilih line.
5. Nyalakan koneksi dan tekan Coba Lagi.</t>
        </is>
      </c>
      <c r="K1247" s="5" t="inlineStr">
        <is>
          <t>- Muncul pesan jaringan beserta tombol Coba Lagi.
- Pilihan periode dan line tidak hilang — keduanya masih seperti catatan langkah 1.
- Sesudah koneksi kembali, Coba Lagi memuat laporan untuk pilihan yang sama tanpa diminta memilih ulang.</t>
        </is>
      </c>
      <c r="L1247" s="22" t="inlineStr">
        <is>
          <t>Sedang</t>
        </is>
      </c>
      <c r="M1247" s="5" t="inlineStr"/>
      <c r="N1247" s="17" t="n"/>
      <c r="O1247" s="17" t="n"/>
      <c r="P1247" s="17" t="n"/>
      <c r="Q1247" s="17" t="n"/>
      <c r="R1247" s="17" t="n"/>
    </row>
    <row r="1248" ht="149.2" customHeight="1">
      <c r="A1248" s="11" t="n">
        <v>1244</v>
      </c>
      <c r="B1248" s="12" t="n">
        <v>1</v>
      </c>
      <c r="C1248" s="13" t="inlineStr">
        <is>
          <t>LP-M-10 / Kernel Plant</t>
        </is>
      </c>
      <c r="D1248" s="13" t="inlineStr">
        <is>
          <t>LP-M-10</t>
        </is>
      </c>
      <c r="E1248" s="15" t="inlineStr">
        <is>
          <t>Kernel Plant</t>
        </is>
      </c>
      <c r="F1248" s="14" t="inlineStr">
        <is>
          <t>Laporan Periode Stasiun (LP-)</t>
        </is>
      </c>
      <c r="G1248" s="15" t="inlineStr">
        <is>
          <t>Gagal jaringan tidak menghapus pilihan</t>
        </is>
      </c>
      <c r="H1248" s="14" t="inlineStr">
        <is>
          <t>OPR-A</t>
        </is>
      </c>
      <c r="I1248" s="14" t="inlineStr">
        <is>
          <t>—</t>
        </is>
      </c>
      <c r="J1248" s="14" t="inlineStr">
        <is>
          <t>1. Login di mobile, Dashboard &amp; Reporting &gt; Reporting, tekan tile Kernel Plant (/reports/kernel-plant), lalu pilih Periode dan Production Line. Pilih periode dan line. Catat keduanya.
2. Matikan koneksi perangkat.
3. Tekan Coba Lagi, atau ganti filter supaya pemuatan dipicu.
4. Baca pesannya, lalu periksa pemilih periode dan pemilih line.
5. Nyalakan koneksi dan tekan Coba Lagi.</t>
        </is>
      </c>
      <c r="K1248" s="14" t="inlineStr">
        <is>
          <t>- Muncul pesan jaringan beserta tombol Coba Lagi.
- Pilihan periode dan line tidak hilang — keduanya masih seperti catatan langkah 1.
- Sesudah koneksi kembali, Coba Lagi memuat laporan untuk pilihan yang sama tanpa diminta memilih ulang.</t>
        </is>
      </c>
      <c r="L1248" s="11" t="inlineStr">
        <is>
          <t>Sedang</t>
        </is>
      </c>
      <c r="M1248" s="14" t="inlineStr"/>
      <c r="N1248" s="17" t="n"/>
      <c r="O1248" s="17" t="n"/>
      <c r="P1248" s="17" t="n"/>
      <c r="Q1248" s="17" t="n"/>
      <c r="R1248" s="17" t="n"/>
    </row>
    <row r="1249" ht="149.2" customHeight="1">
      <c r="A1249" s="22" t="n">
        <v>1245</v>
      </c>
      <c r="B1249" s="22" t="n">
        <v>3</v>
      </c>
      <c r="C1249" s="23" t="inlineStr">
        <is>
          <t>LP-M-10 / Boiler Room</t>
        </is>
      </c>
      <c r="D1249" s="23" t="inlineStr">
        <is>
          <t>LP-M-10</t>
        </is>
      </c>
      <c r="E1249" s="24" t="inlineStr">
        <is>
          <t>Boiler Room</t>
        </is>
      </c>
      <c r="F1249" s="5" t="inlineStr">
        <is>
          <t>Laporan Periode Stasiun (LP-)</t>
        </is>
      </c>
      <c r="G1249" s="24" t="inlineStr">
        <is>
          <t>Gagal jaringan tidak menghapus pilihan</t>
        </is>
      </c>
      <c r="H1249" s="5" t="inlineStr">
        <is>
          <t>OPR-A</t>
        </is>
      </c>
      <c r="I1249" s="5" t="inlineStr">
        <is>
          <t>—</t>
        </is>
      </c>
      <c r="J1249" s="5" t="inlineStr">
        <is>
          <t>1. Login di mobile, Dashboard &amp; Reporting &gt; Reporting, tekan tile Boiler Room (/reports/boiler-room), lalu pilih Periode dan Production Line. Pilih periode dan line. Catat keduanya.
2. Matikan koneksi perangkat.
3. Tekan Coba Lagi, atau ganti filter supaya pemuatan dipicu.
4. Baca pesannya, lalu periksa pemilih periode dan pemilih line.
5. Nyalakan koneksi dan tekan Coba Lagi.</t>
        </is>
      </c>
      <c r="K1249" s="5" t="inlineStr">
        <is>
          <t>- Muncul pesan jaringan beserta tombol Coba Lagi.
- Pilihan periode dan line tidak hilang — keduanya masih seperti catatan langkah 1.
- Sesudah koneksi kembali, Coba Lagi memuat laporan untuk pilihan yang sama tanpa diminta memilih ulang.</t>
        </is>
      </c>
      <c r="L1249" s="22" t="inlineStr">
        <is>
          <t>Sedang</t>
        </is>
      </c>
      <c r="M1249" s="5" t="inlineStr"/>
      <c r="N1249" s="17" t="n"/>
      <c r="O1249" s="17" t="n"/>
      <c r="P1249" s="17" t="n"/>
      <c r="Q1249" s="17" t="n"/>
      <c r="R1249" s="17" t="n"/>
    </row>
    <row r="1250" ht="149.2" customHeight="1">
      <c r="A1250" s="18" t="n">
        <v>1246</v>
      </c>
      <c r="B1250" s="18" t="n">
        <v>3</v>
      </c>
      <c r="C1250" s="19" t="inlineStr">
        <is>
          <t>LP-M-10 / Depricarping</t>
        </is>
      </c>
      <c r="D1250" s="19" t="inlineStr">
        <is>
          <t>LP-M-10</t>
        </is>
      </c>
      <c r="E1250" s="20" t="inlineStr">
        <is>
          <t>Depricarping</t>
        </is>
      </c>
      <c r="F1250" s="21" t="inlineStr">
        <is>
          <t>Laporan Periode Stasiun (LP-)</t>
        </is>
      </c>
      <c r="G1250" s="20" t="inlineStr">
        <is>
          <t>Gagal jaringan tidak menghapus pilihan</t>
        </is>
      </c>
      <c r="H1250" s="21" t="inlineStr">
        <is>
          <t>OPR-A</t>
        </is>
      </c>
      <c r="I1250" s="21" t="inlineStr">
        <is>
          <t>—</t>
        </is>
      </c>
      <c r="J1250" s="21" t="inlineStr">
        <is>
          <t>1. Login di mobile, Dashboard &amp; Reporting &gt; Reporting, tekan tile Depricarping (/reports/depricarping), lalu pilih Periode dan Production Line. Pilih periode dan line. Catat keduanya.
2. Matikan koneksi perangkat.
3. Tekan Coba Lagi, atau ganti filter supaya pemuatan dipicu.
4. Baca pesannya, lalu periksa pemilih periode dan pemilih line.
5. Nyalakan koneksi dan tekan Coba Lagi.</t>
        </is>
      </c>
      <c r="K1250" s="21" t="inlineStr">
        <is>
          <t>- Muncul pesan jaringan beserta tombol Coba Lagi.
- Pilihan periode dan line tidak hilang — keduanya masih seperti catatan langkah 1.
- Sesudah koneksi kembali, Coba Lagi memuat laporan untuk pilihan yang sama tanpa diminta memilih ulang.</t>
        </is>
      </c>
      <c r="L1250" s="18" t="inlineStr">
        <is>
          <t>Sedang</t>
        </is>
      </c>
      <c r="M1250" s="21" t="inlineStr"/>
      <c r="N1250" s="17" t="n"/>
      <c r="O1250" s="17" t="n"/>
      <c r="P1250" s="17" t="n"/>
      <c r="Q1250" s="17" t="n"/>
      <c r="R1250" s="17" t="n"/>
    </row>
    <row r="1251" ht="149.2" customHeight="1">
      <c r="A1251" s="22" t="n">
        <v>1247</v>
      </c>
      <c r="B1251" s="22" t="n">
        <v>3</v>
      </c>
      <c r="C1251" s="23" t="inlineStr">
        <is>
          <t>LP-M-10 / Storage Tank</t>
        </is>
      </c>
      <c r="D1251" s="23" t="inlineStr">
        <is>
          <t>LP-M-10</t>
        </is>
      </c>
      <c r="E1251" s="24" t="inlineStr">
        <is>
          <t>Storage Tank</t>
        </is>
      </c>
      <c r="F1251" s="5" t="inlineStr">
        <is>
          <t>Laporan Periode Stasiun (LP-)</t>
        </is>
      </c>
      <c r="G1251" s="24" t="inlineStr">
        <is>
          <t>Gagal jaringan tidak menghapus pilihan</t>
        </is>
      </c>
      <c r="H1251" s="5" t="inlineStr">
        <is>
          <t>OPR-A</t>
        </is>
      </c>
      <c r="I1251" s="5" t="inlineStr">
        <is>
          <t>—</t>
        </is>
      </c>
      <c r="J1251" s="5" t="inlineStr">
        <is>
          <t>1. Login di mobile, Dashboard &amp; Reporting &gt; Reporting, tekan tile Storage Tank (/reports/storage-tank), lalu pilih Periode dan Production Line. Pilih periode dan line. Catat keduanya.
2. Matikan koneksi perangkat.
3. Tekan Coba Lagi, atau ganti filter supaya pemuatan dipicu.
4. Baca pesannya, lalu periksa pemilih periode dan pemilih line.
5. Nyalakan koneksi dan tekan Coba Lagi.</t>
        </is>
      </c>
      <c r="K1251" s="5" t="inlineStr">
        <is>
          <t>- Muncul pesan jaringan beserta tombol Coba Lagi.
- Pilihan periode dan line tidak hilang — keduanya masih seperti catatan langkah 1.
- Sesudah koneksi kembali, Coba Lagi memuat laporan untuk pilihan yang sama tanpa diminta memilih ulang.</t>
        </is>
      </c>
      <c r="L1251" s="22" t="inlineStr">
        <is>
          <t>Sedang</t>
        </is>
      </c>
      <c r="M1251" s="5" t="inlineStr"/>
      <c r="N1251" s="17" t="n"/>
      <c r="O1251" s="17" t="n"/>
      <c r="P1251" s="17" t="n"/>
      <c r="Q1251" s="17" t="n"/>
      <c r="R1251" s="17" t="n"/>
    </row>
    <row r="1252" ht="136" customHeight="1">
      <c r="A1252" s="18" t="n">
        <v>1248</v>
      </c>
      <c r="B1252" s="18" t="n">
        <v>3</v>
      </c>
      <c r="C1252" s="19" t="inlineStr">
        <is>
          <t>LP-M-11 / Weighbridge</t>
        </is>
      </c>
      <c r="D1252" s="19" t="inlineStr">
        <is>
          <t>LP-M-11</t>
        </is>
      </c>
      <c r="E1252" s="20" t="inlineStr">
        <is>
          <t>Weighbridge</t>
        </is>
      </c>
      <c r="F1252" s="21" t="inlineStr">
        <is>
          <t>Laporan Periode Stasiun (LP-)</t>
        </is>
      </c>
      <c r="G1252" s="20" t="inlineStr">
        <is>
          <t>Ekspor CSV berhasil mengunduh</t>
        </is>
      </c>
      <c r="H1252" s="21" t="inlineStr">
        <is>
          <t>OPR-A</t>
        </is>
      </c>
      <c r="I1252" s="21" t="inlineStr">
        <is>
          <t>—</t>
        </is>
      </c>
      <c r="J1252" s="21" t="inlineStr">
        <is>
          <t>1. Login di mobile, Dashboard &amp; Reporting &gt; Reporting, tekan tile Weighbridge (/reports/weighbridge), lalu pilih Periode dan Production Line dengan data.
2. Baca tombol di bagian bawah layar.
3. Tekan Ekspor CSV.
4. Periksa folder unduhan perangkat dan buka berkasnya.
5. Cocokkan beberapa angka dengan yang di layar.</t>
        </is>
      </c>
      <c r="K1252" s="21" t="inlineStr">
        <is>
          <t>- Hanya ada pilihan CSV (lihat LS-12).
- Berkas benar-benar terunduh dan dapat dibuka.
- Nama berkasnya menyebut stasiun dan periode.
- Angkanya cocok dengan layar.</t>
        </is>
      </c>
      <c r="L1252" s="18" t="inlineStr">
        <is>
          <t>Sedang</t>
        </is>
      </c>
      <c r="M1252" s="21" t="inlineStr"/>
      <c r="N1252" s="17" t="n"/>
      <c r="O1252" s="17" t="n"/>
      <c r="P1252" s="17" t="n"/>
      <c r="Q1252" s="17" t="n"/>
      <c r="R1252" s="17" t="n"/>
    </row>
    <row r="1253" ht="136" customHeight="1">
      <c r="A1253" s="22" t="n">
        <v>1249</v>
      </c>
      <c r="B1253" s="22" t="n">
        <v>3</v>
      </c>
      <c r="C1253" s="23" t="inlineStr">
        <is>
          <t>LP-M-11 / Grading</t>
        </is>
      </c>
      <c r="D1253" s="23" t="inlineStr">
        <is>
          <t>LP-M-11</t>
        </is>
      </c>
      <c r="E1253" s="24" t="inlineStr">
        <is>
          <t>Grading</t>
        </is>
      </c>
      <c r="F1253" s="5" t="inlineStr">
        <is>
          <t>Laporan Periode Stasiun (LP-)</t>
        </is>
      </c>
      <c r="G1253" s="24" t="inlineStr">
        <is>
          <t>Ekspor CSV berhasil mengunduh</t>
        </is>
      </c>
      <c r="H1253" s="5" t="inlineStr">
        <is>
          <t>OPR-A</t>
        </is>
      </c>
      <c r="I1253" s="5" t="inlineStr">
        <is>
          <t>—</t>
        </is>
      </c>
      <c r="J1253" s="5" t="inlineStr">
        <is>
          <t>1. Login di mobile, Dashboard &amp; Reporting &gt; Reporting, tekan tile Grading (/reports/grading), lalu pilih Periode dan Production Line dengan data.
2. Baca tombol di bagian bawah layar.
3. Tekan Ekspor CSV.
4. Periksa folder unduhan perangkat dan buka berkasnya.
5. Cocokkan beberapa angka dengan yang di layar.</t>
        </is>
      </c>
      <c r="K1253" s="5" t="inlineStr">
        <is>
          <t>- Hanya ada pilihan CSV (lihat LS-12).
- Berkas benar-benar terunduh dan dapat dibuka.
- Nama berkasnya menyebut stasiun dan periode.
- Angkanya cocok dengan layar.</t>
        </is>
      </c>
      <c r="L1253" s="22" t="inlineStr">
        <is>
          <t>Sedang</t>
        </is>
      </c>
      <c r="M1253" s="5" t="inlineStr"/>
      <c r="N1253" s="17" t="n"/>
      <c r="O1253" s="17" t="n"/>
      <c r="P1253" s="17" t="n"/>
      <c r="Q1253" s="17" t="n"/>
      <c r="R1253" s="17" t="n"/>
    </row>
    <row r="1254" ht="136" customHeight="1">
      <c r="A1254" s="18" t="n">
        <v>1250</v>
      </c>
      <c r="B1254" s="18" t="n">
        <v>3</v>
      </c>
      <c r="C1254" s="19" t="inlineStr">
        <is>
          <t>LP-M-11 / Cages Track</t>
        </is>
      </c>
      <c r="D1254" s="19" t="inlineStr">
        <is>
          <t>LP-M-11</t>
        </is>
      </c>
      <c r="E1254" s="20" t="inlineStr">
        <is>
          <t>Cages Track</t>
        </is>
      </c>
      <c r="F1254" s="21" t="inlineStr">
        <is>
          <t>Laporan Periode Stasiun (LP-)</t>
        </is>
      </c>
      <c r="G1254" s="20" t="inlineStr">
        <is>
          <t>Ekspor CSV berhasil mengunduh</t>
        </is>
      </c>
      <c r="H1254" s="21" t="inlineStr">
        <is>
          <t>OPR-A</t>
        </is>
      </c>
      <c r="I1254" s="21" t="inlineStr">
        <is>
          <t>—</t>
        </is>
      </c>
      <c r="J1254" s="21" t="inlineStr">
        <is>
          <t>1. Login di mobile, Dashboard &amp; Reporting &gt; Reporting, tekan tile Cages Track (/reports/cages-track), lalu pilih Periode dan Production Line dengan data.
2. Baca tombol di bagian bawah layar.
3. Tekan Ekspor CSV.
4. Periksa folder unduhan perangkat dan buka berkasnya.
5. Cocokkan beberapa angka dengan yang di layar.</t>
        </is>
      </c>
      <c r="K1254" s="21" t="inlineStr">
        <is>
          <t>- Hanya ada pilihan CSV (lihat LS-12).
- Berkas benar-benar terunduh dan dapat dibuka.
- Nama berkasnya menyebut stasiun dan periode.
- Angkanya cocok dengan layar.</t>
        </is>
      </c>
      <c r="L1254" s="18" t="inlineStr">
        <is>
          <t>Sedang</t>
        </is>
      </c>
      <c r="M1254" s="21" t="inlineStr"/>
      <c r="N1254" s="17" t="n"/>
      <c r="O1254" s="17" t="n"/>
      <c r="P1254" s="17" t="n"/>
      <c r="Q1254" s="17" t="n"/>
      <c r="R1254" s="17" t="n"/>
    </row>
    <row r="1255" ht="136" customHeight="1">
      <c r="A1255" s="22" t="n">
        <v>1251</v>
      </c>
      <c r="B1255" s="22" t="n">
        <v>3</v>
      </c>
      <c r="C1255" s="23" t="inlineStr">
        <is>
          <t>LP-M-11 / Sterilizer</t>
        </is>
      </c>
      <c r="D1255" s="23" t="inlineStr">
        <is>
          <t>LP-M-11</t>
        </is>
      </c>
      <c r="E1255" s="24" t="inlineStr">
        <is>
          <t>Sterilizer</t>
        </is>
      </c>
      <c r="F1255" s="5" t="inlineStr">
        <is>
          <t>Laporan Periode Stasiun (LP-)</t>
        </is>
      </c>
      <c r="G1255" s="24" t="inlineStr">
        <is>
          <t>Ekspor CSV berhasil mengunduh</t>
        </is>
      </c>
      <c r="H1255" s="5" t="inlineStr">
        <is>
          <t>OPR-A</t>
        </is>
      </c>
      <c r="I1255" s="5" t="inlineStr">
        <is>
          <t>—</t>
        </is>
      </c>
      <c r="J1255" s="5" t="inlineStr">
        <is>
          <t>1. Login di mobile, Dashboard &amp; Reporting &gt; Reporting, tekan tile Sterilizer (/reports/sterilizer), lalu pilih Periode dan Production Line dengan data.
2. Baca tombol di bagian bawah layar.
3. Tekan Ekspor CSV.
4. Periksa folder unduhan perangkat dan buka berkasnya.
5. Cocokkan beberapa angka dengan yang di layar.</t>
        </is>
      </c>
      <c r="K1255" s="5" t="inlineStr">
        <is>
          <t>- Hanya ada pilihan CSV (lihat LS-12).
- Berkas benar-benar terunduh dan dapat dibuka.
- Nama berkasnya menyebut stasiun dan periode.
- Angkanya cocok dengan layar.</t>
        </is>
      </c>
      <c r="L1255" s="22" t="inlineStr">
        <is>
          <t>Sedang</t>
        </is>
      </c>
      <c r="M1255" s="5" t="inlineStr"/>
      <c r="N1255" s="17" t="n"/>
      <c r="O1255" s="17" t="n"/>
      <c r="P1255" s="17" t="n"/>
      <c r="Q1255" s="17" t="n"/>
      <c r="R1255" s="17" t="n"/>
    </row>
    <row r="1256" ht="136" customHeight="1">
      <c r="A1256" s="18" t="n">
        <v>1252</v>
      </c>
      <c r="B1256" s="18" t="n">
        <v>3</v>
      </c>
      <c r="C1256" s="19" t="inlineStr">
        <is>
          <t>LP-M-11 / Threshing</t>
        </is>
      </c>
      <c r="D1256" s="19" t="inlineStr">
        <is>
          <t>LP-M-11</t>
        </is>
      </c>
      <c r="E1256" s="20" t="inlineStr">
        <is>
          <t>Threshing</t>
        </is>
      </c>
      <c r="F1256" s="21" t="inlineStr">
        <is>
          <t>Laporan Periode Stasiun (LP-)</t>
        </is>
      </c>
      <c r="G1256" s="20" t="inlineStr">
        <is>
          <t>Ekspor CSV berhasil mengunduh</t>
        </is>
      </c>
      <c r="H1256" s="21" t="inlineStr">
        <is>
          <t>OPR-A</t>
        </is>
      </c>
      <c r="I1256" s="21" t="inlineStr">
        <is>
          <t>—</t>
        </is>
      </c>
      <c r="J1256" s="21" t="inlineStr">
        <is>
          <t>1. Login di mobile, Dashboard &amp; Reporting &gt; Reporting, tekan tile Threshing (/reports/threshing), lalu pilih Periode dan Production Line dengan data.
2. Baca tombol di bagian bawah layar.
3. Tekan Ekspor CSV.
4. Periksa folder unduhan perangkat dan buka berkasnya.
5. Cocokkan beberapa angka dengan yang di layar.</t>
        </is>
      </c>
      <c r="K1256" s="21" t="inlineStr">
        <is>
          <t>- Hanya ada pilihan CSV (lihat LS-12).
- Berkas benar-benar terunduh dan dapat dibuka.
- Nama berkasnya menyebut stasiun dan periode.
- Angkanya cocok dengan layar.</t>
        </is>
      </c>
      <c r="L1256" s="18" t="inlineStr">
        <is>
          <t>Sedang</t>
        </is>
      </c>
      <c r="M1256" s="21" t="inlineStr"/>
      <c r="N1256" s="17" t="n"/>
      <c r="O1256" s="17" t="n"/>
      <c r="P1256" s="17" t="n"/>
      <c r="Q1256" s="17" t="n"/>
      <c r="R1256" s="17" t="n"/>
    </row>
    <row r="1257" ht="136" customHeight="1">
      <c r="A1257" s="22" t="n">
        <v>1253</v>
      </c>
      <c r="B1257" s="22" t="n">
        <v>3</v>
      </c>
      <c r="C1257" s="23" t="inlineStr">
        <is>
          <t>LP-M-11 / Pressing</t>
        </is>
      </c>
      <c r="D1257" s="23" t="inlineStr">
        <is>
          <t>LP-M-11</t>
        </is>
      </c>
      <c r="E1257" s="24" t="inlineStr">
        <is>
          <t>Pressing</t>
        </is>
      </c>
      <c r="F1257" s="5" t="inlineStr">
        <is>
          <t>Laporan Periode Stasiun (LP-)</t>
        </is>
      </c>
      <c r="G1257" s="24" t="inlineStr">
        <is>
          <t>Ekspor CSV berhasil mengunduh</t>
        </is>
      </c>
      <c r="H1257" s="5" t="inlineStr">
        <is>
          <t>OPR-A</t>
        </is>
      </c>
      <c r="I1257" s="5" t="inlineStr">
        <is>
          <t>—</t>
        </is>
      </c>
      <c r="J1257" s="5" t="inlineStr">
        <is>
          <t>1. Login di mobile, Dashboard &amp; Reporting &gt; Reporting, tekan tile Pressing (/reports/pressing), lalu pilih Periode dan Production Line dengan data.
2. Baca tombol di bagian bawah layar.
3. Tekan Ekspor CSV.
4. Periksa folder unduhan perangkat dan buka berkasnya.
5. Cocokkan beberapa angka dengan yang di layar.</t>
        </is>
      </c>
      <c r="K1257" s="5" t="inlineStr">
        <is>
          <t>- Hanya ada pilihan CSV (lihat LS-12).
- Berkas benar-benar terunduh dan dapat dibuka.
- Nama berkasnya menyebut stasiun dan periode.
- Angkanya cocok dengan layar.</t>
        </is>
      </c>
      <c r="L1257" s="22" t="inlineStr">
        <is>
          <t>Sedang</t>
        </is>
      </c>
      <c r="M1257" s="5" t="inlineStr"/>
      <c r="N1257" s="17" t="n"/>
      <c r="O1257" s="17" t="n"/>
      <c r="P1257" s="17" t="n"/>
      <c r="Q1257" s="17" t="n"/>
      <c r="R1257" s="17" t="n"/>
    </row>
    <row r="1258" ht="136" customHeight="1">
      <c r="A1258" s="18" t="n">
        <v>1254</v>
      </c>
      <c r="B1258" s="18" t="n">
        <v>3</v>
      </c>
      <c r="C1258" s="19" t="inlineStr">
        <is>
          <t>LP-M-11 / Clarification</t>
        </is>
      </c>
      <c r="D1258" s="19" t="inlineStr">
        <is>
          <t>LP-M-11</t>
        </is>
      </c>
      <c r="E1258" s="20" t="inlineStr">
        <is>
          <t>Clarification</t>
        </is>
      </c>
      <c r="F1258" s="21" t="inlineStr">
        <is>
          <t>Laporan Periode Stasiun (LP-)</t>
        </is>
      </c>
      <c r="G1258" s="20" t="inlineStr">
        <is>
          <t>Ekspor CSV berhasil mengunduh</t>
        </is>
      </c>
      <c r="H1258" s="21" t="inlineStr">
        <is>
          <t>OPR-A</t>
        </is>
      </c>
      <c r="I1258" s="21" t="inlineStr">
        <is>
          <t>—</t>
        </is>
      </c>
      <c r="J1258" s="21" t="inlineStr">
        <is>
          <t>1. Login di mobile, Dashboard &amp; Reporting &gt; Reporting, tekan tile Clarification (/reports/clarification), lalu pilih Periode dan Production Line dengan data.
2. Baca tombol di bagian bawah layar.
3. Tekan Ekspor CSV.
4. Periksa folder unduhan perangkat dan buka berkasnya.
5. Cocokkan beberapa angka dengan yang di layar.</t>
        </is>
      </c>
      <c r="K1258" s="21" t="inlineStr">
        <is>
          <t>- Hanya ada pilihan CSV (lihat LS-12).
- Berkas benar-benar terunduh dan dapat dibuka.
- Nama berkasnya menyebut stasiun dan periode.
- Angkanya cocok dengan layar.</t>
        </is>
      </c>
      <c r="L1258" s="18" t="inlineStr">
        <is>
          <t>Sedang</t>
        </is>
      </c>
      <c r="M1258" s="21" t="inlineStr"/>
      <c r="N1258" s="17" t="n"/>
      <c r="O1258" s="17" t="n"/>
      <c r="P1258" s="17" t="n"/>
      <c r="Q1258" s="17" t="n"/>
      <c r="R1258" s="17" t="n"/>
    </row>
    <row r="1259" ht="136" customHeight="1">
      <c r="A1259" s="11" t="n">
        <v>1255</v>
      </c>
      <c r="B1259" s="12" t="n">
        <v>1</v>
      </c>
      <c r="C1259" s="13" t="inlineStr">
        <is>
          <t>LP-M-11 / Kernel Plant</t>
        </is>
      </c>
      <c r="D1259" s="13" t="inlineStr">
        <is>
          <t>LP-M-11</t>
        </is>
      </c>
      <c r="E1259" s="15" t="inlineStr">
        <is>
          <t>Kernel Plant</t>
        </is>
      </c>
      <c r="F1259" s="14" t="inlineStr">
        <is>
          <t>Laporan Periode Stasiun (LP-)</t>
        </is>
      </c>
      <c r="G1259" s="15" t="inlineStr">
        <is>
          <t>Ekspor CSV berhasil mengunduh</t>
        </is>
      </c>
      <c r="H1259" s="14" t="inlineStr">
        <is>
          <t>OPR-A</t>
        </is>
      </c>
      <c r="I1259" s="14" t="inlineStr">
        <is>
          <t>—</t>
        </is>
      </c>
      <c r="J1259" s="14" t="inlineStr">
        <is>
          <t>1. Login di mobile, Dashboard &amp; Reporting &gt; Reporting, tekan tile Kernel Plant (/reports/kernel-plant), lalu pilih Periode dan Production Line dengan data.
2. Baca tombol di bagian bawah layar.
3. Tekan Ekspor CSV.
4. Periksa folder unduhan perangkat dan buka berkasnya.
5. Cocokkan beberapa angka dengan yang di layar.</t>
        </is>
      </c>
      <c r="K1259" s="14" t="inlineStr">
        <is>
          <t>- Hanya ada pilihan CSV (lihat LS-12).
- Berkas benar-benar terunduh dan dapat dibuka.
- Nama berkasnya menyebut stasiun dan periode.
- Angkanya cocok dengan layar.</t>
        </is>
      </c>
      <c r="L1259" s="11" t="inlineStr">
        <is>
          <t>Sedang</t>
        </is>
      </c>
      <c r="M1259" s="14" t="inlineStr"/>
      <c r="N1259" s="17" t="n"/>
      <c r="O1259" s="17" t="n"/>
      <c r="P1259" s="17" t="n"/>
      <c r="Q1259" s="17" t="n"/>
      <c r="R1259" s="17" t="n"/>
    </row>
    <row r="1260" ht="136" customHeight="1">
      <c r="A1260" s="18" t="n">
        <v>1256</v>
      </c>
      <c r="B1260" s="18" t="n">
        <v>3</v>
      </c>
      <c r="C1260" s="19" t="inlineStr">
        <is>
          <t>LP-M-11 / Boiler Room</t>
        </is>
      </c>
      <c r="D1260" s="19" t="inlineStr">
        <is>
          <t>LP-M-11</t>
        </is>
      </c>
      <c r="E1260" s="20" t="inlineStr">
        <is>
          <t>Boiler Room</t>
        </is>
      </c>
      <c r="F1260" s="21" t="inlineStr">
        <is>
          <t>Laporan Periode Stasiun (LP-)</t>
        </is>
      </c>
      <c r="G1260" s="20" t="inlineStr">
        <is>
          <t>Ekspor CSV berhasil mengunduh</t>
        </is>
      </c>
      <c r="H1260" s="21" t="inlineStr">
        <is>
          <t>OPR-A</t>
        </is>
      </c>
      <c r="I1260" s="21" t="inlineStr">
        <is>
          <t>—</t>
        </is>
      </c>
      <c r="J1260" s="21" t="inlineStr">
        <is>
          <t>1. Login di mobile, Dashboard &amp; Reporting &gt; Reporting, tekan tile Boiler Room (/reports/boiler-room), lalu pilih Periode dan Production Line dengan data.
2. Baca tombol di bagian bawah layar.
3. Tekan Ekspor CSV.
4. Periksa folder unduhan perangkat dan buka berkasnya.
5. Cocokkan beberapa angka dengan yang di layar.</t>
        </is>
      </c>
      <c r="K1260" s="21" t="inlineStr">
        <is>
          <t>- Hanya ada pilihan CSV (lihat LS-12).
- Berkas benar-benar terunduh dan dapat dibuka.
- Nama berkasnya menyebut stasiun dan periode.
- Angkanya cocok dengan layar.</t>
        </is>
      </c>
      <c r="L1260" s="18" t="inlineStr">
        <is>
          <t>Sedang</t>
        </is>
      </c>
      <c r="M1260" s="21" t="inlineStr"/>
      <c r="N1260" s="17" t="n"/>
      <c r="O1260" s="17" t="n"/>
      <c r="P1260" s="17" t="n"/>
      <c r="Q1260" s="17" t="n"/>
      <c r="R1260" s="17" t="n"/>
    </row>
    <row r="1261" ht="136" customHeight="1">
      <c r="A1261" s="22" t="n">
        <v>1257</v>
      </c>
      <c r="B1261" s="22" t="n">
        <v>3</v>
      </c>
      <c r="C1261" s="23" t="inlineStr">
        <is>
          <t>LP-M-11 / Depricarping</t>
        </is>
      </c>
      <c r="D1261" s="23" t="inlineStr">
        <is>
          <t>LP-M-11</t>
        </is>
      </c>
      <c r="E1261" s="24" t="inlineStr">
        <is>
          <t>Depricarping</t>
        </is>
      </c>
      <c r="F1261" s="5" t="inlineStr">
        <is>
          <t>Laporan Periode Stasiun (LP-)</t>
        </is>
      </c>
      <c r="G1261" s="24" t="inlineStr">
        <is>
          <t>Ekspor CSV berhasil mengunduh</t>
        </is>
      </c>
      <c r="H1261" s="5" t="inlineStr">
        <is>
          <t>OPR-A</t>
        </is>
      </c>
      <c r="I1261" s="5" t="inlineStr">
        <is>
          <t>—</t>
        </is>
      </c>
      <c r="J1261" s="5" t="inlineStr">
        <is>
          <t>1. Login di mobile, Dashboard &amp; Reporting &gt; Reporting, tekan tile Depricarping (/reports/depricarping), lalu pilih Periode dan Production Line dengan data.
2. Baca tombol di bagian bawah layar.
3. Tekan Ekspor CSV.
4. Periksa folder unduhan perangkat dan buka berkasnya.
5. Cocokkan beberapa angka dengan yang di layar.</t>
        </is>
      </c>
      <c r="K1261" s="5" t="inlineStr">
        <is>
          <t>- Hanya ada pilihan CSV (lihat LS-12).
- Berkas benar-benar terunduh dan dapat dibuka.
- Nama berkasnya menyebut stasiun dan periode.
- Angkanya cocok dengan layar.</t>
        </is>
      </c>
      <c r="L1261" s="22" t="inlineStr">
        <is>
          <t>Sedang</t>
        </is>
      </c>
      <c r="M1261" s="5" t="inlineStr"/>
      <c r="N1261" s="17" t="n"/>
      <c r="O1261" s="17" t="n"/>
      <c r="P1261" s="17" t="n"/>
      <c r="Q1261" s="17" t="n"/>
      <c r="R1261" s="17" t="n"/>
    </row>
    <row r="1262" ht="136" customHeight="1">
      <c r="A1262" s="18" t="n">
        <v>1258</v>
      </c>
      <c r="B1262" s="18" t="n">
        <v>3</v>
      </c>
      <c r="C1262" s="19" t="inlineStr">
        <is>
          <t>LP-M-11 / Storage Tank</t>
        </is>
      </c>
      <c r="D1262" s="19" t="inlineStr">
        <is>
          <t>LP-M-11</t>
        </is>
      </c>
      <c r="E1262" s="20" t="inlineStr">
        <is>
          <t>Storage Tank</t>
        </is>
      </c>
      <c r="F1262" s="21" t="inlineStr">
        <is>
          <t>Laporan Periode Stasiun (LP-)</t>
        </is>
      </c>
      <c r="G1262" s="20" t="inlineStr">
        <is>
          <t>Ekspor CSV berhasil mengunduh</t>
        </is>
      </c>
      <c r="H1262" s="21" t="inlineStr">
        <is>
          <t>OPR-A</t>
        </is>
      </c>
      <c r="I1262" s="21" t="inlineStr">
        <is>
          <t>—</t>
        </is>
      </c>
      <c r="J1262" s="21" t="inlineStr">
        <is>
          <t>1. Login di mobile, Dashboard &amp; Reporting &gt; Reporting, tekan tile Storage Tank (/reports/storage-tank), lalu pilih Periode dan Production Line dengan data.
2. Baca tombol di bagian bawah layar.
3. Tekan Ekspor CSV.
4. Periksa folder unduhan perangkat dan buka berkasnya.
5. Cocokkan beberapa angka dengan yang di layar.</t>
        </is>
      </c>
      <c r="K1262" s="21" t="inlineStr">
        <is>
          <t>- Hanya ada pilihan CSV (lihat LS-12).
- Berkas benar-benar terunduh dan dapat dibuka.
- Nama berkasnya menyebut stasiun dan periode.
- Angkanya cocok dengan layar.</t>
        </is>
      </c>
      <c r="L1262" s="18" t="inlineStr">
        <is>
          <t>Sedang</t>
        </is>
      </c>
      <c r="M1262" s="21" t="inlineStr"/>
      <c r="N1262" s="17" t="n"/>
      <c r="O1262" s="17" t="n"/>
      <c r="P1262" s="17" t="n"/>
      <c r="Q1262" s="17" t="n"/>
      <c r="R1262" s="17" t="n"/>
    </row>
    <row r="1263" ht="109.6" customHeight="1">
      <c r="A1263" s="22" t="n">
        <v>1259</v>
      </c>
      <c r="B1263" s="22" t="n">
        <v>3</v>
      </c>
      <c r="C1263" s="23" t="inlineStr">
        <is>
          <t>LP-M-12 / Weighbridge</t>
        </is>
      </c>
      <c r="D1263" s="23" t="inlineStr">
        <is>
          <t>LP-M-12</t>
        </is>
      </c>
      <c r="E1263" s="24" t="inlineStr">
        <is>
          <t>Weighbridge</t>
        </is>
      </c>
      <c r="F1263" s="5" t="inlineStr">
        <is>
          <t>Laporan Periode Stasiun (LP-)</t>
        </is>
      </c>
      <c r="G1263" s="24" t="inlineStr">
        <is>
          <t>Laporan mobile read-only</t>
        </is>
      </c>
      <c r="H1263" s="5" t="inlineStr">
        <is>
          <t>OPR-A</t>
        </is>
      </c>
      <c r="I1263" s="5" t="inlineStr">
        <is>
          <t>—</t>
        </is>
      </c>
      <c r="J1263" s="5" t="inlineStr">
        <is>
          <t>1. Login di mobile, Dashboard &amp; Reporting &gt; Reporting, tekan tile Weighbridge (/reports/weighbridge), lalu pilih Periode dan Production Line dengan data.
2. Baca seluruh tombol di layar, termasuk yang di bagian bawah.
3. Coba ketik atau ubah nilai pada kartu parameter dan pada rekap.</t>
        </is>
      </c>
      <c r="K1263" s="5" t="inlineStr">
        <is>
          <t>- Tombol di bagian bawah hanya Ekspor dan Back — tidak ada Simpan, Edit, atau Hapus.
- Tidak satu pun angka dapat diubah.
- Tidak ada kolom input di layar ini selain pemilih periode/line/mill.</t>
        </is>
      </c>
      <c r="L1263" s="16" t="inlineStr">
        <is>
          <t>Tinggi</t>
        </is>
      </c>
      <c r="M1263" s="5" t="inlineStr"/>
      <c r="N1263" s="17" t="n"/>
      <c r="O1263" s="17" t="n"/>
      <c r="P1263" s="17" t="n"/>
      <c r="Q1263" s="17" t="n"/>
      <c r="R1263" s="17" t="n"/>
    </row>
    <row r="1264" ht="109.6" customHeight="1">
      <c r="A1264" s="18" t="n">
        <v>1260</v>
      </c>
      <c r="B1264" s="18" t="n">
        <v>3</v>
      </c>
      <c r="C1264" s="19" t="inlineStr">
        <is>
          <t>LP-M-12 / Grading</t>
        </is>
      </c>
      <c r="D1264" s="19" t="inlineStr">
        <is>
          <t>LP-M-12</t>
        </is>
      </c>
      <c r="E1264" s="20" t="inlineStr">
        <is>
          <t>Grading</t>
        </is>
      </c>
      <c r="F1264" s="21" t="inlineStr">
        <is>
          <t>Laporan Periode Stasiun (LP-)</t>
        </is>
      </c>
      <c r="G1264" s="20" t="inlineStr">
        <is>
          <t>Laporan mobile read-only</t>
        </is>
      </c>
      <c r="H1264" s="21" t="inlineStr">
        <is>
          <t>OPR-A</t>
        </is>
      </c>
      <c r="I1264" s="21" t="inlineStr">
        <is>
          <t>—</t>
        </is>
      </c>
      <c r="J1264" s="21" t="inlineStr">
        <is>
          <t>1. Login di mobile, Dashboard &amp; Reporting &gt; Reporting, tekan tile Grading (/reports/grading), lalu pilih Periode dan Production Line dengan data.
2. Baca seluruh tombol di layar, termasuk yang di bagian bawah.
3. Coba ketik atau ubah nilai pada kartu parameter dan pada rekap.</t>
        </is>
      </c>
      <c r="K1264" s="21" t="inlineStr">
        <is>
          <t>- Tombol di bagian bawah hanya Ekspor dan Back — tidak ada Simpan, Edit, atau Hapus.
- Tidak satu pun angka dapat diubah.
- Tidak ada kolom input di layar ini selain pemilih periode/line/mill.</t>
        </is>
      </c>
      <c r="L1264" s="16" t="inlineStr">
        <is>
          <t>Tinggi</t>
        </is>
      </c>
      <c r="M1264" s="21" t="inlineStr"/>
      <c r="N1264" s="17" t="n"/>
      <c r="O1264" s="17" t="n"/>
      <c r="P1264" s="17" t="n"/>
      <c r="Q1264" s="17" t="n"/>
      <c r="R1264" s="17" t="n"/>
    </row>
    <row r="1265" ht="109.6" customHeight="1">
      <c r="A1265" s="22" t="n">
        <v>1261</v>
      </c>
      <c r="B1265" s="22" t="n">
        <v>3</v>
      </c>
      <c r="C1265" s="23" t="inlineStr">
        <is>
          <t>LP-M-12 / Cages Track</t>
        </is>
      </c>
      <c r="D1265" s="23" t="inlineStr">
        <is>
          <t>LP-M-12</t>
        </is>
      </c>
      <c r="E1265" s="24" t="inlineStr">
        <is>
          <t>Cages Track</t>
        </is>
      </c>
      <c r="F1265" s="5" t="inlineStr">
        <is>
          <t>Laporan Periode Stasiun (LP-)</t>
        </is>
      </c>
      <c r="G1265" s="24" t="inlineStr">
        <is>
          <t>Laporan mobile read-only</t>
        </is>
      </c>
      <c r="H1265" s="5" t="inlineStr">
        <is>
          <t>OPR-A</t>
        </is>
      </c>
      <c r="I1265" s="5" t="inlineStr">
        <is>
          <t>—</t>
        </is>
      </c>
      <c r="J1265" s="5" t="inlineStr">
        <is>
          <t>1. Login di mobile, Dashboard &amp; Reporting &gt; Reporting, tekan tile Cages Track (/reports/cages-track), lalu pilih Periode dan Production Line dengan data.
2. Baca seluruh tombol di layar, termasuk yang di bagian bawah.
3. Coba ketik atau ubah nilai pada kartu parameter dan pada rekap.</t>
        </is>
      </c>
      <c r="K1265" s="5" t="inlineStr">
        <is>
          <t>- Tombol di bagian bawah hanya Ekspor dan Back — tidak ada Simpan, Edit, atau Hapus.
- Tidak satu pun angka dapat diubah.
- Tidak ada kolom input di layar ini selain pemilih periode/line/mill.</t>
        </is>
      </c>
      <c r="L1265" s="16" t="inlineStr">
        <is>
          <t>Tinggi</t>
        </is>
      </c>
      <c r="M1265" s="5" t="inlineStr"/>
      <c r="N1265" s="17" t="n"/>
      <c r="O1265" s="17" t="n"/>
      <c r="P1265" s="17" t="n"/>
      <c r="Q1265" s="17" t="n"/>
      <c r="R1265" s="17" t="n"/>
    </row>
    <row r="1266" ht="109.6" customHeight="1">
      <c r="A1266" s="18" t="n">
        <v>1262</v>
      </c>
      <c r="B1266" s="18" t="n">
        <v>3</v>
      </c>
      <c r="C1266" s="19" t="inlineStr">
        <is>
          <t>LP-M-12 / Sterilizer</t>
        </is>
      </c>
      <c r="D1266" s="19" t="inlineStr">
        <is>
          <t>LP-M-12</t>
        </is>
      </c>
      <c r="E1266" s="20" t="inlineStr">
        <is>
          <t>Sterilizer</t>
        </is>
      </c>
      <c r="F1266" s="21" t="inlineStr">
        <is>
          <t>Laporan Periode Stasiun (LP-)</t>
        </is>
      </c>
      <c r="G1266" s="20" t="inlineStr">
        <is>
          <t>Laporan mobile read-only</t>
        </is>
      </c>
      <c r="H1266" s="21" t="inlineStr">
        <is>
          <t>OPR-A</t>
        </is>
      </c>
      <c r="I1266" s="21" t="inlineStr">
        <is>
          <t>—</t>
        </is>
      </c>
      <c r="J1266" s="21" t="inlineStr">
        <is>
          <t>1. Login di mobile, Dashboard &amp; Reporting &gt; Reporting, tekan tile Sterilizer (/reports/sterilizer), lalu pilih Periode dan Production Line dengan data.
2. Baca seluruh tombol di layar, termasuk yang di bagian bawah.
3. Coba ketik atau ubah nilai pada kartu parameter dan pada rekap.</t>
        </is>
      </c>
      <c r="K1266" s="21" t="inlineStr">
        <is>
          <t>- Tombol di bagian bawah hanya Ekspor dan Back — tidak ada Simpan, Edit, atau Hapus.
- Tidak satu pun angka dapat diubah.
- Tidak ada kolom input di layar ini selain pemilih periode/line/mill.</t>
        </is>
      </c>
      <c r="L1266" s="16" t="inlineStr">
        <is>
          <t>Tinggi</t>
        </is>
      </c>
      <c r="M1266" s="21" t="inlineStr"/>
      <c r="N1266" s="17" t="n"/>
      <c r="O1266" s="17" t="n"/>
      <c r="P1266" s="17" t="n"/>
      <c r="Q1266" s="17" t="n"/>
      <c r="R1266" s="17" t="n"/>
    </row>
    <row r="1267" ht="109.6" customHeight="1">
      <c r="A1267" s="22" t="n">
        <v>1263</v>
      </c>
      <c r="B1267" s="22" t="n">
        <v>3</v>
      </c>
      <c r="C1267" s="23" t="inlineStr">
        <is>
          <t>LP-M-12 / Threshing</t>
        </is>
      </c>
      <c r="D1267" s="23" t="inlineStr">
        <is>
          <t>LP-M-12</t>
        </is>
      </c>
      <c r="E1267" s="24" t="inlineStr">
        <is>
          <t>Threshing</t>
        </is>
      </c>
      <c r="F1267" s="5" t="inlineStr">
        <is>
          <t>Laporan Periode Stasiun (LP-)</t>
        </is>
      </c>
      <c r="G1267" s="24" t="inlineStr">
        <is>
          <t>Laporan mobile read-only</t>
        </is>
      </c>
      <c r="H1267" s="5" t="inlineStr">
        <is>
          <t>OPR-A</t>
        </is>
      </c>
      <c r="I1267" s="5" t="inlineStr">
        <is>
          <t>—</t>
        </is>
      </c>
      <c r="J1267" s="5" t="inlineStr">
        <is>
          <t>1. Login di mobile, Dashboard &amp; Reporting &gt; Reporting, tekan tile Threshing (/reports/threshing), lalu pilih Periode dan Production Line dengan data.
2. Baca seluruh tombol di layar, termasuk yang di bagian bawah.
3. Coba ketik atau ubah nilai pada kartu parameter dan pada rekap.</t>
        </is>
      </c>
      <c r="K1267" s="5" t="inlineStr">
        <is>
          <t>- Tombol di bagian bawah hanya Ekspor dan Back — tidak ada Simpan, Edit, atau Hapus.
- Tidak satu pun angka dapat diubah.
- Tidak ada kolom input di layar ini selain pemilih periode/line/mill.</t>
        </is>
      </c>
      <c r="L1267" s="16" t="inlineStr">
        <is>
          <t>Tinggi</t>
        </is>
      </c>
      <c r="M1267" s="5" t="inlineStr"/>
      <c r="N1267" s="17" t="n"/>
      <c r="O1267" s="17" t="n"/>
      <c r="P1267" s="17" t="n"/>
      <c r="Q1267" s="17" t="n"/>
      <c r="R1267" s="17" t="n"/>
    </row>
    <row r="1268" ht="109.6" customHeight="1">
      <c r="A1268" s="18" t="n">
        <v>1264</v>
      </c>
      <c r="B1268" s="18" t="n">
        <v>3</v>
      </c>
      <c r="C1268" s="19" t="inlineStr">
        <is>
          <t>LP-M-12 / Pressing</t>
        </is>
      </c>
      <c r="D1268" s="19" t="inlineStr">
        <is>
          <t>LP-M-12</t>
        </is>
      </c>
      <c r="E1268" s="20" t="inlineStr">
        <is>
          <t>Pressing</t>
        </is>
      </c>
      <c r="F1268" s="21" t="inlineStr">
        <is>
          <t>Laporan Periode Stasiun (LP-)</t>
        </is>
      </c>
      <c r="G1268" s="20" t="inlineStr">
        <is>
          <t>Laporan mobile read-only</t>
        </is>
      </c>
      <c r="H1268" s="21" t="inlineStr">
        <is>
          <t>OPR-A</t>
        </is>
      </c>
      <c r="I1268" s="21" t="inlineStr">
        <is>
          <t>—</t>
        </is>
      </c>
      <c r="J1268" s="21" t="inlineStr">
        <is>
          <t>1. Login di mobile, Dashboard &amp; Reporting &gt; Reporting, tekan tile Pressing (/reports/pressing), lalu pilih Periode dan Production Line dengan data.
2. Baca seluruh tombol di layar, termasuk yang di bagian bawah.
3. Coba ketik atau ubah nilai pada kartu parameter dan pada rekap.</t>
        </is>
      </c>
      <c r="K1268" s="21" t="inlineStr">
        <is>
          <t>- Tombol di bagian bawah hanya Ekspor dan Back — tidak ada Simpan, Edit, atau Hapus.
- Tidak satu pun angka dapat diubah.
- Tidak ada kolom input di layar ini selain pemilih periode/line/mill.</t>
        </is>
      </c>
      <c r="L1268" s="16" t="inlineStr">
        <is>
          <t>Tinggi</t>
        </is>
      </c>
      <c r="M1268" s="21" t="inlineStr"/>
      <c r="N1268" s="17" t="n"/>
      <c r="O1268" s="17" t="n"/>
      <c r="P1268" s="17" t="n"/>
      <c r="Q1268" s="17" t="n"/>
      <c r="R1268" s="17" t="n"/>
    </row>
    <row r="1269" ht="109.6" customHeight="1">
      <c r="A1269" s="22" t="n">
        <v>1265</v>
      </c>
      <c r="B1269" s="22" t="n">
        <v>3</v>
      </c>
      <c r="C1269" s="23" t="inlineStr">
        <is>
          <t>LP-M-12 / Clarification</t>
        </is>
      </c>
      <c r="D1269" s="23" t="inlineStr">
        <is>
          <t>LP-M-12</t>
        </is>
      </c>
      <c r="E1269" s="24" t="inlineStr">
        <is>
          <t>Clarification</t>
        </is>
      </c>
      <c r="F1269" s="5" t="inlineStr">
        <is>
          <t>Laporan Periode Stasiun (LP-)</t>
        </is>
      </c>
      <c r="G1269" s="24" t="inlineStr">
        <is>
          <t>Laporan mobile read-only</t>
        </is>
      </c>
      <c r="H1269" s="5" t="inlineStr">
        <is>
          <t>OPR-A</t>
        </is>
      </c>
      <c r="I1269" s="5" t="inlineStr">
        <is>
          <t>—</t>
        </is>
      </c>
      <c r="J1269" s="5" t="inlineStr">
        <is>
          <t>1. Login di mobile, Dashboard &amp; Reporting &gt; Reporting, tekan tile Clarification (/reports/clarification), lalu pilih Periode dan Production Line dengan data.
2. Baca seluruh tombol di layar, termasuk yang di bagian bawah.
3. Coba ketik atau ubah nilai pada kartu parameter dan pada rekap.</t>
        </is>
      </c>
      <c r="K1269" s="5" t="inlineStr">
        <is>
          <t>- Tombol di bagian bawah hanya Ekspor dan Back — tidak ada Simpan, Edit, atau Hapus.
- Tidak satu pun angka dapat diubah.
- Tidak ada kolom input di layar ini selain pemilih periode/line/mill.</t>
        </is>
      </c>
      <c r="L1269" s="16" t="inlineStr">
        <is>
          <t>Tinggi</t>
        </is>
      </c>
      <c r="M1269" s="5" t="inlineStr"/>
      <c r="N1269" s="17" t="n"/>
      <c r="O1269" s="17" t="n"/>
      <c r="P1269" s="17" t="n"/>
      <c r="Q1269" s="17" t="n"/>
      <c r="R1269" s="17" t="n"/>
    </row>
    <row r="1270" ht="109.6" customHeight="1">
      <c r="A1270" s="11" t="n">
        <v>1266</v>
      </c>
      <c r="B1270" s="12" t="n">
        <v>1</v>
      </c>
      <c r="C1270" s="13" t="inlineStr">
        <is>
          <t>LP-M-12 / Kernel Plant</t>
        </is>
      </c>
      <c r="D1270" s="13" t="inlineStr">
        <is>
          <t>LP-M-12</t>
        </is>
      </c>
      <c r="E1270" s="15" t="inlineStr">
        <is>
          <t>Kernel Plant</t>
        </is>
      </c>
      <c r="F1270" s="14" t="inlineStr">
        <is>
          <t>Laporan Periode Stasiun (LP-)</t>
        </is>
      </c>
      <c r="G1270" s="15" t="inlineStr">
        <is>
          <t>Laporan mobile read-only</t>
        </is>
      </c>
      <c r="H1270" s="14" t="inlineStr">
        <is>
          <t>OPR-A</t>
        </is>
      </c>
      <c r="I1270" s="14" t="inlineStr">
        <is>
          <t>—</t>
        </is>
      </c>
      <c r="J1270" s="14" t="inlineStr">
        <is>
          <t>1. Login di mobile, Dashboard &amp; Reporting &gt; Reporting, tekan tile Kernel Plant (/reports/kernel-plant), lalu pilih Periode dan Production Line dengan data.
2. Baca seluruh tombol di layar, termasuk yang di bagian bawah.
3. Coba ketik atau ubah nilai pada kartu parameter dan pada rekap.</t>
        </is>
      </c>
      <c r="K1270" s="14" t="inlineStr">
        <is>
          <t>- Tombol di bagian bawah hanya Ekspor dan Back — tidak ada Simpan, Edit, atau Hapus.
- Tidak satu pun angka dapat diubah.
- Tidak ada kolom input di layar ini selain pemilih periode/line/mill.</t>
        </is>
      </c>
      <c r="L1270" s="16" t="inlineStr">
        <is>
          <t>Tinggi</t>
        </is>
      </c>
      <c r="M1270" s="14" t="inlineStr"/>
      <c r="N1270" s="17" t="n"/>
      <c r="O1270" s="17" t="n"/>
      <c r="P1270" s="17" t="n"/>
      <c r="Q1270" s="17" t="n"/>
      <c r="R1270" s="17" t="n"/>
    </row>
    <row r="1271" ht="109.6" customHeight="1">
      <c r="A1271" s="22" t="n">
        <v>1267</v>
      </c>
      <c r="B1271" s="22" t="n">
        <v>3</v>
      </c>
      <c r="C1271" s="23" t="inlineStr">
        <is>
          <t>LP-M-12 / Boiler Room</t>
        </is>
      </c>
      <c r="D1271" s="23" t="inlineStr">
        <is>
          <t>LP-M-12</t>
        </is>
      </c>
      <c r="E1271" s="24" t="inlineStr">
        <is>
          <t>Boiler Room</t>
        </is>
      </c>
      <c r="F1271" s="5" t="inlineStr">
        <is>
          <t>Laporan Periode Stasiun (LP-)</t>
        </is>
      </c>
      <c r="G1271" s="24" t="inlineStr">
        <is>
          <t>Laporan mobile read-only</t>
        </is>
      </c>
      <c r="H1271" s="5" t="inlineStr">
        <is>
          <t>OPR-A</t>
        </is>
      </c>
      <c r="I1271" s="5" t="inlineStr">
        <is>
          <t>—</t>
        </is>
      </c>
      <c r="J1271" s="5" t="inlineStr">
        <is>
          <t>1. Login di mobile, Dashboard &amp; Reporting &gt; Reporting, tekan tile Boiler Room (/reports/boiler-room), lalu pilih Periode dan Production Line dengan data.
2. Baca seluruh tombol di layar, termasuk yang di bagian bawah.
3. Coba ketik atau ubah nilai pada kartu parameter dan pada rekap.</t>
        </is>
      </c>
      <c r="K1271" s="5" t="inlineStr">
        <is>
          <t>- Tombol di bagian bawah hanya Ekspor dan Back — tidak ada Simpan, Edit, atau Hapus.
- Tidak satu pun angka dapat diubah.
- Tidak ada kolom input di layar ini selain pemilih periode/line/mill.</t>
        </is>
      </c>
      <c r="L1271" s="16" t="inlineStr">
        <is>
          <t>Tinggi</t>
        </is>
      </c>
      <c r="M1271" s="5" t="inlineStr"/>
      <c r="N1271" s="17" t="n"/>
      <c r="O1271" s="17" t="n"/>
      <c r="P1271" s="17" t="n"/>
      <c r="Q1271" s="17" t="n"/>
      <c r="R1271" s="17" t="n"/>
    </row>
    <row r="1272" ht="109.6" customHeight="1">
      <c r="A1272" s="18" t="n">
        <v>1268</v>
      </c>
      <c r="B1272" s="18" t="n">
        <v>3</v>
      </c>
      <c r="C1272" s="19" t="inlineStr">
        <is>
          <t>LP-M-12 / Depricarping</t>
        </is>
      </c>
      <c r="D1272" s="19" t="inlineStr">
        <is>
          <t>LP-M-12</t>
        </is>
      </c>
      <c r="E1272" s="20" t="inlineStr">
        <is>
          <t>Depricarping</t>
        </is>
      </c>
      <c r="F1272" s="21" t="inlineStr">
        <is>
          <t>Laporan Periode Stasiun (LP-)</t>
        </is>
      </c>
      <c r="G1272" s="20" t="inlineStr">
        <is>
          <t>Laporan mobile read-only</t>
        </is>
      </c>
      <c r="H1272" s="21" t="inlineStr">
        <is>
          <t>OPR-A</t>
        </is>
      </c>
      <c r="I1272" s="21" t="inlineStr">
        <is>
          <t>—</t>
        </is>
      </c>
      <c r="J1272" s="21" t="inlineStr">
        <is>
          <t>1. Login di mobile, Dashboard &amp; Reporting &gt; Reporting, tekan tile Depricarping (/reports/depricarping), lalu pilih Periode dan Production Line dengan data.
2. Baca seluruh tombol di layar, termasuk yang di bagian bawah.
3. Coba ketik atau ubah nilai pada kartu parameter dan pada rekap.</t>
        </is>
      </c>
      <c r="K1272" s="21" t="inlineStr">
        <is>
          <t>- Tombol di bagian bawah hanya Ekspor dan Back — tidak ada Simpan, Edit, atau Hapus.
- Tidak satu pun angka dapat diubah.
- Tidak ada kolom input di layar ini selain pemilih periode/line/mill.</t>
        </is>
      </c>
      <c r="L1272" s="16" t="inlineStr">
        <is>
          <t>Tinggi</t>
        </is>
      </c>
      <c r="M1272" s="21" t="inlineStr"/>
      <c r="N1272" s="17" t="n"/>
      <c r="O1272" s="17" t="n"/>
      <c r="P1272" s="17" t="n"/>
      <c r="Q1272" s="17" t="n"/>
      <c r="R1272" s="17" t="n"/>
    </row>
    <row r="1273" ht="109.6" customHeight="1">
      <c r="A1273" s="22" t="n">
        <v>1269</v>
      </c>
      <c r="B1273" s="22" t="n">
        <v>3</v>
      </c>
      <c r="C1273" s="23" t="inlineStr">
        <is>
          <t>LP-M-12 / Storage Tank</t>
        </is>
      </c>
      <c r="D1273" s="23" t="inlineStr">
        <is>
          <t>LP-M-12</t>
        </is>
      </c>
      <c r="E1273" s="24" t="inlineStr">
        <is>
          <t>Storage Tank</t>
        </is>
      </c>
      <c r="F1273" s="5" t="inlineStr">
        <is>
          <t>Laporan Periode Stasiun (LP-)</t>
        </is>
      </c>
      <c r="G1273" s="24" t="inlineStr">
        <is>
          <t>Laporan mobile read-only</t>
        </is>
      </c>
      <c r="H1273" s="5" t="inlineStr">
        <is>
          <t>OPR-A</t>
        </is>
      </c>
      <c r="I1273" s="5" t="inlineStr">
        <is>
          <t>—</t>
        </is>
      </c>
      <c r="J1273" s="5" t="inlineStr">
        <is>
          <t>1. Login di mobile, Dashboard &amp; Reporting &gt; Reporting, tekan tile Storage Tank (/reports/storage-tank), lalu pilih Periode dan Production Line dengan data.
2. Baca seluruh tombol di layar, termasuk yang di bagian bawah.
3. Coba ketik atau ubah nilai pada kartu parameter dan pada rekap.</t>
        </is>
      </c>
      <c r="K1273" s="5" t="inlineStr">
        <is>
          <t>- Tombol di bagian bawah hanya Ekspor dan Back — tidak ada Simpan, Edit, atau Hapus.
- Tidak satu pun angka dapat diubah.
- Tidak ada kolom input di layar ini selain pemilih periode/line/mill.</t>
        </is>
      </c>
      <c r="L1273" s="16" t="inlineStr">
        <is>
          <t>Tinggi</t>
        </is>
      </c>
      <c r="M1273" s="5" t="inlineStr"/>
      <c r="N1273" s="17" t="n"/>
      <c r="O1273" s="17" t="n"/>
      <c r="P1273" s="17" t="n"/>
      <c r="Q1273" s="17" t="n"/>
      <c r="R1273" s="17" t="n"/>
    </row>
    <row r="1274" ht="122.8" customHeight="1">
      <c r="A1274" s="11" t="n">
        <v>1270</v>
      </c>
      <c r="B1274" s="12" t="n">
        <v>1</v>
      </c>
      <c r="C1274" s="13" t="inlineStr">
        <is>
          <t>DS-01</t>
        </is>
      </c>
      <c r="D1274" s="13" t="inlineStr">
        <is>
          <t>DS-01</t>
        </is>
      </c>
      <c r="E1274" s="14" t="inlineStr">
        <is>
          <t>—</t>
        </is>
      </c>
      <c r="F1274" s="14" t="inlineStr">
        <is>
          <t>Dashboard &amp; Laporan lain (DS-)</t>
        </is>
      </c>
      <c r="G1274" s="15" t="inlineStr">
        <is>
          <t>Dashboard adalah demo, dan layar MENYATAKANNYA</t>
        </is>
      </c>
      <c r="H1274" s="14" t="inlineStr">
        <is>
          <t>SPV-A, MGR-A, ADM</t>
        </is>
      </c>
      <c r="I1274" s="14" t="inlineStr">
        <is>
          <t>—</t>
        </is>
      </c>
      <c r="J1274" s="14" t="inlineStr">
        <is>
          <t>1. Login di web, lalu sidebar &gt; Dashboard (/dashboard) sebagai SPV-A.
2. Baca judul di bagian atas halaman.
3. Cari penanda bahwa angkanya bukan data nyata — lencana, chip, atau keterangan.
4. Arahkan kursor (hover) ke penanda itu dan baca keterangan yang muncul.
5. Ulangi langkah 1–4 sebagai MGR-A, lalu ADM.</t>
        </is>
      </c>
      <c r="K1274" s="14" t="inlineStr">
        <is>
          <t>- Judulnya menyebut demo — mis. "CPO Mill Demo · Laporan Harian".
- Ada penanda "Data dummy" yang terlihat tanpa perlu dicari.
- Keterangan hover-nya menyatakan angkanya fiktif dan belum terhubung ke data stasiun.
- Ketiga peran melihat penanda yang sama.</t>
        </is>
      </c>
      <c r="L1274" s="16" t="inlineStr">
        <is>
          <t>Tinggi</t>
        </is>
      </c>
      <c r="M1274" s="14" t="inlineStr">
        <is>
          <t>ini kasus terpenting di halaman ini. Angka seperti "Milling Hours 11.00" tanpa penanda akan dibaca Mill Management sebagai angka pabriknya sendiri. Kalau penandanya hilang, laporkan sebagai prioritas tinggi — bukan kosmetik.</t>
        </is>
      </c>
      <c r="N1274" s="17" t="n"/>
      <c r="O1274" s="17" t="n"/>
      <c r="P1274" s="17" t="n"/>
      <c r="Q1274" s="17" t="n"/>
      <c r="R1274" s="17" t="n"/>
    </row>
    <row r="1275" ht="162.4" customHeight="1">
      <c r="A1275" s="11" t="n">
        <v>1271</v>
      </c>
      <c r="B1275" s="12" t="n">
        <v>1</v>
      </c>
      <c r="C1275" s="13" t="inlineStr">
        <is>
          <t>DS-02</t>
        </is>
      </c>
      <c r="D1275" s="13" t="inlineStr">
        <is>
          <t>DS-02</t>
        </is>
      </c>
      <c r="E1275" s="14" t="inlineStr">
        <is>
          <t>—</t>
        </is>
      </c>
      <c r="F1275" s="14" t="inlineStr">
        <is>
          <t>Dashboard &amp; Laporan lain (DS-)</t>
        </is>
      </c>
      <c r="G1275" s="15" t="inlineStr">
        <is>
          <t>Angka dashboard tidak berubah oleh peran, mill, atau tanggal</t>
        </is>
      </c>
      <c r="H1275" s="14" t="inlineStr">
        <is>
          <t>SPV-A, SPV-B, MGR-A, ADM</t>
        </is>
      </c>
      <c r="I1275" s="14" t="inlineStr">
        <is>
          <t>Mill A dan Mill B punya data stasiun yang berbeda jauh</t>
        </is>
      </c>
      <c r="J1275" s="14" t="inlineStr">
        <is>
          <t>1. Login di web, lalu sidebar &gt; Dashboard (/dashboard) sebagai SPV-A. Catat lima angka dari panel berbeda (mis. Penerimaan FFB, Stok FFB, Milling per Line, OER).
2. Cari kolom filter tanggal atau pemilih mill di halaman ini.
3. Logout. Login di web, lalu sidebar &gt; Dashboard (/dashboard) sebagai SPV-B (mill berbeda). Bandingkan kelima angka itu.
4. Logout. Ulangi sebagai MGR-A, lalu ADM.
5. Buka halaman itu lagi besok (atau ubah tanggal perangkat) dan bandingkan lagi.</t>
        </is>
      </c>
      <c r="K1275" s="14" t="inlineStr">
        <is>
          <t>- Tidak ada kolom filter tanggal dan tidak ada pemilih mill di halaman ini.
- Kelima angka sama persis untuk keempat peran, termasuk SPV-B yang mill-nya berbeda.
- Angkanya juga sama pada hari berikutnya.
- Semua itu benar, bukan bug — halaman ini demo, bukan laporan mill.</t>
        </is>
      </c>
      <c r="L1275" s="11" t="inlineStr">
        <is>
          <t>Sedang</t>
        </is>
      </c>
      <c r="M1275" s="14" t="inlineStr">
        <is>
          <t>jangan jalankan LS-03 (isolasi mill) di sini. Halaman ini tidak membaca mill sama sekali, jadi "mill lain terlihat" bukan konsep yang berlaku. Isolasi mill diuji pada Laporan Periode, Data Browser, dan Production Process Activity.</t>
        </is>
      </c>
      <c r="N1275" s="17" t="n"/>
      <c r="O1275" s="17" t="n"/>
      <c r="P1275" s="17" t="n"/>
      <c r="Q1275" s="17" t="n"/>
      <c r="R1275" s="17" t="n"/>
    </row>
    <row r="1276" ht="241.6" customHeight="1">
      <c r="A1276" s="11" t="n">
        <v>1272</v>
      </c>
      <c r="B1276" s="12" t="n">
        <v>1</v>
      </c>
      <c r="C1276" s="13" t="inlineStr">
        <is>
          <t>DS-03</t>
        </is>
      </c>
      <c r="D1276" s="13" t="inlineStr">
        <is>
          <t>DS-03</t>
        </is>
      </c>
      <c r="E1276" s="14" t="inlineStr">
        <is>
          <t>—</t>
        </is>
      </c>
      <c r="F1276" s="14" t="inlineStr">
        <is>
          <t>Dashboard &amp; Laporan lain (DS-)</t>
        </is>
      </c>
      <c r="G1276" s="15" t="inlineStr">
        <is>
          <t>Angka antar panel saling konsisten</t>
        </is>
      </c>
      <c r="H1276" s="14" t="inlineStr">
        <is>
          <t>SPV-A</t>
        </is>
      </c>
      <c r="I1276" s="14" t="inlineStr">
        <is>
          <t>—</t>
        </is>
      </c>
      <c r="J1276" s="14" t="inlineStr">
        <is>
          <t>1. Login di web, lalu sidebar &gt; Dashboard (/dashboard) sebagai SPV-A. Gulir ke panel Milling Hours per Line.
2. Untuk Line 1, kolom Today, catat: Available, Milling, CDT, SDT, EDT.
3. Hitung sendiri: Total Downtime = CDT + SDT + EDT.
4. Hitung: Available Milling Hours = Available − Total Downtime.
5. Bandingkan kedua hasil hitungan itu dengan angka yang tercetak di panel.
6. Periksa Milling ≤ Available Milling Hours.
7. Gulir ke grafik Milling per Line dan bandingkan jam Line 1 dengan angka Milling di langkah 2.
8. Ulangi langkah 2–7 untuk Line 2, lalu untuk kolom MTD dan YTD.</t>
        </is>
      </c>
      <c r="K1276" s="14" t="inlineStr">
        <is>
          <t>- Total Downtime dan Available Milling Hours yang tercetak cocok dengan hitungan manual.
- Pada Line 1 / Today nilainya: Total Downtime 11,50, Available Milling Hours 12,50, Milling 11,00, sisa (segmen abu-abu) 1,50.
- Milling tidak pernah melebihi Available Milling Hours pada baris mana pun.
- Jam pada grafik sama dengan angka Milling di tabel — dua tempat, satu angka.</t>
        </is>
      </c>
      <c r="L1276" s="11" t="inlineStr">
        <is>
          <t>Sedang</t>
        </is>
      </c>
      <c r="M1276" s="14" t="inlineStr">
        <is>
          <t>angkanya contoh, tetapi hubungan antar angkanya tetap harus benar. Panel tabel dan grafik menyajikan jam yang sama, jadi keduanya tidak boleh berselisih — dan Total Downtime serta Available Milling Hours harus cocok dengan hitungan manual dari kolomnya sendiri.</t>
        </is>
      </c>
      <c r="N1276" s="17" t="n"/>
      <c r="O1276" s="17" t="n"/>
      <c r="P1276" s="17" t="n"/>
      <c r="Q1276" s="17" t="n"/>
      <c r="R1276" s="17" t="n"/>
    </row>
    <row r="1277" ht="228.4" customHeight="1">
      <c r="A1277" s="11" t="n">
        <v>1273</v>
      </c>
      <c r="B1277" s="12" t="n">
        <v>1</v>
      </c>
      <c r="C1277" s="13" t="inlineStr">
        <is>
          <t>DS-04</t>
        </is>
      </c>
      <c r="D1277" s="13" t="inlineStr">
        <is>
          <t>DS-04</t>
        </is>
      </c>
      <c r="E1277" s="14" t="inlineStr">
        <is>
          <t>—</t>
        </is>
      </c>
      <c r="F1277" s="14" t="inlineStr">
        <is>
          <t>Dashboard &amp; Laporan lain (DS-)</t>
        </is>
      </c>
      <c r="G1277" s="15" t="inlineStr">
        <is>
          <t>Laporan Stasiun (Web): tile laporan yang ada aktif, sisanya kelabu</t>
        </is>
      </c>
      <c r="H1277" s="14" t="inlineStr">
        <is>
          <t>SPV-A</t>
        </is>
      </c>
      <c r="I1277" s="14" t="inlineStr">
        <is>
          <t>—</t>
        </is>
      </c>
      <c r="J1277" s="14" t="inlineStr">
        <is>
          <t>1. Login di web (buka /login, isi username dan password akun pada kolom Peran, tekan Login) sebagai SPV-A, lalu sidebar → Laporan Stasiun (/reports).
2. Sebelum memilih apa pun, baca layarnya: catat apakah grid tile stasiun sudah terlihat.
3. Pada Langkah 1 — Mill &amp; Production Line, pilih salah satu Production Line. (Mill sudah mengikuti akun SPV-A; bila Anda masuk sebagai ADM, pilih mill lebih dulu.)
4. Hitung jumlah tile stasiun di layar.
5. Hitung berapa tile yang dapat ditekan dan berapa yang kelabu.
6. Coba tekan satu tile kelabu.
7. Cari legenda yang menjelaskan arti tile kelabu.</t>
        </is>
      </c>
      <c r="K1277" s="14" t="inlineStr">
        <is>
          <t>- Sebelum Production Line dipilih, grid tile belum muncul — layar menampilkan "Production Line belum dipilih". Ini pola yang sama dengan LS-08: tile membawa konteks mill + line ke layar laporannya, jadi tile ditahan sampai keduanya pasti.
- Sesudah dipilih, seluruh 18 tile tampil — tidak ada yang disembunyikan.
- 11 tile aktif dan dapat ditekan; 7 kelabu dan tidak dapat ditekan.
- Tujuh yang kelabu: Effluent Plant, Engine Room, Process Water, Solid Waste Disposal, Kernel Dispatch, CPO Dispatch, Process Quality Control.
- Menekan tile kelabu tidak berpindah layar dan tidak memunculkan galat.
- Ada legenda yang menjelaskan keadaannya.</t>
        </is>
      </c>
      <c r="L1277" s="16" t="inlineStr">
        <is>
          <t>Tinggi</t>
        </is>
      </c>
      <c r="M1277" s="14" t="inlineStr">
        <is>
          <t>stasiun yang laporannya belum dibangun tetap ditampilkan, bukan dihilangkan — supaya pembaca tahu stasiun itu ada.</t>
        </is>
      </c>
      <c r="N1277" s="17" t="n"/>
      <c r="O1277" s="17" t="n"/>
      <c r="P1277" s="17" t="n"/>
      <c r="Q1277" s="17" t="n"/>
      <c r="R1277" s="17" t="n"/>
    </row>
    <row r="1278" ht="136" customHeight="1">
      <c r="A1278" s="11" t="n">
        <v>1274</v>
      </c>
      <c r="B1278" s="12" t="n">
        <v>1</v>
      </c>
      <c r="C1278" s="13" t="inlineStr">
        <is>
          <t>DS-05</t>
        </is>
      </c>
      <c r="D1278" s="13" t="inlineStr">
        <is>
          <t>DS-05</t>
        </is>
      </c>
      <c r="E1278" s="14" t="inlineStr">
        <is>
          <t>—</t>
        </is>
      </c>
      <c r="F1278" s="14" t="inlineStr">
        <is>
          <t>Dashboard &amp; Laporan lain (DS-)</t>
        </is>
      </c>
      <c r="G1278" s="15" t="inlineStr">
        <is>
          <t>Tile aktif mendarat di laporan stasiun yang benar</t>
        </is>
      </c>
      <c r="H1278" s="14" t="inlineStr">
        <is>
          <t>SPV-A</t>
        </is>
      </c>
      <c r="I1278" s="14" t="inlineStr">
        <is>
          <t>—</t>
        </is>
      </c>
      <c r="J1278" s="14" t="inlineStr">
        <is>
          <t>1. Sidebar → Laporan Stasiun sebagai SPV-A, lalu pilih satu Production Line agar grid tile muncul (lihat DS-04).
2. Tekan tile Pressing. Catat judul layar dan alamatnya.
3. Periksa apakah mill dan Production Line ikut terbawa (sudah terpilih atau tinggal dipilih).
4. Tekan Back, lalu ulangi untuk Kernel Plant dan Storage Tank.</t>
        </is>
      </c>
      <c r="K1278" s="14" t="inlineStr">
        <is>
          <t>- Setiap tile aktif mendarat di laporan stasiun yang sama dengan namanya (/reports/&lt;stasiun&gt;).
- Judul layarnya cocok dengan tile yang ditekan.
- Konteks mill terbawa; Production Line tetap wajib dipilih (lihat LS-08).</t>
        </is>
      </c>
      <c r="L1278" s="16" t="inlineStr">
        <is>
          <t>Tinggi</t>
        </is>
      </c>
      <c r="M1278" s="14" t="inlineStr"/>
      <c r="N1278" s="17" t="n"/>
      <c r="O1278" s="17" t="n"/>
      <c r="P1278" s="17" t="n"/>
      <c r="Q1278" s="17" t="n"/>
      <c r="R1278" s="17" t="n"/>
    </row>
    <row r="1279" ht="162.4" customHeight="1">
      <c r="A1279" s="11" t="n">
        <v>1275</v>
      </c>
      <c r="B1279" s="12" t="n">
        <v>1</v>
      </c>
      <c r="C1279" s="13" t="inlineStr">
        <is>
          <t>DS-06</t>
        </is>
      </c>
      <c r="D1279" s="13" t="inlineStr">
        <is>
          <t>DS-06</t>
        </is>
      </c>
      <c r="E1279" s="14" t="inlineStr">
        <is>
          <t>—</t>
        </is>
      </c>
      <c r="F1279" s="14" t="inlineStr">
        <is>
          <t>Dashboard &amp; Laporan lain (DS-)</t>
        </is>
      </c>
      <c r="G1279" s="15" t="inlineStr">
        <is>
          <t>Laporan Manajemen hanya untuk Mill Management</t>
        </is>
      </c>
      <c r="H1279" s="14" t="inlineStr">
        <is>
          <t>SPV-A, MGR-A, ADM</t>
        </is>
      </c>
      <c r="I1279" s="14" t="inlineStr">
        <is>
          <t>—</t>
        </is>
      </c>
      <c r="J1279" s="14" t="inlineStr">
        <is>
          <t>1. Login di web (buka /login, isi username dan password akun pada kolom Peran, tekan Login) sebagai SPV-A. Cari menu Laporan Manajemen di sidebar.
2. Ketik /reports/management langsung di bilah alamat.
3. Logout, ulangi langkah 1–2 sebagai MGR-A.
4. Logout, ulangi sebagai ADM.</t>
        </is>
      </c>
      <c r="K1279" s="14" t="inlineStr">
        <is>
          <t>- SPV-A: menu tidak ada di sidebar, dan alamat langsung menjawab 403.
- MGR-A: menu ada dan layarnya terbuka.
- ADM: menu tidak ada, dan alamat langsung menjawab 403. Layar ini satu-satunya layar laporan yang lebih sempit dari Dashboard: Admin boleh membuka Dashboard tetapi tidak Laporan Manajemen, karena isinya ditujukan bagi pengelola satu mill, bukan pengelola sistem.
- Sidebar dan alamat langsung selalu sejalan — tidak ada peran yang melihat menunya lalu ditolak saat menekannya, dan sebaliknya.</t>
        </is>
      </c>
      <c r="L1279" s="16" t="inlineStr">
        <is>
          <t>Tinggi</t>
        </is>
      </c>
      <c r="M1279" s="14" t="inlineStr"/>
      <c r="N1279" s="17" t="n"/>
      <c r="O1279" s="17" t="n"/>
      <c r="P1279" s="17" t="n"/>
      <c r="Q1279" s="17" t="n"/>
      <c r="R1279" s="17" t="n"/>
    </row>
    <row r="1280" ht="175.6" customHeight="1">
      <c r="A1280" s="11" t="n">
        <v>1276</v>
      </c>
      <c r="B1280" s="12" t="n">
        <v>1</v>
      </c>
      <c r="C1280" s="13" t="inlineStr">
        <is>
          <t>DS-07</t>
        </is>
      </c>
      <c r="D1280" s="13" t="inlineStr">
        <is>
          <t>DS-07</t>
        </is>
      </c>
      <c r="E1280" s="14" t="inlineStr">
        <is>
          <t>—</t>
        </is>
      </c>
      <c r="F1280" s="14" t="inlineStr">
        <is>
          <t>Dashboard &amp; Laporan lain (DS-)</t>
        </is>
      </c>
      <c r="G1280" s="15" t="inlineStr">
        <is>
          <t>Dashboard &amp; Reporting (Mobile) → Pilih Stasiun</t>
        </is>
      </c>
      <c r="H1280" s="14" t="inlineStr">
        <is>
          <t>OPR-A</t>
        </is>
      </c>
      <c r="I1280" s="14" t="inlineStr">
        <is>
          <t>—</t>
        </is>
      </c>
      <c r="J1280" s="14" t="inlineStr">
        <is>
          <t>1. Login di mobile (buka aplikasi, isi username dan password, tekan Login), mendarat di /home sebagai OPR-A, tekan Dashboard &amp; Reporting.
2. Tekan Reporting. Hitung jumlah tile stasiun.
3. Tekan satu tile stasiun yang laporannya belum ada (mis. Engine Room). Baca pesannya.
4. Tekan tile yang sama tiga kali lagi.
5. Hitung berapa pesan yang terlihat di layar.
6. Tekan satu tile yang laporannya ada (mis. Pressing).</t>
        </is>
      </c>
      <c r="K1280" s="14" t="inlineStr">
        <is>
          <t>- Ke-18 tile tampil; yang laporannya belum ada tampil kelabu dengan tanda "Belum tersedia".
- Menekan tile belum tersedia memunculkan satu pesan yang menyebut nama stasiunnya.
- Menekan berkali-kali tidak menumpuk pesan — tetap satu.
- Rutenya tidak berpindah saat tile belum tersedia ditekan.
- Tile yang laporannya ada berpindah ke layar laporannya.</t>
        </is>
      </c>
      <c r="L1280" s="16" t="inlineStr">
        <is>
          <t>Tinggi</t>
        </is>
      </c>
      <c r="M1280" s="14" t="inlineStr"/>
      <c r="N1280" s="17" t="n"/>
      <c r="O1280" s="17" t="n"/>
      <c r="P1280" s="17" t="n"/>
      <c r="Q1280" s="17" t="n"/>
      <c r="R1280" s="17" t="n"/>
    </row>
    <row r="1281" ht="162.4" customHeight="1">
      <c r="A1281" s="11" t="n">
        <v>1277</v>
      </c>
      <c r="B1281" s="12" t="n">
        <v>1</v>
      </c>
      <c r="C1281" s="13" t="inlineStr">
        <is>
          <t>DS-08</t>
        </is>
      </c>
      <c r="D1281" s="13" t="inlineStr">
        <is>
          <t>DS-08</t>
        </is>
      </c>
      <c r="E1281" s="14" t="inlineStr">
        <is>
          <t>—</t>
        </is>
      </c>
      <c r="F1281" s="14" t="inlineStr">
        <is>
          <t>Dashboard &amp; Laporan lain (DS-)</t>
        </is>
      </c>
      <c r="G1281" s="15" t="inlineStr">
        <is>
          <t>Production Process Activity (Web): papan status, bukan sekadar peluncur</t>
        </is>
      </c>
      <c r="H1281" s="14" t="inlineStr">
        <is>
          <t>SPV-A</t>
        </is>
      </c>
      <c r="I1281" s="14" t="inlineStr">
        <is>
          <t>beberapa stasiun punya record hari ini, beberapa belum</t>
        </is>
      </c>
      <c r="J1281" s="14" t="inlineStr">
        <is>
          <t>1. Siapkan keadaan: beberapa stasiun punya record bertanggal hari ini, beberapa belum.
2. Login di web, lalu sidebar &gt; Production Process Activity (/production-process-activity) sebagai SPV-A.
3. Baca kepala halaman dan catat kalimatnya.
4. Hitung tile yang berwarna dan tile yang tampil tenang.
5. Baca isi satu tile berwarna dan satu tile tenang.
6. Cari keterangan tentang dua jendela waktu.</t>
        </is>
      </c>
      <c r="K1281" s="14" t="inlineStr">
        <is>
          <t>- Kepala halaman berbunyi "N dari 18 stasiun sudah ada input hari ini".
- Tile yang belum ada input hari ini berwarna dan berbunyi "Belum ada input hari ini" — bukan angka 0.
- Tile yang sudah ada input menampilkan jumlah record hari ini dan tampil tenang.
- Setiap tile menyebut kapan input terakhir.
- Ada keterangan bahwa "hari ini" dan "input terakhir" berbeda cakupannya.</t>
        </is>
      </c>
      <c r="L1281" s="16" t="inlineStr">
        <is>
          <t>Tinggi</t>
        </is>
      </c>
      <c r="M1281" s="14" t="inlineStr"/>
      <c r="N1281" s="17" t="n"/>
      <c r="O1281" s="17" t="n"/>
      <c r="P1281" s="17" t="n"/>
      <c r="Q1281" s="17" t="n"/>
      <c r="R1281" s="17" t="n"/>
    </row>
    <row r="1282" ht="136" customHeight="1">
      <c r="A1282" s="11" t="n">
        <v>1278</v>
      </c>
      <c r="B1282" s="12" t="n">
        <v>1</v>
      </c>
      <c r="C1282" s="13" t="inlineStr">
        <is>
          <t>DS-09</t>
        </is>
      </c>
      <c r="D1282" s="13" t="inlineStr">
        <is>
          <t>DS-09</t>
        </is>
      </c>
      <c r="E1282" s="14" t="inlineStr">
        <is>
          <t>—</t>
        </is>
      </c>
      <c r="F1282" s="14" t="inlineStr">
        <is>
          <t>Dashboard &amp; Laporan lain (DS-)</t>
        </is>
      </c>
      <c r="G1282" s="15" t="inlineStr">
        <is>
          <t>Jumlah tile berwarna cocok dengan angka di kepala halaman</t>
        </is>
      </c>
      <c r="H1282" s="14" t="inlineStr">
        <is>
          <t>SPV-A</t>
        </is>
      </c>
      <c r="I1282" s="14" t="inlineStr">
        <is>
          <t>—</t>
        </is>
      </c>
      <c r="J1282" s="14" t="inlineStr">
        <is>
          <t>1. Login di web, lalu sidebar &gt; Production Process Activity (/production-process-activity) sebagai SPV-A.
2. Baca angka pertama pada kepala halaman (N pada "N dari 18").
3. Hitung sendiri jumlah tile yang berkeadaan "sudah ada input".
4. Hitung jumlah tile "belum ada input".
5. Jumlahkan keduanya dan bandingkan dengan jumlah stasiun aktif pada kepala halaman.</t>
        </is>
      </c>
      <c r="K1282" s="14" t="inlineStr">
        <is>
          <t>- Jumlah tile "sudah ada input" sama dengan angka N di kepala halaman.
- Tile "sudah" + tile "belum" sama dengan jumlah stasiun aktif yang disebut kepala halaman.
- Total seluruh tile tetap 18.
- Dua tempat menghitung hal yang sama; bila tidak cocok, salah satunya salah.</t>
        </is>
      </c>
      <c r="L1282" s="11" t="inlineStr">
        <is>
          <t>Sedang</t>
        </is>
      </c>
      <c r="M1282" s="14" t="inlineStr"/>
      <c r="N1282" s="17" t="n"/>
      <c r="O1282" s="17" t="n"/>
      <c r="P1282" s="17" t="n"/>
      <c r="Q1282" s="17" t="n"/>
      <c r="R1282" s="17" t="n"/>
    </row>
    <row r="1283" ht="136" customHeight="1">
      <c r="A1283" s="11" t="n">
        <v>1279</v>
      </c>
      <c r="B1283" s="12" t="n">
        <v>1</v>
      </c>
      <c r="C1283" s="13" t="inlineStr">
        <is>
          <t>DS-10</t>
        </is>
      </c>
      <c r="D1283" s="13" t="inlineStr">
        <is>
          <t>DS-10</t>
        </is>
      </c>
      <c r="E1283" s="14" t="inlineStr">
        <is>
          <t>—</t>
        </is>
      </c>
      <c r="F1283" s="14" t="inlineStr">
        <is>
          <t>Dashboard &amp; Laporan lain (DS-)</t>
        </is>
      </c>
      <c r="G1283" s="15" t="inlineStr">
        <is>
          <t>"Nol hari ini" boleh berdampingan dengan "input terakhir beberapa menit lalu"</t>
        </is>
      </c>
      <c r="H1283" s="14" t="inlineStr">
        <is>
          <t>SPV-A</t>
        </is>
      </c>
      <c r="I1283" s="14" t="inlineStr">
        <is>
          <t>satu stasiun yang record terakhirnya dibuat tadi tapi tanggalnya kemarin</t>
        </is>
      </c>
      <c r="J1283" s="14" t="inlineStr">
        <is>
          <t>1. Siapkan satu stasiun yang record terakhirnya dibuat beberapa menit lalu tetapi bertanggal kemarin.
2. Login di web, lalu sidebar &gt; Production Process Activity (/production-process-activity) sebagai SPV-A.
3. Cari tile stasiun itu dan baca kedua keterangan pada tile tersebut.
4. Baca keterangan dua jendela waktu di halaman.</t>
        </is>
      </c>
      <c r="K1283" s="14" t="inlineStr">
        <is>
          <t>- Tile itu berbunyi "Belum ada input hari ini" dan "Input terakhir beberapa menit lalu" sekaligus.
- Keduanya benar — bukan bug (lihat bagian 11.4). "Hari ini" dibatasi tanggal; "input terakhir" tidak.
- Keterangan di halaman menjelaskan sebabnya, sehingga pembaca tidak membacanya sebagai pertentangan.</t>
        </is>
      </c>
      <c r="L1283" s="11" t="inlineStr">
        <is>
          <t>Sedang</t>
        </is>
      </c>
      <c r="M1283" s="14" t="inlineStr">
        <is>
          <t>ini bukan bug. "Hari ini" menghitung record bertanggal hari ini; "input terakhir" tidak dibatasi tanggal. Keterangan di halaman menjelaskannya.</t>
        </is>
      </c>
      <c r="N1283" s="17" t="n"/>
      <c r="O1283" s="17" t="n"/>
      <c r="P1283" s="17" t="n"/>
      <c r="Q1283" s="17" t="n"/>
      <c r="R1283" s="17" t="n"/>
    </row>
    <row r="1284" ht="122.8" customHeight="1">
      <c r="A1284" s="11" t="n">
        <v>1280</v>
      </c>
      <c r="B1284" s="12" t="n">
        <v>1</v>
      </c>
      <c r="C1284" s="13" t="inlineStr">
        <is>
          <t>DS-11</t>
        </is>
      </c>
      <c r="D1284" s="13" t="inlineStr">
        <is>
          <t>DS-11</t>
        </is>
      </c>
      <c r="E1284" s="14" t="inlineStr">
        <is>
          <t>—</t>
        </is>
      </c>
      <c r="F1284" s="14" t="inlineStr">
        <is>
          <t>Dashboard &amp; Laporan lain (DS-)</t>
        </is>
      </c>
      <c r="G1284" s="15" t="inlineStr">
        <is>
          <t>Tile mengantar ke Data Browser stasiun yang benar</t>
        </is>
      </c>
      <c r="H1284" s="14" t="inlineStr">
        <is>
          <t>SPV-A</t>
        </is>
      </c>
      <c r="I1284" s="14" t="inlineStr">
        <is>
          <t>—</t>
        </is>
      </c>
      <c r="J1284" s="14" t="inlineStr">
        <is>
          <t>1. Login di web, lalu sidebar &gt; Production Process Activity (/production-process-activity) sebagai SPV-A.
2. Tekan tile Weighbridge. Catat judul dan alamat layar yang terbuka.
3. Tekan Back, lalu tekan tile Sterilizer.
4. Tekan Back, lalu tekan tile Kernel Plant.
5. Coba tekan satu tile yang tampil kelabu/tidak aktif, bila ada.</t>
        </is>
      </c>
      <c r="K1284" s="14" t="inlineStr">
        <is>
          <t>- Setiap tile aktif mendarat di Data Browser stasiun yang sama dengan namanya (/data/&lt;stasiun&gt;).
- Judul layarnya cocok dengan tile yang ditekan.
- Tile tidak aktif tidak berpindah layar dan tidak memunculkan galat.</t>
        </is>
      </c>
      <c r="L1284" s="16" t="inlineStr">
        <is>
          <t>Tinggi</t>
        </is>
      </c>
      <c r="M1284" s="14" t="inlineStr"/>
      <c r="N1284" s="17" t="n"/>
      <c r="O1284" s="17" t="n"/>
      <c r="P1284" s="17" t="n"/>
      <c r="Q1284" s="17" t="n"/>
      <c r="R1284" s="17" t="n"/>
    </row>
    <row r="1285" ht="162.4" customHeight="1">
      <c r="A1285" s="11" t="n">
        <v>1281</v>
      </c>
      <c r="B1285" s="12" t="n">
        <v>1</v>
      </c>
      <c r="C1285" s="13" t="inlineStr">
        <is>
          <t>DS-12</t>
        </is>
      </c>
      <c r="D1285" s="13" t="inlineStr">
        <is>
          <t>DS-12</t>
        </is>
      </c>
      <c r="E1285" s="14" t="inlineStr">
        <is>
          <t>—</t>
        </is>
      </c>
      <c r="F1285" s="14" t="inlineStr">
        <is>
          <t>Dashboard &amp; Laporan lain (DS-)</t>
        </is>
      </c>
      <c r="G1285" s="15" t="inlineStr">
        <is>
          <t>Urutan tile sama antara Web dan Mobile</t>
        </is>
      </c>
      <c r="H1285" s="14" t="inlineStr">
        <is>
          <t>SPV-A (web) + OPR-A (mobile)</t>
        </is>
      </c>
      <c r="I1285" s="14" t="inlineStr">
        <is>
          <t>—</t>
        </is>
      </c>
      <c r="J1285" s="14" t="inlineStr">
        <is>
          <t>1. Login di web, lalu sidebar &gt; Production Process Activity (/production-process-activity) sebagai SPV-A. Catat urutan ke-18 nama stasiun dari kiri-atas ke kanan-bawah.
2. Login di mobile, tekan Station List (/stations); pilih Production Line bila diminta sebagai OPR-A. Catat urutan ke-18 nama stasiun.
3. Bandingkan kedua daftar posisi per posisi.
4. Periksa khusus dua posisi pertama pada keduanya.</t>
        </is>
      </c>
      <c r="K1285" s="14" t="inlineStr">
        <is>
          <t>- Kedua urutan sama persis, posisi per posisi.
- Keduanya dimulai Weighbridge, lalu Pressing.
- Urutannya bukan alfabetis dan bukan urutan alur proses — ia urutan yang diminta produk.
- Perbedaan urutan mana pun adalah temuan; sebutkan posisi keberapa yang berbeda.</t>
        </is>
      </c>
      <c r="L1285" s="11" t="inlineStr">
        <is>
          <t>Sedang</t>
        </is>
      </c>
      <c r="M1285" s="14" t="inlineStr">
        <is>
          <t>urutan ini bukan alfabetis dan bukan alur proses — ia urutan yang diminta produk. Yang diuji adalah web dan mobile tidak menyimpang satu dari yang lain.</t>
        </is>
      </c>
      <c r="N1285" s="17" t="n"/>
      <c r="O1285" s="17" t="n"/>
      <c r="P1285" s="17" t="n"/>
      <c r="Q1285" s="17" t="n"/>
      <c r="R1285" s="17" t="n"/>
    </row>
    <row r="1286" ht="122.8" customHeight="1">
      <c r="A1286" s="18" t="n">
        <v>1282</v>
      </c>
      <c r="B1286" s="18" t="n">
        <v>3</v>
      </c>
      <c r="C1286" s="19" t="inlineStr">
        <is>
          <t>MD-KEL-01 / Corporate</t>
        </is>
      </c>
      <c r="D1286" s="19" t="inlineStr">
        <is>
          <t>MD-KEL-01</t>
        </is>
      </c>
      <c r="E1286" s="20" t="inlineStr">
        <is>
          <t>Corporate</t>
        </is>
      </c>
      <c r="F1286" s="21" t="inlineStr">
        <is>
          <t>Master Data (MD-)</t>
        </is>
      </c>
      <c r="G1286" s="20" t="inlineStr">
        <is>
          <t>Tambah data berhasil dan langsung terlihat</t>
        </is>
      </c>
      <c r="H1286" s="21" t="inlineStr">
        <is>
          <t>ADM</t>
        </is>
      </c>
      <c r="I1286" s="21" t="inlineStr">
        <is>
          <t>—</t>
        </is>
      </c>
      <c r="J1286" s="21" t="inlineStr">
        <is>
          <t>1. Login di web, lalu sidebar &gt; Kelola Corporate (/master-data/corporates) sebagai ADM. Catat jumlah data yang tertulis.
2. Tekan Tambah.
3. Isi seluruh kolom wajib dengan nilai yang belum dipakai.
4. Tekan Simpan.
5. Baca daftar tanpa menekan muat ulang browser.</t>
        </is>
      </c>
      <c r="K1286" s="21" t="inlineStr">
        <is>
          <t>- Simpan berhasil dengan pesan konfirmasi.
- Entri baru langsung muncul di daftar — tanpa muat ulang manual.
- Jumlah data bertambah satu.</t>
        </is>
      </c>
      <c r="L1286" s="16" t="inlineStr">
        <is>
          <t>Tinggi</t>
        </is>
      </c>
      <c r="M1286" s="21" t="inlineStr"/>
      <c r="N1286" s="17" t="n"/>
      <c r="O1286" s="17" t="n"/>
      <c r="P1286" s="17" t="n"/>
      <c r="Q1286" s="17" t="n"/>
      <c r="R1286" s="17" t="n"/>
    </row>
    <row r="1287" ht="122.8" customHeight="1">
      <c r="A1287" s="22" t="n">
        <v>1283</v>
      </c>
      <c r="B1287" s="22" t="n">
        <v>3</v>
      </c>
      <c r="C1287" s="23" t="inlineStr">
        <is>
          <t>MD-KEL-01 / Company</t>
        </is>
      </c>
      <c r="D1287" s="23" t="inlineStr">
        <is>
          <t>MD-KEL-01</t>
        </is>
      </c>
      <c r="E1287" s="24" t="inlineStr">
        <is>
          <t>Company</t>
        </is>
      </c>
      <c r="F1287" s="5" t="inlineStr">
        <is>
          <t>Master Data (MD-)</t>
        </is>
      </c>
      <c r="G1287" s="24" t="inlineStr">
        <is>
          <t>Tambah data berhasil dan langsung terlihat</t>
        </is>
      </c>
      <c r="H1287" s="5" t="inlineStr">
        <is>
          <t>ADM</t>
        </is>
      </c>
      <c r="I1287" s="5" t="inlineStr">
        <is>
          <t>—</t>
        </is>
      </c>
      <c r="J1287" s="5" t="inlineStr">
        <is>
          <t>1. Login di web, lalu sidebar &gt; Kelola Company (/master-data/companies) sebagai ADM. Catat jumlah data yang tertulis.
2. Tekan Tambah.
3. Isi seluruh kolom wajib dengan nilai yang belum dipakai.
4. Tekan Simpan.
5. Baca daftar tanpa menekan muat ulang browser.</t>
        </is>
      </c>
      <c r="K1287" s="5" t="inlineStr">
        <is>
          <t>- Simpan berhasil dengan pesan konfirmasi.
- Entri baru langsung muncul di daftar — tanpa muat ulang manual.
- Jumlah data bertambah satu.</t>
        </is>
      </c>
      <c r="L1287" s="16" t="inlineStr">
        <is>
          <t>Tinggi</t>
        </is>
      </c>
      <c r="M1287" s="5" t="inlineStr"/>
      <c r="N1287" s="17" t="n"/>
      <c r="O1287" s="17" t="n"/>
      <c r="P1287" s="17" t="n"/>
      <c r="Q1287" s="17" t="n"/>
      <c r="R1287" s="17" t="n"/>
    </row>
    <row r="1288" ht="122.8" customHeight="1">
      <c r="A1288" s="11" t="n">
        <v>1284</v>
      </c>
      <c r="B1288" s="12" t="n">
        <v>1</v>
      </c>
      <c r="C1288" s="13" t="inlineStr">
        <is>
          <t>MD-KEL-01 / Business Unit</t>
        </is>
      </c>
      <c r="D1288" s="13" t="inlineStr">
        <is>
          <t>MD-KEL-01</t>
        </is>
      </c>
      <c r="E1288" s="15" t="inlineStr">
        <is>
          <t>Business Unit</t>
        </is>
      </c>
      <c r="F1288" s="14" t="inlineStr">
        <is>
          <t>Master Data (MD-)</t>
        </is>
      </c>
      <c r="G1288" s="15" t="inlineStr">
        <is>
          <t>Tambah data berhasil dan langsung terlihat</t>
        </is>
      </c>
      <c r="H1288" s="14" t="inlineStr">
        <is>
          <t>ADM</t>
        </is>
      </c>
      <c r="I1288" s="14" t="inlineStr">
        <is>
          <t>—</t>
        </is>
      </c>
      <c r="J1288" s="14" t="inlineStr">
        <is>
          <t>1. Login di web, lalu sidebar &gt; Kelola Business Unit (/master-data/business-units) sebagai ADM. Catat jumlah data yang tertulis.
2. Tekan Tambah.
3. Isi seluruh kolom wajib dengan nilai yang belum dipakai.
4. Tekan Simpan.
5. Baca daftar tanpa menekan muat ulang browser.</t>
        </is>
      </c>
      <c r="K1288" s="14" t="inlineStr">
        <is>
          <t>- Simpan berhasil dengan pesan konfirmasi.
- Entri baru langsung muncul di daftar — tanpa muat ulang manual.
- Jumlah data bertambah satu.</t>
        </is>
      </c>
      <c r="L1288" s="16" t="inlineStr">
        <is>
          <t>Tinggi</t>
        </is>
      </c>
      <c r="M1288" s="14" t="inlineStr"/>
      <c r="N1288" s="17" t="n"/>
      <c r="O1288" s="17" t="n"/>
      <c r="P1288" s="17" t="n"/>
      <c r="Q1288" s="17" t="n"/>
      <c r="R1288" s="17" t="n"/>
    </row>
    <row r="1289" ht="122.8" customHeight="1">
      <c r="A1289" s="22" t="n">
        <v>1285</v>
      </c>
      <c r="B1289" s="22" t="n">
        <v>3</v>
      </c>
      <c r="C1289" s="23" t="inlineStr">
        <is>
          <t>MD-KEL-01 / Production Line</t>
        </is>
      </c>
      <c r="D1289" s="23" t="inlineStr">
        <is>
          <t>MD-KEL-01</t>
        </is>
      </c>
      <c r="E1289" s="24" t="inlineStr">
        <is>
          <t>Production Line</t>
        </is>
      </c>
      <c r="F1289" s="5" t="inlineStr">
        <is>
          <t>Master Data (MD-)</t>
        </is>
      </c>
      <c r="G1289" s="24" t="inlineStr">
        <is>
          <t>Tambah data berhasil dan langsung terlihat</t>
        </is>
      </c>
      <c r="H1289" s="5" t="inlineStr">
        <is>
          <t>ADM</t>
        </is>
      </c>
      <c r="I1289" s="5" t="inlineStr">
        <is>
          <t>—</t>
        </is>
      </c>
      <c r="J1289" s="5" t="inlineStr">
        <is>
          <t>1. Login di web, lalu sidebar &gt; Kelola Production Line (/master-data/production-lines) sebagai ADM. Catat jumlah data yang tertulis.
2. Tekan Tambah.
3. Isi seluruh kolom wajib dengan nilai yang belum dipakai.
4. Tekan Simpan.
5. Baca daftar tanpa menekan muat ulang browser.</t>
        </is>
      </c>
      <c r="K1289" s="5" t="inlineStr">
        <is>
          <t>- Simpan berhasil dengan pesan konfirmasi.
- Entri baru langsung muncul di daftar — tanpa muat ulang manual.
- Jumlah data bertambah satu.</t>
        </is>
      </c>
      <c r="L1289" s="16" t="inlineStr">
        <is>
          <t>Tinggi</t>
        </is>
      </c>
      <c r="M1289" s="5" t="inlineStr"/>
      <c r="N1289" s="17" t="n"/>
      <c r="O1289" s="17" t="n"/>
      <c r="P1289" s="17" t="n"/>
      <c r="Q1289" s="17" t="n"/>
      <c r="R1289" s="17" t="n"/>
    </row>
    <row r="1290" ht="122.8" customHeight="1">
      <c r="A1290" s="18" t="n">
        <v>1286</v>
      </c>
      <c r="B1290" s="18" t="n">
        <v>3</v>
      </c>
      <c r="C1290" s="19" t="inlineStr">
        <is>
          <t>MD-KEL-01 / Station</t>
        </is>
      </c>
      <c r="D1290" s="19" t="inlineStr">
        <is>
          <t>MD-KEL-01</t>
        </is>
      </c>
      <c r="E1290" s="20" t="inlineStr">
        <is>
          <t>Station</t>
        </is>
      </c>
      <c r="F1290" s="21" t="inlineStr">
        <is>
          <t>Master Data (MD-)</t>
        </is>
      </c>
      <c r="G1290" s="20" t="inlineStr">
        <is>
          <t>Tambah data berhasil dan langsung terlihat</t>
        </is>
      </c>
      <c r="H1290" s="21" t="inlineStr">
        <is>
          <t>ADM</t>
        </is>
      </c>
      <c r="I1290" s="21" t="inlineStr">
        <is>
          <t>—</t>
        </is>
      </c>
      <c r="J1290" s="21" t="inlineStr">
        <is>
          <t>1. Login di web, lalu sidebar &gt; Kelola Station (/master-data/stations) sebagai ADM. Catat jumlah data yang tertulis.
2. Tekan Tambah.
3. Isi seluruh kolom wajib dengan nilai yang belum dipakai.
4. Tekan Simpan.
5. Baca daftar tanpa menekan muat ulang browser.</t>
        </is>
      </c>
      <c r="K1290" s="21" t="inlineStr">
        <is>
          <t>- Simpan berhasil dengan pesan konfirmasi.
- Entri baru langsung muncul di daftar — tanpa muat ulang manual.
- Jumlah data bertambah satu.</t>
        </is>
      </c>
      <c r="L1290" s="16" t="inlineStr">
        <is>
          <t>Tinggi</t>
        </is>
      </c>
      <c r="M1290" s="21" t="inlineStr"/>
      <c r="N1290" s="17" t="n"/>
      <c r="O1290" s="17" t="n"/>
      <c r="P1290" s="17" t="n"/>
      <c r="Q1290" s="17" t="n"/>
      <c r="R1290" s="17" t="n"/>
    </row>
    <row r="1291" ht="122.8" customHeight="1">
      <c r="A1291" s="22" t="n">
        <v>1287</v>
      </c>
      <c r="B1291" s="22" t="n">
        <v>3</v>
      </c>
      <c r="C1291" s="23" t="inlineStr">
        <is>
          <t>MD-KEL-01 / Machinery Group</t>
        </is>
      </c>
      <c r="D1291" s="23" t="inlineStr">
        <is>
          <t>MD-KEL-01</t>
        </is>
      </c>
      <c r="E1291" s="24" t="inlineStr">
        <is>
          <t>Machinery Group</t>
        </is>
      </c>
      <c r="F1291" s="5" t="inlineStr">
        <is>
          <t>Master Data (MD-)</t>
        </is>
      </c>
      <c r="G1291" s="24" t="inlineStr">
        <is>
          <t>Tambah data berhasil dan langsung terlihat</t>
        </is>
      </c>
      <c r="H1291" s="5" t="inlineStr">
        <is>
          <t>ADM</t>
        </is>
      </c>
      <c r="I1291" s="5" t="inlineStr">
        <is>
          <t>—</t>
        </is>
      </c>
      <c r="J1291" s="5" t="inlineStr">
        <is>
          <t>1. Login di web, lalu sidebar &gt; Kelola Machinery Group (/master-data/machinery-groups) sebagai ADM. Catat jumlah data yang tertulis.
2. Tekan Tambah.
3. Isi seluruh kolom wajib dengan nilai yang belum dipakai.
4. Tekan Simpan.
5. Baca daftar tanpa menekan muat ulang browser.</t>
        </is>
      </c>
      <c r="K1291" s="5" t="inlineStr">
        <is>
          <t>- Simpan berhasil dengan pesan konfirmasi.
- Entri baru langsung muncul di daftar — tanpa muat ulang manual.
- Jumlah data bertambah satu.</t>
        </is>
      </c>
      <c r="L1291" s="16" t="inlineStr">
        <is>
          <t>Tinggi</t>
        </is>
      </c>
      <c r="M1291" s="5" t="inlineStr"/>
      <c r="N1291" s="17" t="n"/>
      <c r="O1291" s="17" t="n"/>
      <c r="P1291" s="17" t="n"/>
      <c r="Q1291" s="17" t="n"/>
      <c r="R1291" s="17" t="n"/>
    </row>
    <row r="1292" ht="122.8" customHeight="1">
      <c r="A1292" s="18" t="n">
        <v>1288</v>
      </c>
      <c r="B1292" s="18" t="n">
        <v>3</v>
      </c>
      <c r="C1292" s="19" t="inlineStr">
        <is>
          <t>MD-KEL-01 / Machinery</t>
        </is>
      </c>
      <c r="D1292" s="19" t="inlineStr">
        <is>
          <t>MD-KEL-01</t>
        </is>
      </c>
      <c r="E1292" s="20" t="inlineStr">
        <is>
          <t>Machinery</t>
        </is>
      </c>
      <c r="F1292" s="21" t="inlineStr">
        <is>
          <t>Master Data (MD-)</t>
        </is>
      </c>
      <c r="G1292" s="20" t="inlineStr">
        <is>
          <t>Tambah data berhasil dan langsung terlihat</t>
        </is>
      </c>
      <c r="H1292" s="21" t="inlineStr">
        <is>
          <t>ADM</t>
        </is>
      </c>
      <c r="I1292" s="21" t="inlineStr">
        <is>
          <t>—</t>
        </is>
      </c>
      <c r="J1292" s="21" t="inlineStr">
        <is>
          <t>1. Login di web, lalu sidebar &gt; Kelola Machinery (/master-data/machinery) sebagai ADM. Catat jumlah data yang tertulis.
2. Tekan Tambah.
3. Isi seluruh kolom wajib dengan nilai yang belum dipakai.
4. Tekan Simpan.
5. Baca daftar tanpa menekan muat ulang browser.</t>
        </is>
      </c>
      <c r="K1292" s="21" t="inlineStr">
        <is>
          <t>- Simpan berhasil dengan pesan konfirmasi.
- Entri baru langsung muncul di daftar — tanpa muat ulang manual.
- Jumlah data bertambah satu.</t>
        </is>
      </c>
      <c r="L1292" s="16" t="inlineStr">
        <is>
          <t>Tinggi</t>
        </is>
      </c>
      <c r="M1292" s="21" t="inlineStr"/>
      <c r="N1292" s="17" t="n"/>
      <c r="O1292" s="17" t="n"/>
      <c r="P1292" s="17" t="n"/>
      <c r="Q1292" s="17" t="n"/>
      <c r="R1292" s="17" t="n"/>
    </row>
    <row r="1293" ht="122.8" customHeight="1">
      <c r="A1293" s="22" t="n">
        <v>1289</v>
      </c>
      <c r="B1293" s="22" t="n">
        <v>3</v>
      </c>
      <c r="C1293" s="23" t="inlineStr">
        <is>
          <t>MD-KEL-01 / User &amp; Role</t>
        </is>
      </c>
      <c r="D1293" s="23" t="inlineStr">
        <is>
          <t>MD-KEL-01</t>
        </is>
      </c>
      <c r="E1293" s="24" t="inlineStr">
        <is>
          <t>User &amp; Role</t>
        </is>
      </c>
      <c r="F1293" s="5" t="inlineStr">
        <is>
          <t>Master Data (MD-)</t>
        </is>
      </c>
      <c r="G1293" s="24" t="inlineStr">
        <is>
          <t>Tambah data berhasil dan langsung terlihat</t>
        </is>
      </c>
      <c r="H1293" s="5" t="inlineStr">
        <is>
          <t>ADM</t>
        </is>
      </c>
      <c r="I1293" s="5" t="inlineStr">
        <is>
          <t>—</t>
        </is>
      </c>
      <c r="J1293" s="5" t="inlineStr">
        <is>
          <t>1. Login di web, lalu sidebar &gt; Kelola User &amp; Role (/master-data/users) sebagai ADM. Catat jumlah data yang tertulis.
2. Tekan Tambah.
3. Isi seluruh kolom wajib dengan nilai yang belum dipakai.
4. Tekan Simpan.
5. Baca daftar tanpa menekan muat ulang browser.</t>
        </is>
      </c>
      <c r="K1293" s="5" t="inlineStr">
        <is>
          <t>- Simpan berhasil dengan pesan konfirmasi.
- Entri baru langsung muncul di daftar — tanpa muat ulang manual.
- Jumlah data bertambah satu.</t>
        </is>
      </c>
      <c r="L1293" s="16" t="inlineStr">
        <is>
          <t>Tinggi</t>
        </is>
      </c>
      <c r="M1293" s="5" t="inlineStr"/>
      <c r="N1293" s="17" t="n"/>
      <c r="O1293" s="17" t="n"/>
      <c r="P1293" s="17" t="n"/>
      <c r="Q1293" s="17" t="n"/>
      <c r="R1293" s="17" t="n"/>
    </row>
    <row r="1294" ht="109.6" customHeight="1">
      <c r="A1294" s="18" t="n">
        <v>1290</v>
      </c>
      <c r="B1294" s="18" t="n">
        <v>3</v>
      </c>
      <c r="C1294" s="19" t="inlineStr">
        <is>
          <t>MD-KEL-02 / Corporate</t>
        </is>
      </c>
      <c r="D1294" s="19" t="inlineStr">
        <is>
          <t>MD-KEL-02</t>
        </is>
      </c>
      <c r="E1294" s="20" t="inlineStr">
        <is>
          <t>Corporate</t>
        </is>
      </c>
      <c r="F1294" s="21" t="inlineStr">
        <is>
          <t>Master Data (MD-)</t>
        </is>
      </c>
      <c r="G1294" s="20" t="inlineStr">
        <is>
          <t>Kolom wajib divalidasi di sebelah kolomnya</t>
        </is>
      </c>
      <c r="H1294" s="21" t="inlineStr">
        <is>
          <t>ADM</t>
        </is>
      </c>
      <c r="I1294" s="21" t="inlineStr">
        <is>
          <t>—</t>
        </is>
      </c>
      <c r="J1294" s="21" t="inlineStr">
        <is>
          <t>1. Login di web, lalu sidebar &gt; Kelola Corporate (/master-data/corporates) sebagai ADM. Tekan Tambah.
2. Kosongkan satu kolom wajib, isi yang lain, tekan Simpan.
3. Catat di mana pesan galatnya muncul.
4. Ulangi langkah 2–3 untuk setiap kolom wajib, satu per satu.</t>
        </is>
      </c>
      <c r="K1294" s="21" t="inlineStr">
        <is>
          <t>- Setiap kali ditolak; data tidak tersimpan.
- Pesan galat muncul di sebelah kolom yang bersangkutan — bukan satu pesan umum di atas form.
- Isi kolom lain tidak hilang.</t>
        </is>
      </c>
      <c r="L1294" s="16" t="inlineStr">
        <is>
          <t>Tinggi</t>
        </is>
      </c>
      <c r="M1294" s="21" t="inlineStr"/>
      <c r="N1294" s="17" t="n"/>
      <c r="O1294" s="17" t="n"/>
      <c r="P1294" s="17" t="n"/>
      <c r="Q1294" s="17" t="n"/>
      <c r="R1294" s="17" t="n"/>
    </row>
    <row r="1295" ht="109.6" customHeight="1">
      <c r="A1295" s="22" t="n">
        <v>1291</v>
      </c>
      <c r="B1295" s="22" t="n">
        <v>3</v>
      </c>
      <c r="C1295" s="23" t="inlineStr">
        <is>
          <t>MD-KEL-02 / Company</t>
        </is>
      </c>
      <c r="D1295" s="23" t="inlineStr">
        <is>
          <t>MD-KEL-02</t>
        </is>
      </c>
      <c r="E1295" s="24" t="inlineStr">
        <is>
          <t>Company</t>
        </is>
      </c>
      <c r="F1295" s="5" t="inlineStr">
        <is>
          <t>Master Data (MD-)</t>
        </is>
      </c>
      <c r="G1295" s="24" t="inlineStr">
        <is>
          <t>Kolom wajib divalidasi di sebelah kolomnya</t>
        </is>
      </c>
      <c r="H1295" s="5" t="inlineStr">
        <is>
          <t>ADM</t>
        </is>
      </c>
      <c r="I1295" s="5" t="inlineStr">
        <is>
          <t>—</t>
        </is>
      </c>
      <c r="J1295" s="5" t="inlineStr">
        <is>
          <t>1. Login di web, lalu sidebar &gt; Kelola Company (/master-data/companies) sebagai ADM. Tekan Tambah.
2. Kosongkan satu kolom wajib, isi yang lain, tekan Simpan.
3. Catat di mana pesan galatnya muncul.
4. Ulangi langkah 2–3 untuk setiap kolom wajib, satu per satu.</t>
        </is>
      </c>
      <c r="K1295" s="5" t="inlineStr">
        <is>
          <t>- Setiap kali ditolak; data tidak tersimpan.
- Pesan galat muncul di sebelah kolom yang bersangkutan — bukan satu pesan umum di atas form.
- Isi kolom lain tidak hilang.</t>
        </is>
      </c>
      <c r="L1295" s="16" t="inlineStr">
        <is>
          <t>Tinggi</t>
        </is>
      </c>
      <c r="M1295" s="5" t="inlineStr"/>
      <c r="N1295" s="17" t="n"/>
      <c r="O1295" s="17" t="n"/>
      <c r="P1295" s="17" t="n"/>
      <c r="Q1295" s="17" t="n"/>
      <c r="R1295" s="17" t="n"/>
    </row>
    <row r="1296" ht="109.6" customHeight="1">
      <c r="A1296" s="11" t="n">
        <v>1292</v>
      </c>
      <c r="B1296" s="12" t="n">
        <v>1</v>
      </c>
      <c r="C1296" s="13" t="inlineStr">
        <is>
          <t>MD-KEL-02 / Business Unit</t>
        </is>
      </c>
      <c r="D1296" s="13" t="inlineStr">
        <is>
          <t>MD-KEL-02</t>
        </is>
      </c>
      <c r="E1296" s="15" t="inlineStr">
        <is>
          <t>Business Unit</t>
        </is>
      </c>
      <c r="F1296" s="14" t="inlineStr">
        <is>
          <t>Master Data (MD-)</t>
        </is>
      </c>
      <c r="G1296" s="15" t="inlineStr">
        <is>
          <t>Kolom wajib divalidasi di sebelah kolomnya</t>
        </is>
      </c>
      <c r="H1296" s="14" t="inlineStr">
        <is>
          <t>ADM</t>
        </is>
      </c>
      <c r="I1296" s="14" t="inlineStr">
        <is>
          <t>—</t>
        </is>
      </c>
      <c r="J1296" s="14" t="inlineStr">
        <is>
          <t>1. Login di web, lalu sidebar &gt; Kelola Business Unit (/master-data/business-units) sebagai ADM. Tekan Tambah.
2. Kosongkan satu kolom wajib, isi yang lain, tekan Simpan.
3. Catat di mana pesan galatnya muncul.
4. Ulangi langkah 2–3 untuk setiap kolom wajib, satu per satu.</t>
        </is>
      </c>
      <c r="K1296" s="14" t="inlineStr">
        <is>
          <t>- Setiap kali ditolak; data tidak tersimpan.
- Pesan galat muncul di sebelah kolom yang bersangkutan — bukan satu pesan umum di atas form.
- Isi kolom lain tidak hilang.</t>
        </is>
      </c>
      <c r="L1296" s="16" t="inlineStr">
        <is>
          <t>Tinggi</t>
        </is>
      </c>
      <c r="M1296" s="14" t="inlineStr"/>
      <c r="N1296" s="17" t="n"/>
      <c r="O1296" s="17" t="n"/>
      <c r="P1296" s="17" t="n"/>
      <c r="Q1296" s="17" t="n"/>
      <c r="R1296" s="17" t="n"/>
    </row>
    <row r="1297" ht="109.6" customHeight="1">
      <c r="A1297" s="22" t="n">
        <v>1293</v>
      </c>
      <c r="B1297" s="22" t="n">
        <v>3</v>
      </c>
      <c r="C1297" s="23" t="inlineStr">
        <is>
          <t>MD-KEL-02 / Production Line</t>
        </is>
      </c>
      <c r="D1297" s="23" t="inlineStr">
        <is>
          <t>MD-KEL-02</t>
        </is>
      </c>
      <c r="E1297" s="24" t="inlineStr">
        <is>
          <t>Production Line</t>
        </is>
      </c>
      <c r="F1297" s="5" t="inlineStr">
        <is>
          <t>Master Data (MD-)</t>
        </is>
      </c>
      <c r="G1297" s="24" t="inlineStr">
        <is>
          <t>Kolom wajib divalidasi di sebelah kolomnya</t>
        </is>
      </c>
      <c r="H1297" s="5" t="inlineStr">
        <is>
          <t>ADM</t>
        </is>
      </c>
      <c r="I1297" s="5" t="inlineStr">
        <is>
          <t>—</t>
        </is>
      </c>
      <c r="J1297" s="5" t="inlineStr">
        <is>
          <t>1. Login di web, lalu sidebar &gt; Kelola Production Line (/master-data/production-lines) sebagai ADM. Tekan Tambah.
2. Kosongkan satu kolom wajib, isi yang lain, tekan Simpan.
3. Catat di mana pesan galatnya muncul.
4. Ulangi langkah 2–3 untuk setiap kolom wajib, satu per satu.</t>
        </is>
      </c>
      <c r="K1297" s="5" t="inlineStr">
        <is>
          <t>- Setiap kali ditolak; data tidak tersimpan.
- Pesan galat muncul di sebelah kolom yang bersangkutan — bukan satu pesan umum di atas form.
- Isi kolom lain tidak hilang.</t>
        </is>
      </c>
      <c r="L1297" s="16" t="inlineStr">
        <is>
          <t>Tinggi</t>
        </is>
      </c>
      <c r="M1297" s="5" t="inlineStr"/>
      <c r="N1297" s="17" t="n"/>
      <c r="O1297" s="17" t="n"/>
      <c r="P1297" s="17" t="n"/>
      <c r="Q1297" s="17" t="n"/>
      <c r="R1297" s="17" t="n"/>
    </row>
    <row r="1298" ht="109.6" customHeight="1">
      <c r="A1298" s="18" t="n">
        <v>1294</v>
      </c>
      <c r="B1298" s="18" t="n">
        <v>3</v>
      </c>
      <c r="C1298" s="19" t="inlineStr">
        <is>
          <t>MD-KEL-02 / Station</t>
        </is>
      </c>
      <c r="D1298" s="19" t="inlineStr">
        <is>
          <t>MD-KEL-02</t>
        </is>
      </c>
      <c r="E1298" s="20" t="inlineStr">
        <is>
          <t>Station</t>
        </is>
      </c>
      <c r="F1298" s="21" t="inlineStr">
        <is>
          <t>Master Data (MD-)</t>
        </is>
      </c>
      <c r="G1298" s="20" t="inlineStr">
        <is>
          <t>Kolom wajib divalidasi di sebelah kolomnya</t>
        </is>
      </c>
      <c r="H1298" s="21" t="inlineStr">
        <is>
          <t>ADM</t>
        </is>
      </c>
      <c r="I1298" s="21" t="inlineStr">
        <is>
          <t>—</t>
        </is>
      </c>
      <c r="J1298" s="21" t="inlineStr">
        <is>
          <t>1. Login di web, lalu sidebar &gt; Kelola Station (/master-data/stations) sebagai ADM. Tekan Tambah.
2. Kosongkan satu kolom wajib, isi yang lain, tekan Simpan.
3. Catat di mana pesan galatnya muncul.
4. Ulangi langkah 2–3 untuk setiap kolom wajib, satu per satu.</t>
        </is>
      </c>
      <c r="K1298" s="21" t="inlineStr">
        <is>
          <t>- Setiap kali ditolak; data tidak tersimpan.
- Pesan galat muncul di sebelah kolom yang bersangkutan — bukan satu pesan umum di atas form.
- Isi kolom lain tidak hilang.</t>
        </is>
      </c>
      <c r="L1298" s="16" t="inlineStr">
        <is>
          <t>Tinggi</t>
        </is>
      </c>
      <c r="M1298" s="21" t="inlineStr"/>
      <c r="N1298" s="17" t="n"/>
      <c r="O1298" s="17" t="n"/>
      <c r="P1298" s="17" t="n"/>
      <c r="Q1298" s="17" t="n"/>
      <c r="R1298" s="17" t="n"/>
    </row>
    <row r="1299" ht="109.6" customHeight="1">
      <c r="A1299" s="22" t="n">
        <v>1295</v>
      </c>
      <c r="B1299" s="22" t="n">
        <v>3</v>
      </c>
      <c r="C1299" s="23" t="inlineStr">
        <is>
          <t>MD-KEL-02 / Machinery Group</t>
        </is>
      </c>
      <c r="D1299" s="23" t="inlineStr">
        <is>
          <t>MD-KEL-02</t>
        </is>
      </c>
      <c r="E1299" s="24" t="inlineStr">
        <is>
          <t>Machinery Group</t>
        </is>
      </c>
      <c r="F1299" s="5" t="inlineStr">
        <is>
          <t>Master Data (MD-)</t>
        </is>
      </c>
      <c r="G1299" s="24" t="inlineStr">
        <is>
          <t>Kolom wajib divalidasi di sebelah kolomnya</t>
        </is>
      </c>
      <c r="H1299" s="5" t="inlineStr">
        <is>
          <t>ADM</t>
        </is>
      </c>
      <c r="I1299" s="5" t="inlineStr">
        <is>
          <t>—</t>
        </is>
      </c>
      <c r="J1299" s="5" t="inlineStr">
        <is>
          <t>1. Login di web, lalu sidebar &gt; Kelola Machinery Group (/master-data/machinery-groups) sebagai ADM. Tekan Tambah.
2. Kosongkan satu kolom wajib, isi yang lain, tekan Simpan.
3. Catat di mana pesan galatnya muncul.
4. Ulangi langkah 2–3 untuk setiap kolom wajib, satu per satu.</t>
        </is>
      </c>
      <c r="K1299" s="5" t="inlineStr">
        <is>
          <t>- Setiap kali ditolak; data tidak tersimpan.
- Pesan galat muncul di sebelah kolom yang bersangkutan — bukan satu pesan umum di atas form.
- Isi kolom lain tidak hilang.</t>
        </is>
      </c>
      <c r="L1299" s="16" t="inlineStr">
        <is>
          <t>Tinggi</t>
        </is>
      </c>
      <c r="M1299" s="5" t="inlineStr"/>
      <c r="N1299" s="17" t="n"/>
      <c r="O1299" s="17" t="n"/>
      <c r="P1299" s="17" t="n"/>
      <c r="Q1299" s="17" t="n"/>
      <c r="R1299" s="17" t="n"/>
    </row>
    <row r="1300" ht="109.6" customHeight="1">
      <c r="A1300" s="18" t="n">
        <v>1296</v>
      </c>
      <c r="B1300" s="18" t="n">
        <v>3</v>
      </c>
      <c r="C1300" s="19" t="inlineStr">
        <is>
          <t>MD-KEL-02 / Machinery</t>
        </is>
      </c>
      <c r="D1300" s="19" t="inlineStr">
        <is>
          <t>MD-KEL-02</t>
        </is>
      </c>
      <c r="E1300" s="20" t="inlineStr">
        <is>
          <t>Machinery</t>
        </is>
      </c>
      <c r="F1300" s="21" t="inlineStr">
        <is>
          <t>Master Data (MD-)</t>
        </is>
      </c>
      <c r="G1300" s="20" t="inlineStr">
        <is>
          <t>Kolom wajib divalidasi di sebelah kolomnya</t>
        </is>
      </c>
      <c r="H1300" s="21" t="inlineStr">
        <is>
          <t>ADM</t>
        </is>
      </c>
      <c r="I1300" s="21" t="inlineStr">
        <is>
          <t>—</t>
        </is>
      </c>
      <c r="J1300" s="21" t="inlineStr">
        <is>
          <t>1. Login di web, lalu sidebar &gt; Kelola Machinery (/master-data/machinery) sebagai ADM. Tekan Tambah.
2. Kosongkan satu kolom wajib, isi yang lain, tekan Simpan.
3. Catat di mana pesan galatnya muncul.
4. Ulangi langkah 2–3 untuk setiap kolom wajib, satu per satu.</t>
        </is>
      </c>
      <c r="K1300" s="21" t="inlineStr">
        <is>
          <t>- Setiap kali ditolak; data tidak tersimpan.
- Pesan galat muncul di sebelah kolom yang bersangkutan — bukan satu pesan umum di atas form.
- Isi kolom lain tidak hilang.</t>
        </is>
      </c>
      <c r="L1300" s="16" t="inlineStr">
        <is>
          <t>Tinggi</t>
        </is>
      </c>
      <c r="M1300" s="21" t="inlineStr"/>
      <c r="N1300" s="17" t="n"/>
      <c r="O1300" s="17" t="n"/>
      <c r="P1300" s="17" t="n"/>
      <c r="Q1300" s="17" t="n"/>
      <c r="R1300" s="17" t="n"/>
    </row>
    <row r="1301" ht="109.6" customHeight="1">
      <c r="A1301" s="22" t="n">
        <v>1297</v>
      </c>
      <c r="B1301" s="22" t="n">
        <v>3</v>
      </c>
      <c r="C1301" s="23" t="inlineStr">
        <is>
          <t>MD-KEL-02 / User &amp; Role</t>
        </is>
      </c>
      <c r="D1301" s="23" t="inlineStr">
        <is>
          <t>MD-KEL-02</t>
        </is>
      </c>
      <c r="E1301" s="24" t="inlineStr">
        <is>
          <t>User &amp; Role</t>
        </is>
      </c>
      <c r="F1301" s="5" t="inlineStr">
        <is>
          <t>Master Data (MD-)</t>
        </is>
      </c>
      <c r="G1301" s="24" t="inlineStr">
        <is>
          <t>Kolom wajib divalidasi di sebelah kolomnya</t>
        </is>
      </c>
      <c r="H1301" s="5" t="inlineStr">
        <is>
          <t>ADM</t>
        </is>
      </c>
      <c r="I1301" s="5" t="inlineStr">
        <is>
          <t>—</t>
        </is>
      </c>
      <c r="J1301" s="5" t="inlineStr">
        <is>
          <t>1. Login di web, lalu sidebar &gt; Kelola User &amp; Role (/master-data/users) sebagai ADM. Tekan Tambah.
2. Kosongkan satu kolom wajib, isi yang lain, tekan Simpan.
3. Catat di mana pesan galatnya muncul.
4. Ulangi langkah 2–3 untuk setiap kolom wajib, satu per satu.</t>
        </is>
      </c>
      <c r="K1301" s="5" t="inlineStr">
        <is>
          <t>- Setiap kali ditolak; data tidak tersimpan.
- Pesan galat muncul di sebelah kolom yang bersangkutan — bukan satu pesan umum di atas form.
- Isi kolom lain tidak hilang.</t>
        </is>
      </c>
      <c r="L1301" s="16" t="inlineStr">
        <is>
          <t>Tinggi</t>
        </is>
      </c>
      <c r="M1301" s="5" t="inlineStr"/>
      <c r="N1301" s="17" t="n"/>
      <c r="O1301" s="17" t="n"/>
      <c r="P1301" s="17" t="n"/>
      <c r="Q1301" s="17" t="n"/>
      <c r="R1301" s="17" t="n"/>
    </row>
    <row r="1302" ht="162.4" customHeight="1">
      <c r="A1302" s="18" t="n">
        <v>1298</v>
      </c>
      <c r="B1302" s="18" t="n">
        <v>3</v>
      </c>
      <c r="C1302" s="19" t="inlineStr">
        <is>
          <t>MD-KEL-03 / Corporate</t>
        </is>
      </c>
      <c r="D1302" s="19" t="inlineStr">
        <is>
          <t>MD-KEL-03</t>
        </is>
      </c>
      <c r="E1302" s="20" t="inlineStr">
        <is>
          <t>Corporate</t>
        </is>
      </c>
      <c r="F1302" s="21" t="inlineStr">
        <is>
          <t>Master Data (MD-)</t>
        </is>
      </c>
      <c r="G1302" s="20" t="inlineStr">
        <is>
          <t>Entri kembar ditolak, tidak peduli huruf besar-kecil</t>
        </is>
      </c>
      <c r="H1302" s="21"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02" s="21" t="inlineStr">
        <is>
          <t>sudah ada satu entri dengan nilai acuan, mis. kode CONTOH-1</t>
        </is>
      </c>
      <c r="J1302" s="21" t="inlineStr">
        <is>
          <t>1. Login di web, lalu sidebar &gt; Kelola Corporate (/master-data/corporates)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02" s="21"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02" s="16" t="inlineStr">
        <is>
          <t>Tinggi</t>
        </is>
      </c>
      <c r="M1302" s="21" t="inlineStr"/>
      <c r="N1302" s="17" t="n"/>
      <c r="O1302" s="17" t="n"/>
      <c r="P1302" s="17" t="n"/>
      <c r="Q1302" s="17" t="n"/>
      <c r="R1302" s="17" t="n"/>
    </row>
    <row r="1303" ht="149.2" customHeight="1">
      <c r="A1303" s="22" t="n">
        <v>1299</v>
      </c>
      <c r="B1303" s="22" t="n">
        <v>3</v>
      </c>
      <c r="C1303" s="23" t="inlineStr">
        <is>
          <t>MD-KEL-03 / Company</t>
        </is>
      </c>
      <c r="D1303" s="23" t="inlineStr">
        <is>
          <t>MD-KEL-03</t>
        </is>
      </c>
      <c r="E1303" s="24" t="inlineStr">
        <is>
          <t>Company</t>
        </is>
      </c>
      <c r="F1303" s="5" t="inlineStr">
        <is>
          <t>Master Data (MD-)</t>
        </is>
      </c>
      <c r="G1303" s="24" t="inlineStr">
        <is>
          <t>Entri kembar ditolak, tidak peduli huruf besar-kecil</t>
        </is>
      </c>
      <c r="H1303" s="5"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03" s="5" t="inlineStr">
        <is>
          <t>sudah ada satu entri dengan nilai acuan, mis. kode CONTOH-1</t>
        </is>
      </c>
      <c r="J1303" s="5" t="inlineStr">
        <is>
          <t>1. Login di web, lalu sidebar &gt; Kelola Company (/master-data/companies)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03" s="5"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03" s="16" t="inlineStr">
        <is>
          <t>Tinggi</t>
        </is>
      </c>
      <c r="M1303" s="5" t="inlineStr"/>
      <c r="N1303" s="17" t="n"/>
      <c r="O1303" s="17" t="n"/>
      <c r="P1303" s="17" t="n"/>
      <c r="Q1303" s="17" t="n"/>
      <c r="R1303" s="17" t="n"/>
    </row>
    <row r="1304" ht="162.4" customHeight="1">
      <c r="A1304" s="11" t="n">
        <v>1300</v>
      </c>
      <c r="B1304" s="12" t="n">
        <v>1</v>
      </c>
      <c r="C1304" s="13" t="inlineStr">
        <is>
          <t>MD-KEL-03 / Business Unit</t>
        </is>
      </c>
      <c r="D1304" s="13" t="inlineStr">
        <is>
          <t>MD-KEL-03</t>
        </is>
      </c>
      <c r="E1304" s="15" t="inlineStr">
        <is>
          <t>Business Unit</t>
        </is>
      </c>
      <c r="F1304" s="14" t="inlineStr">
        <is>
          <t>Master Data (MD-)</t>
        </is>
      </c>
      <c r="G1304" s="15" t="inlineStr">
        <is>
          <t>Entri kembar ditolak, tidak peduli huruf besar-kecil</t>
        </is>
      </c>
      <c r="H1304" s="14"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04" s="14" t="inlineStr">
        <is>
          <t>sudah ada satu entri dengan nilai acuan, mis. kode CONTOH-1</t>
        </is>
      </c>
      <c r="J1304" s="14" t="inlineStr">
        <is>
          <t>1. Login di web, lalu sidebar &gt; Kelola Business Unit (/master-data/business-units)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04" s="14"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04" s="16" t="inlineStr">
        <is>
          <t>Tinggi</t>
        </is>
      </c>
      <c r="M1304" s="14" t="inlineStr"/>
      <c r="N1304" s="17" t="n"/>
      <c r="O1304" s="17" t="n"/>
      <c r="P1304" s="17" t="n"/>
      <c r="Q1304" s="17" t="n"/>
      <c r="R1304" s="17" t="n"/>
    </row>
    <row r="1305" ht="162.4" customHeight="1">
      <c r="A1305" s="22" t="n">
        <v>1301</v>
      </c>
      <c r="B1305" s="22" t="n">
        <v>3</v>
      </c>
      <c r="C1305" s="23" t="inlineStr">
        <is>
          <t>MD-KEL-03 / Production Line</t>
        </is>
      </c>
      <c r="D1305" s="23" t="inlineStr">
        <is>
          <t>MD-KEL-03</t>
        </is>
      </c>
      <c r="E1305" s="24" t="inlineStr">
        <is>
          <t>Production Line</t>
        </is>
      </c>
      <c r="F1305" s="5" t="inlineStr">
        <is>
          <t>Master Data (MD-)</t>
        </is>
      </c>
      <c r="G1305" s="24" t="inlineStr">
        <is>
          <t>Entri kembar ditolak, tidak peduli huruf besar-kecil</t>
        </is>
      </c>
      <c r="H1305" s="5"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05" s="5" t="inlineStr">
        <is>
          <t>sudah ada satu entri dengan nilai acuan, mis. kode CONTOH-1</t>
        </is>
      </c>
      <c r="J1305" s="5" t="inlineStr">
        <is>
          <t>1. Login di web, lalu sidebar &gt; Kelola Production Line (/master-data/production-lines)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05" s="5"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05" s="16" t="inlineStr">
        <is>
          <t>Tinggi</t>
        </is>
      </c>
      <c r="M1305" s="5" t="inlineStr"/>
      <c r="N1305" s="17" t="n"/>
      <c r="O1305" s="17" t="n"/>
      <c r="P1305" s="17" t="n"/>
      <c r="Q1305" s="17" t="n"/>
      <c r="R1305" s="17" t="n"/>
    </row>
    <row r="1306" ht="149.2" customHeight="1">
      <c r="A1306" s="18" t="n">
        <v>1302</v>
      </c>
      <c r="B1306" s="18" t="n">
        <v>3</v>
      </c>
      <c r="C1306" s="19" t="inlineStr">
        <is>
          <t>MD-KEL-03 / Station</t>
        </is>
      </c>
      <c r="D1306" s="19" t="inlineStr">
        <is>
          <t>MD-KEL-03</t>
        </is>
      </c>
      <c r="E1306" s="20" t="inlineStr">
        <is>
          <t>Station</t>
        </is>
      </c>
      <c r="F1306" s="21" t="inlineStr">
        <is>
          <t>Master Data (MD-)</t>
        </is>
      </c>
      <c r="G1306" s="20" t="inlineStr">
        <is>
          <t>Entri kembar ditolak, tidak peduli huruf besar-kecil</t>
        </is>
      </c>
      <c r="H1306" s="21"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06" s="21" t="inlineStr">
        <is>
          <t>sudah ada satu entri dengan nilai acuan, mis. kode CONTOH-1</t>
        </is>
      </c>
      <c r="J1306" s="21" t="inlineStr">
        <is>
          <t>1. Login di web, lalu sidebar &gt; Kelola Station (/master-data/stations)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06" s="21"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06" s="16" t="inlineStr">
        <is>
          <t>Tinggi</t>
        </is>
      </c>
      <c r="M1306" s="21" t="inlineStr"/>
      <c r="N1306" s="17" t="n"/>
      <c r="O1306" s="17" t="n"/>
      <c r="P1306" s="17" t="n"/>
      <c r="Q1306" s="17" t="n"/>
      <c r="R1306" s="17" t="n"/>
    </row>
    <row r="1307" ht="162.4" customHeight="1">
      <c r="A1307" s="22" t="n">
        <v>1303</v>
      </c>
      <c r="B1307" s="22" t="n">
        <v>3</v>
      </c>
      <c r="C1307" s="23" t="inlineStr">
        <is>
          <t>MD-KEL-03 / Machinery Group</t>
        </is>
      </c>
      <c r="D1307" s="23" t="inlineStr">
        <is>
          <t>MD-KEL-03</t>
        </is>
      </c>
      <c r="E1307" s="24" t="inlineStr">
        <is>
          <t>Machinery Group</t>
        </is>
      </c>
      <c r="F1307" s="5" t="inlineStr">
        <is>
          <t>Master Data (MD-)</t>
        </is>
      </c>
      <c r="G1307" s="24" t="inlineStr">
        <is>
          <t>Entri kembar ditolak, tidak peduli huruf besar-kecil</t>
        </is>
      </c>
      <c r="H1307" s="5"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07" s="5" t="inlineStr">
        <is>
          <t>sudah ada satu entri dengan nilai acuan, mis. kode CONTOH-1</t>
        </is>
      </c>
      <c r="J1307" s="5" t="inlineStr">
        <is>
          <t>1. Login di web, lalu sidebar &gt; Kelola Machinery Group (/master-data/machinery-groups)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07" s="5"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07" s="16" t="inlineStr">
        <is>
          <t>Tinggi</t>
        </is>
      </c>
      <c r="M1307" s="5" t="inlineStr"/>
      <c r="N1307" s="17" t="n"/>
      <c r="O1307" s="17" t="n"/>
      <c r="P1307" s="17" t="n"/>
      <c r="Q1307" s="17" t="n"/>
      <c r="R1307" s="17" t="n"/>
    </row>
    <row r="1308" ht="149.2" customHeight="1">
      <c r="A1308" s="18" t="n">
        <v>1304</v>
      </c>
      <c r="B1308" s="18" t="n">
        <v>3</v>
      </c>
      <c r="C1308" s="19" t="inlineStr">
        <is>
          <t>MD-KEL-03 / Machinery</t>
        </is>
      </c>
      <c r="D1308" s="19" t="inlineStr">
        <is>
          <t>MD-KEL-03</t>
        </is>
      </c>
      <c r="E1308" s="20" t="inlineStr">
        <is>
          <t>Machinery</t>
        </is>
      </c>
      <c r="F1308" s="21" t="inlineStr">
        <is>
          <t>Master Data (MD-)</t>
        </is>
      </c>
      <c r="G1308" s="20" t="inlineStr">
        <is>
          <t>Entri kembar ditolak, tidak peduli huruf besar-kecil</t>
        </is>
      </c>
      <c r="H1308" s="21"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08" s="21" t="inlineStr">
        <is>
          <t>sudah ada satu entri dengan nilai acuan, mis. kode CONTOH-1</t>
        </is>
      </c>
      <c r="J1308" s="21" t="inlineStr">
        <is>
          <t>1. Login di web, lalu sidebar &gt; Kelola Machinery (/master-data/machinery)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08" s="21"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08" s="16" t="inlineStr">
        <is>
          <t>Tinggi</t>
        </is>
      </c>
      <c r="M1308" s="21" t="inlineStr"/>
      <c r="N1308" s="17" t="n"/>
      <c r="O1308" s="17" t="n"/>
      <c r="P1308" s="17" t="n"/>
      <c r="Q1308" s="17" t="n"/>
      <c r="R1308" s="17" t="n"/>
    </row>
    <row r="1309" ht="149.2" customHeight="1">
      <c r="A1309" s="22" t="n">
        <v>1305</v>
      </c>
      <c r="B1309" s="22" t="n">
        <v>3</v>
      </c>
      <c r="C1309" s="23" t="inlineStr">
        <is>
          <t>MD-KEL-03 / User &amp; Role</t>
        </is>
      </c>
      <c r="D1309" s="23" t="inlineStr">
        <is>
          <t>MD-KEL-03</t>
        </is>
      </c>
      <c r="E1309" s="24" t="inlineStr">
        <is>
          <t>User &amp; Role</t>
        </is>
      </c>
      <c r="F1309" s="5" t="inlineStr">
        <is>
          <t>Master Data (MD-)</t>
        </is>
      </c>
      <c r="G1309" s="24" t="inlineStr">
        <is>
          <t>Entri kembar ditolak, tidak peduli huruf besar-kecil</t>
        </is>
      </c>
      <c r="H1309" s="5"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09" s="5" t="inlineStr">
        <is>
          <t>sudah ada satu entri dengan nilai acuan, mis. kode CONTOH-1</t>
        </is>
      </c>
      <c r="J1309" s="5" t="inlineStr">
        <is>
          <t>1. Login di web, lalu sidebar &gt; Kelola User &amp; Role (/master-data/users)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09" s="5"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09" s="16" t="inlineStr">
        <is>
          <t>Tinggi</t>
        </is>
      </c>
      <c r="M1309" s="5" t="inlineStr"/>
      <c r="N1309" s="17" t="n"/>
      <c r="O1309" s="17" t="n"/>
      <c r="P1309" s="17" t="n"/>
      <c r="Q1309" s="17" t="n"/>
      <c r="R1309" s="17" t="n"/>
    </row>
    <row r="1310" ht="175.6" customHeight="1">
      <c r="A1310" s="18" t="n">
        <v>1306</v>
      </c>
      <c r="B1310" s="18" t="n">
        <v>3</v>
      </c>
      <c r="C1310" s="19" t="inlineStr">
        <is>
          <t>MD-KEL-04 / Corporate</t>
        </is>
      </c>
      <c r="D1310" s="19" t="inlineStr">
        <is>
          <t>MD-KEL-04</t>
        </is>
      </c>
      <c r="E1310" s="20" t="inlineStr">
        <is>
          <t>Corporate</t>
        </is>
      </c>
      <c r="F1310" s="21" t="inlineStr">
        <is>
          <t>Master Data (MD-)</t>
        </is>
      </c>
      <c r="G1310" s="20" t="inlineStr">
        <is>
          <t>Induk wajib dipilih</t>
        </is>
      </c>
      <c r="H1310" s="21" t="inlineStr">
        <is>
          <t>ADM</t>
        </is>
      </c>
      <c r="I1310" s="21" t="inlineStr">
        <is>
          <t>berlaku untuk Company (induk: Corporate), Business Unit (induk: Company), Production Line (induk: Business Unit), Station (induk: Production Line), Machinery (induk: Machinery Group)</t>
        </is>
      </c>
      <c r="J1310" s="21" t="inlineStr">
        <is>
          <t>1. Berlaku untuk tingkat yang punya induk: Company (Corporate), Business Unit (Company), Production Line (Business Unit), Station (Production Line), Machinery (Machinery Group).
2. Login di web, lalu sidebar &gt; Kelola Corporate (/master-data/corporates) sebagai ADM. Tekan Tambah.
3. Isi seluruh kolom kecuali kolom induk — biarkan induknya belum dipilih.
4. Tekan Simpan.
5. Baca bentuk dan letak pesannya dengan teliti.</t>
        </is>
      </c>
      <c r="K1310" s="21"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10" s="16" t="inlineStr">
        <is>
          <t>Tinggi</t>
        </is>
      </c>
      <c r="M1310" s="21" t="inlineStr">
        <is>
          <t>yang diperiksa bukan hanya bahwa ia ditolak, tetapi bentuk penolakannya. Pesan validasi di sebelah kolom induk berarti lulus; galat teknis berarti gagal, meskipun datanya sama-sama tidak tersimpan.</t>
        </is>
      </c>
      <c r="N1310" s="17" t="n"/>
      <c r="O1310" s="17" t="n"/>
      <c r="P1310" s="17" t="n"/>
      <c r="Q1310" s="17" t="n"/>
      <c r="R1310" s="17" t="n"/>
    </row>
    <row r="1311" ht="175.6" customHeight="1">
      <c r="A1311" s="22" t="n">
        <v>1307</v>
      </c>
      <c r="B1311" s="22" t="n">
        <v>3</v>
      </c>
      <c r="C1311" s="23" t="inlineStr">
        <is>
          <t>MD-KEL-04 / Company</t>
        </is>
      </c>
      <c r="D1311" s="23" t="inlineStr">
        <is>
          <t>MD-KEL-04</t>
        </is>
      </c>
      <c r="E1311" s="24" t="inlineStr">
        <is>
          <t>Company</t>
        </is>
      </c>
      <c r="F1311" s="5" t="inlineStr">
        <is>
          <t>Master Data (MD-)</t>
        </is>
      </c>
      <c r="G1311" s="24" t="inlineStr">
        <is>
          <t>Induk wajib dipilih</t>
        </is>
      </c>
      <c r="H1311" s="5" t="inlineStr">
        <is>
          <t>ADM</t>
        </is>
      </c>
      <c r="I1311" s="5" t="inlineStr">
        <is>
          <t>berlaku untuk Company (induk: Corporate), Business Unit (induk: Company), Production Line (induk: Business Unit), Station (induk: Production Line), Machinery (induk: Machinery Group)</t>
        </is>
      </c>
      <c r="J1311" s="5" t="inlineStr">
        <is>
          <t>1. Berlaku untuk tingkat yang punya induk: Company (Corporate), Business Unit (Company), Production Line (Business Unit), Station (Production Line), Machinery (Machinery Group).
2. Login di web, lalu sidebar &gt; Kelola Company (/master-data/companies) sebagai ADM. Tekan Tambah.
3. Isi seluruh kolom kecuali kolom induk — biarkan induknya belum dipilih.
4. Tekan Simpan.
5. Baca bentuk dan letak pesannya dengan teliti.</t>
        </is>
      </c>
      <c r="K1311" s="5"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11" s="16" t="inlineStr">
        <is>
          <t>Tinggi</t>
        </is>
      </c>
      <c r="M1311" s="5" t="inlineStr">
        <is>
          <t>yang diperiksa bukan hanya bahwa ia ditolak, tetapi bentuk penolakannya. Pesan validasi di sebelah kolom induk berarti lulus; galat teknis berarti gagal, meskipun datanya sama-sama tidak tersimpan.</t>
        </is>
      </c>
      <c r="N1311" s="17" t="n"/>
      <c r="O1311" s="17" t="n"/>
      <c r="P1311" s="17" t="n"/>
      <c r="Q1311" s="17" t="n"/>
      <c r="R1311" s="17" t="n"/>
    </row>
    <row r="1312" ht="175.6" customHeight="1">
      <c r="A1312" s="11" t="n">
        <v>1308</v>
      </c>
      <c r="B1312" s="12" t="n">
        <v>1</v>
      </c>
      <c r="C1312" s="13" t="inlineStr">
        <is>
          <t>MD-KEL-04 / Business Unit</t>
        </is>
      </c>
      <c r="D1312" s="13" t="inlineStr">
        <is>
          <t>MD-KEL-04</t>
        </is>
      </c>
      <c r="E1312" s="15" t="inlineStr">
        <is>
          <t>Business Unit</t>
        </is>
      </c>
      <c r="F1312" s="14" t="inlineStr">
        <is>
          <t>Master Data (MD-)</t>
        </is>
      </c>
      <c r="G1312" s="15" t="inlineStr">
        <is>
          <t>Induk wajib dipilih</t>
        </is>
      </c>
      <c r="H1312" s="14" t="inlineStr">
        <is>
          <t>ADM</t>
        </is>
      </c>
      <c r="I1312" s="14" t="inlineStr">
        <is>
          <t>berlaku untuk Company (induk: Corporate), Business Unit (induk: Company), Production Line (induk: Business Unit), Station (induk: Production Line), Machinery (induk: Machinery Group)</t>
        </is>
      </c>
      <c r="J1312" s="14" t="inlineStr">
        <is>
          <t>1. Berlaku untuk tingkat yang punya induk: Company (Corporate), Business Unit (Company), Production Line (Business Unit), Station (Production Line), Machinery (Machinery Group).
2. Login di web, lalu sidebar &gt; Kelola Business Unit (/master-data/business-units) sebagai ADM. Tekan Tambah.
3. Isi seluruh kolom kecuali kolom induk — biarkan induknya belum dipilih.
4. Tekan Simpan.
5. Baca bentuk dan letak pesannya dengan teliti.</t>
        </is>
      </c>
      <c r="K1312" s="14"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12" s="16" t="inlineStr">
        <is>
          <t>Tinggi</t>
        </is>
      </c>
      <c r="M1312" s="14" t="inlineStr">
        <is>
          <t>yang diperiksa bukan hanya bahwa ia ditolak, tetapi bentuk penolakannya. Pesan validasi di sebelah kolom induk berarti lulus; galat teknis berarti gagal, meskipun datanya sama-sama tidak tersimpan.</t>
        </is>
      </c>
      <c r="N1312" s="17" t="n"/>
      <c r="O1312" s="17" t="n"/>
      <c r="P1312" s="17" t="n"/>
      <c r="Q1312" s="17" t="n"/>
      <c r="R1312" s="17" t="n"/>
    </row>
    <row r="1313" ht="175.6" customHeight="1">
      <c r="A1313" s="22" t="n">
        <v>1309</v>
      </c>
      <c r="B1313" s="22" t="n">
        <v>3</v>
      </c>
      <c r="C1313" s="23" t="inlineStr">
        <is>
          <t>MD-KEL-04 / Production Line</t>
        </is>
      </c>
      <c r="D1313" s="23" t="inlineStr">
        <is>
          <t>MD-KEL-04</t>
        </is>
      </c>
      <c r="E1313" s="24" t="inlineStr">
        <is>
          <t>Production Line</t>
        </is>
      </c>
      <c r="F1313" s="5" t="inlineStr">
        <is>
          <t>Master Data (MD-)</t>
        </is>
      </c>
      <c r="G1313" s="24" t="inlineStr">
        <is>
          <t>Induk wajib dipilih</t>
        </is>
      </c>
      <c r="H1313" s="5" t="inlineStr">
        <is>
          <t>ADM</t>
        </is>
      </c>
      <c r="I1313" s="5" t="inlineStr">
        <is>
          <t>berlaku untuk Company (induk: Corporate), Business Unit (induk: Company), Production Line (induk: Business Unit), Station (induk: Production Line), Machinery (induk: Machinery Group)</t>
        </is>
      </c>
      <c r="J1313" s="5" t="inlineStr">
        <is>
          <t>1. Berlaku untuk tingkat yang punya induk: Company (Corporate), Business Unit (Company), Production Line (Business Unit), Station (Production Line), Machinery (Machinery Group).
2. Login di web, lalu sidebar &gt; Kelola Production Line (/master-data/production-lines) sebagai ADM. Tekan Tambah.
3. Isi seluruh kolom kecuali kolom induk — biarkan induknya belum dipilih.
4. Tekan Simpan.
5. Baca bentuk dan letak pesannya dengan teliti.</t>
        </is>
      </c>
      <c r="K1313" s="5"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13" s="16" t="inlineStr">
        <is>
          <t>Tinggi</t>
        </is>
      </c>
      <c r="M1313" s="5" t="inlineStr">
        <is>
          <t>yang diperiksa bukan hanya bahwa ia ditolak, tetapi bentuk penolakannya. Pesan validasi di sebelah kolom induk berarti lulus; galat teknis berarti gagal, meskipun datanya sama-sama tidak tersimpan.</t>
        </is>
      </c>
      <c r="N1313" s="17" t="n"/>
      <c r="O1313" s="17" t="n"/>
      <c r="P1313" s="17" t="n"/>
      <c r="Q1313" s="17" t="n"/>
      <c r="R1313" s="17" t="n"/>
    </row>
    <row r="1314" ht="175.6" customHeight="1">
      <c r="A1314" s="18" t="n">
        <v>1310</v>
      </c>
      <c r="B1314" s="18" t="n">
        <v>3</v>
      </c>
      <c r="C1314" s="19" t="inlineStr">
        <is>
          <t>MD-KEL-04 / Station</t>
        </is>
      </c>
      <c r="D1314" s="19" t="inlineStr">
        <is>
          <t>MD-KEL-04</t>
        </is>
      </c>
      <c r="E1314" s="20" t="inlineStr">
        <is>
          <t>Station</t>
        </is>
      </c>
      <c r="F1314" s="21" t="inlineStr">
        <is>
          <t>Master Data (MD-)</t>
        </is>
      </c>
      <c r="G1314" s="20" t="inlineStr">
        <is>
          <t>Induk wajib dipilih</t>
        </is>
      </c>
      <c r="H1314" s="21" t="inlineStr">
        <is>
          <t>ADM</t>
        </is>
      </c>
      <c r="I1314" s="21" t="inlineStr">
        <is>
          <t>berlaku untuk Company (induk: Corporate), Business Unit (induk: Company), Production Line (induk: Business Unit), Station (induk: Production Line), Machinery (induk: Machinery Group)</t>
        </is>
      </c>
      <c r="J1314" s="21" t="inlineStr">
        <is>
          <t>1. Berlaku untuk tingkat yang punya induk: Company (Corporate), Business Unit (Company), Production Line (Business Unit), Station (Production Line), Machinery (Machinery Group).
2. Login di web, lalu sidebar &gt; Kelola Station (/master-data/stations) sebagai ADM. Tekan Tambah.
3. Isi seluruh kolom kecuali kolom induk — biarkan induknya belum dipilih.
4. Tekan Simpan.
5. Baca bentuk dan letak pesannya dengan teliti.</t>
        </is>
      </c>
      <c r="K1314" s="21"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14" s="16" t="inlineStr">
        <is>
          <t>Tinggi</t>
        </is>
      </c>
      <c r="M1314" s="21" t="inlineStr">
        <is>
          <t>yang diperiksa bukan hanya bahwa ia ditolak, tetapi bentuk penolakannya. Pesan validasi di sebelah kolom induk berarti lulus; galat teknis berarti gagal, meskipun datanya sama-sama tidak tersimpan.</t>
        </is>
      </c>
      <c r="N1314" s="17" t="n"/>
      <c r="O1314" s="17" t="n"/>
      <c r="P1314" s="17" t="n"/>
      <c r="Q1314" s="17" t="n"/>
      <c r="R1314" s="17" t="n"/>
    </row>
    <row r="1315" ht="175.6" customHeight="1">
      <c r="A1315" s="22" t="n">
        <v>1311</v>
      </c>
      <c r="B1315" s="22" t="n">
        <v>3</v>
      </c>
      <c r="C1315" s="23" t="inlineStr">
        <is>
          <t>MD-KEL-04 / Machinery Group</t>
        </is>
      </c>
      <c r="D1315" s="23" t="inlineStr">
        <is>
          <t>MD-KEL-04</t>
        </is>
      </c>
      <c r="E1315" s="24" t="inlineStr">
        <is>
          <t>Machinery Group</t>
        </is>
      </c>
      <c r="F1315" s="5" t="inlineStr">
        <is>
          <t>Master Data (MD-)</t>
        </is>
      </c>
      <c r="G1315" s="24" t="inlineStr">
        <is>
          <t>Induk wajib dipilih</t>
        </is>
      </c>
      <c r="H1315" s="5" t="inlineStr">
        <is>
          <t>ADM</t>
        </is>
      </c>
      <c r="I1315" s="5" t="inlineStr">
        <is>
          <t>berlaku untuk Company (induk: Corporate), Business Unit (induk: Company), Production Line (induk: Business Unit), Station (induk: Production Line), Machinery (induk: Machinery Group)</t>
        </is>
      </c>
      <c r="J1315" s="5" t="inlineStr">
        <is>
          <t>1. Berlaku untuk tingkat yang punya induk: Company (Corporate), Business Unit (Company), Production Line (Business Unit), Station (Production Line), Machinery (Machinery Group).
2. Login di web, lalu sidebar &gt; Kelola Machinery Group (/master-data/machinery-groups) sebagai ADM. Tekan Tambah.
3. Isi seluruh kolom kecuali kolom induk — biarkan induknya belum dipilih.
4. Tekan Simpan.
5. Baca bentuk dan letak pesannya dengan teliti.</t>
        </is>
      </c>
      <c r="K1315" s="5"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15" s="16" t="inlineStr">
        <is>
          <t>Tinggi</t>
        </is>
      </c>
      <c r="M1315" s="5" t="inlineStr">
        <is>
          <t>yang diperiksa bukan hanya bahwa ia ditolak, tetapi bentuk penolakannya. Pesan validasi di sebelah kolom induk berarti lulus; galat teknis berarti gagal, meskipun datanya sama-sama tidak tersimpan.</t>
        </is>
      </c>
      <c r="N1315" s="17" t="n"/>
      <c r="O1315" s="17" t="n"/>
      <c r="P1315" s="17" t="n"/>
      <c r="Q1315" s="17" t="n"/>
      <c r="R1315" s="17" t="n"/>
    </row>
    <row r="1316" ht="175.6" customHeight="1">
      <c r="A1316" s="18" t="n">
        <v>1312</v>
      </c>
      <c r="B1316" s="18" t="n">
        <v>3</v>
      </c>
      <c r="C1316" s="19" t="inlineStr">
        <is>
          <t>MD-KEL-04 / Machinery</t>
        </is>
      </c>
      <c r="D1316" s="19" t="inlineStr">
        <is>
          <t>MD-KEL-04</t>
        </is>
      </c>
      <c r="E1316" s="20" t="inlineStr">
        <is>
          <t>Machinery</t>
        </is>
      </c>
      <c r="F1316" s="21" t="inlineStr">
        <is>
          <t>Master Data (MD-)</t>
        </is>
      </c>
      <c r="G1316" s="20" t="inlineStr">
        <is>
          <t>Induk wajib dipilih</t>
        </is>
      </c>
      <c r="H1316" s="21" t="inlineStr">
        <is>
          <t>ADM</t>
        </is>
      </c>
      <c r="I1316" s="21" t="inlineStr">
        <is>
          <t>berlaku untuk Company (induk: Corporate), Business Unit (induk: Company), Production Line (induk: Business Unit), Station (induk: Production Line), Machinery (induk: Machinery Group)</t>
        </is>
      </c>
      <c r="J1316" s="21" t="inlineStr">
        <is>
          <t>1. Berlaku untuk tingkat yang punya induk: Company (Corporate), Business Unit (Company), Production Line (Business Unit), Station (Production Line), Machinery (Machinery Group).
2. Login di web, lalu sidebar &gt; Kelola Machinery (/master-data/machinery) sebagai ADM. Tekan Tambah.
3. Isi seluruh kolom kecuali kolom induk — biarkan induknya belum dipilih.
4. Tekan Simpan.
5. Baca bentuk dan letak pesannya dengan teliti.</t>
        </is>
      </c>
      <c r="K1316" s="21"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16" s="16" t="inlineStr">
        <is>
          <t>Tinggi</t>
        </is>
      </c>
      <c r="M1316" s="21" t="inlineStr">
        <is>
          <t>yang diperiksa bukan hanya bahwa ia ditolak, tetapi bentuk penolakannya. Pesan validasi di sebelah kolom induk berarti lulus; galat teknis berarti gagal, meskipun datanya sama-sama tidak tersimpan.</t>
        </is>
      </c>
      <c r="N1316" s="17" t="n"/>
      <c r="O1316" s="17" t="n"/>
      <c r="P1316" s="17" t="n"/>
      <c r="Q1316" s="17" t="n"/>
      <c r="R1316" s="17" t="n"/>
    </row>
    <row r="1317" ht="175.6" customHeight="1">
      <c r="A1317" s="22" t="n">
        <v>1313</v>
      </c>
      <c r="B1317" s="22" t="n">
        <v>3</v>
      </c>
      <c r="C1317" s="23" t="inlineStr">
        <is>
          <t>MD-KEL-04 / User &amp; Role</t>
        </is>
      </c>
      <c r="D1317" s="23" t="inlineStr">
        <is>
          <t>MD-KEL-04</t>
        </is>
      </c>
      <c r="E1317" s="24" t="inlineStr">
        <is>
          <t>User &amp; Role</t>
        </is>
      </c>
      <c r="F1317" s="5" t="inlineStr">
        <is>
          <t>Master Data (MD-)</t>
        </is>
      </c>
      <c r="G1317" s="24" t="inlineStr">
        <is>
          <t>Induk wajib dipilih</t>
        </is>
      </c>
      <c r="H1317" s="5" t="inlineStr">
        <is>
          <t>ADM</t>
        </is>
      </c>
      <c r="I1317" s="5" t="inlineStr">
        <is>
          <t>berlaku untuk Company (induk: Corporate), Business Unit (induk: Company), Production Line (induk: Business Unit), Station (induk: Production Line), Machinery (induk: Machinery Group)</t>
        </is>
      </c>
      <c r="J1317" s="5" t="inlineStr">
        <is>
          <t>1. Berlaku untuk tingkat yang punya induk: Company (Corporate), Business Unit (Company), Production Line (Business Unit), Station (Production Line), Machinery (Machinery Group).
2. Login di web, lalu sidebar &gt; Kelola User &amp; Role (/master-data/users) sebagai ADM. Tekan Tambah.
3. Isi seluruh kolom kecuali kolom induk — biarkan induknya belum dipilih.
4. Tekan Simpan.
5. Baca bentuk dan letak pesannya dengan teliti.</t>
        </is>
      </c>
      <c r="K1317" s="5"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17" s="16" t="inlineStr">
        <is>
          <t>Tinggi</t>
        </is>
      </c>
      <c r="M1317" s="5" t="inlineStr">
        <is>
          <t>yang diperiksa bukan hanya bahwa ia ditolak, tetapi bentuk penolakannya. Pesan validasi di sebelah kolom induk berarti lulus; galat teknis berarti gagal, meskipun datanya sama-sama tidak tersimpan.</t>
        </is>
      </c>
      <c r="N1317" s="17" t="n"/>
      <c r="O1317" s="17" t="n"/>
      <c r="P1317" s="17" t="n"/>
      <c r="Q1317" s="17" t="n"/>
      <c r="R1317" s="17" t="n"/>
    </row>
    <row r="1318" ht="215.2" customHeight="1">
      <c r="A1318" s="11" t="n">
        <v>1314</v>
      </c>
      <c r="B1318" s="12" t="n">
        <v>1</v>
      </c>
      <c r="C1318" s="13" t="inlineStr">
        <is>
          <t>MD-KEL-05 / Company</t>
        </is>
      </c>
      <c r="D1318" s="13" t="inlineStr">
        <is>
          <t>MD-KEL-05</t>
        </is>
      </c>
      <c r="E1318" s="15" t="inlineStr">
        <is>
          <t>Company</t>
        </is>
      </c>
      <c r="F1318" s="14" t="inlineStr">
        <is>
          <t>Master Data (MD-)</t>
        </is>
      </c>
      <c r="G1318" s="15" t="inlineStr">
        <is>
          <t>Nama kembar diperiksa dalam lingkup induknya</t>
        </is>
      </c>
      <c r="H1318" s="14" t="inlineStr">
        <is>
          <t>ADM</t>
        </is>
      </c>
      <c r="I1318" s="14" t="inlineStr">
        <is>
          <t>dua Corporate berbeda</t>
        </is>
      </c>
      <c r="J1318" s="14" t="inlineStr">
        <is>
          <t>1. Sebagai ADM, pastikan ada dua Corporate berbeda: Corporate A dan Corporate B.
2. Login di web, lalu sidebar &gt; Kelola Company (/master-data/companies). Tambah Company bernama PT Sama dengan induk Corporate A. Simpan.
3. Tambah Company bernama PT Sama dengan induk Corporate B. Simpan.
4. Tambah Company bernama PT Sama dengan induk Corporate A lagi. Simpan.</t>
        </is>
      </c>
      <c r="K1318" s="14" t="inlineStr">
        <is>
          <t>- Langkah 3 berhasil — nama yang sama sah di induk yang berbeda.
- Langkah 4 ditolak — nama kembar di induk yang sama tidak boleh.
- Daftar memuat dua PT Sama, masing-masing dengan induk berbeda, dan induknya terlihat di daftar.</t>
        </is>
      </c>
      <c r="L1318" s="11" t="inlineStr">
        <is>
          <t>Sedang</t>
        </is>
      </c>
      <c r="M1318" s="14" t="inlineStr">
        <is>
          <t>Berlaku untuk: hanya Company. Itu satu-satunya tingkat yang namanya dibatasi per induk ("Nama company sudah digunakan pada Corporate ini"). Corporate dibatasi secara global, dan lima tingkat lainnya tidak membatasi nama sama sekali — hanya kodenya, dan kode dibatasi secara global, bukan per induk. Tingkat selain Company tidak ada barisnya di berkas Excel: yang terdaftar hanya jalan yang dapat dikerjakan.</t>
        </is>
      </c>
      <c r="N1318" s="17" t="n"/>
      <c r="O1318" s="17" t="n"/>
      <c r="P1318" s="17" t="n"/>
      <c r="Q1318" s="17" t="n"/>
      <c r="R1318" s="17" t="n"/>
    </row>
    <row r="1319" ht="109.6" customHeight="1">
      <c r="A1319" s="22" t="n">
        <v>1315</v>
      </c>
      <c r="B1319" s="22" t="n">
        <v>3</v>
      </c>
      <c r="C1319" s="23" t="inlineStr">
        <is>
          <t>MD-KEL-06 / Corporate</t>
        </is>
      </c>
      <c r="D1319" s="23" t="inlineStr">
        <is>
          <t>MD-KEL-06</t>
        </is>
      </c>
      <c r="E1319" s="24" t="inlineStr">
        <is>
          <t>Corporate</t>
        </is>
      </c>
      <c r="F1319" s="5" t="inlineStr">
        <is>
          <t>Master Data (MD-)</t>
        </is>
      </c>
      <c r="G1319" s="24" t="inlineStr">
        <is>
          <t>Ubah data berhasil dan terlihat</t>
        </is>
      </c>
      <c r="H1319" s="5" t="inlineStr">
        <is>
          <t>ADM</t>
        </is>
      </c>
      <c r="I1319" s="5" t="inlineStr">
        <is>
          <t>—</t>
        </is>
      </c>
      <c r="J1319" s="5" t="inlineStr">
        <is>
          <t>1. Login di web, lalu sidebar &gt; Kelola Corporate (/master-data/corporates) sebagai ADM. Pilih satu entri yang dipakai di layar lain.
2. Tekan Edit, ubah namanya, tekan Simpan.
3. Periksa daftar.
4. Buka satu layar lain yang menampilkan nama itu (mis. pemilih Production Line pada laporan, atau kolom Mill di daftar user).</t>
        </is>
      </c>
      <c r="K1319" s="5" t="inlineStr">
        <is>
          <t>- Nama baru terlihat di daftar.
- Nama baru juga terlihat di layar lain yang memakainya — tidak ada tempat yang masih menampilkan nama lama.
- Id entrinya tidak berubah: record yang menunjuknya tidak terlepas.</t>
        </is>
      </c>
      <c r="L1319" s="16" t="inlineStr">
        <is>
          <t>Tinggi</t>
        </is>
      </c>
      <c r="M1319" s="5" t="inlineStr"/>
      <c r="N1319" s="17" t="n"/>
      <c r="O1319" s="17" t="n"/>
      <c r="P1319" s="17" t="n"/>
      <c r="Q1319" s="17" t="n"/>
      <c r="R1319" s="17" t="n"/>
    </row>
    <row r="1320" ht="109.6" customHeight="1">
      <c r="A1320" s="18" t="n">
        <v>1316</v>
      </c>
      <c r="B1320" s="18" t="n">
        <v>3</v>
      </c>
      <c r="C1320" s="19" t="inlineStr">
        <is>
          <t>MD-KEL-06 / Company</t>
        </is>
      </c>
      <c r="D1320" s="19" t="inlineStr">
        <is>
          <t>MD-KEL-06</t>
        </is>
      </c>
      <c r="E1320" s="20" t="inlineStr">
        <is>
          <t>Company</t>
        </is>
      </c>
      <c r="F1320" s="21" t="inlineStr">
        <is>
          <t>Master Data (MD-)</t>
        </is>
      </c>
      <c r="G1320" s="20" t="inlineStr">
        <is>
          <t>Ubah data berhasil dan terlihat</t>
        </is>
      </c>
      <c r="H1320" s="21" t="inlineStr">
        <is>
          <t>ADM</t>
        </is>
      </c>
      <c r="I1320" s="21" t="inlineStr">
        <is>
          <t>—</t>
        </is>
      </c>
      <c r="J1320" s="21" t="inlineStr">
        <is>
          <t>1. Login di web, lalu sidebar &gt; Kelola Company (/master-data/companies) sebagai ADM. Pilih satu entri yang dipakai di layar lain.
2. Tekan Edit, ubah namanya, tekan Simpan.
3. Periksa daftar.
4. Buka satu layar lain yang menampilkan nama itu (mis. pemilih Production Line pada laporan, atau kolom Mill di daftar user).</t>
        </is>
      </c>
      <c r="K1320" s="21" t="inlineStr">
        <is>
          <t>- Nama baru terlihat di daftar.
- Nama baru juga terlihat di layar lain yang memakainya — tidak ada tempat yang masih menampilkan nama lama.
- Id entrinya tidak berubah: record yang menunjuknya tidak terlepas.</t>
        </is>
      </c>
      <c r="L1320" s="16" t="inlineStr">
        <is>
          <t>Tinggi</t>
        </is>
      </c>
      <c r="M1320" s="21" t="inlineStr"/>
      <c r="N1320" s="17" t="n"/>
      <c r="O1320" s="17" t="n"/>
      <c r="P1320" s="17" t="n"/>
      <c r="Q1320" s="17" t="n"/>
      <c r="R1320" s="17" t="n"/>
    </row>
    <row r="1321" ht="122.8" customHeight="1">
      <c r="A1321" s="11" t="n">
        <v>1317</v>
      </c>
      <c r="B1321" s="12" t="n">
        <v>1</v>
      </c>
      <c r="C1321" s="13" t="inlineStr">
        <is>
          <t>MD-KEL-06 / Business Unit</t>
        </is>
      </c>
      <c r="D1321" s="13" t="inlineStr">
        <is>
          <t>MD-KEL-06</t>
        </is>
      </c>
      <c r="E1321" s="15" t="inlineStr">
        <is>
          <t>Business Unit</t>
        </is>
      </c>
      <c r="F1321" s="14" t="inlineStr">
        <is>
          <t>Master Data (MD-)</t>
        </is>
      </c>
      <c r="G1321" s="15" t="inlineStr">
        <is>
          <t>Ubah data berhasil dan terlihat</t>
        </is>
      </c>
      <c r="H1321" s="14" t="inlineStr">
        <is>
          <t>ADM</t>
        </is>
      </c>
      <c r="I1321" s="14" t="inlineStr">
        <is>
          <t>—</t>
        </is>
      </c>
      <c r="J1321" s="14" t="inlineStr">
        <is>
          <t>1. Login di web, lalu sidebar &gt; Kelola Business Unit (/master-data/business-units) sebagai ADM. Pilih satu entri yang dipakai di layar lain.
2. Tekan Edit, ubah namanya, tekan Simpan.
3. Periksa daftar.
4. Buka satu layar lain yang menampilkan nama itu (mis. pemilih Production Line pada laporan, atau kolom Mill di daftar user).</t>
        </is>
      </c>
      <c r="K1321" s="14" t="inlineStr">
        <is>
          <t>- Nama baru terlihat di daftar.
- Nama baru juga terlihat di layar lain yang memakainya — tidak ada tempat yang masih menampilkan nama lama.
- Id entrinya tidak berubah: record yang menunjuknya tidak terlepas.</t>
        </is>
      </c>
      <c r="L1321" s="16" t="inlineStr">
        <is>
          <t>Tinggi</t>
        </is>
      </c>
      <c r="M1321" s="14" t="inlineStr"/>
      <c r="N1321" s="17" t="n"/>
      <c r="O1321" s="17" t="n"/>
      <c r="P1321" s="17" t="n"/>
      <c r="Q1321" s="17" t="n"/>
      <c r="R1321" s="17" t="n"/>
    </row>
    <row r="1322" ht="122.8" customHeight="1">
      <c r="A1322" s="18" t="n">
        <v>1318</v>
      </c>
      <c r="B1322" s="18" t="n">
        <v>3</v>
      </c>
      <c r="C1322" s="19" t="inlineStr">
        <is>
          <t>MD-KEL-06 / Production Line</t>
        </is>
      </c>
      <c r="D1322" s="19" t="inlineStr">
        <is>
          <t>MD-KEL-06</t>
        </is>
      </c>
      <c r="E1322" s="20" t="inlineStr">
        <is>
          <t>Production Line</t>
        </is>
      </c>
      <c r="F1322" s="21" t="inlineStr">
        <is>
          <t>Master Data (MD-)</t>
        </is>
      </c>
      <c r="G1322" s="20" t="inlineStr">
        <is>
          <t>Ubah data berhasil dan terlihat</t>
        </is>
      </c>
      <c r="H1322" s="21" t="inlineStr">
        <is>
          <t>ADM</t>
        </is>
      </c>
      <c r="I1322" s="21" t="inlineStr">
        <is>
          <t>—</t>
        </is>
      </c>
      <c r="J1322" s="21" t="inlineStr">
        <is>
          <t>1. Login di web, lalu sidebar &gt; Kelola Production Line (/master-data/production-lines) sebagai ADM. Pilih satu entri yang dipakai di layar lain.
2. Tekan Edit, ubah namanya, tekan Simpan.
3. Periksa daftar.
4. Buka satu layar lain yang menampilkan nama itu (mis. pemilih Production Line pada laporan, atau kolom Mill di daftar user).</t>
        </is>
      </c>
      <c r="K1322" s="21" t="inlineStr">
        <is>
          <t>- Nama baru terlihat di daftar.
- Nama baru juga terlihat di layar lain yang memakainya — tidak ada tempat yang masih menampilkan nama lama.
- Id entrinya tidak berubah: record yang menunjuknya tidak terlepas.</t>
        </is>
      </c>
      <c r="L1322" s="16" t="inlineStr">
        <is>
          <t>Tinggi</t>
        </is>
      </c>
      <c r="M1322" s="21" t="inlineStr"/>
      <c r="N1322" s="17" t="n"/>
      <c r="O1322" s="17" t="n"/>
      <c r="P1322" s="17" t="n"/>
      <c r="Q1322" s="17" t="n"/>
      <c r="R1322" s="17" t="n"/>
    </row>
    <row r="1323" ht="109.6" customHeight="1">
      <c r="A1323" s="22" t="n">
        <v>1319</v>
      </c>
      <c r="B1323" s="22" t="n">
        <v>3</v>
      </c>
      <c r="C1323" s="23" t="inlineStr">
        <is>
          <t>MD-KEL-06 / Station</t>
        </is>
      </c>
      <c r="D1323" s="23" t="inlineStr">
        <is>
          <t>MD-KEL-06</t>
        </is>
      </c>
      <c r="E1323" s="24" t="inlineStr">
        <is>
          <t>Station</t>
        </is>
      </c>
      <c r="F1323" s="5" t="inlineStr">
        <is>
          <t>Master Data (MD-)</t>
        </is>
      </c>
      <c r="G1323" s="24" t="inlineStr">
        <is>
          <t>Ubah data berhasil dan terlihat</t>
        </is>
      </c>
      <c r="H1323" s="5" t="inlineStr">
        <is>
          <t>ADM</t>
        </is>
      </c>
      <c r="I1323" s="5" t="inlineStr">
        <is>
          <t>—</t>
        </is>
      </c>
      <c r="J1323" s="5" t="inlineStr">
        <is>
          <t>1. Login di web, lalu sidebar &gt; Kelola Station (/master-data/stations) sebagai ADM. Pilih satu entri yang dipakai di layar lain.
2. Tekan Edit, ubah namanya, tekan Simpan.
3. Periksa daftar.
4. Buka satu layar lain yang menampilkan nama itu (mis. pemilih Production Line pada laporan, atau kolom Mill di daftar user).</t>
        </is>
      </c>
      <c r="K1323" s="5" t="inlineStr">
        <is>
          <t>- Nama baru terlihat di daftar.
- Nama baru juga terlihat di layar lain yang memakainya — tidak ada tempat yang masih menampilkan nama lama.
- Id entrinya tidak berubah: record yang menunjuknya tidak terlepas.</t>
        </is>
      </c>
      <c r="L1323" s="16" t="inlineStr">
        <is>
          <t>Tinggi</t>
        </is>
      </c>
      <c r="M1323" s="5" t="inlineStr"/>
      <c r="N1323" s="17" t="n"/>
      <c r="O1323" s="17" t="n"/>
      <c r="P1323" s="17" t="n"/>
      <c r="Q1323" s="17" t="n"/>
      <c r="R1323" s="17" t="n"/>
    </row>
    <row r="1324" ht="122.8" customHeight="1">
      <c r="A1324" s="18" t="n">
        <v>1320</v>
      </c>
      <c r="B1324" s="18" t="n">
        <v>3</v>
      </c>
      <c r="C1324" s="19" t="inlineStr">
        <is>
          <t>MD-KEL-06 / Machinery Group</t>
        </is>
      </c>
      <c r="D1324" s="19" t="inlineStr">
        <is>
          <t>MD-KEL-06</t>
        </is>
      </c>
      <c r="E1324" s="20" t="inlineStr">
        <is>
          <t>Machinery Group</t>
        </is>
      </c>
      <c r="F1324" s="21" t="inlineStr">
        <is>
          <t>Master Data (MD-)</t>
        </is>
      </c>
      <c r="G1324" s="20" t="inlineStr">
        <is>
          <t>Ubah data berhasil dan terlihat</t>
        </is>
      </c>
      <c r="H1324" s="21" t="inlineStr">
        <is>
          <t>ADM</t>
        </is>
      </c>
      <c r="I1324" s="21" t="inlineStr">
        <is>
          <t>—</t>
        </is>
      </c>
      <c r="J1324" s="21" t="inlineStr">
        <is>
          <t>1. Login di web, lalu sidebar &gt; Kelola Machinery Group (/master-data/machinery-groups) sebagai ADM. Pilih satu entri yang dipakai di layar lain.
2. Tekan Edit, ubah namanya, tekan Simpan.
3. Periksa daftar.
4. Buka satu layar lain yang menampilkan nama itu (mis. pemilih Production Line pada laporan, atau kolom Mill di daftar user).</t>
        </is>
      </c>
      <c r="K1324" s="21" t="inlineStr">
        <is>
          <t>- Nama baru terlihat di daftar.
- Nama baru juga terlihat di layar lain yang memakainya — tidak ada tempat yang masih menampilkan nama lama.
- Id entrinya tidak berubah: record yang menunjuknya tidak terlepas.</t>
        </is>
      </c>
      <c r="L1324" s="16" t="inlineStr">
        <is>
          <t>Tinggi</t>
        </is>
      </c>
      <c r="M1324" s="21" t="inlineStr"/>
      <c r="N1324" s="17" t="n"/>
      <c r="O1324" s="17" t="n"/>
      <c r="P1324" s="17" t="n"/>
      <c r="Q1324" s="17" t="n"/>
      <c r="R1324" s="17" t="n"/>
    </row>
    <row r="1325" ht="109.6" customHeight="1">
      <c r="A1325" s="22" t="n">
        <v>1321</v>
      </c>
      <c r="B1325" s="22" t="n">
        <v>3</v>
      </c>
      <c r="C1325" s="23" t="inlineStr">
        <is>
          <t>MD-KEL-06 / Machinery</t>
        </is>
      </c>
      <c r="D1325" s="23" t="inlineStr">
        <is>
          <t>MD-KEL-06</t>
        </is>
      </c>
      <c r="E1325" s="24" t="inlineStr">
        <is>
          <t>Machinery</t>
        </is>
      </c>
      <c r="F1325" s="5" t="inlineStr">
        <is>
          <t>Master Data (MD-)</t>
        </is>
      </c>
      <c r="G1325" s="24" t="inlineStr">
        <is>
          <t>Ubah data berhasil dan terlihat</t>
        </is>
      </c>
      <c r="H1325" s="5" t="inlineStr">
        <is>
          <t>ADM</t>
        </is>
      </c>
      <c r="I1325" s="5" t="inlineStr">
        <is>
          <t>—</t>
        </is>
      </c>
      <c r="J1325" s="5" t="inlineStr">
        <is>
          <t>1. Login di web, lalu sidebar &gt; Kelola Machinery (/master-data/machinery) sebagai ADM. Pilih satu entri yang dipakai di layar lain.
2. Tekan Edit, ubah namanya, tekan Simpan.
3. Periksa daftar.
4. Buka satu layar lain yang menampilkan nama itu (mis. pemilih Production Line pada laporan, atau kolom Mill di daftar user).</t>
        </is>
      </c>
      <c r="K1325" s="5" t="inlineStr">
        <is>
          <t>- Nama baru terlihat di daftar.
- Nama baru juga terlihat di layar lain yang memakainya — tidak ada tempat yang masih menampilkan nama lama.
- Id entrinya tidak berubah: record yang menunjuknya tidak terlepas.</t>
        </is>
      </c>
      <c r="L1325" s="16" t="inlineStr">
        <is>
          <t>Tinggi</t>
        </is>
      </c>
      <c r="M1325" s="5" t="inlineStr"/>
      <c r="N1325" s="17" t="n"/>
      <c r="O1325" s="17" t="n"/>
      <c r="P1325" s="17" t="n"/>
      <c r="Q1325" s="17" t="n"/>
      <c r="R1325" s="17" t="n"/>
    </row>
    <row r="1326" ht="109.6" customHeight="1">
      <c r="A1326" s="18" t="n">
        <v>1322</v>
      </c>
      <c r="B1326" s="18" t="n">
        <v>3</v>
      </c>
      <c r="C1326" s="19" t="inlineStr">
        <is>
          <t>MD-KEL-06 / User &amp; Role</t>
        </is>
      </c>
      <c r="D1326" s="19" t="inlineStr">
        <is>
          <t>MD-KEL-06</t>
        </is>
      </c>
      <c r="E1326" s="20" t="inlineStr">
        <is>
          <t>User &amp; Role</t>
        </is>
      </c>
      <c r="F1326" s="21" t="inlineStr">
        <is>
          <t>Master Data (MD-)</t>
        </is>
      </c>
      <c r="G1326" s="20" t="inlineStr">
        <is>
          <t>Ubah data berhasil dan terlihat</t>
        </is>
      </c>
      <c r="H1326" s="21" t="inlineStr">
        <is>
          <t>ADM</t>
        </is>
      </c>
      <c r="I1326" s="21" t="inlineStr">
        <is>
          <t>—</t>
        </is>
      </c>
      <c r="J1326" s="21" t="inlineStr">
        <is>
          <t>1. Login di web, lalu sidebar &gt; Kelola User &amp; Role (/master-data/users) sebagai ADM. Pilih satu entri yang dipakai di layar lain.
2. Tekan Edit, ubah namanya, tekan Simpan.
3. Periksa daftar.
4. Buka satu layar lain yang menampilkan nama itu (mis. pemilih Production Line pada laporan, atau kolom Mill di daftar user).</t>
        </is>
      </c>
      <c r="K1326" s="21" t="inlineStr">
        <is>
          <t>- Nama baru terlihat di daftar.
- Nama baru juga terlihat di layar lain yang memakainya — tidak ada tempat yang masih menampilkan nama lama.
- Id entrinya tidak berubah: record yang menunjuknya tidak terlepas.</t>
        </is>
      </c>
      <c r="L1326" s="16" t="inlineStr">
        <is>
          <t>Tinggi</t>
        </is>
      </c>
      <c r="M1326" s="21" t="inlineStr"/>
      <c r="N1326" s="17" t="n"/>
      <c r="O1326" s="17" t="n"/>
      <c r="P1326" s="17" t="n"/>
      <c r="Q1326" s="17" t="n"/>
      <c r="R1326" s="17" t="n"/>
    </row>
    <row r="1327" ht="175.6" customHeight="1">
      <c r="A1327" s="22" t="n">
        <v>1323</v>
      </c>
      <c r="B1327" s="22" t="n">
        <v>3</v>
      </c>
      <c r="C1327" s="23" t="inlineStr">
        <is>
          <t>MD-KEL-07 / Corporate</t>
        </is>
      </c>
      <c r="D1327" s="23" t="inlineStr">
        <is>
          <t>MD-KEL-07</t>
        </is>
      </c>
      <c r="E1327" s="24" t="inlineStr">
        <is>
          <t>Corporate</t>
        </is>
      </c>
      <c r="F1327" s="5" t="inlineStr">
        <is>
          <t>Master Data (MD-)</t>
        </is>
      </c>
      <c r="G1327" s="24" t="inlineStr">
        <is>
          <t>Hapus ditolak bila masih punya anak, dengan menyebut jumlahnya</t>
        </is>
      </c>
      <c r="H1327" s="5" t="inlineStr">
        <is>
          <t>ADM</t>
        </is>
      </c>
      <c r="I1327" s="5" t="inlineStr">
        <is>
          <t>satu Corporate yang punya 2 Company; satu Company yang punya Business Unit; satu Business Unit yang punya Production Line</t>
        </is>
      </c>
      <c r="J1327" s="5" t="inlineStr">
        <is>
          <t>1. Sebagai ADM, siapkan: satu Corporate yang punya 2 Company; satu Company yang punya Business Unit; satu Business Unit yang punya Production Line.
2. Login di web, lalu sidebar &gt; Kelola Corporate (/master-data/corporates). Coba Hapus Corporate itu. Baca pesannya.
3. Periksa apakah Corporate itu dan kedua Company-nya masih ada.
4. Ulangi langkah 2–3 untuk Company yang punya Business Unit.
5. Ulangi untuk Business Unit yang punya Production Line.</t>
        </is>
      </c>
      <c r="K1327" s="5" t="inlineStr">
        <is>
          <t>- Setiap penghapusan ditolak.
- Pesannya menyebut jumlah penghalangnya — mis. "masih memiliki 2 Company".
- Induknya tidak terhapus, dan tidak ada penghapusan berantai: anak-anaknya juga masih utuh.</t>
        </is>
      </c>
      <c r="L1327" s="16" t="inlineStr">
        <is>
          <t>Tinggi</t>
        </is>
      </c>
      <c r="M1327" s="5" t="inlineStr"/>
      <c r="N1327" s="17" t="n"/>
      <c r="O1327" s="17" t="n"/>
      <c r="P1327" s="17" t="n"/>
      <c r="Q1327" s="17" t="n"/>
      <c r="R1327" s="17" t="n"/>
    </row>
    <row r="1328" ht="175.6" customHeight="1">
      <c r="A1328" s="18" t="n">
        <v>1324</v>
      </c>
      <c r="B1328" s="18" t="n">
        <v>3</v>
      </c>
      <c r="C1328" s="19" t="inlineStr">
        <is>
          <t>MD-KEL-07 / Company</t>
        </is>
      </c>
      <c r="D1328" s="19" t="inlineStr">
        <is>
          <t>MD-KEL-07</t>
        </is>
      </c>
      <c r="E1328" s="20" t="inlineStr">
        <is>
          <t>Company</t>
        </is>
      </c>
      <c r="F1328" s="21" t="inlineStr">
        <is>
          <t>Master Data (MD-)</t>
        </is>
      </c>
      <c r="G1328" s="20" t="inlineStr">
        <is>
          <t>Hapus ditolak bila masih punya anak, dengan menyebut jumlahnya</t>
        </is>
      </c>
      <c r="H1328" s="21" t="inlineStr">
        <is>
          <t>ADM</t>
        </is>
      </c>
      <c r="I1328" s="21" t="inlineStr">
        <is>
          <t>satu Corporate yang punya 2 Company; satu Company yang punya Business Unit; satu Business Unit yang punya Production Line</t>
        </is>
      </c>
      <c r="J1328" s="21" t="inlineStr">
        <is>
          <t>1. Sebagai ADM, siapkan: satu Corporate yang punya 2 Company; satu Company yang punya Business Unit; satu Business Unit yang punya Production Line.
2. Login di web, lalu sidebar &gt; Kelola Company (/master-data/companies) untuk Corporate. Coba Hapus Corporate itu. Baca pesannya.
3. Periksa apakah Corporate itu dan kedua Company-nya masih ada.
4. Ulangi langkah 2–3 untuk Company yang punya Business Unit.
5. Ulangi untuk Business Unit yang punya Production Line.</t>
        </is>
      </c>
      <c r="K1328" s="21" t="inlineStr">
        <is>
          <t>- Setiap penghapusan ditolak.
- Pesannya menyebut jumlah penghalangnya — mis. "masih memiliki 2 Company".
- Induknya tidak terhapus, dan tidak ada penghapusan berantai: anak-anaknya juga masih utuh.</t>
        </is>
      </c>
      <c r="L1328" s="16" t="inlineStr">
        <is>
          <t>Tinggi</t>
        </is>
      </c>
      <c r="M1328" s="21" t="inlineStr"/>
      <c r="N1328" s="17" t="n"/>
      <c r="O1328" s="17" t="n"/>
      <c r="P1328" s="17" t="n"/>
      <c r="Q1328" s="17" t="n"/>
      <c r="R1328" s="17" t="n"/>
    </row>
    <row r="1329" ht="188.8" customHeight="1">
      <c r="A1329" s="11" t="n">
        <v>1325</v>
      </c>
      <c r="B1329" s="12" t="n">
        <v>1</v>
      </c>
      <c r="C1329" s="13" t="inlineStr">
        <is>
          <t>MD-KEL-07 / Business Unit</t>
        </is>
      </c>
      <c r="D1329" s="13" t="inlineStr">
        <is>
          <t>MD-KEL-07</t>
        </is>
      </c>
      <c r="E1329" s="15" t="inlineStr">
        <is>
          <t>Business Unit</t>
        </is>
      </c>
      <c r="F1329" s="14" t="inlineStr">
        <is>
          <t>Master Data (MD-)</t>
        </is>
      </c>
      <c r="G1329" s="15" t="inlineStr">
        <is>
          <t>Hapus ditolak bila masih punya anak, dengan menyebut jumlahnya</t>
        </is>
      </c>
      <c r="H1329" s="14" t="inlineStr">
        <is>
          <t>ADM</t>
        </is>
      </c>
      <c r="I1329" s="14" t="inlineStr">
        <is>
          <t>satu Corporate yang punya 2 Company; satu Company yang punya Business Unit; satu Business Unit yang punya Production Line</t>
        </is>
      </c>
      <c r="J1329" s="14" t="inlineStr">
        <is>
          <t>1. Sebagai ADM, siapkan: satu Corporate yang punya 2 Company; satu Company yang punya Business Unit; satu Business Unit yang punya Production Line.
2. Login di web, lalu sidebar &gt; Kelola Business Unit (/master-data/business-units) untuk Corporate. Coba Hapus Corporate itu. Baca pesannya.
3. Periksa apakah Corporate itu dan kedua Company-nya masih ada.
4. Ulangi langkah 2–3 untuk Company yang punya Business Unit.
5. Ulangi untuk Business Unit yang punya Production Line.</t>
        </is>
      </c>
      <c r="K1329" s="14" t="inlineStr">
        <is>
          <t>- Setiap penghapusan ditolak.
- Pesannya menyebut jumlah penghalangnya — mis. "masih memiliki 2 Company".
- Induknya tidak terhapus, dan tidak ada penghapusan berantai: anak-anaknya juga masih utuh.</t>
        </is>
      </c>
      <c r="L1329" s="16" t="inlineStr">
        <is>
          <t>Tinggi</t>
        </is>
      </c>
      <c r="M1329" s="14" t="inlineStr"/>
      <c r="N1329" s="17" t="n"/>
      <c r="O1329" s="17" t="n"/>
      <c r="P1329" s="17" t="n"/>
      <c r="Q1329" s="17" t="n"/>
      <c r="R1329" s="17" t="n"/>
    </row>
    <row r="1330" ht="188.8" customHeight="1">
      <c r="A1330" s="18" t="n">
        <v>1326</v>
      </c>
      <c r="B1330" s="18" t="n">
        <v>3</v>
      </c>
      <c r="C1330" s="19" t="inlineStr">
        <is>
          <t>MD-KEL-07 / Production Line</t>
        </is>
      </c>
      <c r="D1330" s="19" t="inlineStr">
        <is>
          <t>MD-KEL-07</t>
        </is>
      </c>
      <c r="E1330" s="20" t="inlineStr">
        <is>
          <t>Production Line</t>
        </is>
      </c>
      <c r="F1330" s="21" t="inlineStr">
        <is>
          <t>Master Data (MD-)</t>
        </is>
      </c>
      <c r="G1330" s="20" t="inlineStr">
        <is>
          <t>Hapus ditolak bila masih punya anak, dengan menyebut jumlahnya</t>
        </is>
      </c>
      <c r="H1330" s="21" t="inlineStr">
        <is>
          <t>ADM</t>
        </is>
      </c>
      <c r="I1330" s="21" t="inlineStr">
        <is>
          <t>satu Corporate yang punya 2 Company; satu Company yang punya Business Unit; satu Business Unit yang punya Production Line</t>
        </is>
      </c>
      <c r="J1330" s="21" t="inlineStr">
        <is>
          <t>1. Sebagai ADM, siapkan: satu Corporate yang punya 2 Company; satu Company yang punya Business Unit; satu Business Unit yang punya Production Line.
2. Login di web, lalu sidebar &gt; Kelola Production Line (/master-data/production-lines) untuk Corporate. Coba Hapus Corporate itu. Baca pesannya.
3. Periksa apakah Corporate itu dan kedua Company-nya masih ada.
4. Ulangi langkah 2–3 untuk Company yang punya Business Unit.
5. Ulangi untuk Business Unit yang punya Production Line.</t>
        </is>
      </c>
      <c r="K1330" s="21" t="inlineStr">
        <is>
          <t>- Setiap penghapusan ditolak.
- Pesannya menyebut jumlah penghalangnya — mis. "masih memiliki 2 Company".
- Induknya tidak terhapus, dan tidak ada penghapusan berantai: anak-anaknya juga masih utuh.</t>
        </is>
      </c>
      <c r="L1330" s="16" t="inlineStr">
        <is>
          <t>Tinggi</t>
        </is>
      </c>
      <c r="M1330" s="21" t="inlineStr"/>
      <c r="N1330" s="17" t="n"/>
      <c r="O1330" s="17" t="n"/>
      <c r="P1330" s="17" t="n"/>
      <c r="Q1330" s="17" t="n"/>
      <c r="R1330" s="17" t="n"/>
    </row>
    <row r="1331" ht="175.6" customHeight="1">
      <c r="A1331" s="22" t="n">
        <v>1327</v>
      </c>
      <c r="B1331" s="22" t="n">
        <v>3</v>
      </c>
      <c r="C1331" s="23" t="inlineStr">
        <is>
          <t>MD-KEL-07 / Station</t>
        </is>
      </c>
      <c r="D1331" s="23" t="inlineStr">
        <is>
          <t>MD-KEL-07</t>
        </is>
      </c>
      <c r="E1331" s="24" t="inlineStr">
        <is>
          <t>Station</t>
        </is>
      </c>
      <c r="F1331" s="5" t="inlineStr">
        <is>
          <t>Master Data (MD-)</t>
        </is>
      </c>
      <c r="G1331" s="24" t="inlineStr">
        <is>
          <t>Hapus ditolak bila masih punya anak, dengan menyebut jumlahnya</t>
        </is>
      </c>
      <c r="H1331" s="5" t="inlineStr">
        <is>
          <t>ADM</t>
        </is>
      </c>
      <c r="I1331" s="5" t="inlineStr">
        <is>
          <t>satu Corporate yang punya 2 Company; satu Company yang punya Business Unit; satu Business Unit yang punya Production Line</t>
        </is>
      </c>
      <c r="J1331" s="5" t="inlineStr">
        <is>
          <t>1. Sebagai ADM, siapkan: satu Corporate yang punya 2 Company; satu Company yang punya Business Unit; satu Business Unit yang punya Production Line.
2. Login di web, lalu sidebar &gt; Kelola Station (/master-data/stations) untuk Corporate. Coba Hapus Corporate itu. Baca pesannya.
3. Periksa apakah Corporate itu dan kedua Company-nya masih ada.
4. Ulangi langkah 2–3 untuk Company yang punya Business Unit.
5. Ulangi untuk Business Unit yang punya Production Line.</t>
        </is>
      </c>
      <c r="K1331" s="5" t="inlineStr">
        <is>
          <t>- Setiap penghapusan ditolak.
- Pesannya menyebut jumlah penghalangnya — mis. "masih memiliki 2 Company".
- Induknya tidak terhapus, dan tidak ada penghapusan berantai: anak-anaknya juga masih utuh.</t>
        </is>
      </c>
      <c r="L1331" s="16" t="inlineStr">
        <is>
          <t>Tinggi</t>
        </is>
      </c>
      <c r="M1331" s="5" t="inlineStr"/>
      <c r="N1331" s="17" t="n"/>
      <c r="O1331" s="17" t="n"/>
      <c r="P1331" s="17" t="n"/>
      <c r="Q1331" s="17" t="n"/>
      <c r="R1331" s="17" t="n"/>
    </row>
    <row r="1332" ht="188.8" customHeight="1">
      <c r="A1332" s="18" t="n">
        <v>1328</v>
      </c>
      <c r="B1332" s="18" t="n">
        <v>3</v>
      </c>
      <c r="C1332" s="19" t="inlineStr">
        <is>
          <t>MD-KEL-07 / Machinery Group</t>
        </is>
      </c>
      <c r="D1332" s="19" t="inlineStr">
        <is>
          <t>MD-KEL-07</t>
        </is>
      </c>
      <c r="E1332" s="20" t="inlineStr">
        <is>
          <t>Machinery Group</t>
        </is>
      </c>
      <c r="F1332" s="21" t="inlineStr">
        <is>
          <t>Master Data (MD-)</t>
        </is>
      </c>
      <c r="G1332" s="20" t="inlineStr">
        <is>
          <t>Hapus ditolak bila masih punya anak, dengan menyebut jumlahnya</t>
        </is>
      </c>
      <c r="H1332" s="21" t="inlineStr">
        <is>
          <t>ADM</t>
        </is>
      </c>
      <c r="I1332" s="21" t="inlineStr">
        <is>
          <t>satu Corporate yang punya 2 Company; satu Company yang punya Business Unit; satu Business Unit yang punya Production Line</t>
        </is>
      </c>
      <c r="J1332" s="21" t="inlineStr">
        <is>
          <t>1. Sebagai ADM, siapkan: satu Corporate yang punya 2 Company; satu Company yang punya Business Unit; satu Business Unit yang punya Production Line.
2. Login di web, lalu sidebar &gt; Kelola Machinery Group (/master-data/machinery-groups) untuk Corporate. Coba Hapus Corporate itu. Baca pesannya.
3. Periksa apakah Corporate itu dan kedua Company-nya masih ada.
4. Ulangi langkah 2–3 untuk Company yang punya Business Unit.
5. Ulangi untuk Business Unit yang punya Production Line.</t>
        </is>
      </c>
      <c r="K1332" s="21" t="inlineStr">
        <is>
          <t>- Setiap penghapusan ditolak.
- Pesannya menyebut jumlah penghalangnya — mis. "masih memiliki 2 Company".
- Induknya tidak terhapus, dan tidak ada penghapusan berantai: anak-anaknya juga masih utuh.</t>
        </is>
      </c>
      <c r="L1332" s="16" t="inlineStr">
        <is>
          <t>Tinggi</t>
        </is>
      </c>
      <c r="M1332" s="21" t="inlineStr"/>
      <c r="N1332" s="17" t="n"/>
      <c r="O1332" s="17" t="n"/>
      <c r="P1332" s="17" t="n"/>
      <c r="Q1332" s="17" t="n"/>
      <c r="R1332" s="17" t="n"/>
    </row>
    <row r="1333" ht="175.6" customHeight="1">
      <c r="A1333" s="22" t="n">
        <v>1329</v>
      </c>
      <c r="B1333" s="22" t="n">
        <v>3</v>
      </c>
      <c r="C1333" s="23" t="inlineStr">
        <is>
          <t>MD-KEL-07 / Machinery</t>
        </is>
      </c>
      <c r="D1333" s="23" t="inlineStr">
        <is>
          <t>MD-KEL-07</t>
        </is>
      </c>
      <c r="E1333" s="24" t="inlineStr">
        <is>
          <t>Machinery</t>
        </is>
      </c>
      <c r="F1333" s="5" t="inlineStr">
        <is>
          <t>Master Data (MD-)</t>
        </is>
      </c>
      <c r="G1333" s="24" t="inlineStr">
        <is>
          <t>Hapus ditolak bila masih punya anak, dengan menyebut jumlahnya</t>
        </is>
      </c>
      <c r="H1333" s="5" t="inlineStr">
        <is>
          <t>ADM</t>
        </is>
      </c>
      <c r="I1333" s="5" t="inlineStr">
        <is>
          <t>satu Corporate yang punya 2 Company; satu Company yang punya Business Unit; satu Business Unit yang punya Production Line</t>
        </is>
      </c>
      <c r="J1333" s="5" t="inlineStr">
        <is>
          <t>1. Sebagai ADM, siapkan: satu Corporate yang punya 2 Company; satu Company yang punya Business Unit; satu Business Unit yang punya Production Line.
2. Login di web, lalu sidebar &gt; Kelola Machinery (/master-data/machinery) untuk Corporate. Coba Hapus Corporate itu. Baca pesannya.
3. Periksa apakah Corporate itu dan kedua Company-nya masih ada.
4. Ulangi langkah 2–3 untuk Company yang punya Business Unit.
5. Ulangi untuk Business Unit yang punya Production Line.</t>
        </is>
      </c>
      <c r="K1333" s="5" t="inlineStr">
        <is>
          <t>- Setiap penghapusan ditolak.
- Pesannya menyebut jumlah penghalangnya — mis. "masih memiliki 2 Company".
- Induknya tidak terhapus, dan tidak ada penghapusan berantai: anak-anaknya juga masih utuh.</t>
        </is>
      </c>
      <c r="L1333" s="16" t="inlineStr">
        <is>
          <t>Tinggi</t>
        </is>
      </c>
      <c r="M1333" s="5" t="inlineStr"/>
      <c r="N1333" s="17" t="n"/>
      <c r="O1333" s="17" t="n"/>
      <c r="P1333" s="17" t="n"/>
      <c r="Q1333" s="17" t="n"/>
      <c r="R1333" s="17" t="n"/>
    </row>
    <row r="1334" ht="175.6" customHeight="1">
      <c r="A1334" s="18" t="n">
        <v>1330</v>
      </c>
      <c r="B1334" s="18" t="n">
        <v>3</v>
      </c>
      <c r="C1334" s="19" t="inlineStr">
        <is>
          <t>MD-KEL-07 / User &amp; Role</t>
        </is>
      </c>
      <c r="D1334" s="19" t="inlineStr">
        <is>
          <t>MD-KEL-07</t>
        </is>
      </c>
      <c r="E1334" s="20" t="inlineStr">
        <is>
          <t>User &amp; Role</t>
        </is>
      </c>
      <c r="F1334" s="21" t="inlineStr">
        <is>
          <t>Master Data (MD-)</t>
        </is>
      </c>
      <c r="G1334" s="20" t="inlineStr">
        <is>
          <t>Hapus ditolak bila masih punya anak, dengan menyebut jumlahnya</t>
        </is>
      </c>
      <c r="H1334" s="21" t="inlineStr">
        <is>
          <t>ADM</t>
        </is>
      </c>
      <c r="I1334" s="21" t="inlineStr">
        <is>
          <t>satu Corporate yang punya 2 Company; satu Company yang punya Business Unit; satu Business Unit yang punya Production Line</t>
        </is>
      </c>
      <c r="J1334" s="21" t="inlineStr">
        <is>
          <t>1. Sebagai ADM, siapkan: satu Corporate yang punya 2 Company; satu Company yang punya Business Unit; satu Business Unit yang punya Production Line.
2. Login di web, lalu sidebar &gt; Kelola User &amp; Role (/master-data/users) untuk Corporate. Coba Hapus Corporate itu. Baca pesannya.
3. Periksa apakah Corporate itu dan kedua Company-nya masih ada.
4. Ulangi langkah 2–3 untuk Company yang punya Business Unit.
5. Ulangi untuk Business Unit yang punya Production Line.</t>
        </is>
      </c>
      <c r="K1334" s="21" t="inlineStr">
        <is>
          <t>- Setiap penghapusan ditolak.
- Pesannya menyebut jumlah penghalangnya — mis. "masih memiliki 2 Company".
- Induknya tidak terhapus, dan tidak ada penghapusan berantai: anak-anaknya juga masih utuh.</t>
        </is>
      </c>
      <c r="L1334" s="16" t="inlineStr">
        <is>
          <t>Tinggi</t>
        </is>
      </c>
      <c r="M1334" s="21" t="inlineStr"/>
      <c r="N1334" s="17" t="n"/>
      <c r="O1334" s="17" t="n"/>
      <c r="P1334" s="17" t="n"/>
      <c r="Q1334" s="17" t="n"/>
      <c r="R1334" s="17" t="n"/>
    </row>
    <row r="1335" ht="70" customHeight="1">
      <c r="A1335" s="22" t="n">
        <v>1331</v>
      </c>
      <c r="B1335" s="22" t="n">
        <v>3</v>
      </c>
      <c r="C1335" s="23" t="inlineStr">
        <is>
          <t>MD-KEL-08 / Corporate</t>
        </is>
      </c>
      <c r="D1335" s="23" t="inlineStr">
        <is>
          <t>MD-KEL-08</t>
        </is>
      </c>
      <c r="E1335" s="24" t="inlineStr">
        <is>
          <t>Corporate</t>
        </is>
      </c>
      <c r="F1335" s="5" t="inlineStr">
        <is>
          <t>Master Data (MD-)</t>
        </is>
      </c>
      <c r="G1335" s="24" t="inlineStr">
        <is>
          <t>Hapus berhasil bila sudah tidak punya anak</t>
        </is>
      </c>
      <c r="H1335" s="5" t="inlineStr">
        <is>
          <t>ADM</t>
        </is>
      </c>
      <c r="I1335" s="5" t="inlineStr">
        <is>
          <t>—</t>
        </is>
      </c>
      <c r="J1335" s="5" t="inlineStr">
        <is>
          <t>1. Pakai induk yang sama dari MD-KEL-07.
2. Hapus seluruh anaknya satu per satu lebih dulu.
3. Periksa daftar anaknya sudah kosong.
4. Hapus induknya.</t>
        </is>
      </c>
      <c r="K1335" s="5" t="inlineStr">
        <is>
          <t>- Penghapusan anak-anaknya berhasil.
- Penghapusan induknya kini berhasil.
- Induk itu hilang dari daftar, dan jumlah data berkurang.</t>
        </is>
      </c>
      <c r="L1335" s="16" t="inlineStr">
        <is>
          <t>Tinggi</t>
        </is>
      </c>
      <c r="M1335" s="5" t="inlineStr"/>
      <c r="N1335" s="17" t="n"/>
      <c r="O1335" s="17" t="n"/>
      <c r="P1335" s="17" t="n"/>
      <c r="Q1335" s="17" t="n"/>
      <c r="R1335" s="17" t="n"/>
    </row>
    <row r="1336" ht="70" customHeight="1">
      <c r="A1336" s="18" t="n">
        <v>1332</v>
      </c>
      <c r="B1336" s="18" t="n">
        <v>3</v>
      </c>
      <c r="C1336" s="19" t="inlineStr">
        <is>
          <t>MD-KEL-08 / Company</t>
        </is>
      </c>
      <c r="D1336" s="19" t="inlineStr">
        <is>
          <t>MD-KEL-08</t>
        </is>
      </c>
      <c r="E1336" s="20" t="inlineStr">
        <is>
          <t>Company</t>
        </is>
      </c>
      <c r="F1336" s="21" t="inlineStr">
        <is>
          <t>Master Data (MD-)</t>
        </is>
      </c>
      <c r="G1336" s="20" t="inlineStr">
        <is>
          <t>Hapus berhasil bila sudah tidak punya anak</t>
        </is>
      </c>
      <c r="H1336" s="21" t="inlineStr">
        <is>
          <t>ADM</t>
        </is>
      </c>
      <c r="I1336" s="21" t="inlineStr">
        <is>
          <t>—</t>
        </is>
      </c>
      <c r="J1336" s="21" t="inlineStr">
        <is>
          <t>1. Pakai induk yang sama dari MD-KEL-07.
2. Hapus seluruh anaknya satu per satu lebih dulu.
3. Periksa daftar anaknya sudah kosong.
4. Hapus induknya.</t>
        </is>
      </c>
      <c r="K1336" s="21" t="inlineStr">
        <is>
          <t>- Penghapusan anak-anaknya berhasil.
- Penghapusan induknya kini berhasil.
- Induk itu hilang dari daftar, dan jumlah data berkurang.</t>
        </is>
      </c>
      <c r="L1336" s="16" t="inlineStr">
        <is>
          <t>Tinggi</t>
        </is>
      </c>
      <c r="M1336" s="21" t="inlineStr"/>
      <c r="N1336" s="17" t="n"/>
      <c r="O1336" s="17" t="n"/>
      <c r="P1336" s="17" t="n"/>
      <c r="Q1336" s="17" t="n"/>
      <c r="R1336" s="17" t="n"/>
    </row>
    <row r="1337" ht="70" customHeight="1">
      <c r="A1337" s="11" t="n">
        <v>1333</v>
      </c>
      <c r="B1337" s="12" t="n">
        <v>1</v>
      </c>
      <c r="C1337" s="13" t="inlineStr">
        <is>
          <t>MD-KEL-08 / Business Unit</t>
        </is>
      </c>
      <c r="D1337" s="13" t="inlineStr">
        <is>
          <t>MD-KEL-08</t>
        </is>
      </c>
      <c r="E1337" s="15" t="inlineStr">
        <is>
          <t>Business Unit</t>
        </is>
      </c>
      <c r="F1337" s="14" t="inlineStr">
        <is>
          <t>Master Data (MD-)</t>
        </is>
      </c>
      <c r="G1337" s="15" t="inlineStr">
        <is>
          <t>Hapus berhasil bila sudah tidak punya anak</t>
        </is>
      </c>
      <c r="H1337" s="14" t="inlineStr">
        <is>
          <t>ADM</t>
        </is>
      </c>
      <c r="I1337" s="14" t="inlineStr">
        <is>
          <t>—</t>
        </is>
      </c>
      <c r="J1337" s="14" t="inlineStr">
        <is>
          <t>1. Pakai induk yang sama dari MD-KEL-07.
2. Hapus seluruh anaknya satu per satu lebih dulu.
3. Periksa daftar anaknya sudah kosong.
4. Hapus induknya.</t>
        </is>
      </c>
      <c r="K1337" s="14" t="inlineStr">
        <is>
          <t>- Penghapusan anak-anaknya berhasil.
- Penghapusan induknya kini berhasil.
- Induk itu hilang dari daftar, dan jumlah data berkurang.</t>
        </is>
      </c>
      <c r="L1337" s="16" t="inlineStr">
        <is>
          <t>Tinggi</t>
        </is>
      </c>
      <c r="M1337" s="14" t="inlineStr"/>
      <c r="N1337" s="17" t="n"/>
      <c r="O1337" s="17" t="n"/>
      <c r="P1337" s="17" t="n"/>
      <c r="Q1337" s="17" t="n"/>
      <c r="R1337" s="17" t="n"/>
    </row>
    <row r="1338" ht="70" customHeight="1">
      <c r="A1338" s="18" t="n">
        <v>1334</v>
      </c>
      <c r="B1338" s="18" t="n">
        <v>3</v>
      </c>
      <c r="C1338" s="19" t="inlineStr">
        <is>
          <t>MD-KEL-08 / Production Line</t>
        </is>
      </c>
      <c r="D1338" s="19" t="inlineStr">
        <is>
          <t>MD-KEL-08</t>
        </is>
      </c>
      <c r="E1338" s="20" t="inlineStr">
        <is>
          <t>Production Line</t>
        </is>
      </c>
      <c r="F1338" s="21" t="inlineStr">
        <is>
          <t>Master Data (MD-)</t>
        </is>
      </c>
      <c r="G1338" s="20" t="inlineStr">
        <is>
          <t>Hapus berhasil bila sudah tidak punya anak</t>
        </is>
      </c>
      <c r="H1338" s="21" t="inlineStr">
        <is>
          <t>ADM</t>
        </is>
      </c>
      <c r="I1338" s="21" t="inlineStr">
        <is>
          <t>—</t>
        </is>
      </c>
      <c r="J1338" s="21" t="inlineStr">
        <is>
          <t>1. Pakai induk yang sama dari MD-KEL-07.
2. Hapus seluruh anaknya satu per satu lebih dulu.
3. Periksa daftar anaknya sudah kosong.
4. Hapus induknya.</t>
        </is>
      </c>
      <c r="K1338" s="21" t="inlineStr">
        <is>
          <t>- Penghapusan anak-anaknya berhasil.
- Penghapusan induknya kini berhasil.
- Induk itu hilang dari daftar, dan jumlah data berkurang.</t>
        </is>
      </c>
      <c r="L1338" s="16" t="inlineStr">
        <is>
          <t>Tinggi</t>
        </is>
      </c>
      <c r="M1338" s="21" t="inlineStr"/>
      <c r="N1338" s="17" t="n"/>
      <c r="O1338" s="17" t="n"/>
      <c r="P1338" s="17" t="n"/>
      <c r="Q1338" s="17" t="n"/>
      <c r="R1338" s="17" t="n"/>
    </row>
    <row r="1339" ht="70" customHeight="1">
      <c r="A1339" s="22" t="n">
        <v>1335</v>
      </c>
      <c r="B1339" s="22" t="n">
        <v>3</v>
      </c>
      <c r="C1339" s="23" t="inlineStr">
        <is>
          <t>MD-KEL-08 / Station</t>
        </is>
      </c>
      <c r="D1339" s="23" t="inlineStr">
        <is>
          <t>MD-KEL-08</t>
        </is>
      </c>
      <c r="E1339" s="24" t="inlineStr">
        <is>
          <t>Station</t>
        </is>
      </c>
      <c r="F1339" s="5" t="inlineStr">
        <is>
          <t>Master Data (MD-)</t>
        </is>
      </c>
      <c r="G1339" s="24" t="inlineStr">
        <is>
          <t>Hapus berhasil bila sudah tidak punya anak</t>
        </is>
      </c>
      <c r="H1339" s="5" t="inlineStr">
        <is>
          <t>ADM</t>
        </is>
      </c>
      <c r="I1339" s="5" t="inlineStr">
        <is>
          <t>—</t>
        </is>
      </c>
      <c r="J1339" s="5" t="inlineStr">
        <is>
          <t>1. Pakai induk yang sama dari MD-KEL-07.
2. Hapus seluruh anaknya satu per satu lebih dulu.
3. Periksa daftar anaknya sudah kosong.
4. Hapus induknya.</t>
        </is>
      </c>
      <c r="K1339" s="5" t="inlineStr">
        <is>
          <t>- Penghapusan anak-anaknya berhasil.
- Penghapusan induknya kini berhasil.
- Induk itu hilang dari daftar, dan jumlah data berkurang.</t>
        </is>
      </c>
      <c r="L1339" s="16" t="inlineStr">
        <is>
          <t>Tinggi</t>
        </is>
      </c>
      <c r="M1339" s="5" t="inlineStr"/>
      <c r="N1339" s="17" t="n"/>
      <c r="O1339" s="17" t="n"/>
      <c r="P1339" s="17" t="n"/>
      <c r="Q1339" s="17" t="n"/>
      <c r="R1339" s="17" t="n"/>
    </row>
    <row r="1340" ht="70" customHeight="1">
      <c r="A1340" s="18" t="n">
        <v>1336</v>
      </c>
      <c r="B1340" s="18" t="n">
        <v>3</v>
      </c>
      <c r="C1340" s="19" t="inlineStr">
        <is>
          <t>MD-KEL-08 / Machinery Group</t>
        </is>
      </c>
      <c r="D1340" s="19" t="inlineStr">
        <is>
          <t>MD-KEL-08</t>
        </is>
      </c>
      <c r="E1340" s="20" t="inlineStr">
        <is>
          <t>Machinery Group</t>
        </is>
      </c>
      <c r="F1340" s="21" t="inlineStr">
        <is>
          <t>Master Data (MD-)</t>
        </is>
      </c>
      <c r="G1340" s="20" t="inlineStr">
        <is>
          <t>Hapus berhasil bila sudah tidak punya anak</t>
        </is>
      </c>
      <c r="H1340" s="21" t="inlineStr">
        <is>
          <t>ADM</t>
        </is>
      </c>
      <c r="I1340" s="21" t="inlineStr">
        <is>
          <t>—</t>
        </is>
      </c>
      <c r="J1340" s="21" t="inlineStr">
        <is>
          <t>1. Pakai induk yang sama dari MD-KEL-07.
2. Hapus seluruh anaknya satu per satu lebih dulu.
3. Periksa daftar anaknya sudah kosong.
4. Hapus induknya.</t>
        </is>
      </c>
      <c r="K1340" s="21" t="inlineStr">
        <is>
          <t>- Penghapusan anak-anaknya berhasil.
- Penghapusan induknya kini berhasil.
- Induk itu hilang dari daftar, dan jumlah data berkurang.</t>
        </is>
      </c>
      <c r="L1340" s="16" t="inlineStr">
        <is>
          <t>Tinggi</t>
        </is>
      </c>
      <c r="M1340" s="21" t="inlineStr"/>
      <c r="N1340" s="17" t="n"/>
      <c r="O1340" s="17" t="n"/>
      <c r="P1340" s="17" t="n"/>
      <c r="Q1340" s="17" t="n"/>
      <c r="R1340" s="17" t="n"/>
    </row>
    <row r="1341" ht="70" customHeight="1">
      <c r="A1341" s="22" t="n">
        <v>1337</v>
      </c>
      <c r="B1341" s="22" t="n">
        <v>3</v>
      </c>
      <c r="C1341" s="23" t="inlineStr">
        <is>
          <t>MD-KEL-08 / Machinery</t>
        </is>
      </c>
      <c r="D1341" s="23" t="inlineStr">
        <is>
          <t>MD-KEL-08</t>
        </is>
      </c>
      <c r="E1341" s="24" t="inlineStr">
        <is>
          <t>Machinery</t>
        </is>
      </c>
      <c r="F1341" s="5" t="inlineStr">
        <is>
          <t>Master Data (MD-)</t>
        </is>
      </c>
      <c r="G1341" s="24" t="inlineStr">
        <is>
          <t>Hapus berhasil bila sudah tidak punya anak</t>
        </is>
      </c>
      <c r="H1341" s="5" t="inlineStr">
        <is>
          <t>ADM</t>
        </is>
      </c>
      <c r="I1341" s="5" t="inlineStr">
        <is>
          <t>—</t>
        </is>
      </c>
      <c r="J1341" s="5" t="inlineStr">
        <is>
          <t>1. Pakai induk yang sama dari MD-KEL-07.
2. Hapus seluruh anaknya satu per satu lebih dulu.
3. Periksa daftar anaknya sudah kosong.
4. Hapus induknya.</t>
        </is>
      </c>
      <c r="K1341" s="5" t="inlineStr">
        <is>
          <t>- Penghapusan anak-anaknya berhasil.
- Penghapusan induknya kini berhasil.
- Induk itu hilang dari daftar, dan jumlah data berkurang.</t>
        </is>
      </c>
      <c r="L1341" s="16" t="inlineStr">
        <is>
          <t>Tinggi</t>
        </is>
      </c>
      <c r="M1341" s="5" t="inlineStr"/>
      <c r="N1341" s="17" t="n"/>
      <c r="O1341" s="17" t="n"/>
      <c r="P1341" s="17" t="n"/>
      <c r="Q1341" s="17" t="n"/>
      <c r="R1341" s="17" t="n"/>
    </row>
    <row r="1342" ht="70" customHeight="1">
      <c r="A1342" s="18" t="n">
        <v>1338</v>
      </c>
      <c r="B1342" s="18" t="n">
        <v>3</v>
      </c>
      <c r="C1342" s="19" t="inlineStr">
        <is>
          <t>MD-KEL-08 / User &amp; Role</t>
        </is>
      </c>
      <c r="D1342" s="19" t="inlineStr">
        <is>
          <t>MD-KEL-08</t>
        </is>
      </c>
      <c r="E1342" s="20" t="inlineStr">
        <is>
          <t>User &amp; Role</t>
        </is>
      </c>
      <c r="F1342" s="21" t="inlineStr">
        <is>
          <t>Master Data (MD-)</t>
        </is>
      </c>
      <c r="G1342" s="20" t="inlineStr">
        <is>
          <t>Hapus berhasil bila sudah tidak punya anak</t>
        </is>
      </c>
      <c r="H1342" s="21" t="inlineStr">
        <is>
          <t>ADM</t>
        </is>
      </c>
      <c r="I1342" s="21" t="inlineStr">
        <is>
          <t>—</t>
        </is>
      </c>
      <c r="J1342" s="21" t="inlineStr">
        <is>
          <t>1. Pakai induk yang sama dari MD-KEL-07.
2. Hapus seluruh anaknya satu per satu lebih dulu.
3. Periksa daftar anaknya sudah kosong.
4. Hapus induknya.</t>
        </is>
      </c>
      <c r="K1342" s="21" t="inlineStr">
        <is>
          <t>- Penghapusan anak-anaknya berhasil.
- Penghapusan induknya kini berhasil.
- Induk itu hilang dari daftar, dan jumlah data berkurang.</t>
        </is>
      </c>
      <c r="L1342" s="16" t="inlineStr">
        <is>
          <t>Tinggi</t>
        </is>
      </c>
      <c r="M1342" s="21" t="inlineStr"/>
      <c r="N1342" s="17" t="n"/>
      <c r="O1342" s="17" t="n"/>
      <c r="P1342" s="17" t="n"/>
      <c r="Q1342" s="17" t="n"/>
      <c r="R1342" s="17" t="n"/>
    </row>
    <row r="1343" ht="109.6" customHeight="1">
      <c r="A1343" s="22" t="n">
        <v>1339</v>
      </c>
      <c r="B1343" s="22" t="n">
        <v>3</v>
      </c>
      <c r="C1343" s="23" t="inlineStr">
        <is>
          <t>MD-KEL-09 / Corporate</t>
        </is>
      </c>
      <c r="D1343" s="23" t="inlineStr">
        <is>
          <t>MD-KEL-09</t>
        </is>
      </c>
      <c r="E1343" s="24" t="inlineStr">
        <is>
          <t>Corporate</t>
        </is>
      </c>
      <c r="F1343" s="5" t="inlineStr">
        <is>
          <t>Master Data (MD-)</t>
        </is>
      </c>
      <c r="G1343" s="24" t="inlineStr">
        <is>
          <t>Hapus meminta konfirmasi</t>
        </is>
      </c>
      <c r="H1343" s="5" t="inlineStr">
        <is>
          <t>ADM</t>
        </is>
      </c>
      <c r="I1343" s="5" t="inlineStr">
        <is>
          <t>—</t>
        </is>
      </c>
      <c r="J1343" s="5" t="inlineStr">
        <is>
          <t>1. Login di web, lalu sidebar &gt; Kelola Corporate (/master-data/corporates) sebagai ADM. Pilih satu entri tanpa anak.
2. Tekan Hapus. Baca dialognya, lalu tekan Batal.
3. Periksa daftar: apakah entri itu masih ada?
4. Tekan Hapus lagi, kali ini setujui.</t>
        </is>
      </c>
      <c r="K1343" s="5" t="inlineStr">
        <is>
          <t>- Langkah 2 memunculkan dialog konfirmasi — tidak langsung menghapus.
- Langkah 3: entri masih ada, utuh.
- Langkah 4: entri terhapus dan hilang dari daftar.</t>
        </is>
      </c>
      <c r="L1343" s="22" t="inlineStr">
        <is>
          <t>Sedang</t>
        </is>
      </c>
      <c r="M1343" s="5" t="inlineStr"/>
      <c r="N1343" s="17" t="n"/>
      <c r="O1343" s="17" t="n"/>
      <c r="P1343" s="17" t="n"/>
      <c r="Q1343" s="17" t="n"/>
      <c r="R1343" s="17" t="n"/>
    </row>
    <row r="1344" ht="109.6" customHeight="1">
      <c r="A1344" s="18" t="n">
        <v>1340</v>
      </c>
      <c r="B1344" s="18" t="n">
        <v>3</v>
      </c>
      <c r="C1344" s="19" t="inlineStr">
        <is>
          <t>MD-KEL-09 / Company</t>
        </is>
      </c>
      <c r="D1344" s="19" t="inlineStr">
        <is>
          <t>MD-KEL-09</t>
        </is>
      </c>
      <c r="E1344" s="20" t="inlineStr">
        <is>
          <t>Company</t>
        </is>
      </c>
      <c r="F1344" s="21" t="inlineStr">
        <is>
          <t>Master Data (MD-)</t>
        </is>
      </c>
      <c r="G1344" s="20" t="inlineStr">
        <is>
          <t>Hapus meminta konfirmasi</t>
        </is>
      </c>
      <c r="H1344" s="21" t="inlineStr">
        <is>
          <t>ADM</t>
        </is>
      </c>
      <c r="I1344" s="21" t="inlineStr">
        <is>
          <t>—</t>
        </is>
      </c>
      <c r="J1344" s="21" t="inlineStr">
        <is>
          <t>1. Login di web, lalu sidebar &gt; Kelola Company (/master-data/companies) sebagai ADM. Pilih satu entri tanpa anak.
2. Tekan Hapus. Baca dialognya, lalu tekan Batal.
3. Periksa daftar: apakah entri itu masih ada?
4. Tekan Hapus lagi, kali ini setujui.</t>
        </is>
      </c>
      <c r="K1344" s="21" t="inlineStr">
        <is>
          <t>- Langkah 2 memunculkan dialog konfirmasi — tidak langsung menghapus.
- Langkah 3: entri masih ada, utuh.
- Langkah 4: entri terhapus dan hilang dari daftar.</t>
        </is>
      </c>
      <c r="L1344" s="18" t="inlineStr">
        <is>
          <t>Sedang</t>
        </is>
      </c>
      <c r="M1344" s="21" t="inlineStr"/>
      <c r="N1344" s="17" t="n"/>
      <c r="O1344" s="17" t="n"/>
      <c r="P1344" s="17" t="n"/>
      <c r="Q1344" s="17" t="n"/>
      <c r="R1344" s="17" t="n"/>
    </row>
    <row r="1345" ht="109.6" customHeight="1">
      <c r="A1345" s="11" t="n">
        <v>1341</v>
      </c>
      <c r="B1345" s="12" t="n">
        <v>1</v>
      </c>
      <c r="C1345" s="13" t="inlineStr">
        <is>
          <t>MD-KEL-09 / Business Unit</t>
        </is>
      </c>
      <c r="D1345" s="13" t="inlineStr">
        <is>
          <t>MD-KEL-09</t>
        </is>
      </c>
      <c r="E1345" s="15" t="inlineStr">
        <is>
          <t>Business Unit</t>
        </is>
      </c>
      <c r="F1345" s="14" t="inlineStr">
        <is>
          <t>Master Data (MD-)</t>
        </is>
      </c>
      <c r="G1345" s="15" t="inlineStr">
        <is>
          <t>Hapus meminta konfirmasi</t>
        </is>
      </c>
      <c r="H1345" s="14" t="inlineStr">
        <is>
          <t>ADM</t>
        </is>
      </c>
      <c r="I1345" s="14" t="inlineStr">
        <is>
          <t>—</t>
        </is>
      </c>
      <c r="J1345" s="14" t="inlineStr">
        <is>
          <t>1. Login di web, lalu sidebar &gt; Kelola Business Unit (/master-data/business-units) sebagai ADM. Pilih satu entri tanpa anak.
2. Tekan Hapus. Baca dialognya, lalu tekan Batal.
3. Periksa daftar: apakah entri itu masih ada?
4. Tekan Hapus lagi, kali ini setujui.</t>
        </is>
      </c>
      <c r="K1345" s="14" t="inlineStr">
        <is>
          <t>- Langkah 2 memunculkan dialog konfirmasi — tidak langsung menghapus.
- Langkah 3: entri masih ada, utuh.
- Langkah 4: entri terhapus dan hilang dari daftar.</t>
        </is>
      </c>
      <c r="L1345" s="11" t="inlineStr">
        <is>
          <t>Sedang</t>
        </is>
      </c>
      <c r="M1345" s="14" t="inlineStr"/>
      <c r="N1345" s="17" t="n"/>
      <c r="O1345" s="17" t="n"/>
      <c r="P1345" s="17" t="n"/>
      <c r="Q1345" s="17" t="n"/>
      <c r="R1345" s="17" t="n"/>
    </row>
    <row r="1346" ht="109.6" customHeight="1">
      <c r="A1346" s="18" t="n">
        <v>1342</v>
      </c>
      <c r="B1346" s="18" t="n">
        <v>3</v>
      </c>
      <c r="C1346" s="19" t="inlineStr">
        <is>
          <t>MD-KEL-09 / Production Line</t>
        </is>
      </c>
      <c r="D1346" s="19" t="inlineStr">
        <is>
          <t>MD-KEL-09</t>
        </is>
      </c>
      <c r="E1346" s="20" t="inlineStr">
        <is>
          <t>Production Line</t>
        </is>
      </c>
      <c r="F1346" s="21" t="inlineStr">
        <is>
          <t>Master Data (MD-)</t>
        </is>
      </c>
      <c r="G1346" s="20" t="inlineStr">
        <is>
          <t>Hapus meminta konfirmasi</t>
        </is>
      </c>
      <c r="H1346" s="21" t="inlineStr">
        <is>
          <t>ADM</t>
        </is>
      </c>
      <c r="I1346" s="21" t="inlineStr">
        <is>
          <t>—</t>
        </is>
      </c>
      <c r="J1346" s="21" t="inlineStr">
        <is>
          <t>1. Login di web, lalu sidebar &gt; Kelola Production Line (/master-data/production-lines) sebagai ADM. Pilih satu entri tanpa anak.
2. Tekan Hapus. Baca dialognya, lalu tekan Batal.
3. Periksa daftar: apakah entri itu masih ada?
4. Tekan Hapus lagi, kali ini setujui.</t>
        </is>
      </c>
      <c r="K1346" s="21" t="inlineStr">
        <is>
          <t>- Langkah 2 memunculkan dialog konfirmasi — tidak langsung menghapus.
- Langkah 3: entri masih ada, utuh.
- Langkah 4: entri terhapus dan hilang dari daftar.</t>
        </is>
      </c>
      <c r="L1346" s="18" t="inlineStr">
        <is>
          <t>Sedang</t>
        </is>
      </c>
      <c r="M1346" s="21" t="inlineStr"/>
      <c r="N1346" s="17" t="n"/>
      <c r="O1346" s="17" t="n"/>
      <c r="P1346" s="17" t="n"/>
      <c r="Q1346" s="17" t="n"/>
      <c r="R1346" s="17" t="n"/>
    </row>
    <row r="1347" ht="109.6" customHeight="1">
      <c r="A1347" s="22" t="n">
        <v>1343</v>
      </c>
      <c r="B1347" s="22" t="n">
        <v>3</v>
      </c>
      <c r="C1347" s="23" t="inlineStr">
        <is>
          <t>MD-KEL-09 / Station</t>
        </is>
      </c>
      <c r="D1347" s="23" t="inlineStr">
        <is>
          <t>MD-KEL-09</t>
        </is>
      </c>
      <c r="E1347" s="24" t="inlineStr">
        <is>
          <t>Station</t>
        </is>
      </c>
      <c r="F1347" s="5" t="inlineStr">
        <is>
          <t>Master Data (MD-)</t>
        </is>
      </c>
      <c r="G1347" s="24" t="inlineStr">
        <is>
          <t>Hapus meminta konfirmasi</t>
        </is>
      </c>
      <c r="H1347" s="5" t="inlineStr">
        <is>
          <t>ADM</t>
        </is>
      </c>
      <c r="I1347" s="5" t="inlineStr">
        <is>
          <t>—</t>
        </is>
      </c>
      <c r="J1347" s="5" t="inlineStr">
        <is>
          <t>1. Login di web, lalu sidebar &gt; Kelola Station (/master-data/stations) sebagai ADM. Pilih satu entri tanpa anak.
2. Tekan Hapus. Baca dialognya, lalu tekan Batal.
3. Periksa daftar: apakah entri itu masih ada?
4. Tekan Hapus lagi, kali ini setujui.</t>
        </is>
      </c>
      <c r="K1347" s="5" t="inlineStr">
        <is>
          <t>- Langkah 2 memunculkan dialog konfirmasi — tidak langsung menghapus.
- Langkah 3: entri masih ada, utuh.
- Langkah 4: entri terhapus dan hilang dari daftar.</t>
        </is>
      </c>
      <c r="L1347" s="22" t="inlineStr">
        <is>
          <t>Sedang</t>
        </is>
      </c>
      <c r="M1347" s="5" t="inlineStr"/>
      <c r="N1347" s="17" t="n"/>
      <c r="O1347" s="17" t="n"/>
      <c r="P1347" s="17" t="n"/>
      <c r="Q1347" s="17" t="n"/>
      <c r="R1347" s="17" t="n"/>
    </row>
    <row r="1348" ht="109.6" customHeight="1">
      <c r="A1348" s="18" t="n">
        <v>1344</v>
      </c>
      <c r="B1348" s="18" t="n">
        <v>3</v>
      </c>
      <c r="C1348" s="19" t="inlineStr">
        <is>
          <t>MD-KEL-09 / Machinery Group</t>
        </is>
      </c>
      <c r="D1348" s="19" t="inlineStr">
        <is>
          <t>MD-KEL-09</t>
        </is>
      </c>
      <c r="E1348" s="20" t="inlineStr">
        <is>
          <t>Machinery Group</t>
        </is>
      </c>
      <c r="F1348" s="21" t="inlineStr">
        <is>
          <t>Master Data (MD-)</t>
        </is>
      </c>
      <c r="G1348" s="20" t="inlineStr">
        <is>
          <t>Hapus meminta konfirmasi</t>
        </is>
      </c>
      <c r="H1348" s="21" t="inlineStr">
        <is>
          <t>ADM</t>
        </is>
      </c>
      <c r="I1348" s="21" t="inlineStr">
        <is>
          <t>—</t>
        </is>
      </c>
      <c r="J1348" s="21" t="inlineStr">
        <is>
          <t>1. Login di web, lalu sidebar &gt; Kelola Machinery Group (/master-data/machinery-groups) sebagai ADM. Pilih satu entri tanpa anak.
2. Tekan Hapus. Baca dialognya, lalu tekan Batal.
3. Periksa daftar: apakah entri itu masih ada?
4. Tekan Hapus lagi, kali ini setujui.</t>
        </is>
      </c>
      <c r="K1348" s="21" t="inlineStr">
        <is>
          <t>- Langkah 2 memunculkan dialog konfirmasi — tidak langsung menghapus.
- Langkah 3: entri masih ada, utuh.
- Langkah 4: entri terhapus dan hilang dari daftar.</t>
        </is>
      </c>
      <c r="L1348" s="18" t="inlineStr">
        <is>
          <t>Sedang</t>
        </is>
      </c>
      <c r="M1348" s="21" t="inlineStr"/>
      <c r="N1348" s="17" t="n"/>
      <c r="O1348" s="17" t="n"/>
      <c r="P1348" s="17" t="n"/>
      <c r="Q1348" s="17" t="n"/>
      <c r="R1348" s="17" t="n"/>
    </row>
    <row r="1349" ht="109.6" customHeight="1">
      <c r="A1349" s="22" t="n">
        <v>1345</v>
      </c>
      <c r="B1349" s="22" t="n">
        <v>3</v>
      </c>
      <c r="C1349" s="23" t="inlineStr">
        <is>
          <t>MD-KEL-09 / Machinery</t>
        </is>
      </c>
      <c r="D1349" s="23" t="inlineStr">
        <is>
          <t>MD-KEL-09</t>
        </is>
      </c>
      <c r="E1349" s="24" t="inlineStr">
        <is>
          <t>Machinery</t>
        </is>
      </c>
      <c r="F1349" s="5" t="inlineStr">
        <is>
          <t>Master Data (MD-)</t>
        </is>
      </c>
      <c r="G1349" s="24" t="inlineStr">
        <is>
          <t>Hapus meminta konfirmasi</t>
        </is>
      </c>
      <c r="H1349" s="5" t="inlineStr">
        <is>
          <t>ADM</t>
        </is>
      </c>
      <c r="I1349" s="5" t="inlineStr">
        <is>
          <t>—</t>
        </is>
      </c>
      <c r="J1349" s="5" t="inlineStr">
        <is>
          <t>1. Login di web, lalu sidebar &gt; Kelola Machinery (/master-data/machinery) sebagai ADM. Pilih satu entri tanpa anak.
2. Tekan Hapus. Baca dialognya, lalu tekan Batal.
3. Periksa daftar: apakah entri itu masih ada?
4. Tekan Hapus lagi, kali ini setujui.</t>
        </is>
      </c>
      <c r="K1349" s="5" t="inlineStr">
        <is>
          <t>- Langkah 2 memunculkan dialog konfirmasi — tidak langsung menghapus.
- Langkah 3: entri masih ada, utuh.
- Langkah 4: entri terhapus dan hilang dari daftar.</t>
        </is>
      </c>
      <c r="L1349" s="22" t="inlineStr">
        <is>
          <t>Sedang</t>
        </is>
      </c>
      <c r="M1349" s="5" t="inlineStr"/>
      <c r="N1349" s="17" t="n"/>
      <c r="O1349" s="17" t="n"/>
      <c r="P1349" s="17" t="n"/>
      <c r="Q1349" s="17" t="n"/>
      <c r="R1349" s="17" t="n"/>
    </row>
    <row r="1350" ht="109.6" customHeight="1">
      <c r="A1350" s="18" t="n">
        <v>1346</v>
      </c>
      <c r="B1350" s="18" t="n">
        <v>3</v>
      </c>
      <c r="C1350" s="19" t="inlineStr">
        <is>
          <t>MD-KEL-09 / User &amp; Role</t>
        </is>
      </c>
      <c r="D1350" s="19" t="inlineStr">
        <is>
          <t>MD-KEL-09</t>
        </is>
      </c>
      <c r="E1350" s="20" t="inlineStr">
        <is>
          <t>User &amp; Role</t>
        </is>
      </c>
      <c r="F1350" s="21" t="inlineStr">
        <is>
          <t>Master Data (MD-)</t>
        </is>
      </c>
      <c r="G1350" s="20" t="inlineStr">
        <is>
          <t>Hapus meminta konfirmasi</t>
        </is>
      </c>
      <c r="H1350" s="21" t="inlineStr">
        <is>
          <t>ADM</t>
        </is>
      </c>
      <c r="I1350" s="21" t="inlineStr">
        <is>
          <t>—</t>
        </is>
      </c>
      <c r="J1350" s="21" t="inlineStr">
        <is>
          <t>1. Login di web, lalu sidebar &gt; Kelola User &amp; Role (/master-data/users) sebagai ADM. Pilih satu entri tanpa anak.
2. Tekan Hapus. Baca dialognya, lalu tekan Batal.
3. Periksa daftar: apakah entri itu masih ada?
4. Tekan Hapus lagi, kali ini setujui.</t>
        </is>
      </c>
      <c r="K1350" s="21" t="inlineStr">
        <is>
          <t>- Langkah 2 memunculkan dialog konfirmasi — tidak langsung menghapus.
- Langkah 3: entri masih ada, utuh.
- Langkah 4: entri terhapus dan hilang dari daftar.</t>
        </is>
      </c>
      <c r="L1350" s="18" t="inlineStr">
        <is>
          <t>Sedang</t>
        </is>
      </c>
      <c r="M1350" s="21" t="inlineStr"/>
      <c r="N1350" s="17" t="n"/>
      <c r="O1350" s="17" t="n"/>
      <c r="P1350" s="17" t="n"/>
      <c r="Q1350" s="17" t="n"/>
      <c r="R1350" s="17" t="n"/>
    </row>
    <row r="1351" ht="241.6" customHeight="1">
      <c r="A1351" s="11" t="n">
        <v>1347</v>
      </c>
      <c r="B1351" s="12" t="n">
        <v>1</v>
      </c>
      <c r="C1351" s="13" t="inlineStr">
        <is>
          <t>MD-KEL-10 / Machinery</t>
        </is>
      </c>
      <c r="D1351" s="13" t="inlineStr">
        <is>
          <t>MD-KEL-10</t>
        </is>
      </c>
      <c r="E1351" s="15" t="inlineStr">
        <is>
          <t>Machinery</t>
        </is>
      </c>
      <c r="F1351" s="14" t="inlineStr">
        <is>
          <t>Master Data (MD-)</t>
        </is>
      </c>
      <c r="G1351" s="15" t="inlineStr">
        <is>
          <t>Pencarian dan paginasi bekerja bersama</t>
        </is>
      </c>
      <c r="H1351" s="14" t="inlineStr">
        <is>
          <t>ADM</t>
        </is>
      </c>
      <c r="I1351" s="14" t="inlineStr">
        <is>
          <t>data lebih dari satu halaman</t>
        </is>
      </c>
      <c r="J1351" s="14" t="inlineStr">
        <is>
          <t>1. Login di web, lalu sidebar &gt; Kelola Machinery (/master-data/machinery) sebagai ADM. Pastikan datanya lebih dari satu halaman.
2. Ketik satu kata kunci yang hasilnya lebih dari satu halaman.
3. Catat jumlah total hasil yang tertulis.
4. Buka halaman 2.
5. Periksa setiap baris di halaman 2: apakah semuanya memuat kata kunci itu?
6. Buka halaman 3 bila ada, dan periksa lagi.</t>
        </is>
      </c>
      <c r="K1351" s="14" t="inlineStr">
        <is>
          <t>- Seluruh baris di halaman 2 (dan 3) masih cocok dengan kata kuncinya.
- Jumlah total hasil tidak berubah saat berpindah halaman.
- Kata kuncinya masih terisi di kolom pencarian setelah pindah halaman.</t>
        </is>
      </c>
      <c r="L1351" s="16" t="inlineStr">
        <is>
          <t>Tinggi</t>
        </is>
      </c>
      <c r="M1351" s="14" t="inlineStr">
        <is>
          <t>Berlaku untuk: hanya Kelola Mesin. Dari delapan tingkat Kelola, hanya layar itu yang punya kolom pencarian teks bebas; tujuh lainnya (Corporate, Company, Business Unit, Production Line, Station, Machinery Group, User &amp; Role) menyaring lewat pemilih induk, bukan pencarian. Pada tujuh layar itu kasus ini tidak berlaku, dan barisnya memang tidak ada di berkas Excel: yang terdaftar hanya jalan yang dapat dikerjakan. Pencarian mill diuji terpisah di MD-STR-04.</t>
        </is>
      </c>
      <c r="N1351" s="17" t="n"/>
      <c r="O1351" s="17" t="n"/>
      <c r="P1351" s="17" t="n"/>
      <c r="Q1351" s="17" t="n"/>
      <c r="R1351" s="17" t="n"/>
    </row>
    <row r="1352" ht="122.8" customHeight="1">
      <c r="A1352" s="11" t="n">
        <v>1348</v>
      </c>
      <c r="B1352" s="12" t="n">
        <v>1</v>
      </c>
      <c r="C1352" s="13" t="inlineStr">
        <is>
          <t>MD-KEL-11 / Machinery</t>
        </is>
      </c>
      <c r="D1352" s="13" t="inlineStr">
        <is>
          <t>MD-KEL-11</t>
        </is>
      </c>
      <c r="E1352" s="15" t="inlineStr">
        <is>
          <t>Machinery</t>
        </is>
      </c>
      <c r="F1352" s="14" t="inlineStr">
        <is>
          <t>Master Data (MD-)</t>
        </is>
      </c>
      <c r="G1352" s="15" t="inlineStr">
        <is>
          <t>Pencarian tidak peduli huruf besar-kecil, dan karakter khusus diperlakukan sebagai huruf biasa</t>
        </is>
      </c>
      <c r="H1352" s="14" t="inlineStr">
        <is>
          <t>ADM</t>
        </is>
      </c>
      <c r="I1352" s="14" t="inlineStr">
        <is>
          <t>entri bernama mis. Mill 100% Murni dan Mill BU_A</t>
        </is>
      </c>
      <c r="J1352" s="14" t="inlineStr">
        <is>
          <t>1. Login di web, lalu sidebar &gt; Kelola Machinery (/master-data/machinery) sebagai ADM. Buat dua entri: Mill 100% Murni dan Mill BU_A. Bila memungkinkan, buat juga Mill BUxA.
2. Cari 100%. Catat hasilnya.
3. Hapus, cari BU_A. Catat hasilnya.
4. Hapus, cari mill (huruf kecil). Catat hasilnya.</t>
        </is>
      </c>
      <c r="K1352" s="14" t="inlineStr">
        <is>
          <t>- 100% menemukan tepat entri yang namanya memuat tanda persen itu — bukan semua entri.
- BU_A menemukan tepat Mill BU_A — bukan juga Mill BUxA.
- mill menemukan ketiganya (tidak peduli huruf besar-kecil).
- Di banyak sistem % dan _ punya arti khusus dalam pencarian; di sini keduanya huruf biasa.</t>
        </is>
      </c>
      <c r="L1352" s="11" t="inlineStr">
        <is>
          <t>Sedang</t>
        </is>
      </c>
      <c r="M1352" s="14" t="inlineStr">
        <is>
          <t>Berlaku untuk: hanya Kelola Mesin, dengan sebab yang sama seperti MD-KEL-10.
% dan _ adalah karakter khusus pencarian di banyak sistem. Di sini keduanya harus diperlakukan sebagai huruf biasa.</t>
        </is>
      </c>
      <c r="N1352" s="17" t="n"/>
      <c r="O1352" s="17" t="n"/>
      <c r="P1352" s="17" t="n"/>
      <c r="Q1352" s="17" t="n"/>
      <c r="R1352" s="17" t="n"/>
    </row>
    <row r="1353" ht="136" customHeight="1">
      <c r="A1353" s="22" t="n">
        <v>1349</v>
      </c>
      <c r="B1353" s="22" t="n">
        <v>3</v>
      </c>
      <c r="C1353" s="23" t="inlineStr">
        <is>
          <t>MD-KEL-12 / Corporate</t>
        </is>
      </c>
      <c r="D1353" s="23" t="inlineStr">
        <is>
          <t>MD-KEL-12</t>
        </is>
      </c>
      <c r="E1353" s="24" t="inlineStr">
        <is>
          <t>Corporate</t>
        </is>
      </c>
      <c r="F1353" s="5" t="inlineStr">
        <is>
          <t>Master Data (MD-)</t>
        </is>
      </c>
      <c r="G1353" s="24" t="inlineStr">
        <is>
          <t>Logo mill dapat diunggah dan terlihat</t>
        </is>
      </c>
      <c r="H1353" s="5" t="inlineStr">
        <is>
          <t>ADM</t>
        </is>
      </c>
      <c r="I1353" s="5" t="inlineStr">
        <is>
          <t>berlaku untuk Business Unit</t>
        </is>
      </c>
      <c r="J1353" s="5" t="inlineStr">
        <is>
          <t>1. Login di web, lalu sidebar &gt; Kelola Corporate (/master-data/corporates) untuk Business Unit sebagai ADM. Tekan Edit pada satu mill.
2. Unggah satu berkas gambar (PNG atau JPG) sebagai logo. Tekan Simpan.
3. Buka kembali entri itu dan periksa logonya.
4. Tekan Edit lagi, dan coba unggah berkas yang bukan gambar (mis. .pdf atau .txt).</t>
        </is>
      </c>
      <c r="K1353" s="5" t="inlineStr">
        <is>
          <t>- Logo gambar tersimpan dan terlihat saat entri dibuka kembali.
- Berkas bukan gambar ditolak dengan pesan yang jelas.
- Penolakan itu tidak menghapus logo yang sudah tersimpan sebelumnya.</t>
        </is>
      </c>
      <c r="L1353" s="22" t="inlineStr">
        <is>
          <t>Rendah</t>
        </is>
      </c>
      <c r="M1353" s="5" t="inlineStr"/>
      <c r="N1353" s="17" t="n"/>
      <c r="O1353" s="17" t="n"/>
      <c r="P1353" s="17" t="n"/>
      <c r="Q1353" s="17" t="n"/>
      <c r="R1353" s="17" t="n"/>
    </row>
    <row r="1354" ht="122.8" customHeight="1">
      <c r="A1354" s="18" t="n">
        <v>1350</v>
      </c>
      <c r="B1354" s="18" t="n">
        <v>3</v>
      </c>
      <c r="C1354" s="19" t="inlineStr">
        <is>
          <t>MD-KEL-12 / Company</t>
        </is>
      </c>
      <c r="D1354" s="19" t="inlineStr">
        <is>
          <t>MD-KEL-12</t>
        </is>
      </c>
      <c r="E1354" s="20" t="inlineStr">
        <is>
          <t>Company</t>
        </is>
      </c>
      <c r="F1354" s="21" t="inlineStr">
        <is>
          <t>Master Data (MD-)</t>
        </is>
      </c>
      <c r="G1354" s="20" t="inlineStr">
        <is>
          <t>Logo mill dapat diunggah dan terlihat</t>
        </is>
      </c>
      <c r="H1354" s="21" t="inlineStr">
        <is>
          <t>ADM</t>
        </is>
      </c>
      <c r="I1354" s="21" t="inlineStr">
        <is>
          <t>berlaku untuk Business Unit</t>
        </is>
      </c>
      <c r="J1354" s="21" t="inlineStr">
        <is>
          <t>1. Login di web, lalu sidebar &gt; Kelola Company (/master-data/companies) untuk Business Unit sebagai ADM. Tekan Edit pada satu mill.
2. Unggah satu berkas gambar (PNG atau JPG) sebagai logo. Tekan Simpan.
3. Buka kembali entri itu dan periksa logonya.
4. Tekan Edit lagi, dan coba unggah berkas yang bukan gambar (mis. .pdf atau .txt).</t>
        </is>
      </c>
      <c r="K1354" s="21" t="inlineStr">
        <is>
          <t>- Logo gambar tersimpan dan terlihat saat entri dibuka kembali.
- Berkas bukan gambar ditolak dengan pesan yang jelas.
- Penolakan itu tidak menghapus logo yang sudah tersimpan sebelumnya.</t>
        </is>
      </c>
      <c r="L1354" s="18" t="inlineStr">
        <is>
          <t>Rendah</t>
        </is>
      </c>
      <c r="M1354" s="21" t="inlineStr"/>
      <c r="N1354" s="17" t="n"/>
      <c r="O1354" s="17" t="n"/>
      <c r="P1354" s="17" t="n"/>
      <c r="Q1354" s="17" t="n"/>
      <c r="R1354" s="17" t="n"/>
    </row>
    <row r="1355" ht="122.8" customHeight="1">
      <c r="A1355" s="11" t="n">
        <v>1351</v>
      </c>
      <c r="B1355" s="12" t="n">
        <v>1</v>
      </c>
      <c r="C1355" s="13" t="inlineStr">
        <is>
          <t>MD-KEL-12 / Business Unit</t>
        </is>
      </c>
      <c r="D1355" s="13" t="inlineStr">
        <is>
          <t>MD-KEL-12</t>
        </is>
      </c>
      <c r="E1355" s="15" t="inlineStr">
        <is>
          <t>Business Unit</t>
        </is>
      </c>
      <c r="F1355" s="14" t="inlineStr">
        <is>
          <t>Master Data (MD-)</t>
        </is>
      </c>
      <c r="G1355" s="15" t="inlineStr">
        <is>
          <t>Logo mill dapat diunggah dan terlihat</t>
        </is>
      </c>
      <c r="H1355" s="14" t="inlineStr">
        <is>
          <t>ADM</t>
        </is>
      </c>
      <c r="I1355" s="14" t="inlineStr">
        <is>
          <t>berlaku untuk Business Unit</t>
        </is>
      </c>
      <c r="J1355" s="14" t="inlineStr">
        <is>
          <t>1. Login di web, lalu sidebar &gt; Kelola Business Unit (/master-data/business-units) sebagai ADM. Tekan Edit pada satu mill.
2. Unggah satu berkas gambar (PNG atau JPG) sebagai logo. Tekan Simpan.
3. Buka kembali entri itu dan periksa logonya.
4. Tekan Edit lagi, dan coba unggah berkas yang bukan gambar (mis. .pdf atau .txt).</t>
        </is>
      </c>
      <c r="K1355" s="14" t="inlineStr">
        <is>
          <t>- Logo gambar tersimpan dan terlihat saat entri dibuka kembali.
- Berkas bukan gambar ditolak dengan pesan yang jelas.
- Penolakan itu tidak menghapus logo yang sudah tersimpan sebelumnya.</t>
        </is>
      </c>
      <c r="L1355" s="11" t="inlineStr">
        <is>
          <t>Rendah</t>
        </is>
      </c>
      <c r="M1355" s="14" t="inlineStr"/>
      <c r="N1355" s="17" t="n"/>
      <c r="O1355" s="17" t="n"/>
      <c r="P1355" s="17" t="n"/>
      <c r="Q1355" s="17" t="n"/>
      <c r="R1355" s="17" t="n"/>
    </row>
    <row r="1356" ht="136" customHeight="1">
      <c r="A1356" s="18" t="n">
        <v>1352</v>
      </c>
      <c r="B1356" s="18" t="n">
        <v>3</v>
      </c>
      <c r="C1356" s="19" t="inlineStr">
        <is>
          <t>MD-KEL-12 / Production Line</t>
        </is>
      </c>
      <c r="D1356" s="19" t="inlineStr">
        <is>
          <t>MD-KEL-12</t>
        </is>
      </c>
      <c r="E1356" s="20" t="inlineStr">
        <is>
          <t>Production Line</t>
        </is>
      </c>
      <c r="F1356" s="21" t="inlineStr">
        <is>
          <t>Master Data (MD-)</t>
        </is>
      </c>
      <c r="G1356" s="20" t="inlineStr">
        <is>
          <t>Logo mill dapat diunggah dan terlihat</t>
        </is>
      </c>
      <c r="H1356" s="21" t="inlineStr">
        <is>
          <t>ADM</t>
        </is>
      </c>
      <c r="I1356" s="21" t="inlineStr">
        <is>
          <t>berlaku untuk Business Unit</t>
        </is>
      </c>
      <c r="J1356" s="21" t="inlineStr">
        <is>
          <t>1. Login di web, lalu sidebar &gt; Kelola Production Line (/master-data/production-lines) untuk Business Unit sebagai ADM. Tekan Edit pada satu mill.
2. Unggah satu berkas gambar (PNG atau JPG) sebagai logo. Tekan Simpan.
3. Buka kembali entri itu dan periksa logonya.
4. Tekan Edit lagi, dan coba unggah berkas yang bukan gambar (mis. .pdf atau .txt).</t>
        </is>
      </c>
      <c r="K1356" s="21" t="inlineStr">
        <is>
          <t>- Logo gambar tersimpan dan terlihat saat entri dibuka kembali.
- Berkas bukan gambar ditolak dengan pesan yang jelas.
- Penolakan itu tidak menghapus logo yang sudah tersimpan sebelumnya.</t>
        </is>
      </c>
      <c r="L1356" s="18" t="inlineStr">
        <is>
          <t>Rendah</t>
        </is>
      </c>
      <c r="M1356" s="21" t="inlineStr"/>
      <c r="N1356" s="17" t="n"/>
      <c r="O1356" s="17" t="n"/>
      <c r="P1356" s="17" t="n"/>
      <c r="Q1356" s="17" t="n"/>
      <c r="R1356" s="17" t="n"/>
    </row>
    <row r="1357" ht="122.8" customHeight="1">
      <c r="A1357" s="22" t="n">
        <v>1353</v>
      </c>
      <c r="B1357" s="22" t="n">
        <v>3</v>
      </c>
      <c r="C1357" s="23" t="inlineStr">
        <is>
          <t>MD-KEL-12 / Station</t>
        </is>
      </c>
      <c r="D1357" s="23" t="inlineStr">
        <is>
          <t>MD-KEL-12</t>
        </is>
      </c>
      <c r="E1357" s="24" t="inlineStr">
        <is>
          <t>Station</t>
        </is>
      </c>
      <c r="F1357" s="5" t="inlineStr">
        <is>
          <t>Master Data (MD-)</t>
        </is>
      </c>
      <c r="G1357" s="24" t="inlineStr">
        <is>
          <t>Logo mill dapat diunggah dan terlihat</t>
        </is>
      </c>
      <c r="H1357" s="5" t="inlineStr">
        <is>
          <t>ADM</t>
        </is>
      </c>
      <c r="I1357" s="5" t="inlineStr">
        <is>
          <t>berlaku untuk Business Unit</t>
        </is>
      </c>
      <c r="J1357" s="5" t="inlineStr">
        <is>
          <t>1. Login di web, lalu sidebar &gt; Kelola Station (/master-data/stations) untuk Business Unit sebagai ADM. Tekan Edit pada satu mill.
2. Unggah satu berkas gambar (PNG atau JPG) sebagai logo. Tekan Simpan.
3. Buka kembali entri itu dan periksa logonya.
4. Tekan Edit lagi, dan coba unggah berkas yang bukan gambar (mis. .pdf atau .txt).</t>
        </is>
      </c>
      <c r="K1357" s="5" t="inlineStr">
        <is>
          <t>- Logo gambar tersimpan dan terlihat saat entri dibuka kembali.
- Berkas bukan gambar ditolak dengan pesan yang jelas.
- Penolakan itu tidak menghapus logo yang sudah tersimpan sebelumnya.</t>
        </is>
      </c>
      <c r="L1357" s="22" t="inlineStr">
        <is>
          <t>Rendah</t>
        </is>
      </c>
      <c r="M1357" s="5" t="inlineStr"/>
      <c r="N1357" s="17" t="n"/>
      <c r="O1357" s="17" t="n"/>
      <c r="P1357" s="17" t="n"/>
      <c r="Q1357" s="17" t="n"/>
      <c r="R1357" s="17" t="n"/>
    </row>
    <row r="1358" ht="136" customHeight="1">
      <c r="A1358" s="18" t="n">
        <v>1354</v>
      </c>
      <c r="B1358" s="18" t="n">
        <v>3</v>
      </c>
      <c r="C1358" s="19" t="inlineStr">
        <is>
          <t>MD-KEL-12 / Machinery Group</t>
        </is>
      </c>
      <c r="D1358" s="19" t="inlineStr">
        <is>
          <t>MD-KEL-12</t>
        </is>
      </c>
      <c r="E1358" s="20" t="inlineStr">
        <is>
          <t>Machinery Group</t>
        </is>
      </c>
      <c r="F1358" s="21" t="inlineStr">
        <is>
          <t>Master Data (MD-)</t>
        </is>
      </c>
      <c r="G1358" s="20" t="inlineStr">
        <is>
          <t>Logo mill dapat diunggah dan terlihat</t>
        </is>
      </c>
      <c r="H1358" s="21" t="inlineStr">
        <is>
          <t>ADM</t>
        </is>
      </c>
      <c r="I1358" s="21" t="inlineStr">
        <is>
          <t>berlaku untuk Business Unit</t>
        </is>
      </c>
      <c r="J1358" s="21" t="inlineStr">
        <is>
          <t>1. Login di web, lalu sidebar &gt; Kelola Machinery Group (/master-data/machinery-groups) untuk Business Unit sebagai ADM. Tekan Edit pada satu mill.
2. Unggah satu berkas gambar (PNG atau JPG) sebagai logo. Tekan Simpan.
3. Buka kembali entri itu dan periksa logonya.
4. Tekan Edit lagi, dan coba unggah berkas yang bukan gambar (mis. .pdf atau .txt).</t>
        </is>
      </c>
      <c r="K1358" s="21" t="inlineStr">
        <is>
          <t>- Logo gambar tersimpan dan terlihat saat entri dibuka kembali.
- Berkas bukan gambar ditolak dengan pesan yang jelas.
- Penolakan itu tidak menghapus logo yang sudah tersimpan sebelumnya.</t>
        </is>
      </c>
      <c r="L1358" s="18" t="inlineStr">
        <is>
          <t>Rendah</t>
        </is>
      </c>
      <c r="M1358" s="21" t="inlineStr"/>
      <c r="N1358" s="17" t="n"/>
      <c r="O1358" s="17" t="n"/>
      <c r="P1358" s="17" t="n"/>
      <c r="Q1358" s="17" t="n"/>
      <c r="R1358" s="17" t="n"/>
    </row>
    <row r="1359" ht="136" customHeight="1">
      <c r="A1359" s="22" t="n">
        <v>1355</v>
      </c>
      <c r="B1359" s="22" t="n">
        <v>3</v>
      </c>
      <c r="C1359" s="23" t="inlineStr">
        <is>
          <t>MD-KEL-12 / Machinery</t>
        </is>
      </c>
      <c r="D1359" s="23" t="inlineStr">
        <is>
          <t>MD-KEL-12</t>
        </is>
      </c>
      <c r="E1359" s="24" t="inlineStr">
        <is>
          <t>Machinery</t>
        </is>
      </c>
      <c r="F1359" s="5" t="inlineStr">
        <is>
          <t>Master Data (MD-)</t>
        </is>
      </c>
      <c r="G1359" s="24" t="inlineStr">
        <is>
          <t>Logo mill dapat diunggah dan terlihat</t>
        </is>
      </c>
      <c r="H1359" s="5" t="inlineStr">
        <is>
          <t>ADM</t>
        </is>
      </c>
      <c r="I1359" s="5" t="inlineStr">
        <is>
          <t>berlaku untuk Business Unit</t>
        </is>
      </c>
      <c r="J1359" s="5" t="inlineStr">
        <is>
          <t>1. Login di web, lalu sidebar &gt; Kelola Machinery (/master-data/machinery) untuk Business Unit sebagai ADM. Tekan Edit pada satu mill.
2. Unggah satu berkas gambar (PNG atau JPG) sebagai logo. Tekan Simpan.
3. Buka kembali entri itu dan periksa logonya.
4. Tekan Edit lagi, dan coba unggah berkas yang bukan gambar (mis. .pdf atau .txt).</t>
        </is>
      </c>
      <c r="K1359" s="5" t="inlineStr">
        <is>
          <t>- Logo gambar tersimpan dan terlihat saat entri dibuka kembali.
- Berkas bukan gambar ditolak dengan pesan yang jelas.
- Penolakan itu tidak menghapus logo yang sudah tersimpan sebelumnya.</t>
        </is>
      </c>
      <c r="L1359" s="22" t="inlineStr">
        <is>
          <t>Rendah</t>
        </is>
      </c>
      <c r="M1359" s="5" t="inlineStr"/>
      <c r="N1359" s="17" t="n"/>
      <c r="O1359" s="17" t="n"/>
      <c r="P1359" s="17" t="n"/>
      <c r="Q1359" s="17" t="n"/>
      <c r="R1359" s="17" t="n"/>
    </row>
    <row r="1360" ht="122.8" customHeight="1">
      <c r="A1360" s="18" t="n">
        <v>1356</v>
      </c>
      <c r="B1360" s="18" t="n">
        <v>3</v>
      </c>
      <c r="C1360" s="19" t="inlineStr">
        <is>
          <t>MD-KEL-12 / User &amp; Role</t>
        </is>
      </c>
      <c r="D1360" s="19" t="inlineStr">
        <is>
          <t>MD-KEL-12</t>
        </is>
      </c>
      <c r="E1360" s="20" t="inlineStr">
        <is>
          <t>User &amp; Role</t>
        </is>
      </c>
      <c r="F1360" s="21" t="inlineStr">
        <is>
          <t>Master Data (MD-)</t>
        </is>
      </c>
      <c r="G1360" s="20" t="inlineStr">
        <is>
          <t>Logo mill dapat diunggah dan terlihat</t>
        </is>
      </c>
      <c r="H1360" s="21" t="inlineStr">
        <is>
          <t>ADM</t>
        </is>
      </c>
      <c r="I1360" s="21" t="inlineStr">
        <is>
          <t>berlaku untuk Business Unit</t>
        </is>
      </c>
      <c r="J1360" s="21" t="inlineStr">
        <is>
          <t>1. Login di web, lalu sidebar &gt; Kelola User &amp; Role (/master-data/users) untuk Business Unit sebagai ADM. Tekan Edit pada satu mill.
2. Unggah satu berkas gambar (PNG atau JPG) sebagai logo. Tekan Simpan.
3. Buka kembali entri itu dan periksa logonya.
4. Tekan Edit lagi, dan coba unggah berkas yang bukan gambar (mis. .pdf atau .txt).</t>
        </is>
      </c>
      <c r="K1360" s="21" t="inlineStr">
        <is>
          <t>- Logo gambar tersimpan dan terlihat saat entri dibuka kembali.
- Berkas bukan gambar ditolak dengan pesan yang jelas.
- Penolakan itu tidak menghapus logo yang sudah tersimpan sebelumnya.</t>
        </is>
      </c>
      <c r="L1360" s="18" t="inlineStr">
        <is>
          <t>Rendah</t>
        </is>
      </c>
      <c r="M1360" s="21" t="inlineStr"/>
      <c r="N1360" s="17" t="n"/>
      <c r="O1360" s="17" t="n"/>
      <c r="P1360" s="17" t="n"/>
      <c r="Q1360" s="17" t="n"/>
      <c r="R1360" s="17" t="n"/>
    </row>
    <row r="1361" ht="122.8" customHeight="1">
      <c r="A1361" s="11" t="n">
        <v>1357</v>
      </c>
      <c r="B1361" s="12" t="n">
        <v>1</v>
      </c>
      <c r="C1361" s="13" t="inlineStr">
        <is>
          <t>MD-STR-01</t>
        </is>
      </c>
      <c r="D1361" s="13" t="inlineStr">
        <is>
          <t>MD-STR-01</t>
        </is>
      </c>
      <c r="E1361" s="14" t="inlineStr">
        <is>
          <t>—</t>
        </is>
      </c>
      <c r="F1361" s="14" t="inlineStr">
        <is>
          <t>Master Data (MD-)</t>
        </is>
      </c>
      <c r="G1361" s="15" t="inlineStr">
        <is>
          <t>Papan kartu per mill tampil dengan hierarki di atasnya</t>
        </is>
      </c>
      <c r="H1361" s="14" t="inlineStr">
        <is>
          <t>ADM</t>
        </is>
      </c>
      <c r="I1361" s="14" t="inlineStr">
        <is>
          <t>—</t>
        </is>
      </c>
      <c r="J1361" s="14" t="inlineStr">
        <is>
          <t>1. Login di web, lalu sidebar &gt; Struktur Mills (/master-data/tree-view) sebagai ADM.
2. Hitung jumlah kartu dan cocokkan dengan jumlah mill yang ada.
3. Pada satu kartu, baca: baris di atas nama mill, nama mill, kodenya, dan jumlah Production Line.
4. Periksa apakah daftar Production Line tercetak di dalam kartu itu.</t>
        </is>
      </c>
      <c r="K1361" s="14" t="inlineStr">
        <is>
          <t>- Satu kartu per mill.
- Tiap kartu memuat jalur corporate › company di atas nama mill-nya.
- Kode mill dan jumlah Production Line tercetak.
- Daftar Production Line ada di dalam kartu, masing-masing dengan aksinya.</t>
        </is>
      </c>
      <c r="L1361" s="16" t="inlineStr">
        <is>
          <t>Tinggi</t>
        </is>
      </c>
      <c r="M1361" s="14" t="inlineStr"/>
      <c r="N1361" s="17" t="n"/>
      <c r="O1361" s="17" t="n"/>
      <c r="P1361" s="17" t="n"/>
      <c r="Q1361" s="17" t="n"/>
      <c r="R1361" s="17" t="n"/>
    </row>
    <row r="1362" ht="136" customHeight="1">
      <c r="A1362" s="11" t="n">
        <v>1358</v>
      </c>
      <c r="B1362" s="12" t="n">
        <v>1</v>
      </c>
      <c r="C1362" s="13" t="inlineStr">
        <is>
          <t>MD-STR-02</t>
        </is>
      </c>
      <c r="D1362" s="13" t="inlineStr">
        <is>
          <t>MD-STR-02</t>
        </is>
      </c>
      <c r="E1362" s="14" t="inlineStr">
        <is>
          <t>—</t>
        </is>
      </c>
      <c r="F1362" s="14" t="inlineStr">
        <is>
          <t>Master Data (MD-)</t>
        </is>
      </c>
      <c r="G1362" s="15" t="inlineStr">
        <is>
          <t>Keempat tingkat dapat dikelola dari layar ini</t>
        </is>
      </c>
      <c r="H1362" s="14" t="inlineStr">
        <is>
          <t>ADM</t>
        </is>
      </c>
      <c r="I1362" s="14" t="inlineStr">
        <is>
          <t>—</t>
        </is>
      </c>
      <c r="J1362" s="14" t="inlineStr">
        <is>
          <t>1. Login di web, lalu sidebar &gt; Struktur Mills (/master-data/tree-view) sebagai ADM.
2. Tambah satu Corporate dari layar ini, lalu ubah namanya, lalu hapus.
3. Ulangi ketiga aksi untuk Company.
4. Ulangi untuk Business Unit.
5. Ulangi untuk Production Line (lewat tombol di dalam kartu mill).
6. Perhatikan apakah setiap aksi membuka modal atau berpindah layar.</t>
        </is>
      </c>
      <c r="K1362" s="14" t="inlineStr">
        <is>
          <t>- Ketiga aksi (tambah, ubah, hapus) berhasil pada keempat tingkat.
- Semuanya lewat modal — tidak berpindah ke layar lain.
- Sesudah tiap aksi, kartu/daftarnya ikut berubah tanpa muat ulang manual.</t>
        </is>
      </c>
      <c r="L1362" s="16" t="inlineStr">
        <is>
          <t>Tinggi</t>
        </is>
      </c>
      <c r="M1362" s="14" t="inlineStr"/>
      <c r="N1362" s="17" t="n"/>
      <c r="O1362" s="17" t="n"/>
      <c r="P1362" s="17" t="n"/>
      <c r="Q1362" s="17" t="n"/>
      <c r="R1362" s="17" t="n"/>
    </row>
    <row r="1363" ht="96.39999999999999" customHeight="1">
      <c r="A1363" s="11" t="n">
        <v>1359</v>
      </c>
      <c r="B1363" s="12" t="n">
        <v>1</v>
      </c>
      <c r="C1363" s="13" t="inlineStr">
        <is>
          <t>MD-STR-03</t>
        </is>
      </c>
      <c r="D1363" s="13" t="inlineStr">
        <is>
          <t>MD-STR-03</t>
        </is>
      </c>
      <c r="E1363" s="14" t="inlineStr">
        <is>
          <t>—</t>
        </is>
      </c>
      <c r="F1363" s="14" t="inlineStr">
        <is>
          <t>Master Data (MD-)</t>
        </is>
      </c>
      <c r="G1363" s="15" t="inlineStr">
        <is>
          <t>Corporate dan Company tetap terkelola walau tidak punya anak</t>
        </is>
      </c>
      <c r="H1363" s="14" t="inlineStr">
        <is>
          <t>ADM</t>
        </is>
      </c>
      <c r="I1363" s="14" t="inlineStr">
        <is>
          <t>satu Corporate yang belum punya Company</t>
        </is>
      </c>
      <c r="J1363" s="14" t="inlineStr">
        <is>
          <t>1. Sebagai ADM, siapkan satu Corporate yang belum punya Company sama sekali.
2. Login di web, lalu sidebar &gt; Struktur Mills (/master-data/tree-view).
3. Cari Corporate itu di bagian ringkas Corporate/Company.
4. Ubah namanya dari layar ini, lalu Simpan.</t>
        </is>
      </c>
      <c r="K1363" s="14" t="inlineStr">
        <is>
          <t>- Corporate itu tetap muncul di bagian ringkas, meski ia tidak punya mill untuk digambar sebagai kartu.
- Namanya tetap dapat diubah dari layar ini.
- Kartu mill hanya memuat mill; Corporate/Company tanpa anak tidak boleh hilang — kalau hilang, ia tidak dapat dikelola di mana pun.</t>
        </is>
      </c>
      <c r="L1363" s="16" t="inlineStr">
        <is>
          <t>Tinggi</t>
        </is>
      </c>
      <c r="M1363" s="14" t="inlineStr">
        <is>
          <t>kartu mill hanya memuat mill. Corporate/Company tanpa anak tidak boleh hilang dari layar ini, karena kalau hilang ia tidak dapat dikelola di mana pun.</t>
        </is>
      </c>
      <c r="N1363" s="17" t="n"/>
      <c r="O1363" s="17" t="n"/>
      <c r="P1363" s="17" t="n"/>
      <c r="Q1363" s="17" t="n"/>
      <c r="R1363" s="17" t="n"/>
    </row>
    <row r="1364" ht="122.8" customHeight="1">
      <c r="A1364" s="11" t="n">
        <v>1360</v>
      </c>
      <c r="B1364" s="12" t="n">
        <v>1</v>
      </c>
      <c r="C1364" s="13" t="inlineStr">
        <is>
          <t>MD-STR-04</t>
        </is>
      </c>
      <c r="D1364" s="13" t="inlineStr">
        <is>
          <t>MD-STR-04</t>
        </is>
      </c>
      <c r="E1364" s="14" t="inlineStr">
        <is>
          <t>—</t>
        </is>
      </c>
      <c r="F1364" s="14" t="inlineStr">
        <is>
          <t>Master Data (MD-)</t>
        </is>
      </c>
      <c r="G1364" s="15" t="inlineStr">
        <is>
          <t>Pencarian menyaring sebelum paginasi</t>
        </is>
      </c>
      <c r="H1364" s="14" t="inlineStr">
        <is>
          <t>ADM</t>
        </is>
      </c>
      <c r="I1364" s="14" t="inlineStr">
        <is>
          <t>mill lebih dari satu halaman</t>
        </is>
      </c>
      <c r="J1364" s="14" t="inlineStr">
        <is>
          <t>1. Pastikan jumlah mill lebih dari satu halaman.
2. Login di web, lalu sidebar &gt; Struktur Mills (/master-data/tree-view) sebagai ADM. Tanpa mengisi pencarian, buka halaman 2 dan catat satu nama mill di sana.
3. Kembali ke halaman 1.
4. Ketik nama mill dari langkah 2 pada kolom pencarian.</t>
        </is>
      </c>
      <c r="K1364" s="14" t="inlineStr">
        <is>
          <t>- Mill itu ditemukan.
- Pencarian menyaring seluruh data, bukan hanya halaman yang sedang tampil.
- Kalau tidak ditemukan, itu bug: hasil di halaman lain akan terbaca "tidak ada".</t>
        </is>
      </c>
      <c r="L1364" s="16" t="inlineStr">
        <is>
          <t>Tinggi</t>
        </is>
      </c>
      <c r="M1364" s="14" t="inlineStr">
        <is>
          <t>kalau pencarian hanya menyaring halaman aktif, hasil di halaman lain terbaca sebagai "tidak ditemukan" — itu bug.</t>
        </is>
      </c>
      <c r="N1364" s="17" t="n"/>
      <c r="O1364" s="17" t="n"/>
      <c r="P1364" s="17" t="n"/>
      <c r="Q1364" s="17" t="n"/>
      <c r="R1364" s="17" t="n"/>
    </row>
    <row r="1365" ht="96.39999999999999" customHeight="1">
      <c r="A1365" s="11" t="n">
        <v>1361</v>
      </c>
      <c r="B1365" s="12" t="n">
        <v>1</v>
      </c>
      <c r="C1365" s="13" t="inlineStr">
        <is>
          <t>MD-STR-05</t>
        </is>
      </c>
      <c r="D1365" s="13" t="inlineStr">
        <is>
          <t>MD-STR-05</t>
        </is>
      </c>
      <c r="E1365" s="14" t="inlineStr">
        <is>
          <t>—</t>
        </is>
      </c>
      <c r="F1365" s="14" t="inlineStr">
        <is>
          <t>Master Data (MD-)</t>
        </is>
      </c>
      <c r="G1365" s="15" t="inlineStr">
        <is>
          <t>Aturan hapus sama dengan layar Kelola</t>
        </is>
      </c>
      <c r="H1365" s="14" t="inlineStr">
        <is>
          <t>ADM</t>
        </is>
      </c>
      <c r="I1365" s="14" t="inlineStr">
        <is>
          <t>—</t>
        </is>
      </c>
      <c r="J1365" s="14" t="inlineStr">
        <is>
          <t>1. Login di web, lalu sidebar &gt; Struktur Mills (/master-data/tree-view) sebagai ADM.
2. Jalankan seluruh langkah MD-KEL-07 dari layar ini (hapus induk yang masih punya anak).
3. Jalankan seluruh langkah MD-KEL-08 dari layar ini.</t>
        </is>
      </c>
      <c r="K1365" s="14" t="inlineStr">
        <is>
          <t>- Hasilnya sama dengan layar Kelola: penolakan menyebut jumlah penghalangnya.
- Tidak ada penghapusan berantai.
- Penghapusan berhasil hanya setelah anaknya habis.</t>
        </is>
      </c>
      <c r="L1365" s="16" t="inlineStr">
        <is>
          <t>Tinggi</t>
        </is>
      </c>
      <c r="M1365" s="14" t="inlineStr"/>
      <c r="N1365" s="17" t="n"/>
      <c r="O1365" s="17" t="n"/>
      <c r="P1365" s="17" t="n"/>
      <c r="Q1365" s="17" t="n"/>
      <c r="R1365" s="17" t="n"/>
    </row>
    <row r="1366" ht="109.6" customHeight="1">
      <c r="A1366" s="11" t="n">
        <v>1362</v>
      </c>
      <c r="B1366" s="12" t="n">
        <v>1</v>
      </c>
      <c r="C1366" s="13" t="inlineStr">
        <is>
          <t>MD-PRD-01</t>
        </is>
      </c>
      <c r="D1366" s="13" t="inlineStr">
        <is>
          <t>MD-PRD-01</t>
        </is>
      </c>
      <c r="E1366" s="14" t="inlineStr">
        <is>
          <t>—</t>
        </is>
      </c>
      <c r="F1366" s="14" t="inlineStr">
        <is>
          <t>Master Data (MD-)</t>
        </is>
      </c>
      <c r="G1366" s="15" t="inlineStr">
        <is>
          <t>Hanya Admin dapat membuka layar ini</t>
        </is>
      </c>
      <c r="H1366" s="14" t="inlineStr">
        <is>
          <t>SPV-A, MGR-A, ADM</t>
        </is>
      </c>
      <c r="I1366" s="14" t="inlineStr">
        <is>
          <t>—</t>
        </is>
      </c>
      <c r="J1366" s="14" t="inlineStr">
        <is>
          <t>1. Login di web (buka /login, isi username dan password akun pada kolom Peran, tekan Login) sebagai SPV-A. Cari menu Kelola Periode Pelaporan di sidebar.
2. Ketik /master-data/periods langsung di bilah alamat.
3. Logout, ulangi langkah 1–2 sebagai MGR-A.
4. Logout, ulangi sebagai ADM.</t>
        </is>
      </c>
      <c r="K1366" s="14" t="inlineStr">
        <is>
          <t>- SPV-A: menu tidak ada, alamat langsung menjawab 403.
- MGR-A: sama — 403.
- ADM: menu ada dan layarnya terbuka.</t>
        </is>
      </c>
      <c r="L1366" s="16" t="inlineStr">
        <is>
          <t>Tinggi</t>
        </is>
      </c>
      <c r="M1366" s="14" t="inlineStr"/>
      <c r="N1366" s="17" t="n"/>
      <c r="O1366" s="17" t="n"/>
      <c r="P1366" s="17" t="n"/>
      <c r="Q1366" s="17" t="n"/>
      <c r="R1366" s="17" t="n"/>
    </row>
    <row r="1367" ht="136" customHeight="1">
      <c r="A1367" s="11" t="n">
        <v>1363</v>
      </c>
      <c r="B1367" s="12" t="n">
        <v>1</v>
      </c>
      <c r="C1367" s="13" t="inlineStr">
        <is>
          <t>MD-PRD-02</t>
        </is>
      </c>
      <c r="D1367" s="13" t="inlineStr">
        <is>
          <t>MD-PRD-02</t>
        </is>
      </c>
      <c r="E1367" s="14" t="inlineStr">
        <is>
          <t>—</t>
        </is>
      </c>
      <c r="F1367" s="14" t="inlineStr">
        <is>
          <t>Master Data (MD-)</t>
        </is>
      </c>
      <c r="G1367" s="15" t="inlineStr">
        <is>
          <t>Panel "Periode Terbuka Hari Ini" memakai syarat gabungan</t>
        </is>
      </c>
      <c r="H1367" s="14" t="inlineStr">
        <is>
          <t>ADM</t>
        </is>
      </c>
      <c r="I1367" s="14" t="inlineStr">
        <is>
          <t>(a) periode yang punya stasiun Terbuka dan mencakup hari ini; (b) periode yang punya stasiun Terbuka tapi tidak mencakup hari ini</t>
        </is>
      </c>
      <c r="J1367" s="14" t="inlineStr">
        <is>
          <t>1. Sebagai ADM, siapkan: (a) periode yang punya stasiun Terbuka dan rentangnya mencakup hari ini; (b) periode yang punya stasiun Terbuka tapi rentangnya tidak mencakup hari ini.
2. Login di web, lalu sidebar &gt; Kelola Periode Pelaporan (/master-data/periods).
3. Baca panel Periode Terbuka Hari Ini.
4. Periksa apakah (a) ada di panel itu, dan apakah (b) ada.</t>
        </is>
      </c>
      <c r="K1367" s="14" t="inlineStr">
        <is>
          <t>- Hanya (a) yang muncul di panel.
- (b) tidak muncul — tanggal hari ini adalah bagian dari syaratnya, bukan sekadar penanda.
- Keduanya tetap terlihat di daftar periode utama di bawahnya.</t>
        </is>
      </c>
      <c r="L1367" s="11" t="inlineStr">
        <is>
          <t>Sedang</t>
        </is>
      </c>
      <c r="M1367" s="14" t="inlineStr"/>
      <c r="N1367" s="17" t="n"/>
      <c r="O1367" s="17" t="n"/>
      <c r="P1367" s="17" t="n"/>
      <c r="Q1367" s="17" t="n"/>
      <c r="R1367" s="17" t="n"/>
    </row>
    <row r="1368" ht="109.6" customHeight="1">
      <c r="A1368" s="11" t="n">
        <v>1364</v>
      </c>
      <c r="B1368" s="12" t="n">
        <v>1</v>
      </c>
      <c r="C1368" s="13" t="inlineStr">
        <is>
          <t>MD-PRD-03</t>
        </is>
      </c>
      <c r="D1368" s="13" t="inlineStr">
        <is>
          <t>MD-PRD-03</t>
        </is>
      </c>
      <c r="E1368" s="14" t="inlineStr">
        <is>
          <t>—</t>
        </is>
      </c>
      <c r="F1368" s="14" t="inlineStr">
        <is>
          <t>Master Data (MD-)</t>
        </is>
      </c>
      <c r="G1368" s="15" t="inlineStr">
        <is>
          <t>Mill tanpa periode yang memenuhi syarat tetap punya kartu, dalam keadaan redup</t>
        </is>
      </c>
      <c r="H1368" s="14" t="inlineStr">
        <is>
          <t>ADM</t>
        </is>
      </c>
      <c r="I1368" s="14" t="inlineStr">
        <is>
          <t>satu mill tanpa periode terbuka hari ini</t>
        </is>
      </c>
      <c r="J1368" s="14" t="inlineStr">
        <is>
          <t>1. Sebagai ADM, pastikan ada satu mill yang tidak punya periode terbuka hari ini.
2. Login di web, lalu sidebar &gt; Kelola Periode Pelaporan (/master-data/periods).
3. Baca panel Periode Terbuka Hari Ini dan cari kartu mill itu.
4. Perhatikan tampilannya dibanding kartu mill yang punya periode terbuka.</t>
        </is>
      </c>
      <c r="K1368" s="14" t="inlineStr">
        <is>
          <t>- Mill itu tetap punya kartu, tampil redup.
- Ia tidak disembunyikan — ketiadaan periode adalah informasi, bukan alasan menghilangkan mill.
- Ada keterangan pada kartu itu bahwa belum ada periode terbuka hari ini.</t>
        </is>
      </c>
      <c r="L1368" s="11" t="inlineStr">
        <is>
          <t>Sedang</t>
        </is>
      </c>
      <c r="M1368" s="14" t="inlineStr"/>
      <c r="N1368" s="17" t="n"/>
      <c r="O1368" s="17" t="n"/>
      <c r="P1368" s="17" t="n"/>
      <c r="Q1368" s="17" t="n"/>
      <c r="R1368" s="17" t="n"/>
    </row>
    <row r="1369" ht="162.4" customHeight="1">
      <c r="A1369" s="11" t="n">
        <v>1365</v>
      </c>
      <c r="B1369" s="12" t="n">
        <v>1</v>
      </c>
      <c r="C1369" s="13" t="inlineStr">
        <is>
          <t>MD-PRD-04</t>
        </is>
      </c>
      <c r="D1369" s="13" t="inlineStr">
        <is>
          <t>MD-PRD-04</t>
        </is>
      </c>
      <c r="E1369" s="14" t="inlineStr">
        <is>
          <t>—</t>
        </is>
      </c>
      <c r="F1369" s="14" t="inlineStr">
        <is>
          <t>Master Data (MD-)</t>
        </is>
      </c>
      <c r="G1369" s="15" t="inlineStr">
        <is>
          <t>Hitungan pada kartu adalah stasiun Terbuka dibanding seluruh stasiun periode</t>
        </is>
      </c>
      <c r="H1369" s="14" t="inlineStr">
        <is>
          <t>ADM</t>
        </is>
      </c>
      <c r="I1369" s="14" t="inlineStr">
        <is>
          <t>periode dengan sebagian stasiun Terbuka dan sebagian Tertutup</t>
        </is>
      </c>
      <c r="J1369" s="14" t="inlineStr">
        <is>
          <t>1. Sebagai ADM, siapkan satu periode dengan sebagian stasiunnya Terbuka dan sebagian Tertutup.
2. Login di web, lalu sidebar &gt; Kelola Periode Pelaporan (/master-data/periods). Baca angka pada kartu mill itu di panel atas.
3. Buka Detail Periode itu (/master-data/periods/&lt;id&gt;).
4. Hitung sendiri: berapa stasiun berstatus Terbuka, dan berapa seluruh stasiun periode itu.
5. Bandingkan dengan angka di kartu.</t>
        </is>
      </c>
      <c r="K1369" s="14" t="inlineStr">
        <is>
          <t>- Angka pada kartu adalah stasiun Terbuka dibanding seluruh stasiun periode itu.
- Angkanya cocok dengan hitungan manual dari Detail Periode.
- Penyebutnya bukan 18 dan bukan jumlah stasiun mill — tapi jumlah stasiun pada periode itu.</t>
        </is>
      </c>
      <c r="L1369" s="11" t="inlineStr">
        <is>
          <t>Sedang</t>
        </is>
      </c>
      <c r="M1369" s="14" t="inlineStr"/>
      <c r="N1369" s="17" t="n"/>
      <c r="O1369" s="17" t="n"/>
      <c r="P1369" s="17" t="n"/>
      <c r="Q1369" s="17" t="n"/>
      <c r="R1369" s="17" t="n"/>
    </row>
    <row r="1370" ht="83.19999999999999" customHeight="1">
      <c r="A1370" s="11" t="n">
        <v>1366</v>
      </c>
      <c r="B1370" s="12" t="n">
        <v>1</v>
      </c>
      <c r="C1370" s="13" t="inlineStr">
        <is>
          <t>MD-PRD-05</t>
        </is>
      </c>
      <c r="D1370" s="13" t="inlineStr">
        <is>
          <t>MD-PRD-05</t>
        </is>
      </c>
      <c r="E1370" s="14" t="inlineStr">
        <is>
          <t>—</t>
        </is>
      </c>
      <c r="F1370" s="14" t="inlineStr">
        <is>
          <t>Master Data (MD-)</t>
        </is>
      </c>
      <c r="G1370" s="15" t="inlineStr">
        <is>
          <t>Mill wajib dipilih saat membuat periode</t>
        </is>
      </c>
      <c r="H1370" s="14" t="inlineStr">
        <is>
          <t>ADM</t>
        </is>
      </c>
      <c r="I1370" s="14" t="inlineStr">
        <is>
          <t>—</t>
        </is>
      </c>
      <c r="J1370" s="14" t="inlineStr">
        <is>
          <t>1. Login di web, lalu sidebar &gt; Kelola Periode Pelaporan (/master-data/periods) sebagai ADM. Tekan Tambah Periode.
2. Isi nama, tanggal mulai, dan tanggal selesai — tapi jangan pilih Business Unit.
3. Tekan Simpan.</t>
        </is>
      </c>
      <c r="K1370" s="14" t="inlineStr">
        <is>
          <t>- Ditolak dengan pesan yang menunjuk kolom mill / Business Unit.
- Periode tidak tersimpan.
- Isi kolom lain tidak hilang.</t>
        </is>
      </c>
      <c r="L1370" s="16" t="inlineStr">
        <is>
          <t>Tinggi</t>
        </is>
      </c>
      <c r="M1370" s="14" t="inlineStr"/>
      <c r="N1370" s="17" t="n"/>
      <c r="O1370" s="17" t="n"/>
      <c r="P1370" s="17" t="n"/>
      <c r="Q1370" s="17" t="n"/>
      <c r="R1370" s="17" t="n"/>
    </row>
    <row r="1371" ht="122.8" customHeight="1">
      <c r="A1371" s="11" t="n">
        <v>1367</v>
      </c>
      <c r="B1371" s="12" t="n">
        <v>1</v>
      </c>
      <c r="C1371" s="13" t="inlineStr">
        <is>
          <t>MD-PRD-06</t>
        </is>
      </c>
      <c r="D1371" s="13" t="inlineStr">
        <is>
          <t>MD-PRD-06</t>
        </is>
      </c>
      <c r="E1371" s="14" t="inlineStr">
        <is>
          <t>—</t>
        </is>
      </c>
      <c r="F1371" s="14" t="inlineStr">
        <is>
          <t>Master Data (MD-)</t>
        </is>
      </c>
      <c r="G1371" s="15" t="inlineStr">
        <is>
          <t>Periode tumpang tindih pada satu mill ditolak</t>
        </is>
      </c>
      <c r="H1371" s="14" t="inlineStr">
        <is>
          <t>ADM</t>
        </is>
      </c>
      <c r="I1371" s="14" t="inlineStr">
        <is>
          <t>sudah ada periode 1–31 Oktober pada Mill A</t>
        </is>
      </c>
      <c r="J1371" s="14" t="inlineStr">
        <is>
          <t>1. Sebagai ADM, pastikan Mill A sudah punya periode 1–31 Oktober.
2. Login di web, lalu sidebar &gt; Kelola Periode Pelaporan (/master-data/periods) → Tambah Periode. Pilih Mill A, rentang 15 Okt – 15 Nov. Simpan.
3. Baca pesannya.
4. Ulangi dengan rentang yang sama tetapi pada Mill B. Simpan.</t>
        </is>
      </c>
      <c r="K1371" s="14" t="inlineStr">
        <is>
          <t>- Langkah 2 ditolak, dengan pesan yang menyebut tumpang tindih dengan periode yang sudah ada.
- Langkah 4 berhasil — tumpang tindih hanya dilarang dalam satu mill yang sama.</t>
        </is>
      </c>
      <c r="L1371" s="16" t="inlineStr">
        <is>
          <t>Tinggi</t>
        </is>
      </c>
      <c r="M1371" s="14" t="inlineStr"/>
      <c r="N1371" s="17" t="n"/>
      <c r="O1371" s="17" t="n"/>
      <c r="P1371" s="17" t="n"/>
      <c r="Q1371" s="17" t="n"/>
      <c r="R1371" s="17" t="n"/>
    </row>
    <row r="1372" ht="122.8" customHeight="1">
      <c r="A1372" s="11" t="n">
        <v>1368</v>
      </c>
      <c r="B1372" s="12" t="n">
        <v>1</v>
      </c>
      <c r="C1372" s="13" t="inlineStr">
        <is>
          <t>MD-PRD-07</t>
        </is>
      </c>
      <c r="D1372" s="13" t="inlineStr">
        <is>
          <t>MD-PRD-07</t>
        </is>
      </c>
      <c r="E1372" s="14" t="inlineStr">
        <is>
          <t>—</t>
        </is>
      </c>
      <c r="F1372" s="14" t="inlineStr">
        <is>
          <t>Master Data (MD-)</t>
        </is>
      </c>
      <c r="G1372" s="15" t="inlineStr">
        <is>
          <t>Periode tidak memilih jenis stasiun; daftarnya diturunkan sistem</t>
        </is>
      </c>
      <c r="H1372" s="14" t="inlineStr">
        <is>
          <t>ADM</t>
        </is>
      </c>
      <c r="I1372" s="14" t="inlineStr">
        <is>
          <t>—</t>
        </is>
      </c>
      <c r="J1372" s="14" t="inlineStr">
        <is>
          <t>1. Login di web, lalu sidebar &gt; Kelola Periode Pelaporan (/master-data/periods) sebagai ADM. Tekan Tambah Periode.
2. Baca seluruh kolom pada form: apakah ada pilihan jenis stasiun?
3. Isi dan Simpan.
4. Buka Detail Periode yang baru dibuat itu.
5. Baca daftar stasiunnya dan bandingkan dengan stasiun yang ada di mill tersebut.</t>
        </is>
      </c>
      <c r="K1372" s="14" t="inlineStr">
        <is>
          <t>- Saat membuat, tidak ada pilihan jenis stasiun sama sekali.
- Di Detail, daftar stasiunnya sudah terisi sesuai stasiun yang ada di mill itu — diturunkan sistem.
- Setiap stasiun pada daftar itu punya statusnya sendiri (draft/terbuka/tertutup).</t>
        </is>
      </c>
      <c r="L1372" s="11" t="inlineStr">
        <is>
          <t>Sedang</t>
        </is>
      </c>
      <c r="M1372" s="14" t="inlineStr"/>
      <c r="N1372" s="17" t="n"/>
      <c r="O1372" s="17" t="n"/>
      <c r="P1372" s="17" t="n"/>
      <c r="Q1372" s="17" t="n"/>
      <c r="R1372" s="17" t="n"/>
    </row>
    <row r="1373" ht="122.8" customHeight="1">
      <c r="A1373" s="11" t="n">
        <v>1369</v>
      </c>
      <c r="B1373" s="12" t="n">
        <v>1</v>
      </c>
      <c r="C1373" s="13" t="inlineStr">
        <is>
          <t>MD-PRD-08</t>
        </is>
      </c>
      <c r="D1373" s="13" t="inlineStr">
        <is>
          <t>MD-PRD-08</t>
        </is>
      </c>
      <c r="E1373" s="14" t="inlineStr">
        <is>
          <t>—</t>
        </is>
      </c>
      <c r="F1373" s="14" t="inlineStr">
        <is>
          <t>Master Data (MD-)</t>
        </is>
      </c>
      <c r="G1373" s="15" t="inlineStr">
        <is>
          <t>Tanggal akhir tidak boleh sebelum tanggal mulai</t>
        </is>
      </c>
      <c r="H1373" s="14" t="inlineStr">
        <is>
          <t>ADM</t>
        </is>
      </c>
      <c r="I1373" s="14" t="inlineStr">
        <is>
          <t>—</t>
        </is>
      </c>
      <c r="J1373" s="14" t="inlineStr">
        <is>
          <t>1. Login di web, lalu sidebar &gt; Kelola Periode Pelaporan (/master-data/periods) sebagai ADM. Tekan Tambah Periode.
2. Isi tanggal mulai = hari ini.
3. Isi tanggal selesai = 7 hari sebelum hari ini.
4. Tekan Simpan. Catat letak pesannya.
5. Coba juga tanggal selesai = sama dengan tanggal mulai.</t>
        </is>
      </c>
      <c r="K1373" s="14" t="inlineStr">
        <is>
          <t>- Tanggal selesai lebih awal ditolak, dengan pesan yang menyebut rentangnya, muncul di sebelah kolom Tanggal Selesai.
- Periode tidak tersimpan.
- Tanggal selesai sama dengan tanggal mulai: catat perilakunya apa adanya (periode satu hari).</t>
        </is>
      </c>
      <c r="L1373" s="16" t="inlineStr">
        <is>
          <t>Tinggi</t>
        </is>
      </c>
      <c r="M1373" s="14" t="inlineStr"/>
      <c r="N1373" s="17" t="n"/>
      <c r="O1373" s="17" t="n"/>
      <c r="P1373" s="17" t="n"/>
      <c r="Q1373" s="17" t="n"/>
      <c r="R1373" s="17" t="n"/>
    </row>
    <row r="1374" ht="136" customHeight="1">
      <c r="A1374" s="11" t="n">
        <v>1370</v>
      </c>
      <c r="B1374" s="12" t="n">
        <v>1</v>
      </c>
      <c r="C1374" s="13" t="inlineStr">
        <is>
          <t>MD-PRD-09</t>
        </is>
      </c>
      <c r="D1374" s="13" t="inlineStr">
        <is>
          <t>MD-PRD-09</t>
        </is>
      </c>
      <c r="E1374" s="14" t="inlineStr">
        <is>
          <t>—</t>
        </is>
      </c>
      <c r="F1374" s="14" t="inlineStr">
        <is>
          <t>Master Data (MD-)</t>
        </is>
      </c>
      <c r="G1374" s="15" t="inlineStr">
        <is>
          <t>Tutup dan Buka periode hanya oleh Admin, dan statusnya berpengaruh</t>
        </is>
      </c>
      <c r="H1374" s="14" t="inlineStr">
        <is>
          <t>ADM, lalu SPV-A</t>
        </is>
      </c>
      <c r="I1374" s="14" t="inlineStr">
        <is>
          <t>—</t>
        </is>
      </c>
      <c r="J1374" s="14" t="inlineStr">
        <is>
          <t>1. Jalankan seluruh langkah LS-10 sebagai ADM (tutup → coba input → buka kembali → coba input).
2. Login di web, lalu sidebar &gt; Kelola Periode Pelaporan (/master-data/periods) sebagai SPV-A — atau, bila 403 menghalangi, periksa dari Detail Periode bila dapat diakses.
3. Cari aksi Tutup Periode dan Buka Periode sebagai SPV-A.
4. Ulangi pencarian itu sebagai MGR-A.</t>
        </is>
      </c>
      <c r="K1374" s="14" t="inlineStr">
        <is>
          <t>- Hasil LS-10 terpenuhi: status periode benar-benar mengunci dan membuka input.
- SPV-A dan MGR-A tidak punya aksi tutup/buka sama sekali — bukan hanya tombolnya kelabu, tapi memang tidak ada.
- Hanya ADM yang dapat melakukannya.</t>
        </is>
      </c>
      <c r="L1374" s="16" t="inlineStr">
        <is>
          <t>Tinggi</t>
        </is>
      </c>
      <c r="M1374" s="14" t="inlineStr"/>
      <c r="N1374" s="17" t="n"/>
      <c r="O1374" s="17" t="n"/>
      <c r="P1374" s="17" t="n"/>
      <c r="Q1374" s="17" t="n"/>
      <c r="R1374" s="17" t="n"/>
    </row>
    <row r="1375" ht="122.8" customHeight="1">
      <c r="A1375" s="11" t="n">
        <v>1371</v>
      </c>
      <c r="B1375" s="12" t="n">
        <v>1</v>
      </c>
      <c r="C1375" s="13" t="inlineStr">
        <is>
          <t>MD-PRD-10</t>
        </is>
      </c>
      <c r="D1375" s="13" t="inlineStr">
        <is>
          <t>MD-PRD-10</t>
        </is>
      </c>
      <c r="E1375" s="14" t="inlineStr">
        <is>
          <t>—</t>
        </is>
      </c>
      <c r="F1375" s="14" t="inlineStr">
        <is>
          <t>Master Data (MD-)</t>
        </is>
      </c>
      <c r="G1375" s="15" t="inlineStr">
        <is>
          <t>Hapus periode yang sudah punya record ditolak</t>
        </is>
      </c>
      <c r="H1375" s="14" t="inlineStr">
        <is>
          <t>ADM</t>
        </is>
      </c>
      <c r="I1375" s="14" t="inlineStr">
        <is>
          <t>periode yang sudah membingkai record stasiun</t>
        </is>
      </c>
      <c r="J1375" s="14" t="inlineStr">
        <is>
          <t>1. Sebagai ADM, siapkan satu periode yang sudah membingkai record stasiun (ada record bertanggal di dalam rentangnya).
2. Login di web, lalu sidebar &gt; Kelola Periode Pelaporan (/master-data/periods). Coba Hapus periode itu.
3. Baca pesannya.
4. Periksa daftar periode, lalu periksa record stasiunnya di Data Browser.</t>
        </is>
      </c>
      <c r="K1375" s="14" t="inlineStr">
        <is>
          <t>- Ditolak dengan pesan yang menyebut sebabnya (masih punya record).
- Periode tidak terhapus.
- Record stasiunnya tidak terhapus — tidak ada penghapusan berantai.</t>
        </is>
      </c>
      <c r="L1375" s="16" t="inlineStr">
        <is>
          <t>Tinggi</t>
        </is>
      </c>
      <c r="M1375" s="14" t="inlineStr"/>
      <c r="N1375" s="17" t="n"/>
      <c r="O1375" s="17" t="n"/>
      <c r="P1375" s="17" t="n"/>
      <c r="Q1375" s="17" t="n"/>
      <c r="R1375" s="17" t="n"/>
    </row>
    <row r="1376" ht="109.6" customHeight="1">
      <c r="A1376" s="11" t="n">
        <v>1372</v>
      </c>
      <c r="B1376" s="12" t="n">
        <v>1</v>
      </c>
      <c r="C1376" s="13" t="inlineStr">
        <is>
          <t>MD-PRD-11</t>
        </is>
      </c>
      <c r="D1376" s="13" t="inlineStr">
        <is>
          <t>MD-PRD-11</t>
        </is>
      </c>
      <c r="E1376" s="14" t="inlineStr">
        <is>
          <t>—</t>
        </is>
      </c>
      <c r="F1376" s="14" t="inlineStr">
        <is>
          <t>Master Data (MD-)</t>
        </is>
      </c>
      <c r="G1376" s="15" t="inlineStr">
        <is>
          <t>Filter dan paginasi daftar periode</t>
        </is>
      </c>
      <c r="H1376" s="14" t="inlineStr">
        <is>
          <t>ADM</t>
        </is>
      </c>
      <c r="I1376" s="14" t="inlineStr">
        <is>
          <t>—</t>
        </is>
      </c>
      <c r="J1376" s="14" t="inlineStr">
        <is>
          <t>1. Login di web, lalu sidebar &gt; Kelola Periode Pelaporan (/master-data/periods) sebagai ADM.
2. Jalankan seluruh langkah MD-KEL-10 pada daftar periode: cari kata kunci yang hasilnya lebih dari satu halaman, lalu buka halaman 2.
3. Periksa setiap baris halaman 2.</t>
        </is>
      </c>
      <c r="K1376" s="14" t="inlineStr">
        <is>
          <t>- Hasilnya sama dengan MD-KEL-10: seluruh baris halaman 2 masih cocok dengan filternya.
- Jumlah total hasil tidak berubah antar halaman.</t>
        </is>
      </c>
      <c r="L1376" s="11" t="inlineStr">
        <is>
          <t>Sedang</t>
        </is>
      </c>
      <c r="M1376" s="14" t="inlineStr"/>
      <c r="N1376" s="17" t="n"/>
      <c r="O1376" s="17" t="n"/>
      <c r="P1376" s="17" t="n"/>
      <c r="Q1376" s="17" t="n"/>
      <c r="R1376" s="17" t="n"/>
    </row>
    <row r="1377" ht="149.2" customHeight="1">
      <c r="A1377" s="11" t="n">
        <v>1373</v>
      </c>
      <c r="B1377" s="12" t="n">
        <v>1</v>
      </c>
      <c r="C1377" s="13" t="inlineStr">
        <is>
          <t>AD-01</t>
        </is>
      </c>
      <c r="D1377" s="13" t="inlineStr">
        <is>
          <t>AD-01</t>
        </is>
      </c>
      <c r="E1377" s="14" t="inlineStr">
        <is>
          <t>—</t>
        </is>
      </c>
      <c r="F1377" s="14" t="inlineStr">
        <is>
          <t>User &amp; Role, Pengaturan Mill (AD-)</t>
        </is>
      </c>
      <c r="G1377" s="15" t="inlineStr">
        <is>
          <t>Tambah user dengan peran dan mill</t>
        </is>
      </c>
      <c r="H1377" s="14" t="inlineStr">
        <is>
          <t>ADM</t>
        </is>
      </c>
      <c r="I1377" s="14" t="inlineStr">
        <is>
          <t>—</t>
        </is>
      </c>
      <c r="J1377" s="14" t="inlineStr">
        <is>
          <t>1. Login di web, lalu sidebar &gt; Kelola User &amp; Role (/users) sebagai ADM. Tekan Tambah.
2. Isi username, nama, peran Supervisor, mill, dan password. Tekan Simpan.
3. Periksa entri itu muncul di daftar.
4. Logout.
5. Login di web (buka /login, isi username dan password akun pada kolom Peran, tekan Login) dengan akun baru itu.
6. Baca seluruh isi sidebar dan bandingkan dengan kolom Supervisor pada matriks 1.3.</t>
        </is>
      </c>
      <c r="K1377" s="14" t="inlineStr">
        <is>
          <t>- User tersimpan dan muncul di daftar.
- Akun baru itu berhasil login — kasus ini tidak selesai saat datanya tersimpan.
- Sidebar memuat tepat menu yang bertanda ✓ untuk Supervisor di matriks 1.3.
- User yang tersimpan tetapi tidak bisa masuk adalah bug yang hanya terlihat bila langkah 5 benar-benar dijalankan.</t>
        </is>
      </c>
      <c r="L1377" s="16" t="inlineStr">
        <is>
          <t>Tinggi</t>
        </is>
      </c>
      <c r="M1377" s="14" t="inlineStr"/>
      <c r="N1377" s="17" t="n"/>
      <c r="O1377" s="17" t="n"/>
      <c r="P1377" s="17" t="n"/>
      <c r="Q1377" s="17" t="n"/>
      <c r="R1377" s="17" t="n"/>
    </row>
    <row r="1378" ht="122.8" customHeight="1">
      <c r="A1378" s="11" t="n">
        <v>1374</v>
      </c>
      <c r="B1378" s="12" t="n">
        <v>1</v>
      </c>
      <c r="C1378" s="13" t="inlineStr">
        <is>
          <t>AD-02</t>
        </is>
      </c>
      <c r="D1378" s="13" t="inlineStr">
        <is>
          <t>AD-02</t>
        </is>
      </c>
      <c r="E1378" s="14" t="inlineStr">
        <is>
          <t>—</t>
        </is>
      </c>
      <c r="F1378" s="14" t="inlineStr">
        <is>
          <t>User &amp; Role, Pengaturan Mill (AD-)</t>
        </is>
      </c>
      <c r="G1378" s="15" t="inlineStr">
        <is>
          <t>Username kembar ditolak</t>
        </is>
      </c>
      <c r="H1378" s="14" t="inlineStr">
        <is>
          <t>ADM</t>
        </is>
      </c>
      <c r="I1378" s="14" t="inlineStr">
        <is>
          <t>—</t>
        </is>
      </c>
      <c r="J1378" s="14" t="inlineStr">
        <is>
          <t>1. Login di web, lalu sidebar &gt; Kelola User &amp; Role (/users) sebagai ADM. Catat satu username yang sudah ada, mis. supervisor01.
2. Tekan Tambah, isi username persis sama, lengkapi kolom lain, Simpan.
3. Tekan Tambah lagi, isi username yang sama dengan huruf besar semua, Simpan.
4. Ulangi dengan spasi di depan/belakang username itu.</t>
        </is>
      </c>
      <c r="K1378" s="14" t="inlineStr">
        <is>
          <t>- Ketiganya ditolak.
- Pesannya menyebut bahwa username sudah dipakai.
- Tidak ada user ganda yang tercipta.</t>
        </is>
      </c>
      <c r="L1378" s="16" t="inlineStr">
        <is>
          <t>Tinggi</t>
        </is>
      </c>
      <c r="M1378" s="14" t="inlineStr"/>
      <c r="N1378" s="17" t="n"/>
      <c r="O1378" s="17" t="n"/>
      <c r="P1378" s="17" t="n"/>
      <c r="Q1378" s="17" t="n"/>
      <c r="R1378" s="17" t="n"/>
    </row>
    <row r="1379" ht="96.39999999999999" customHeight="1">
      <c r="A1379" s="11" t="n">
        <v>1375</v>
      </c>
      <c r="B1379" s="12" t="n">
        <v>1</v>
      </c>
      <c r="C1379" s="13" t="inlineStr">
        <is>
          <t>AD-03</t>
        </is>
      </c>
      <c r="D1379" s="13" t="inlineStr">
        <is>
          <t>AD-03</t>
        </is>
      </c>
      <c r="E1379" s="14" t="inlineStr">
        <is>
          <t>—</t>
        </is>
      </c>
      <c r="F1379" s="14" t="inlineStr">
        <is>
          <t>User &amp; Role, Pengaturan Mill (AD-)</t>
        </is>
      </c>
      <c r="G1379" s="15" t="inlineStr">
        <is>
          <t>Peran terikat mill wajib punya mill</t>
        </is>
      </c>
      <c r="H1379" s="14" t="inlineStr">
        <is>
          <t>ADM</t>
        </is>
      </c>
      <c r="I1379" s="14" t="inlineStr">
        <is>
          <t>—</t>
        </is>
      </c>
      <c r="J1379" s="14" t="inlineStr">
        <is>
          <t>1. Login di web, lalu sidebar &gt; Kelola User &amp; Role (/users) sebagai ADM. Tekan Tambah.
2. Isi username, nama, password, dan peran Supervisor — tapi jangan pilih mill. Simpan.
3. Baca pesannya dan letaknya.
4. Ulangi: isi semuanya dengan peran Admin, dan tetap jangan pilih mill. Simpan.</t>
        </is>
      </c>
      <c r="K1379" s="14" t="inlineStr">
        <is>
          <t>- Langkah 2 ditolak, dengan pesan yang menunjuk kolom mill.
- Langkah 4 berhasil — Admin memang tidak terikat satu mill.
- Kalau Admin juga ditolak, itu temuan: ia akan membuat Admin mustahil dibuat.</t>
        </is>
      </c>
      <c r="L1379" s="16" t="inlineStr">
        <is>
          <t>Tinggi</t>
        </is>
      </c>
      <c r="M1379" s="14" t="inlineStr"/>
      <c r="N1379" s="17" t="n"/>
      <c r="O1379" s="17" t="n"/>
      <c r="P1379" s="17" t="n"/>
      <c r="Q1379" s="17" t="n"/>
      <c r="R1379" s="17" t="n"/>
    </row>
    <row r="1380" ht="215.2" customHeight="1">
      <c r="A1380" s="11" t="n">
        <v>1376</v>
      </c>
      <c r="B1380" s="12" t="n">
        <v>1</v>
      </c>
      <c r="C1380" s="13" t="inlineStr">
        <is>
          <t>AD-04</t>
        </is>
      </c>
      <c r="D1380" s="13" t="inlineStr">
        <is>
          <t>AD-04</t>
        </is>
      </c>
      <c r="E1380" s="14" t="inlineStr">
        <is>
          <t>—</t>
        </is>
      </c>
      <c r="F1380" s="14" t="inlineStr">
        <is>
          <t>User &amp; Role, Pengaturan Mill (AD-)</t>
        </is>
      </c>
      <c r="G1380" s="15" t="inlineStr">
        <is>
          <t>Ubah peran langsung mengubah menu yang terlihat</t>
        </is>
      </c>
      <c r="H1380" s="14" t="inlineStr">
        <is>
          <t>ADM + akun uji</t>
        </is>
      </c>
      <c r="I1380" s="14" t="inlineStr">
        <is>
          <t>—</t>
        </is>
      </c>
      <c r="J1380" s="14" t="inlineStr">
        <is>
          <t>1. Login di web, lalu sidebar &gt; Kelola User &amp; Role (/users) sebagai ADM. Pilih satu user berperan Supervisor.
2. Tekan Edit, ubah perannya menjadi Mill Management, Simpan.
3. Logout. Login di web (buka /login, isi username dan password akun pada kolom Peran, tekan Login) sebagai user itu.
4. Baca seluruh isi sidebar dan bandingkan dengan kolom Mill Management pada matriks 1.3.
5. Buka satu record stasiun lewat Login di web, buka satu record &lt;Stasiun&gt;, lalu tekan Edit (/data/&lt;stasiun&gt;/&lt;id&gt;/edit). Coba isi Checked By.
6. Coba isi Acknowledged By.</t>
        </is>
      </c>
      <c r="K1380" s="14" t="inlineStr">
        <is>
          <t>- Sidebar berubah sesuai peran baru — mis. Laporan Manajemen kini muncul.
- Checked By kini tidak bisa diisi.
- Acknowledged By kini bisa diisi.
- Perubahan peran berlaku tanpa perlu membuat akun baru.</t>
        </is>
      </c>
      <c r="L1380" s="16" t="inlineStr">
        <is>
          <t>Tinggi</t>
        </is>
      </c>
      <c r="M1380" s="14" t="inlineStr"/>
      <c r="N1380" s="17" t="n"/>
      <c r="O1380" s="17" t="n"/>
      <c r="P1380" s="17" t="n"/>
      <c r="Q1380" s="17" t="n"/>
      <c r="R1380" s="17" t="n"/>
    </row>
    <row r="1381" ht="70" customHeight="1">
      <c r="A1381" s="11" t="n">
        <v>1377</v>
      </c>
      <c r="B1381" s="12" t="n">
        <v>1</v>
      </c>
      <c r="C1381" s="13" t="inlineStr">
        <is>
          <t>AD-05</t>
        </is>
      </c>
      <c r="D1381" s="13" t="inlineStr">
        <is>
          <t>AD-05</t>
        </is>
      </c>
      <c r="E1381" s="14" t="inlineStr">
        <is>
          <t>—</t>
        </is>
      </c>
      <c r="F1381" s="14" t="inlineStr">
        <is>
          <t>User &amp; Role, Pengaturan Mill (AD-)</t>
        </is>
      </c>
      <c r="G1381" s="15" t="inlineStr">
        <is>
          <t>Nonaktifkan user memblokir login</t>
        </is>
      </c>
      <c r="H1381" s="14" t="inlineStr">
        <is>
          <t>ADM</t>
        </is>
      </c>
      <c r="I1381" s="14" t="inlineStr">
        <is>
          <t>—</t>
        </is>
      </c>
      <c r="J1381" s="14" t="inlineStr">
        <is>
          <t>1. Jalankan seluruh langkah AU-04 dari layar Login di web, lalu sidebar &gt; Kelola User &amp; Role (/users).
2. Pastikan langkah terakhir AU-04 dijalankan: aktifkan kembali akunnya.</t>
        </is>
      </c>
      <c r="K1381" s="14" t="inlineStr">
        <is>
          <t>- Hasilnya sesuai AU-04: sesi yang sedang berjalan dikeluarkan, dan login berikutnya gagal dengan pesan akun tidak aktif.
- Sesudah diaktifkan kembali, akun itu bisa login lagi.</t>
        </is>
      </c>
      <c r="L1381" s="16" t="inlineStr">
        <is>
          <t>Tinggi</t>
        </is>
      </c>
      <c r="M1381" s="14" t="inlineStr"/>
      <c r="N1381" s="17" t="n"/>
      <c r="O1381" s="17" t="n"/>
      <c r="P1381" s="17" t="n"/>
      <c r="Q1381" s="17" t="n"/>
      <c r="R1381" s="17" t="n"/>
    </row>
    <row r="1382" ht="136" customHeight="1">
      <c r="A1382" s="11" t="n">
        <v>1378</v>
      </c>
      <c r="B1382" s="12" t="n">
        <v>1</v>
      </c>
      <c r="C1382" s="13" t="inlineStr">
        <is>
          <t>AD-06</t>
        </is>
      </c>
      <c r="D1382" s="13" t="inlineStr">
        <is>
          <t>AD-06</t>
        </is>
      </c>
      <c r="E1382" s="14" t="inlineStr">
        <is>
          <t>—</t>
        </is>
      </c>
      <c r="F1382" s="14" t="inlineStr">
        <is>
          <t>User &amp; Role, Pengaturan Mill (AD-)</t>
        </is>
      </c>
      <c r="G1382" s="15" t="inlineStr">
        <is>
          <t>Reset password oleh Admin</t>
        </is>
      </c>
      <c r="H1382" s="14" t="inlineStr">
        <is>
          <t>ADM + akun uji</t>
        </is>
      </c>
      <c r="I1382" s="14" t="inlineStr">
        <is>
          <t>—</t>
        </is>
      </c>
      <c r="J1382" s="14" t="inlineStr">
        <is>
          <t>1. Login di web, lalu sidebar &gt; Kelola User &amp; Role (/users) sebagai ADM. Pilih satu akun uji (jangan akun yang sedang Anda pakai).
2. Jalankan aksi Reset Password pada akun itu, tetapkan password baru.
3. Logout.
4. Login di web (buka /login, isi username dan password akun pada kolom Peran, tekan Login) dengan akun itu memakai password baru.
5. Logout. Coba login dengan password lama.</t>
        </is>
      </c>
      <c r="K1382" s="14" t="inlineStr">
        <is>
          <t>- Reset berhasil dengan pesan konfirmasi.
- Login dengan password baru berhasil.
- Login dengan password lama gagal.</t>
        </is>
      </c>
      <c r="L1382" s="16" t="inlineStr">
        <is>
          <t>Tinggi</t>
        </is>
      </c>
      <c r="M1382" s="14" t="inlineStr"/>
      <c r="N1382" s="17" t="n"/>
      <c r="O1382" s="17" t="n"/>
      <c r="P1382" s="17" t="n"/>
      <c r="Q1382" s="17" t="n"/>
      <c r="R1382" s="17" t="n"/>
    </row>
    <row r="1383" ht="175.6" customHeight="1">
      <c r="A1383" s="11" t="n">
        <v>1379</v>
      </c>
      <c r="B1383" s="12" t="n">
        <v>1</v>
      </c>
      <c r="C1383" s="13" t="inlineStr">
        <is>
          <t>AD-07</t>
        </is>
      </c>
      <c r="D1383" s="13" t="inlineStr">
        <is>
          <t>AD-07</t>
        </is>
      </c>
      <c r="E1383" s="14" t="inlineStr">
        <is>
          <t>—</t>
        </is>
      </c>
      <c r="F1383" s="14" t="inlineStr">
        <is>
          <t>User &amp; Role, Pengaturan Mill (AD-)</t>
        </is>
      </c>
      <c r="G1383" s="15" t="inlineStr">
        <is>
          <t>Pengaturan Mill: Mill Management hanya mill sendiri</t>
        </is>
      </c>
      <c r="H1383" s="14" t="inlineStr">
        <is>
          <t>MGR-A</t>
        </is>
      </c>
      <c r="I1383" s="14" t="inlineStr">
        <is>
          <t>2 mill ada</t>
        </is>
      </c>
      <c r="J1383" s="14" t="inlineStr">
        <is>
          <t>1. Pastikan ada 2 mill di sistem.
2. Login di web, lalu sidebar &gt; Mills Setting (/mill-settings) sebagai MGR-A.
3. Baca nama mill yang dapat diatur. Cari pemilih mill.
4. Periksa apakah nama mill kedua muncul di mana pun pada layar ini.</t>
        </is>
      </c>
      <c r="K1383" s="14" t="inlineStr">
        <is>
          <t>- Hanya mill sendiri yang dapat diatur.
- Mill lain tidak terlihat dan tidak dapat dipilih — tidak ada pemilih mill untuk peran ini.
- Nama mill kedua tidak tercetak di layar mana pun.</t>
        </is>
      </c>
      <c r="L1383" s="16" t="inlineStr">
        <is>
          <t>Tinggi</t>
        </is>
      </c>
      <c r="M1383" s="14" t="inlineStr">
        <is>
          <t>layar ini tidak menyebut nama mill yang sedang diatur untuk peran Mill Management — isinya berbunyi "untuk mill Anda". Itu bukan bagian dari hasil yang diuji di atas, jadi jangan dilaporkan sebagai bug; catat saja bila menurut Anda perlu ditegaskan. Untuk Admin, mill yang sedang diatur selalu terlihat karena ada pemilihnya (AD-08).</t>
        </is>
      </c>
      <c r="N1383" s="17" t="n"/>
      <c r="O1383" s="17" t="n"/>
      <c r="P1383" s="17" t="n"/>
      <c r="Q1383" s="17" t="n"/>
      <c r="R1383" s="17" t="n"/>
    </row>
    <row r="1384" ht="70" customHeight="1">
      <c r="A1384" s="11" t="n">
        <v>1380</v>
      </c>
      <c r="B1384" s="12" t="n">
        <v>1</v>
      </c>
      <c r="C1384" s="13" t="inlineStr">
        <is>
          <t>AD-08</t>
        </is>
      </c>
      <c r="D1384" s="13" t="inlineStr">
        <is>
          <t>AD-08</t>
        </is>
      </c>
      <c r="E1384" s="14" t="inlineStr">
        <is>
          <t>—</t>
        </is>
      </c>
      <c r="F1384" s="14" t="inlineStr">
        <is>
          <t>User &amp; Role, Pengaturan Mill (AD-)</t>
        </is>
      </c>
      <c r="G1384" s="15" t="inlineStr">
        <is>
          <t>Pengaturan Mill: Admin dapat semua mill</t>
        </is>
      </c>
      <c r="H1384" s="14" t="inlineStr">
        <is>
          <t>ADM</t>
        </is>
      </c>
      <c r="I1384" s="14" t="inlineStr">
        <is>
          <t>—</t>
        </is>
      </c>
      <c r="J1384" s="14" t="inlineStr">
        <is>
          <t>1. Login di web, lalu sidebar &gt; Mills Setting (/mill-settings) sebagai ADM.
2. Cari pemilih mill dan buka daftarnya.
3. Pilih Mill A, baca pengaturannya. Lalu pilih Mill B dan baca pengaturannya.</t>
        </is>
      </c>
      <c r="K1384" s="14" t="inlineStr">
        <is>
          <t>- Pemilih mill ada dan memuat seluruh mill.
- Pengaturan setiap mill dapat dibuka dan diatur.
- Berganti mill mengganti nilai yang tampil — bukan menampilkan nilai mill sebelumnya.</t>
        </is>
      </c>
      <c r="L1384" s="16" t="inlineStr">
        <is>
          <t>Tinggi</t>
        </is>
      </c>
      <c r="M1384" s="14" t="inlineStr"/>
      <c r="N1384" s="17" t="n"/>
      <c r="O1384" s="17" t="n"/>
      <c r="P1384" s="17" t="n"/>
      <c r="Q1384" s="17" t="n"/>
      <c r="R1384" s="17" t="n"/>
    </row>
    <row r="1385" ht="96.39999999999999" customHeight="1">
      <c r="A1385" s="11" t="n">
        <v>1381</v>
      </c>
      <c r="B1385" s="12" t="n">
        <v>1</v>
      </c>
      <c r="C1385" s="13" t="inlineStr">
        <is>
          <t>AD-09</t>
        </is>
      </c>
      <c r="D1385" s="13" t="inlineStr">
        <is>
          <t>AD-09</t>
        </is>
      </c>
      <c r="E1385" s="14" t="inlineStr">
        <is>
          <t>—</t>
        </is>
      </c>
      <c r="F1385" s="14" t="inlineStr">
        <is>
          <t>User &amp; Role, Pengaturan Mill (AD-)</t>
        </is>
      </c>
      <c r="G1385" s="15" t="inlineStr">
        <is>
          <t>Supervisor dan Operator tidak punya Pengaturan Mill</t>
        </is>
      </c>
      <c r="H1385" s="14" t="inlineStr">
        <is>
          <t>SPV-A, OPR-A</t>
        </is>
      </c>
      <c r="I1385" s="14" t="inlineStr">
        <is>
          <t>—</t>
        </is>
      </c>
      <c r="J1385" s="14" t="inlineStr">
        <is>
          <t>1. Login di web (buka /login, isi username dan password akun pada kolom Peran, tekan Login) sebagai SPV-A. Cari menu Mills Setting di sidebar.
2. Ketik /mill-settings langsung di bilah alamat.
3. Logout, ulangi langkah 1–2 sebagai OPR-A.</t>
        </is>
      </c>
      <c r="K1385" s="14" t="inlineStr">
        <is>
          <t>- Menu tidak ada di sidebar untuk keduanya.
- Alamat langsung menjawab 403 untuk keduanya.
- Halaman 403-nya masih di dalam kerangka aplikasi (lihat LS-01).</t>
        </is>
      </c>
      <c r="L1385" s="16" t="inlineStr">
        <is>
          <t>Tinggi</t>
        </is>
      </c>
      <c r="M1385" s="14" t="inlineStr"/>
      <c r="N1385" s="17" t="n"/>
      <c r="O1385" s="17" t="n"/>
      <c r="P1385" s="17" t="n"/>
      <c r="Q1385" s="17" t="n"/>
      <c r="R1385" s="17" t="n"/>
    </row>
    <row r="1386" ht="294.4" customHeight="1">
      <c r="A1386" s="11" t="n">
        <v>1382</v>
      </c>
      <c r="B1386" s="12" t="n">
        <v>1</v>
      </c>
      <c r="C1386" s="13" t="inlineStr">
        <is>
          <t>AD-10</t>
        </is>
      </c>
      <c r="D1386" s="13" t="inlineStr">
        <is>
          <t>AD-10</t>
        </is>
      </c>
      <c r="E1386" s="14" t="inlineStr">
        <is>
          <t>—</t>
        </is>
      </c>
      <c r="F1386" s="14" t="inlineStr">
        <is>
          <t>User &amp; Role, Pengaturan Mill (AD-)</t>
        </is>
      </c>
      <c r="G1386" s="15" t="inlineStr">
        <is>
          <t>Perubahan Pengaturan Mill tersimpan dan berlaku</t>
        </is>
      </c>
      <c r="H1386" s="14" t="inlineStr">
        <is>
          <t>MGR-A (web) + OPR-A (mobile)</t>
        </is>
      </c>
      <c r="I1386" s="14" t="inlineStr">
        <is>
          <t>—</t>
        </is>
      </c>
      <c r="J1386" s="14" t="inlineStr">
        <is>
          <t>1. Login di web, lalu sidebar &gt; Mills Setting (/mill-settings) sebagai MGR-A. Catat nilai awal Nama Aplikasi.
2. Ubah nilai itu, tekan Simpan.
3. Muat ulang halaman (F5). Baca nilainya.
4. Login di mobile (buka aplikasi, isi username dan password, tekan Login), mendarat di /home sebagai OPR-A pada mill yang sama, lalu sinkronkan bila diminta.
5. Baca nama aplikasi yang tampil di layar Home mobile.
6. Kembalikan nilainya ke semula lewat Login di web, lalu sidebar &gt; Mills Setting (/mill-settings).</t>
        </is>
      </c>
      <c r="K1386" s="14" t="inlineStr">
        <is>
          <t>- Simpan berhasil dengan pesan konfirmasi.
- Nilai baru bertahan sesudah muat ulang.
- Nilai baru berlaku di aplikasi mobile — nama baru itu yang tampil di Home.
- Nilai yang tersimpan tapi tidak berpengaruh ke layar mana pun adalah separuh fitur — itu yang
diperiksa di langkah 4–5.</t>
        </is>
      </c>
      <c r="L1386" s="11" t="inlineStr">
        <is>
          <t>Sedang</t>
        </is>
      </c>
      <c r="M1386" s="14" t="inlineStr">
        <is>
          <t>Catatan jalan: seluruh pengaturan di layar ini dipakai aplikasi mobile, bukan layar web mana pun — Nama Aplikasi dan Logo pada Home mobile, Gambar Halaman Utama, saklar kirim-langsung pada penyimpanan Operator, dan Icon Station pada daftar stasiun mobile. Jadi langkah 1–3 dijalankan di web, dan langkah 4–5 harus dijalankan di aplikasi mobile.
pengaturan Jumlah Cages sudah tidak ada lagi di layar ini (jumlah cages kini diturunkan dari data mesin stasiun). Kalau Anda mencarinya karena pernah membacanya di versi dokumen lama, ketiadaannya bukan bug.</t>
        </is>
      </c>
      <c r="N1386" s="17" t="n"/>
      <c r="O1386" s="17" t="n"/>
      <c r="P1386" s="17" t="n"/>
      <c r="Q1386" s="17" t="n"/>
      <c r="R1386" s="17" t="n"/>
    </row>
  </sheetData>
  <autoFilter ref="A4:R1386"/>
  <mergeCells count="2">
    <mergeCell ref="A2:Q2"/>
    <mergeCell ref="A1:Q1"/>
  </mergeCells>
  <dataValidations count="1">
    <dataValidation sqref="P5:P1386" showDropDown="0" showInputMessage="0" showErrorMessage="0" allowBlank="1" errorTitle="Nilai tidak dikenal" error="Pilih salah satu: Lulus, Gagal, Tidak diuji, Terhalang." type="list">
      <formula1>"Lulus,Gagal,Tidak diuji,Terhalang"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showGridLines="0" workbookViewId="0">
      <selection activeCell="A1" sqref="A1"/>
    </sheetView>
  </sheetViews>
  <sheetFormatPr baseColWidth="8" defaultRowHeight="15"/>
  <cols>
    <col width="34" customWidth="1" min="1" max="1"/>
    <col width="14" customWidth="1" min="2" max="2"/>
    <col width="13" customWidth="1" min="3" max="3"/>
    <col width="12" customWidth="1" min="4" max="4"/>
    <col width="11" customWidth="1" min="5" max="5"/>
    <col width="11" customWidth="1" min="6" max="6"/>
    <col width="13" customWidth="1" min="7" max="7"/>
    <col width="12" customWidth="1" min="8" max="8"/>
    <col width="13" customWidth="1" min="9" max="9"/>
  </cols>
  <sheetData>
    <row r="1" ht="26" customHeight="1">
      <c r="A1" s="1" t="inlineStr">
        <is>
          <t>Rekap — terisi otomatis</t>
        </is>
      </c>
    </row>
    <row r="2" ht="30" customHeight="1">
      <c r="A2" s="2" t="inlineStr">
        <is>
          <t>Angka di sini dihitung dari sheet Kasus Uji. Tidak perlu diisi tangan.</t>
        </is>
      </c>
    </row>
    <row r="4" ht="28" customHeight="1">
      <c r="A4" s="10" t="inlineStr">
        <is>
          <t>Bagian</t>
        </is>
      </c>
      <c r="B4" s="10" t="inlineStr">
        <is>
          <t>Awalan ID</t>
        </is>
      </c>
      <c r="C4" s="10" t="inlineStr">
        <is>
          <t>Kasus unik</t>
        </is>
      </c>
      <c r="D4" s="10" t="inlineStr">
        <is>
          <t>Jml jalan</t>
        </is>
      </c>
      <c r="E4" s="10" t="inlineStr">
        <is>
          <t>Lulus</t>
        </is>
      </c>
      <c r="F4" s="10" t="inlineStr">
        <is>
          <t>Gagal</t>
        </is>
      </c>
      <c r="G4" s="10" t="inlineStr">
        <is>
          <t>Tidak diuji</t>
        </is>
      </c>
      <c r="H4" s="10" t="inlineStr">
        <is>
          <t>Terhalang</t>
        </is>
      </c>
      <c r="I4" s="10" t="inlineStr">
        <is>
          <t>Belum diisi</t>
        </is>
      </c>
    </row>
    <row r="5">
      <c r="A5" s="24" t="inlineStr">
        <is>
          <t>Aturan lintas-sistem</t>
        </is>
      </c>
      <c r="B5" s="30" t="inlineStr">
        <is>
          <t>LS-</t>
        </is>
      </c>
      <c r="C5" s="22" t="n">
        <v>16</v>
      </c>
      <c r="D5" s="22" t="n">
        <v>16</v>
      </c>
      <c r="E5" s="22">
        <f>COUNTIFS('Kasus Uji'!$D$5:$D$1386,"LS-*",'Kasus Uji'!$P$5:$P$1386,"Lulus")</f>
        <v/>
      </c>
      <c r="F5" s="22">
        <f>COUNTIFS('Kasus Uji'!$D$5:$D$1386,"LS-*",'Kasus Uji'!$P$5:$P$1386,"Gagal")</f>
        <v/>
      </c>
      <c r="G5" s="22">
        <f>COUNTIFS('Kasus Uji'!$D$5:$D$1386,"LS-*",'Kasus Uji'!$P$5:$P$1386,"Tidak diuji")</f>
        <v/>
      </c>
      <c r="H5" s="22">
        <f>COUNTIFS('Kasus Uji'!$D$5:$D$1386,"LS-*",'Kasus Uji'!$P$5:$P$1386,"Terhalang")</f>
        <v/>
      </c>
      <c r="I5" s="22">
        <f>D5-E5-F5-G5-H5</f>
        <v/>
      </c>
    </row>
    <row r="6">
      <c r="A6" s="24" t="inlineStr">
        <is>
          <t>Autentikasi &amp; Akun</t>
        </is>
      </c>
      <c r="B6" s="30" t="inlineStr">
        <is>
          <t>AU-</t>
        </is>
      </c>
      <c r="C6" s="22" t="n">
        <v>9</v>
      </c>
      <c r="D6" s="22" t="n">
        <v>9</v>
      </c>
      <c r="E6" s="22">
        <f>COUNTIFS('Kasus Uji'!$D$5:$D$1386,"AU-*",'Kasus Uji'!$P$5:$P$1386,"Lulus")</f>
        <v/>
      </c>
      <c r="F6" s="22">
        <f>COUNTIFS('Kasus Uji'!$D$5:$D$1386,"AU-*",'Kasus Uji'!$P$5:$P$1386,"Gagal")</f>
        <v/>
      </c>
      <c r="G6" s="22">
        <f>COUNTIFS('Kasus Uji'!$D$5:$D$1386,"AU-*",'Kasus Uji'!$P$5:$P$1386,"Tidak diuji")</f>
        <v/>
      </c>
      <c r="H6" s="22">
        <f>COUNTIFS('Kasus Uji'!$D$5:$D$1386,"AU-*",'Kasus Uji'!$P$5:$P$1386,"Terhalang")</f>
        <v/>
      </c>
      <c r="I6" s="22">
        <f>D6-E6-F6-G6-H6</f>
        <v/>
      </c>
    </row>
    <row r="7">
      <c r="A7" s="24" t="inlineStr">
        <is>
          <t>Mobile — Operasional Stasiun</t>
        </is>
      </c>
      <c r="B7" s="30" t="inlineStr">
        <is>
          <t>MB-</t>
        </is>
      </c>
      <c r="C7" s="22" t="n">
        <v>39</v>
      </c>
      <c r="D7" s="22" t="n">
        <v>474</v>
      </c>
      <c r="E7" s="22">
        <f>COUNTIFS('Kasus Uji'!$D$5:$D$1386,"MB-*",'Kasus Uji'!$P$5:$P$1386,"Lulus")</f>
        <v/>
      </c>
      <c r="F7" s="22">
        <f>COUNTIFS('Kasus Uji'!$D$5:$D$1386,"MB-*",'Kasus Uji'!$P$5:$P$1386,"Gagal")</f>
        <v/>
      </c>
      <c r="G7" s="22">
        <f>COUNTIFS('Kasus Uji'!$D$5:$D$1386,"MB-*",'Kasus Uji'!$P$5:$P$1386,"Tidak diuji")</f>
        <v/>
      </c>
      <c r="H7" s="22">
        <f>COUNTIFS('Kasus Uji'!$D$5:$D$1386,"MB-*",'Kasus Uji'!$P$5:$P$1386,"Terhalang")</f>
        <v/>
      </c>
      <c r="I7" s="22">
        <f>D7-E7-F7-G7-H7</f>
        <v/>
      </c>
    </row>
    <row r="8">
      <c r="A8" s="24" t="inlineStr">
        <is>
          <t>Web — Data Stasiun</t>
        </is>
      </c>
      <c r="B8" s="30" t="inlineStr">
        <is>
          <t>WB-</t>
        </is>
      </c>
      <c r="C8" s="22" t="n">
        <v>25</v>
      </c>
      <c r="D8" s="22" t="n">
        <v>429</v>
      </c>
      <c r="E8" s="22">
        <f>COUNTIFS('Kasus Uji'!$D$5:$D$1386,"WB-*",'Kasus Uji'!$P$5:$P$1386,"Lulus")</f>
        <v/>
      </c>
      <c r="F8" s="22">
        <f>COUNTIFS('Kasus Uji'!$D$5:$D$1386,"WB-*",'Kasus Uji'!$P$5:$P$1386,"Gagal")</f>
        <v/>
      </c>
      <c r="G8" s="22">
        <f>COUNTIFS('Kasus Uji'!$D$5:$D$1386,"WB-*",'Kasus Uji'!$P$5:$P$1386,"Tidak diuji")</f>
        <v/>
      </c>
      <c r="H8" s="22">
        <f>COUNTIFS('Kasus Uji'!$D$5:$D$1386,"WB-*",'Kasus Uji'!$P$5:$P$1386,"Terhalang")</f>
        <v/>
      </c>
      <c r="I8" s="22">
        <f>D8-E8-F8-G8-H8</f>
        <v/>
      </c>
    </row>
    <row r="9">
      <c r="A9" s="24" t="inlineStr">
        <is>
          <t>Laporan Periode Stasiun</t>
        </is>
      </c>
      <c r="B9" s="30" t="inlineStr">
        <is>
          <t>LP-</t>
        </is>
      </c>
      <c r="C9" s="22" t="n">
        <v>31</v>
      </c>
      <c r="D9" s="22" t="n">
        <v>341</v>
      </c>
      <c r="E9" s="22">
        <f>COUNTIFS('Kasus Uji'!$D$5:$D$1386,"LP-*",'Kasus Uji'!$P$5:$P$1386,"Lulus")</f>
        <v/>
      </c>
      <c r="F9" s="22">
        <f>COUNTIFS('Kasus Uji'!$D$5:$D$1386,"LP-*",'Kasus Uji'!$P$5:$P$1386,"Gagal")</f>
        <v/>
      </c>
      <c r="G9" s="22">
        <f>COUNTIFS('Kasus Uji'!$D$5:$D$1386,"LP-*",'Kasus Uji'!$P$5:$P$1386,"Tidak diuji")</f>
        <v/>
      </c>
      <c r="H9" s="22">
        <f>COUNTIFS('Kasus Uji'!$D$5:$D$1386,"LP-*",'Kasus Uji'!$P$5:$P$1386,"Terhalang")</f>
        <v/>
      </c>
      <c r="I9" s="22">
        <f>D9-E9-F9-G9-H9</f>
        <v/>
      </c>
    </row>
    <row r="10">
      <c r="A10" s="24" t="inlineStr">
        <is>
          <t>Dashboard &amp; Laporan lain</t>
        </is>
      </c>
      <c r="B10" s="30" t="inlineStr">
        <is>
          <t>DS-</t>
        </is>
      </c>
      <c r="C10" s="22" t="n">
        <v>12</v>
      </c>
      <c r="D10" s="22" t="n">
        <v>12</v>
      </c>
      <c r="E10" s="22">
        <f>COUNTIFS('Kasus Uji'!$D$5:$D$1386,"DS-*",'Kasus Uji'!$P$5:$P$1386,"Lulus")</f>
        <v/>
      </c>
      <c r="F10" s="22">
        <f>COUNTIFS('Kasus Uji'!$D$5:$D$1386,"DS-*",'Kasus Uji'!$P$5:$P$1386,"Gagal")</f>
        <v/>
      </c>
      <c r="G10" s="22">
        <f>COUNTIFS('Kasus Uji'!$D$5:$D$1386,"DS-*",'Kasus Uji'!$P$5:$P$1386,"Tidak diuji")</f>
        <v/>
      </c>
      <c r="H10" s="22">
        <f>COUNTIFS('Kasus Uji'!$D$5:$D$1386,"DS-*",'Kasus Uji'!$P$5:$P$1386,"Terhalang")</f>
        <v/>
      </c>
      <c r="I10" s="22">
        <f>D10-E10-F10-G10-H10</f>
        <v/>
      </c>
    </row>
    <row r="11">
      <c r="A11" s="24" t="inlineStr">
        <is>
          <t>Master Data</t>
        </is>
      </c>
      <c r="B11" s="30" t="inlineStr">
        <is>
          <t>MD-</t>
        </is>
      </c>
      <c r="C11" s="22" t="n">
        <v>28</v>
      </c>
      <c r="D11" s="22" t="n">
        <v>91</v>
      </c>
      <c r="E11" s="22">
        <f>COUNTIFS('Kasus Uji'!$D$5:$D$1386,"MD-*",'Kasus Uji'!$P$5:$P$1386,"Lulus")</f>
        <v/>
      </c>
      <c r="F11" s="22">
        <f>COUNTIFS('Kasus Uji'!$D$5:$D$1386,"MD-*",'Kasus Uji'!$P$5:$P$1386,"Gagal")</f>
        <v/>
      </c>
      <c r="G11" s="22">
        <f>COUNTIFS('Kasus Uji'!$D$5:$D$1386,"MD-*",'Kasus Uji'!$P$5:$P$1386,"Tidak diuji")</f>
        <v/>
      </c>
      <c r="H11" s="22">
        <f>COUNTIFS('Kasus Uji'!$D$5:$D$1386,"MD-*",'Kasus Uji'!$P$5:$P$1386,"Terhalang")</f>
        <v/>
      </c>
      <c r="I11" s="22">
        <f>D11-E11-F11-G11-H11</f>
        <v/>
      </c>
    </row>
    <row r="12">
      <c r="A12" s="24" t="inlineStr">
        <is>
          <t>User &amp; Role, Pengaturan Mill</t>
        </is>
      </c>
      <c r="B12" s="30" t="inlineStr">
        <is>
          <t>AD-</t>
        </is>
      </c>
      <c r="C12" s="22" t="n">
        <v>10</v>
      </c>
      <c r="D12" s="22" t="n">
        <v>10</v>
      </c>
      <c r="E12" s="22">
        <f>COUNTIFS('Kasus Uji'!$D$5:$D$1386,"AD-*",'Kasus Uji'!$P$5:$P$1386,"Lulus")</f>
        <v/>
      </c>
      <c r="F12" s="22">
        <f>COUNTIFS('Kasus Uji'!$D$5:$D$1386,"AD-*",'Kasus Uji'!$P$5:$P$1386,"Gagal")</f>
        <v/>
      </c>
      <c r="G12" s="22">
        <f>COUNTIFS('Kasus Uji'!$D$5:$D$1386,"AD-*",'Kasus Uji'!$P$5:$P$1386,"Tidak diuji")</f>
        <v/>
      </c>
      <c r="H12" s="22">
        <f>COUNTIFS('Kasus Uji'!$D$5:$D$1386,"AD-*",'Kasus Uji'!$P$5:$P$1386,"Terhalang")</f>
        <v/>
      </c>
      <c r="I12" s="22">
        <f>D12-E12-F12-G12-H12</f>
        <v/>
      </c>
    </row>
    <row r="13">
      <c r="A13" s="4" t="inlineStr">
        <is>
          <t>TOTAL</t>
        </is>
      </c>
      <c r="B13" s="31" t="inlineStr"/>
      <c r="C13" s="32">
        <f>SUM(C5:C12)</f>
        <v/>
      </c>
      <c r="D13" s="32">
        <f>SUM(D5:D12)</f>
        <v/>
      </c>
      <c r="E13" s="32">
        <f>SUM(E5:E12)</f>
        <v/>
      </c>
      <c r="F13" s="32">
        <f>SUM(F5:F12)</f>
        <v/>
      </c>
      <c r="G13" s="32">
        <f>SUM(G5:G12)</f>
        <v/>
      </c>
      <c r="H13" s="32">
        <f>SUM(H5:H12)</f>
        <v/>
      </c>
      <c r="I13" s="32">
        <f>SUM(I5:I12)</f>
        <v/>
      </c>
    </row>
    <row r="15">
      <c r="A15" s="33" t="inlineStr">
        <is>
          <t>Kasus Prioritas Tinggi yang belum diisi</t>
        </is>
      </c>
      <c r="B15" s="6" t="n"/>
      <c r="C15" s="7" t="n"/>
      <c r="D15" s="16">
        <f>COUNTIFS('Kasus Uji'!$L$5:$L$1386,"Tinggi",'Kasus Uji'!$P$5:$P$1386,"")</f>
        <v/>
      </c>
    </row>
    <row r="16">
      <c r="A16" s="33" t="inlineStr">
        <is>
          <t>Baris Gagal yang belum punya No. Bug</t>
        </is>
      </c>
      <c r="B16" s="6" t="n"/>
      <c r="C16" s="7" t="n"/>
      <c r="D16" s="16">
        <f>COUNTIFS('Kasus Uji'!$P$5:$P$1386,"Gagal",'Kasus Uji'!$Q$5:$Q$1386,"")</f>
        <v/>
      </c>
    </row>
    <row r="18">
      <c r="A18" s="3" t="inlineStr">
        <is>
          <t>Kemajuan per Tingkat</t>
        </is>
      </c>
    </row>
    <row r="19">
      <c r="A19" s="10" t="inlineStr">
        <is>
          <t>Tingkat</t>
        </is>
      </c>
      <c r="B19" s="10" t="inlineStr">
        <is>
          <t>Apa isinya</t>
        </is>
      </c>
      <c r="C19" s="10" t="inlineStr">
        <is>
          <t>Jalan</t>
        </is>
      </c>
      <c r="D19" s="10" t="inlineStr">
        <is>
          <t>Lulus</t>
        </is>
      </c>
      <c r="E19" s="10" t="inlineStr">
        <is>
          <t>Gagal</t>
        </is>
      </c>
      <c r="F19" s="10" t="inlineStr">
        <is>
          <t>Tidak diuji</t>
        </is>
      </c>
      <c r="G19" s="10" t="inlineStr">
        <is>
          <t>Terhalang</t>
        </is>
      </c>
      <c r="H19" s="10" t="inlineStr">
        <is>
          <t>Belum diisi</t>
        </is>
      </c>
      <c r="I19" s="10" t="inlineStr"/>
    </row>
    <row r="20">
      <c r="A20" s="12" t="n">
        <v>1</v>
      </c>
      <c r="B20" s="14" t="inlineStr">
        <is>
          <t>ALUR — setiap kasus sekali, pada stasiun wakil. Membuktikan setiap alur bekerja.</t>
        </is>
      </c>
      <c r="C20" s="12" t="n">
        <v>170</v>
      </c>
      <c r="D20" s="11">
        <f>COUNTIFS('Kasus Uji'!$B$5:$B$1386,1,'Kasus Uji'!$P$5:$P$1386,"Lulus")</f>
        <v/>
      </c>
      <c r="E20" s="11">
        <f>COUNTIFS('Kasus Uji'!$B$5:$B$1386,1,'Kasus Uji'!$P$5:$P$1386,"Gagal")</f>
        <v/>
      </c>
      <c r="F20" s="11">
        <f>COUNTIFS('Kasus Uji'!$B$5:$B$1386,1,'Kasus Uji'!$P$5:$P$1386,"Tidak diuji")</f>
        <v/>
      </c>
      <c r="G20" s="11">
        <f>COUNTIFS('Kasus Uji'!$B$5:$B$1386,1,'Kasus Uji'!$P$5:$P$1386,"Terhalang")</f>
        <v/>
      </c>
      <c r="H20" s="11">
        <f>C20-D20-E20-F20-G20</f>
        <v/>
      </c>
      <c r="I20" s="11" t="inlineStr"/>
    </row>
    <row r="21">
      <c r="A21" s="26" t="n">
        <v>2</v>
      </c>
      <c r="B21" s="29" t="inlineStr">
        <is>
          <t>KABEL — 5 kasus pada 17 stasiun sisanya. Menangkap stasiun yang salah dikabel.</t>
        </is>
      </c>
      <c r="C21" s="26" t="n">
        <v>88</v>
      </c>
      <c r="D21" s="25">
        <f>COUNTIFS('Kasus Uji'!$B$5:$B$1386,2,'Kasus Uji'!$P$5:$P$1386,"Lulus")</f>
        <v/>
      </c>
      <c r="E21" s="25">
        <f>COUNTIFS('Kasus Uji'!$B$5:$B$1386,2,'Kasus Uji'!$P$5:$P$1386,"Gagal")</f>
        <v/>
      </c>
      <c r="F21" s="25">
        <f>COUNTIFS('Kasus Uji'!$B$5:$B$1386,2,'Kasus Uji'!$P$5:$P$1386,"Tidak diuji")</f>
        <v/>
      </c>
      <c r="G21" s="25">
        <f>COUNTIFS('Kasus Uji'!$B$5:$B$1386,2,'Kasus Uji'!$P$5:$P$1386,"Terhalang")</f>
        <v/>
      </c>
      <c r="H21" s="25">
        <f>C21-D21-E21-F21-G21</f>
        <v/>
      </c>
      <c r="I21" s="25" t="inlineStr"/>
    </row>
    <row r="22">
      <c r="A22" s="32" t="n">
        <v>3</v>
      </c>
      <c r="B22" s="34" t="inlineStr">
        <is>
          <t>SISA — pengulangan penuh. Untuk putaran rilis atau saat satu stasiun berubah.</t>
        </is>
      </c>
      <c r="C22" s="32" t="n">
        <v>1124</v>
      </c>
      <c r="D22" s="31">
        <f>COUNTIFS('Kasus Uji'!$B$5:$B$1386,3,'Kasus Uji'!$P$5:$P$1386,"Lulus")</f>
        <v/>
      </c>
      <c r="E22" s="31">
        <f>COUNTIFS('Kasus Uji'!$B$5:$B$1386,3,'Kasus Uji'!$P$5:$P$1386,"Gagal")</f>
        <v/>
      </c>
      <c r="F22" s="31">
        <f>COUNTIFS('Kasus Uji'!$B$5:$B$1386,3,'Kasus Uji'!$P$5:$P$1386,"Tidak diuji")</f>
        <v/>
      </c>
      <c r="G22" s="31">
        <f>COUNTIFS('Kasus Uji'!$B$5:$B$1386,3,'Kasus Uji'!$P$5:$P$1386,"Terhalang")</f>
        <v/>
      </c>
      <c r="H22" s="31">
        <f>C22-D22-E22-F22-G22</f>
        <v/>
      </c>
      <c r="I22" s="31" t="inlineStr"/>
    </row>
    <row r="23">
      <c r="A23" s="32" t="inlineStr">
        <is>
          <t>Tingkat 1+2</t>
        </is>
      </c>
      <c r="B23" s="4" t="inlineStr">
        <is>
          <t>Cakupan yang masuk akal untuk pengujian manual satu putaran.</t>
        </is>
      </c>
      <c r="C23" s="32" t="n">
        <v>258</v>
      </c>
      <c r="D23" s="32">
        <f>SUM(D20:D21)</f>
        <v/>
      </c>
      <c r="E23" s="32">
        <f>SUM(E20:E21)</f>
        <v/>
      </c>
      <c r="F23" s="32">
        <f>SUM(F20:F21)</f>
        <v/>
      </c>
      <c r="G23" s="32">
        <f>SUM(G20:G21)</f>
        <v/>
      </c>
      <c r="H23" s="32">
        <f>SUM(H20:H21)</f>
        <v/>
      </c>
      <c r="I23" s="31" t="inlineStr"/>
    </row>
    <row r="25" ht="34" customHeight="1">
      <c r="A25" s="9" t="inlineStr">
        <is>
          <t>Tingkat 1 melewati ke-170 kasus unik tepat SEKALI — jadi menyelesaikannya berarti setiap alur sistem sudah pernah dijalankan. Yang belum terbukti sesudahnya adalah 17 stasiun lain, dan itulah Tingkat 2.</t>
        </is>
      </c>
      <c r="B25" s="6" t="n"/>
      <c r="C25" s="6" t="n"/>
      <c r="D25" s="6" t="n"/>
      <c r="E25" s="6" t="n"/>
      <c r="F25" s="6" t="n"/>
      <c r="G25" s="6" t="n"/>
      <c r="H25" s="6" t="n"/>
      <c r="I25" s="7" t="n"/>
    </row>
  </sheetData>
  <mergeCells count="6">
    <mergeCell ref="A25:I25"/>
    <mergeCell ref="A2:I2"/>
    <mergeCell ref="A1:I1"/>
    <mergeCell ref="A18:I18"/>
    <mergeCell ref="A15:C15"/>
    <mergeCell ref="A16:C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showGridLines="0" workbookViewId="0">
      <selection activeCell="A1" sqref="A1"/>
    </sheetView>
  </sheetViews>
  <sheetFormatPr baseColWidth="8" defaultRowHeight="15"/>
  <cols>
    <col width="30" customWidth="1" min="1" max="1"/>
    <col width="58" customWidth="1" min="2" max="2"/>
    <col width="18" customWidth="1" min="3" max="3"/>
    <col width="18" customWidth="1" min="4" max="4"/>
    <col width="18" customWidth="1" min="5" max="5"/>
    <col width="30" customWidth="1" min="6" max="6"/>
  </cols>
  <sheetData>
    <row r="1" ht="26" customHeight="1">
      <c r="A1" s="1" t="inlineStr">
        <is>
          <t>Lingkungan &amp; akun uji</t>
        </is>
      </c>
    </row>
    <row r="2" ht="30" customHeight="1">
      <c r="A2" s="2" t="inlineStr">
        <is>
          <t>Seluruh kasus mengandaikan isi sheet ini sudah disiapkan. Tanpa 6 akun di bawah, kasus isolasi mill tidak dapat diuji sama sekali.</t>
        </is>
      </c>
    </row>
    <row r="4" ht="24" customHeight="1">
      <c r="A4" s="3" t="inlineStr">
        <is>
          <t>Yang harus siap sebelum menguji</t>
        </is>
      </c>
    </row>
    <row r="5">
      <c r="A5" s="10" t="inlineStr">
        <is>
          <t>Hal</t>
        </is>
      </c>
      <c r="B5" s="10" t="inlineStr">
        <is>
          <t>Keterangan</t>
        </is>
      </c>
      <c r="C5" s="6" t="n"/>
      <c r="D5" s="6" t="n"/>
      <c r="E5" s="6" t="n"/>
      <c r="F5" s="7" t="n"/>
    </row>
    <row r="6" ht="16" customHeight="1">
      <c r="A6" s="24" t="inlineStr">
        <is>
          <t>Aplikasi Web</t>
        </is>
      </c>
      <c r="B6" s="5" t="inlineStr">
        <is>
          <t>Dibuka di browser desktop. Lebar layar minimal 1280px untuk layar tabel.</t>
        </is>
      </c>
      <c r="C6" s="6" t="n"/>
      <c r="D6" s="6" t="n"/>
      <c r="E6" s="6" t="n"/>
      <c r="F6" s="7" t="n"/>
    </row>
    <row r="7" ht="16" customHeight="1">
      <c r="A7" s="20" t="inlineStr">
        <is>
          <t>Aplikasi Mobile</t>
        </is>
      </c>
      <c r="B7" s="21" t="inlineStr">
        <is>
          <t>Dibuka di perangkat atau emulator. Lebar acuan 390px.</t>
        </is>
      </c>
      <c r="C7" s="6" t="n"/>
      <c r="D7" s="6" t="n"/>
      <c r="E7" s="6" t="n"/>
      <c r="F7" s="7" t="n"/>
    </row>
    <row r="8" ht="16" customHeight="1">
      <c r="A8" s="24" t="inlineStr">
        <is>
          <t>Koneksi</t>
        </is>
      </c>
      <c r="B8" s="5" t="inlineStr">
        <is>
          <t>Perlu bisa DIMATIKAN untuk menguji mode offline mobile.</t>
        </is>
      </c>
      <c r="C8" s="6" t="n"/>
      <c r="D8" s="6" t="n"/>
      <c r="E8" s="6" t="n"/>
      <c r="F8" s="7" t="n"/>
    </row>
    <row r="9" ht="27" customHeight="1">
      <c r="A9" s="20" t="inlineStr">
        <is>
          <t>Data master</t>
        </is>
      </c>
      <c r="B9" s="21" t="inlineStr">
        <is>
          <t>Minimal: 1 Corporate, 1 Company, 2 Mill, masing-masing 2 Production Line, dan stasiun aktif untuk ke-18 jenis.</t>
        </is>
      </c>
      <c r="C9" s="6" t="n"/>
      <c r="D9" s="6" t="n"/>
      <c r="E9" s="6" t="n"/>
      <c r="F9" s="7" t="n"/>
    </row>
    <row r="10" ht="16" customHeight="1">
      <c r="A10" s="24" t="inlineStr">
        <is>
          <t>Periode Pelaporan</t>
        </is>
      </c>
      <c r="B10" s="5" t="inlineStr">
        <is>
          <t>Minimal satu periode yang mencakup hari ini, dengan stasiun berstatus Terbuka.</t>
        </is>
      </c>
      <c r="C10" s="6" t="n"/>
      <c r="D10" s="6" t="n"/>
      <c r="E10" s="6" t="n"/>
      <c r="F10" s="7" t="n"/>
    </row>
    <row r="12" ht="24" customHeight="1">
      <c r="A12" s="3" t="inlineStr">
        <is>
          <t>Akun uji — minimal 6</t>
        </is>
      </c>
    </row>
    <row r="13">
      <c r="A13" s="10" t="inlineStr">
        <is>
          <t>Kode akun</t>
        </is>
      </c>
      <c r="B13" s="10" t="inlineStr">
        <is>
          <t>Peran</t>
        </is>
      </c>
      <c r="C13" s="10" t="inlineStr">
        <is>
          <t>Mill</t>
        </is>
      </c>
      <c r="D13" s="10" t="inlineStr">
        <is>
          <t>Dipakai untuk</t>
        </is>
      </c>
      <c r="E13" s="6" t="n"/>
      <c r="F13" s="7" t="n"/>
    </row>
    <row r="14">
      <c r="A14" s="23" t="inlineStr">
        <is>
          <t>OPR-A</t>
        </is>
      </c>
      <c r="B14" s="5" t="inlineStr">
        <is>
          <t>Station Operator</t>
        </is>
      </c>
      <c r="C14" s="5" t="inlineStr">
        <is>
          <t>Mill A</t>
        </is>
      </c>
      <c r="D14" s="5" t="inlineStr">
        <is>
          <t>Alur input mobile</t>
        </is>
      </c>
      <c r="E14" s="6" t="n"/>
      <c r="F14" s="7" t="n"/>
    </row>
    <row r="15">
      <c r="A15" s="19" t="inlineStr">
        <is>
          <t>SPV-A</t>
        </is>
      </c>
      <c r="B15" s="21" t="inlineStr">
        <is>
          <t>Supervisor</t>
        </is>
      </c>
      <c r="C15" s="21" t="inlineStr">
        <is>
          <t>Mill A</t>
        </is>
      </c>
      <c r="D15" s="21" t="inlineStr">
        <is>
          <t>Input + verifikasi "Checked"</t>
        </is>
      </c>
      <c r="E15" s="6" t="n"/>
      <c r="F15" s="7" t="n"/>
    </row>
    <row r="16">
      <c r="A16" s="23" t="inlineStr">
        <is>
          <t>MGR-A</t>
        </is>
      </c>
      <c r="B16" s="5" t="inlineStr">
        <is>
          <t>Mill Management</t>
        </is>
      </c>
      <c r="C16" s="5" t="inlineStr">
        <is>
          <t>Mill A</t>
        </is>
      </c>
      <c r="D16" s="5" t="inlineStr">
        <is>
          <t>Verifikasi "Acknowledged", Pengaturan Mill</t>
        </is>
      </c>
      <c r="E16" s="6" t="n"/>
      <c r="F16" s="7" t="n"/>
    </row>
    <row r="17">
      <c r="A17" s="19" t="inlineStr">
        <is>
          <t>SPV-B</t>
        </is>
      </c>
      <c r="B17" s="21" t="inlineStr">
        <is>
          <t>Supervisor</t>
        </is>
      </c>
      <c r="C17" s="20" t="inlineStr">
        <is>
          <t>Mill B</t>
        </is>
      </c>
      <c r="D17" s="21" t="inlineStr">
        <is>
          <t>Menguji data Mill A tidak terlihat</t>
        </is>
      </c>
      <c r="E17" s="6" t="n"/>
      <c r="F17" s="7" t="n"/>
    </row>
    <row r="18">
      <c r="A18" s="23" t="inlineStr">
        <is>
          <t>ADM</t>
        </is>
      </c>
      <c r="B18" s="5" t="inlineStr">
        <is>
          <t>Admin</t>
        </is>
      </c>
      <c r="C18" s="5" t="inlineStr">
        <is>
          <t>— (tidak terikat mill)</t>
        </is>
      </c>
      <c r="D18" s="5" t="inlineStr">
        <is>
          <t>Master data, Periode Pelaporan</t>
        </is>
      </c>
      <c r="E18" s="6" t="n"/>
      <c r="F18" s="7" t="n"/>
    </row>
    <row r="19">
      <c r="A19" s="19" t="inlineStr">
        <is>
          <t>NOMILL</t>
        </is>
      </c>
      <c r="B19" s="21" t="inlineStr">
        <is>
          <t>Supervisor</t>
        </is>
      </c>
      <c r="C19" s="20" t="inlineStr">
        <is>
          <t>tanpa mill</t>
        </is>
      </c>
      <c r="D19" s="21" t="inlineStr">
        <is>
          <t>Menguji sistem menolak dengan jelas</t>
        </is>
      </c>
      <c r="E19" s="6" t="n"/>
      <c r="F19" s="7" t="n"/>
    </row>
    <row r="20" ht="44" customHeight="1">
      <c r="A20" s="8" t="inlineStr">
        <is>
          <t>Akun NOMILL sengaja dibuat cacat. Beberapa kasus menguji bahwa sistem MENOLAK DENGAN PESAN YANG MENYEBUT SEBABNYA alih-alih menampilkan halaman kosong — halaman kosong terbaca sebagai "tidak ada data", padahal yang benar adalah "akun Anda belum diatur".</t>
        </is>
      </c>
      <c r="B20" s="6" t="n"/>
      <c r="C20" s="6" t="n"/>
      <c r="D20" s="6" t="n"/>
      <c r="E20" s="6" t="n"/>
      <c r="F20" s="7" t="n"/>
    </row>
    <row r="22" ht="24" customHeight="1">
      <c r="A22" s="3" t="inlineStr">
        <is>
          <t>Matriks peran — acuan seluruh kasus LS-01</t>
        </is>
      </c>
    </row>
    <row r="23">
      <c r="A23" s="10" t="inlineStr">
        <is>
          <t>Kemampuan</t>
        </is>
      </c>
      <c r="B23" s="10" t="inlineStr">
        <is>
          <t>Operator</t>
        </is>
      </c>
      <c r="C23" s="10" t="inlineStr">
        <is>
          <t>Supervisor</t>
        </is>
      </c>
      <c r="D23" s="10" t="inlineStr">
        <is>
          <t>Mill Management</t>
        </is>
      </c>
      <c r="E23" s="10" t="inlineStr">
        <is>
          <t>Admin</t>
        </is>
      </c>
      <c r="F23" s="10" t="inlineStr">
        <is>
          <t>Catatan</t>
        </is>
      </c>
    </row>
    <row r="24">
      <c r="A24" s="24" t="inlineStr">
        <is>
          <t>Login Mobile</t>
        </is>
      </c>
      <c r="B24" s="22" t="inlineStr">
        <is>
          <t>✓</t>
        </is>
      </c>
      <c r="C24" s="22" t="inlineStr">
        <is>
          <t>✓</t>
        </is>
      </c>
      <c r="D24" s="22" t="inlineStr">
        <is>
          <t>✓</t>
        </is>
      </c>
      <c r="E24" s="22" t="inlineStr">
        <is>
          <t>✓</t>
        </is>
      </c>
      <c r="F24" s="5" t="inlineStr">
        <is>
          <t>Admin bukan alur yang dirancang</t>
        </is>
      </c>
    </row>
    <row r="25">
      <c r="A25" s="20" t="inlineStr">
        <is>
          <t>Login Web</t>
        </is>
      </c>
      <c r="B25" s="18" t="inlineStr">
        <is>
          <t>v terbatas</t>
        </is>
      </c>
      <c r="C25" s="18" t="inlineStr">
        <is>
          <t>✓</t>
        </is>
      </c>
      <c r="D25" s="18" t="inlineStr">
        <is>
          <t>✓</t>
        </is>
      </c>
      <c r="E25" s="18" t="inlineStr">
        <is>
          <t>✓</t>
        </is>
      </c>
      <c r="F25" s="21" t="inlineStr">
        <is>
          <t>Operator: hanya 3 layar, lihat baris terbawah</t>
        </is>
      </c>
    </row>
    <row r="26">
      <c r="A26" s="24" t="inlineStr">
        <is>
          <t>Input data stasiun (Mobile)</t>
        </is>
      </c>
      <c r="B26" s="22" t="inlineStr">
        <is>
          <t>✓</t>
        </is>
      </c>
      <c r="C26" s="22" t="inlineStr">
        <is>
          <t>✓</t>
        </is>
      </c>
      <c r="D26" s="22" t="inlineStr">
        <is>
          <t>✓</t>
        </is>
      </c>
      <c r="E26" s="35" t="inlineStr">
        <is>
          <t>—</t>
        </is>
      </c>
      <c r="F26" s="5" t="inlineStr"/>
    </row>
    <row r="27">
      <c r="A27" s="20" t="inlineStr">
        <is>
          <t>Input data stasiun (Web)</t>
        </is>
      </c>
      <c r="B27" s="35" t="inlineStr">
        <is>
          <t>—</t>
        </is>
      </c>
      <c r="C27" s="18" t="inlineStr">
        <is>
          <t>✓</t>
        </is>
      </c>
      <c r="D27" s="18" t="inlineStr">
        <is>
          <t>✓</t>
        </is>
      </c>
      <c r="E27" s="18" t="inlineStr">
        <is>
          <t>✓</t>
        </is>
      </c>
      <c r="F27" s="21" t="inlineStr"/>
    </row>
    <row r="28">
      <c r="A28" s="24" t="inlineStr">
        <is>
          <t>Isi Checked By</t>
        </is>
      </c>
      <c r="B28" s="35" t="inlineStr">
        <is>
          <t>—</t>
        </is>
      </c>
      <c r="C28" s="22" t="inlineStr">
        <is>
          <t>✓</t>
        </is>
      </c>
      <c r="D28" s="35" t="inlineStr">
        <is>
          <t>—</t>
        </is>
      </c>
      <c r="E28" s="22" t="inlineStr">
        <is>
          <t>✓</t>
        </is>
      </c>
      <c r="F28" s="5" t="inlineStr"/>
    </row>
    <row r="29">
      <c r="A29" s="20" t="inlineStr">
        <is>
          <t>Isi Acknowledged By</t>
        </is>
      </c>
      <c r="B29" s="35" t="inlineStr">
        <is>
          <t>—</t>
        </is>
      </c>
      <c r="C29" s="35" t="inlineStr">
        <is>
          <t>—</t>
        </is>
      </c>
      <c r="D29" s="18" t="inlineStr">
        <is>
          <t>✓</t>
        </is>
      </c>
      <c r="E29" s="18" t="inlineStr">
        <is>
          <t>✓</t>
        </is>
      </c>
      <c r="F29" s="21" t="inlineStr"/>
    </row>
    <row r="30">
      <c r="A30" s="24" t="inlineStr">
        <is>
          <t>Lihat Data Browser / Detail (Web)</t>
        </is>
      </c>
      <c r="B30" s="35" t="inlineStr">
        <is>
          <t>—</t>
        </is>
      </c>
      <c r="C30" s="22" t="inlineStr">
        <is>
          <t>✓</t>
        </is>
      </c>
      <c r="D30" s="22" t="inlineStr">
        <is>
          <t>✓</t>
        </is>
      </c>
      <c r="E30" s="22" t="inlineStr">
        <is>
          <t>✓</t>
        </is>
      </c>
      <c r="F30" s="5" t="inlineStr"/>
    </row>
    <row r="31">
      <c r="A31" s="20" t="inlineStr">
        <is>
          <t>Lihat "Data Saya" (Web)</t>
        </is>
      </c>
      <c r="B31" s="18" t="inlineStr">
        <is>
          <t>✓</t>
        </is>
      </c>
      <c r="C31" s="18" t="inlineStr">
        <is>
          <t>✓</t>
        </is>
      </c>
      <c r="D31" s="35" t="inlineStr">
        <is>
          <t>—</t>
        </is>
      </c>
      <c r="E31" s="35" t="inlineStr">
        <is>
          <t>—</t>
        </is>
      </c>
      <c r="F31" s="21" t="inlineStr"/>
    </row>
    <row r="32">
      <c r="A32" s="24" t="inlineStr">
        <is>
          <t>Laporan periode stasiun (Web)</t>
        </is>
      </c>
      <c r="B32" s="35" t="inlineStr">
        <is>
          <t>—</t>
        </is>
      </c>
      <c r="C32" s="22" t="inlineStr">
        <is>
          <t>✓</t>
        </is>
      </c>
      <c r="D32" s="22" t="inlineStr">
        <is>
          <t>✓</t>
        </is>
      </c>
      <c r="E32" s="22" t="inlineStr">
        <is>
          <t>✓</t>
        </is>
      </c>
      <c r="F32" s="5" t="inlineStr"/>
    </row>
    <row r="33">
      <c r="A33" s="20" t="inlineStr">
        <is>
          <t>Laporan periode stasiun (Mobile)</t>
        </is>
      </c>
      <c r="B33" s="18" t="inlineStr">
        <is>
          <t>✓</t>
        </is>
      </c>
      <c r="C33" s="18" t="inlineStr">
        <is>
          <t>✓</t>
        </is>
      </c>
      <c r="D33" s="18" t="inlineStr">
        <is>
          <t>✓</t>
        </is>
      </c>
      <c r="E33" s="18" t="inlineStr">
        <is>
          <t>✓</t>
        </is>
      </c>
      <c r="F33" s="21" t="inlineStr"/>
    </row>
    <row r="34">
      <c r="A34" s="24" t="inlineStr">
        <is>
          <t>Dashboard (Web)</t>
        </is>
      </c>
      <c r="B34" s="35" t="inlineStr">
        <is>
          <t>—</t>
        </is>
      </c>
      <c r="C34" s="22" t="inlineStr">
        <is>
          <t>✓</t>
        </is>
      </c>
      <c r="D34" s="22" t="inlineStr">
        <is>
          <t>✓</t>
        </is>
      </c>
      <c r="E34" s="22" t="inlineStr">
        <is>
          <t>✓</t>
        </is>
      </c>
      <c r="F34" s="5" t="inlineStr"/>
    </row>
    <row r="35">
      <c r="A35" s="20" t="inlineStr">
        <is>
          <t>Laporan Manajemen</t>
        </is>
      </c>
      <c r="B35" s="35" t="inlineStr">
        <is>
          <t>—</t>
        </is>
      </c>
      <c r="C35" s="35" t="inlineStr">
        <is>
          <t>—</t>
        </is>
      </c>
      <c r="D35" s="18" t="inlineStr">
        <is>
          <t>✓</t>
        </is>
      </c>
      <c r="E35" s="18" t="inlineStr">
        <is>
          <t>✓</t>
        </is>
      </c>
      <c r="F35" s="21" t="inlineStr"/>
    </row>
    <row r="36">
      <c r="A36" s="24" t="inlineStr">
        <is>
          <t>Master data (Corporate…Mesin)</t>
        </is>
      </c>
      <c r="B36" s="35" t="inlineStr">
        <is>
          <t>—</t>
        </is>
      </c>
      <c r="C36" s="35" t="inlineStr">
        <is>
          <t>—</t>
        </is>
      </c>
      <c r="D36" s="35" t="inlineStr">
        <is>
          <t>—</t>
        </is>
      </c>
      <c r="E36" s="22" t="inlineStr">
        <is>
          <t>✓</t>
        </is>
      </c>
      <c r="F36" s="5" t="inlineStr"/>
    </row>
    <row r="37">
      <c r="A37" s="20" t="inlineStr">
        <is>
          <t>Periode Pelaporan: tambah/ubah/hapus</t>
        </is>
      </c>
      <c r="B37" s="35" t="inlineStr">
        <is>
          <t>—</t>
        </is>
      </c>
      <c r="C37" s="35" t="inlineStr">
        <is>
          <t>—</t>
        </is>
      </c>
      <c r="D37" s="35" t="inlineStr">
        <is>
          <t>—</t>
        </is>
      </c>
      <c r="E37" s="18" t="inlineStr">
        <is>
          <t>✓</t>
        </is>
      </c>
      <c r="F37" s="21" t="inlineStr"/>
    </row>
    <row r="38">
      <c r="A38" s="24" t="inlineStr">
        <is>
          <t>Tutup / Buka Periode</t>
        </is>
      </c>
      <c r="B38" s="35" t="inlineStr">
        <is>
          <t>—</t>
        </is>
      </c>
      <c r="C38" s="35" t="inlineStr">
        <is>
          <t>—</t>
        </is>
      </c>
      <c r="D38" s="35" t="inlineStr">
        <is>
          <t>—</t>
        </is>
      </c>
      <c r="E38" s="22" t="inlineStr">
        <is>
          <t>✓</t>
        </is>
      </c>
      <c r="F38" s="36" t="inlineStr">
        <is>
          <t>HANYA Admin</t>
        </is>
      </c>
    </row>
    <row r="39">
      <c r="A39" s="20" t="inlineStr">
        <is>
          <t>Pengaturan Mill</t>
        </is>
      </c>
      <c r="B39" s="35" t="inlineStr">
        <is>
          <t>—</t>
        </is>
      </c>
      <c r="C39" s="35" t="inlineStr">
        <is>
          <t>—</t>
        </is>
      </c>
      <c r="D39" s="18" t="inlineStr">
        <is>
          <t>v mill sendiri</t>
        </is>
      </c>
      <c r="E39" s="18" t="inlineStr">
        <is>
          <t>v semua mill</t>
        </is>
      </c>
      <c r="F39" s="21" t="inlineStr"/>
    </row>
    <row r="40">
      <c r="A40" s="24" t="inlineStr">
        <is>
          <t>Kelola User &amp; Role</t>
        </is>
      </c>
      <c r="B40" s="35" t="inlineStr">
        <is>
          <t>—</t>
        </is>
      </c>
      <c r="C40" s="35" t="inlineStr">
        <is>
          <t>—</t>
        </is>
      </c>
      <c r="D40" s="35" t="inlineStr">
        <is>
          <t>—</t>
        </is>
      </c>
      <c r="E40" s="22" t="inlineStr">
        <is>
          <t>✓</t>
        </is>
      </c>
      <c r="F40" s="5" t="inlineStr"/>
    </row>
    <row r="41">
      <c r="A41" s="20" t="inlineStr">
        <is>
          <t>Pemilih Mill pada laporan</t>
        </is>
      </c>
      <c r="B41" s="35" t="inlineStr">
        <is>
          <t>—</t>
        </is>
      </c>
      <c r="C41" s="35" t="inlineStr">
        <is>
          <t>—</t>
        </is>
      </c>
      <c r="D41" s="35" t="inlineStr">
        <is>
          <t>—</t>
        </is>
      </c>
      <c r="E41" s="18" t="inlineStr">
        <is>
          <t>✓</t>
        </is>
      </c>
      <c r="F41" s="37" t="inlineStr">
        <is>
          <t>HANYA Admin</t>
        </is>
      </c>
    </row>
    <row r="42" ht="32" customHeight="1">
      <c r="A42" s="4" t="inlineStr">
        <is>
          <t>Akses web Operator dibatasi pada: Beranda Operator, Ganti Password, dan Data Saya. Seluruh alamat lain harus menjawab halaman 403 (Akses Ditolak) — bukan halaman kosong, bukan diarahkan diam-diam ke beranda.</t>
        </is>
      </c>
      <c r="B42" s="6" t="n"/>
      <c r="C42" s="6" t="n"/>
      <c r="D42" s="6" t="n"/>
      <c r="E42" s="6" t="n"/>
      <c r="F42" s="7" t="n"/>
    </row>
  </sheetData>
  <mergeCells count="20">
    <mergeCell ref="B7:F7"/>
    <mergeCell ref="D13:F13"/>
    <mergeCell ref="D17:F17"/>
    <mergeCell ref="A12:F12"/>
    <mergeCell ref="D16:F16"/>
    <mergeCell ref="A2:F2"/>
    <mergeCell ref="A42:F42"/>
    <mergeCell ref="D18:F18"/>
    <mergeCell ref="A22:F22"/>
    <mergeCell ref="A4:F4"/>
    <mergeCell ref="B8:F8"/>
    <mergeCell ref="A20:F20"/>
    <mergeCell ref="D15:F15"/>
    <mergeCell ref="D14:F14"/>
    <mergeCell ref="B10:F10"/>
    <mergeCell ref="B9:F9"/>
    <mergeCell ref="D19:F19"/>
    <mergeCell ref="B6:F6"/>
    <mergeCell ref="A1:F1"/>
    <mergeCell ref="B5:F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6" customWidth="1" min="3" max="3"/>
    <col width="17" customWidth="1" min="4" max="4"/>
    <col width="17" customWidth="1" min="5" max="5"/>
    <col width="16" customWidth="1" min="6" max="6"/>
    <col width="62" customWidth="1" min="7" max="7"/>
  </cols>
  <sheetData>
    <row r="1" ht="26" customHeight="1">
      <c r="A1" s="1" t="inlineStr">
        <is>
          <t>Matriks 18 stasiun</t>
        </is>
      </c>
    </row>
    <row r="2" ht="30" customHeight="1">
      <c r="A2" s="2" t="inlineStr">
        <is>
          <t>"Kolom wajib" = kolom identitas unit yang harus diisi sebelum Simpan. "Jml kolom bacaan" = banyaknya kolom pengukuran per baris slot waktu, dipakai pada MB-FORM-05. ± berarti jumlahnya berbeda per stasiun dan dibaca dari layar saat menguji.</t>
        </is>
      </c>
    </row>
    <row r="4" ht="28" customHeight="1">
      <c r="A4" s="10" t="inlineStr">
        <is>
          <t>No</t>
        </is>
      </c>
      <c r="B4" s="10" t="inlineStr">
        <is>
          <t>Stasiun</t>
        </is>
      </c>
      <c r="C4" s="10" t="inlineStr">
        <is>
          <t>Kolom wajib</t>
        </is>
      </c>
      <c r="D4" s="10" t="inlineStr">
        <is>
          <t>Jml kolom bacaan</t>
        </is>
      </c>
      <c r="E4" s="10" t="inlineStr">
        <is>
          <t>Pola</t>
        </is>
      </c>
      <c r="F4" s="10" t="inlineStr">
        <is>
          <t>Laporan periode</t>
        </is>
      </c>
      <c r="G4" s="10" t="inlineStr">
        <is>
          <t>Keanehan yang perlu diperhatikan</t>
        </is>
      </c>
    </row>
    <row r="5" ht="27" customHeight="1">
      <c r="A5" s="22" t="n">
        <v>1</v>
      </c>
      <c r="B5" s="24" t="inlineStr">
        <is>
          <t>Weighbridge</t>
        </is>
      </c>
      <c r="C5" s="5" t="inlineStr">
        <is>
          <t>No. Kartu / Kendaraan</t>
        </is>
      </c>
      <c r="D5" s="22" t="inlineStr">
        <is>
          <t>per-transaksi</t>
        </is>
      </c>
      <c r="E5" s="35" t="inlineStr">
        <is>
          <t>Per-transaksi</t>
        </is>
      </c>
      <c r="F5" s="22" t="inlineStr">
        <is>
          <t>Ada (web+mobile)</t>
        </is>
      </c>
      <c r="G5" s="5" t="inlineStr">
        <is>
          <t>BUKAN pola 24 slot — satu record per transaksi timbang, ada arus Masuk &amp; Keluar</t>
        </is>
      </c>
    </row>
    <row r="6" ht="16" customHeight="1">
      <c r="A6" s="18" t="n">
        <v>2</v>
      </c>
      <c r="B6" s="20" t="inlineStr">
        <is>
          <t>Grading</t>
        </is>
      </c>
      <c r="C6" s="21" t="inlineStr">
        <is>
          <t>Parameter grading</t>
        </is>
      </c>
      <c r="D6" s="18" t="inlineStr">
        <is>
          <t>per-muatan</t>
        </is>
      </c>
      <c r="E6" s="35" t="inlineStr">
        <is>
          <t>Per-transaksi</t>
        </is>
      </c>
      <c r="F6" s="18" t="inlineStr">
        <is>
          <t>Ada (web+mobile)</t>
        </is>
      </c>
      <c r="G6" s="21" t="inlineStr">
        <is>
          <t>Satu record per muatan, ada beberapa baris parameter</t>
        </is>
      </c>
    </row>
    <row r="7" ht="16" customHeight="1">
      <c r="A7" s="22" t="n">
        <v>3</v>
      </c>
      <c r="B7" s="24" t="inlineStr">
        <is>
          <t>Cages Track</t>
        </is>
      </c>
      <c r="C7" s="5" t="inlineStr">
        <is>
          <t>ID Cage</t>
        </is>
      </c>
      <c r="D7" s="22" t="inlineStr">
        <is>
          <t>±</t>
        </is>
      </c>
      <c r="E7" s="22" t="inlineStr">
        <is>
          <t>24 slot</t>
        </is>
      </c>
      <c r="F7" s="22" t="inlineStr">
        <is>
          <t>Ada (web+mobile)</t>
        </is>
      </c>
      <c r="G7" s="5" t="inlineStr"/>
    </row>
    <row r="8" ht="27" customHeight="1">
      <c r="A8" s="18" t="n">
        <v>4</v>
      </c>
      <c r="B8" s="20" t="inlineStr">
        <is>
          <t>Sterilizer</t>
        </is>
      </c>
      <c r="C8" s="21" t="inlineStr">
        <is>
          <t>ID Sterilizer</t>
        </is>
      </c>
      <c r="D8" s="18" t="inlineStr">
        <is>
          <t>±</t>
        </is>
      </c>
      <c r="E8" s="18" t="inlineStr">
        <is>
          <t>24 slot</t>
        </is>
      </c>
      <c r="F8" s="18" t="inlineStr">
        <is>
          <t>Ada (web+mobile)</t>
        </is>
      </c>
      <c r="G8" s="21" t="inlineStr">
        <is>
          <t>Ada checkbox "Checked by SPV" per baris — Operator tidak boleh bisa mengisinya</t>
        </is>
      </c>
    </row>
    <row r="9" ht="16" customHeight="1">
      <c r="A9" s="22" t="n">
        <v>5</v>
      </c>
      <c r="B9" s="24" t="inlineStr">
        <is>
          <t>Threshing</t>
        </is>
      </c>
      <c r="C9" s="5" t="inlineStr">
        <is>
          <t>ID Thresher</t>
        </is>
      </c>
      <c r="D9" s="22" t="inlineStr">
        <is>
          <t>5</t>
        </is>
      </c>
      <c r="E9" s="22" t="inlineStr">
        <is>
          <t>24 slot</t>
        </is>
      </c>
      <c r="F9" s="22" t="inlineStr">
        <is>
          <t>Ada (web+mobile)</t>
        </is>
      </c>
      <c r="G9" s="5" t="inlineStr">
        <is>
          <t>Punya master target</t>
        </is>
      </c>
    </row>
    <row r="10" ht="16" customHeight="1">
      <c r="A10" s="18" t="n">
        <v>6</v>
      </c>
      <c r="B10" s="20" t="inlineStr">
        <is>
          <t>Pressing</t>
        </is>
      </c>
      <c r="C10" s="21" t="inlineStr">
        <is>
          <t>ID Presser</t>
        </is>
      </c>
      <c r="D10" s="18" t="inlineStr">
        <is>
          <t>5</t>
        </is>
      </c>
      <c r="E10" s="18" t="inlineStr">
        <is>
          <t>24 slot</t>
        </is>
      </c>
      <c r="F10" s="18" t="inlineStr">
        <is>
          <t>Ada (web+mobile)</t>
        </is>
      </c>
      <c r="G10" s="21" t="inlineStr">
        <is>
          <t>Punya master target</t>
        </is>
      </c>
    </row>
    <row r="11" ht="16" customHeight="1">
      <c r="A11" s="22" t="n">
        <v>7</v>
      </c>
      <c r="B11" s="24" t="inlineStr">
        <is>
          <t>Clarification</t>
        </is>
      </c>
      <c r="C11" s="5" t="inlineStr">
        <is>
          <t>ID unit</t>
        </is>
      </c>
      <c r="D11" s="22" t="inlineStr">
        <is>
          <t>±</t>
        </is>
      </c>
      <c r="E11" s="22" t="inlineStr">
        <is>
          <t>24 slot</t>
        </is>
      </c>
      <c r="F11" s="22" t="inlineStr">
        <is>
          <t>Ada (web+mobile)</t>
        </is>
      </c>
      <c r="G11" s="5" t="inlineStr"/>
    </row>
    <row r="12" ht="27" customHeight="1">
      <c r="A12" s="18" t="n">
        <v>8</v>
      </c>
      <c r="B12" s="20" t="inlineStr">
        <is>
          <t>Kernel Plant</t>
        </is>
      </c>
      <c r="C12" s="21" t="inlineStr">
        <is>
          <t>ID unit kernel plant</t>
        </is>
      </c>
      <c r="D12" s="18" t="inlineStr">
        <is>
          <t>7</t>
        </is>
      </c>
      <c r="E12" s="18" t="inlineStr">
        <is>
          <t>24 slot</t>
        </is>
      </c>
      <c r="F12" s="18" t="inlineStr">
        <is>
          <t>Ada (web+mobile)</t>
        </is>
      </c>
      <c r="G12" s="21" t="inlineStr">
        <is>
          <t>Punya master target. Dua pasang kolom berbagi satu standar (2 ripple mill, 2 kernel silo)</t>
        </is>
      </c>
    </row>
    <row r="13" ht="16" customHeight="1">
      <c r="A13" s="22" t="n">
        <v>9</v>
      </c>
      <c r="B13" s="24" t="inlineStr">
        <is>
          <t>Boiler Room</t>
        </is>
      </c>
      <c r="C13" s="5" t="inlineStr">
        <is>
          <t>ID boiler</t>
        </is>
      </c>
      <c r="D13" s="22" t="inlineStr">
        <is>
          <t>±</t>
        </is>
      </c>
      <c r="E13" s="22" t="inlineStr">
        <is>
          <t>24 slot</t>
        </is>
      </c>
      <c r="F13" s="22" t="inlineStr">
        <is>
          <t>Ada (web+mobile)</t>
        </is>
      </c>
      <c r="G13" s="5" t="inlineStr"/>
    </row>
    <row r="14" ht="27" customHeight="1">
      <c r="A14" s="18" t="n">
        <v>10</v>
      </c>
      <c r="B14" s="20" t="inlineStr">
        <is>
          <t>Effluent Plant</t>
        </is>
      </c>
      <c r="C14" s="21" t="inlineStr">
        <is>
          <t>ID unit</t>
        </is>
      </c>
      <c r="D14" s="18" t="inlineStr">
        <is>
          <t>14</t>
        </is>
      </c>
      <c r="E14" s="18" t="inlineStr">
        <is>
          <t>24 slot</t>
        </is>
      </c>
      <c r="F14" s="38" t="inlineStr">
        <is>
          <t>BELUM dibangun</t>
        </is>
      </c>
      <c r="G14" s="21" t="inlineStr">
        <is>
          <t>PALING BANYAK KOLOM. Ada 3 kolom status pilihan (on/off/fault, run/stop) dan 2 kolom teks bebas</t>
        </is>
      </c>
    </row>
    <row r="15" ht="27" customHeight="1">
      <c r="A15" s="22" t="n">
        <v>11</v>
      </c>
      <c r="B15" s="24" t="inlineStr">
        <is>
          <t>Depricarping</t>
        </is>
      </c>
      <c r="C15" s="5" t="inlineStr">
        <is>
          <t>ID Presser</t>
        </is>
      </c>
      <c r="D15" s="22" t="inlineStr">
        <is>
          <t>7</t>
        </is>
      </c>
      <c r="E15" s="22" t="inlineStr">
        <is>
          <t>24 slot</t>
        </is>
      </c>
      <c r="F15" s="22" t="inlineStr">
        <is>
          <t>Ada (web+mobile)</t>
        </is>
      </c>
      <c r="G15" s="5" t="inlineStr">
        <is>
          <t>Punya master target. Ada kolom Downtime (menit) berupa angka + kolom Temuan</t>
        </is>
      </c>
    </row>
    <row r="16" ht="16" customHeight="1">
      <c r="A16" s="18" t="n">
        <v>12</v>
      </c>
      <c r="B16" s="20" t="inlineStr">
        <is>
          <t>Engine Room</t>
        </is>
      </c>
      <c r="C16" s="21" t="inlineStr">
        <is>
          <t>ID unit</t>
        </is>
      </c>
      <c r="D16" s="18" t="inlineStr">
        <is>
          <t>±</t>
        </is>
      </c>
      <c r="E16" s="18" t="inlineStr">
        <is>
          <t>24 slot</t>
        </is>
      </c>
      <c r="F16" s="38" t="inlineStr">
        <is>
          <t>Belum</t>
        </is>
      </c>
      <c r="G16" s="21" t="inlineStr"/>
    </row>
    <row r="17" ht="16" customHeight="1">
      <c r="A17" s="22" t="n">
        <v>13</v>
      </c>
      <c r="B17" s="24" t="inlineStr">
        <is>
          <t>Process Water</t>
        </is>
      </c>
      <c r="C17" s="5" t="inlineStr">
        <is>
          <t>ID unit</t>
        </is>
      </c>
      <c r="D17" s="22" t="inlineStr">
        <is>
          <t>±</t>
        </is>
      </c>
      <c r="E17" s="22" t="inlineStr">
        <is>
          <t>24 slot</t>
        </is>
      </c>
      <c r="F17" s="39" t="inlineStr">
        <is>
          <t>Belum</t>
        </is>
      </c>
      <c r="G17" s="5" t="inlineStr">
        <is>
          <t>Ada kolom shift &amp; petugas</t>
        </is>
      </c>
    </row>
    <row r="18" ht="16" customHeight="1">
      <c r="A18" s="18" t="n">
        <v>14</v>
      </c>
      <c r="B18" s="20" t="inlineStr">
        <is>
          <t>Storage Tank</t>
        </is>
      </c>
      <c r="C18" s="21" t="inlineStr">
        <is>
          <t>ID tangki</t>
        </is>
      </c>
      <c r="D18" s="18" t="inlineStr">
        <is>
          <t>±</t>
        </is>
      </c>
      <c r="E18" s="18" t="inlineStr">
        <is>
          <t>24 slot</t>
        </is>
      </c>
      <c r="F18" s="18" t="inlineStr">
        <is>
          <t>Ada (web+mobile)</t>
        </is>
      </c>
      <c r="G18" s="21" t="inlineStr"/>
    </row>
    <row r="19" ht="16" customHeight="1">
      <c r="A19" s="22" t="n">
        <v>15</v>
      </c>
      <c r="B19" s="24" t="inlineStr">
        <is>
          <t>Solid Waste Disposal</t>
        </is>
      </c>
      <c r="C19" s="5" t="inlineStr">
        <is>
          <t>ID unit</t>
        </is>
      </c>
      <c r="D19" s="22" t="inlineStr">
        <is>
          <t>±</t>
        </is>
      </c>
      <c r="E19" s="22" t="inlineStr">
        <is>
          <t>24 slot</t>
        </is>
      </c>
      <c r="F19" s="39" t="inlineStr">
        <is>
          <t>Belum</t>
        </is>
      </c>
      <c r="G19" s="5" t="inlineStr"/>
    </row>
    <row r="20" ht="16" customHeight="1">
      <c r="A20" s="18" t="n">
        <v>16</v>
      </c>
      <c r="B20" s="20" t="inlineStr">
        <is>
          <t>Kernel Dispatch</t>
        </is>
      </c>
      <c r="C20" s="21" t="inlineStr">
        <is>
          <t>No. Kartu / Kendaraan</t>
        </is>
      </c>
      <c r="D20" s="18" t="inlineStr">
        <is>
          <t>per-transaksi</t>
        </is>
      </c>
      <c r="E20" s="35" t="inlineStr">
        <is>
          <t>Per-transaksi</t>
        </is>
      </c>
      <c r="F20" s="38" t="inlineStr">
        <is>
          <t>Belum</t>
        </is>
      </c>
      <c r="G20" s="21" t="inlineStr">
        <is>
          <t>Pola per-transaksi, ada kolom status pilihan</t>
        </is>
      </c>
    </row>
    <row r="21" ht="16" customHeight="1">
      <c r="A21" s="22" t="n">
        <v>17</v>
      </c>
      <c r="B21" s="24" t="inlineStr">
        <is>
          <t>CPO Dispatch</t>
        </is>
      </c>
      <c r="C21" s="5" t="inlineStr">
        <is>
          <t>No. Kartu / Kendaraan</t>
        </is>
      </c>
      <c r="D21" s="22" t="inlineStr">
        <is>
          <t>per-transaksi</t>
        </is>
      </c>
      <c r="E21" s="35" t="inlineStr">
        <is>
          <t>Per-transaksi</t>
        </is>
      </c>
      <c r="F21" s="39" t="inlineStr">
        <is>
          <t>Belum</t>
        </is>
      </c>
      <c r="G21" s="5" t="inlineStr">
        <is>
          <t>Pola per-transaksi</t>
        </is>
      </c>
    </row>
    <row r="22" ht="16" customHeight="1">
      <c r="A22" s="18" t="n">
        <v>18</v>
      </c>
      <c r="B22" s="20" t="inlineStr">
        <is>
          <t>Process Quality Control</t>
        </is>
      </c>
      <c r="C22" s="21" t="inlineStr">
        <is>
          <t>ID unit</t>
        </is>
      </c>
      <c r="D22" s="18" t="inlineStr">
        <is>
          <t>±</t>
        </is>
      </c>
      <c r="E22" s="18" t="inlineStr">
        <is>
          <t>24 slot</t>
        </is>
      </c>
      <c r="F22" s="38" t="inlineStr">
        <is>
          <t>Belum</t>
        </is>
      </c>
      <c r="G22" s="21" t="inlineStr"/>
    </row>
    <row r="24" ht="44" customHeight="1">
      <c r="A24" s="8" t="inlineStr">
        <is>
          <t>Weighbridge, Grading, Kernel Dispatch, dan CPO Dispatch tidak memakai 24 slot waktu. Untuk keempat stasiun ini MB-FORM-03 dan MB-FORM-04 (aturan urutan slot) digantikan MB-FORM-11. Di sheet Kasus Uji baris-baris itu memang tidak ada — yang terdaftar hanya jalan yang dapat dikerjakan.</t>
        </is>
      </c>
      <c r="B24" s="6" t="n"/>
      <c r="C24" s="6" t="n"/>
      <c r="D24" s="6" t="n"/>
      <c r="E24" s="6" t="n"/>
      <c r="F24" s="6" t="n"/>
      <c r="G24" s="7" t="n"/>
    </row>
    <row r="25" ht="32" customHeight="1">
      <c r="A25" s="4" t="inlineStr">
        <is>
          <t>11 stasiun sudah punya laporan periode, jadi LP- dijalankan 11× untuk web dan 11× untuk mobile. Tile stasiun yang laporannya belum ada harus KELABU DAN TIDAK DAPAT DITEKAN — diuji oleh DS-04 dan DS-07, bukan hilang dari layar.</t>
        </is>
      </c>
      <c r="B25" s="6" t="n"/>
      <c r="C25" s="6" t="n"/>
      <c r="D25" s="6" t="n"/>
      <c r="E25" s="6" t="n"/>
      <c r="F25" s="6" t="n"/>
      <c r="G25" s="7" t="n"/>
    </row>
  </sheetData>
  <mergeCells count="4">
    <mergeCell ref="A24:G24"/>
    <mergeCell ref="A2:G2"/>
    <mergeCell ref="A1:G1"/>
    <mergeCell ref="A25:G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10" customWidth="1" min="1" max="1"/>
    <col width="58" customWidth="1" min="2" max="2"/>
    <col width="62" customWidth="1" min="3" max="3"/>
  </cols>
  <sheetData>
    <row r="1" ht="26" customHeight="1">
      <c r="A1" s="1" t="inlineStr">
        <is>
          <t>Catatan &amp; Batasan — baca sebelum melapor</t>
        </is>
      </c>
    </row>
    <row r="2" ht="30" customHeight="1">
      <c r="A2" s="2" t="inlineStr">
        <is>
          <t>Dua daftar. Yang pertama sudah diketahui tim dan bukan temuan baru. Yang kedua TERLIHAT seperti bug tetapi perilakunya benar — keenamnya akan dilaporkan oleh QA yang belum membaca halaman ini.</t>
        </is>
      </c>
    </row>
    <row r="4">
      <c r="A4" s="3" t="inlineStr">
        <is>
          <t>Batasan yang sudah diketahui</t>
        </is>
      </c>
    </row>
    <row r="5">
      <c r="A5" s="40" t="inlineStr">
        <is>
          <t>Hal-hal di bawah sudah diketahui dan bukan temuan baru. Kalau penguji menemukannya, cukup rujuk nomornya alih-alih membuat laporan bug baru.</t>
        </is>
      </c>
    </row>
    <row r="6">
      <c r="A6" s="10" t="inlineStr">
        <is>
          <t>No</t>
        </is>
      </c>
      <c r="B6" s="10" t="inlineStr">
        <is>
          <t>Hal</t>
        </is>
      </c>
      <c r="C6" s="10" t="inlineStr">
        <is>
          <t>Keterangan</t>
        </is>
      </c>
    </row>
    <row r="7" ht="83.19999999999999" customHeight="1">
      <c r="A7" s="30" t="inlineStr">
        <is>
          <t>B-1</t>
        </is>
      </c>
      <c r="B7" s="24" t="inlineStr">
        <is>
          <t>Laporan periode belum tersedia untuk 7 stasiun</t>
        </is>
      </c>
      <c r="C7" s="5" t="inlineStr">
        <is>
          <t>Engine Room, Process Water, Solid Waste Disposal, Kernel Dispatch, CPO Dispatch, Process Quality Control, dan Effluent Plant belum punya layar laporan periode. Tile-nya tetap TAMPIL di layar Laporan Stasiun dalam keadaan kelabu dan tidak dapat ditekan — supaya pembaca tahu stasiun itu ada. Input data untuk ketujuh stasiun tersebut SUDAH tersedia, baik di web maupun mobile.</t>
        </is>
      </c>
    </row>
    <row r="8" ht="56.8" customHeight="1">
      <c r="A8" s="41" t="inlineStr">
        <is>
          <t>B-2</t>
        </is>
      </c>
      <c r="B8" s="20" t="inlineStr">
        <is>
          <t>Layar "Data Saya" belum tersedia</t>
        </is>
      </c>
      <c r="C8" s="21" t="inlineStr">
        <is>
          <t>Daftar record yang dibuat pengguna itu sendiri belum ada. Akibatnya akses web untuk peran Station Operator terbatas pada dua layar: Beranda Operator dan Ganti Password. Operator tetap dapat menginput lewat aplikasi mobile seperti biasa.</t>
        </is>
      </c>
    </row>
    <row r="9" ht="96.39999999999999" customHeight="1">
      <c r="A9" s="30" t="inlineStr">
        <is>
          <t>B-3</t>
        </is>
      </c>
      <c r="B9" s="24" t="inlineStr">
        <is>
          <t>Dashboard adalah tampilan contoh, bukan laporan mill</t>
        </is>
      </c>
      <c r="C9" s="5" t="inlineStr">
        <is>
          <t>Halaman Dashboard menampilkan contoh laporan harian dengan angka tetap — tanpa filter tanggal dan tanpa pemilih mill, dan tidak membaca data stasiun. Ia MENYATAKAN dirinya contoh lewat judul "CPO Mill Demo" dan penanda "Data dummy". Kasus DS-01 justru memeriksa bahwa penanda itu ada; penanda yang hilang adalah temuan prioritas tinggi. Angka operasional yang sebenarnya ada di Laporan Periode per stasiun.</t>
        </is>
      </c>
    </row>
    <row r="10" ht="43.59999999999999" customHeight="1">
      <c r="A10" s="41" t="inlineStr">
        <is>
          <t>B-4</t>
        </is>
      </c>
      <c r="B10" s="20" t="inlineStr">
        <is>
          <t>Satuan suhu ditulis "C", bukan "°C"</t>
        </is>
      </c>
      <c r="C10" s="21" t="inlineStr">
        <is>
          <t>Pada laporan Kernel Plant, web maupun mobile. Disengaja: satuannya mengikuti data master apa adanya, dan mengubahnya di tampilan akan membuat web dan mobile berselisih.</t>
        </is>
      </c>
    </row>
    <row r="11" ht="30.4" customHeight="1">
      <c r="A11" s="30" t="inlineStr">
        <is>
          <t>B-5</t>
        </is>
      </c>
      <c r="B11" s="24" t="inlineStr">
        <is>
          <t>Laporan Depricarping (Mobile): tiga angka pada blok downtime tampil tanpa gaya</t>
        </is>
      </c>
      <c r="C11" s="5" t="inlineStr">
        <is>
          <t>Angkanya benar; hanya tampilannya yang belum rapi. Kosmetik, sudah tercatat.</t>
        </is>
      </c>
    </row>
    <row r="14">
      <c r="A14" s="3" t="inlineStr">
        <is>
          <t>Hal yang TERLIHAT seperti bug tetapi BUKAN</t>
        </is>
      </c>
    </row>
    <row r="15">
      <c r="A15" s="10" t="inlineStr">
        <is>
          <t>Kasus</t>
        </is>
      </c>
      <c r="B15" s="10" t="inlineStr">
        <is>
          <t>Kelihatan salah</t>
        </is>
      </c>
      <c r="C15" s="10" t="inlineStr">
        <is>
          <t>Sebenarnya</t>
        </is>
      </c>
    </row>
    <row r="16" ht="40.5" customHeight="1">
      <c r="A16" s="30" t="inlineStr">
        <is>
          <t>LS-16</t>
        </is>
      </c>
      <c r="B16" s="5" t="inlineStr">
        <is>
          <t>Laporan tidak menandai nilai yang jelas di luar batas</t>
        </is>
      </c>
      <c r="C16" s="33" t="inlineStr">
        <is>
          <t>DISENGAJA. Kolom targetnya teks bebas yang bentuknya tidak dibatasi, dan satu sel bisa memuat dua angka dengan satuan berbeda. Ada kalimat di layar yang menjelaskannya.</t>
        </is>
      </c>
    </row>
    <row r="17" ht="27" customHeight="1">
      <c r="A17" s="41" t="inlineStr">
        <is>
          <t>MB-FORM-04</t>
        </is>
      </c>
      <c r="B17" s="21" t="inlineStr">
        <is>
          <t>Slot waktu 01:00 dianggap SESUDAH 23:00</t>
        </is>
      </c>
      <c r="C17" s="33" t="inlineStr">
        <is>
          <t>BENAR. Shift dimulai 07:00, jadi urutannya 07:00 → 23:00 → 00:00 → 06:00.</t>
        </is>
      </c>
    </row>
    <row r="18" ht="40.5" customHeight="1">
      <c r="A18" s="30" t="inlineStr">
        <is>
          <t>DS-02</t>
        </is>
      </c>
      <c r="B18" s="5" t="inlineStr">
        <is>
          <t>Dashboard menampilkan angka yang sama untuk semua peran dan semua mill</t>
        </is>
      </c>
      <c r="C18" s="33" t="inlineStr">
        <is>
          <t>BENAR. Halaman itu tampilan contoh dengan angka tetap, dan menyatakannya lewat penanda "Data dummy". Jangan jalankan uji isolasi mill di sana — ia tidak membaca mill sama sekali.</t>
        </is>
      </c>
    </row>
    <row r="19" ht="40.5" customHeight="1">
      <c r="A19" s="41" t="inlineStr">
        <is>
          <t>DS-10</t>
        </is>
      </c>
      <c r="B19" s="21" t="inlineStr">
        <is>
          <t>Satu stasiun menunjukkan "belum ada input hari ini" DAN "input terakhir 3 menit lalu"</t>
        </is>
      </c>
      <c r="C19" s="33" t="inlineStr">
        <is>
          <t>BENAR. Dua jendela waktu yang berbeda: "hari ini" dibatasi tanggal, "input terakhir" tidak. Keterangan di halaman menjelaskannya.</t>
        </is>
      </c>
    </row>
    <row r="20" ht="27" customHeight="1">
      <c r="A20" s="30" t="inlineStr">
        <is>
          <t>LP-W-05</t>
        </is>
      </c>
      <c r="B20" s="5" t="inlineStr">
        <is>
          <t>Persen cakupan 0,0% di satu periode dan tanda pisah di periode lain, keduanya "tanpa data"</t>
        </is>
      </c>
      <c r="C20" s="33" t="inlineStr">
        <is>
          <t>BENAR, DAN KEDUANYA BERBEDA. 0,0% = penyebutnya ada, nol yang terisi. Tanda pisah = penyebutnya tidak terbentuk.</t>
        </is>
      </c>
    </row>
    <row r="21" ht="27" customHeight="1">
      <c r="A21" s="41" t="inlineStr">
        <is>
          <t>LP-W-03</t>
        </is>
      </c>
      <c r="B21" s="21" t="inlineStr">
        <is>
          <t>Jumlah slot terisi pada cakupan LEBIH BESAR daripada penyebut parameter mana pun</t>
        </is>
      </c>
      <c r="C21" s="33" t="inlineStr">
        <is>
          <t>BENAR. Slot yang hanya mengisi kolom temuan terhitung terisi tanpa menambah penyebut parameter.</t>
        </is>
      </c>
    </row>
    <row r="22" ht="27" customHeight="1">
      <c r="A22" s="30" t="inlineStr">
        <is>
          <t>LS-08</t>
        </is>
      </c>
      <c r="B22" s="5" t="inlineStr">
        <is>
          <t>Production Line tunggal tetap harus dipilih manual</t>
        </is>
      </c>
      <c r="C22" s="33" t="inlineStr">
        <is>
          <t>DISENGAJA. Memilihnya otomatis membuat pembaca mengira ia melihat seluruh mill.</t>
        </is>
      </c>
    </row>
  </sheetData>
  <mergeCells count="5">
    <mergeCell ref="A1:C1"/>
    <mergeCell ref="A5:C5"/>
    <mergeCell ref="A14:C14"/>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2026-10-12T04:24:41Z</dcterms:created>
  <dcterms:modified xsi:type="dcterms:W3CDTF">2026-10-12T04:24:42Z</dcterms:modified>
</cp:coreProperties>
</file>